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96fac059c4e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82e1ef4f60014001"/>
    <x:sheet xmlns:r="http://schemas.openxmlformats.org/officeDocument/2006/relationships" name="建筑分段" sheetId="2" r:id="R24a6aea395524284"/>
    <x:sheet xmlns:r="http://schemas.openxmlformats.org/officeDocument/2006/relationships" name="翻地升级节奏" sheetId="3" r:id="R38d271b6678a49a5"/>
    <x:sheet xmlns:r="http://schemas.openxmlformats.org/officeDocument/2006/relationships" name="配置变更" sheetId="4" r:id="R12e48f2c2b5249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$&quot;#,##0.00"/>
    <x:numFmt numFmtId="201" formatCode="#,##0"/>
    <x:numFmt numFmtId="202" formatCode="0.00"/>
    <x:numFmt numFmtId="203" formatCode="#,##0.00"/>
    <x:numFmt numFmtId="204" formatCode="0.0000"/>
  </x:numFmts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AF2F8"/>
      </x:patternFill>
    </x:fill>
    <x:fill>
      <x:patternFill patternType="solid">
        <x:fgColor rgb="FFF8FBFE"/>
      </x:patternFill>
    </x:fill>
    <x:fill>
      <x:patternFill patternType="solid">
        <x:fgColor rgb="FFFFF2CC"/>
      </x:patternFill>
    </x:fill>
  </x:fills>
  <x:borders count="11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200" fontId="3" fillId="5" borderId="0" xfId="0" applyNumberFormat="1" applyFont="1" applyFill="1" applyBorder="1" applyAlignment="1">
      <x:alignment horizontal="center"/>
    </x:xf>
    <x:xf numFmtId="201" fontId="3" fillId="5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0" fillId="6" borderId="4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  <x:xf numFmtId="0" fontId="0" fillId="6" borderId="10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2" fontId="0" fillId="0" borderId="3" xfId="0" applyNumberFormat="1" applyFont="1" applyFill="1" applyBorder="1" applyAlignment="1">
      <x:alignment vertical="center" wrapText="1"/>
    </x:xf>
    <x:xf numFmtId="202" fontId="0" fillId="0" borderId="6" xfId="0" applyNumberFormat="1" applyFont="1" applyFill="1" applyBorder="1" applyAlignment="1">
      <x:alignment vertical="center" wrapText="1"/>
    </x:xf>
    <x:xf numFmtId="202" fontId="0" fillId="0" borderId="9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1" fontId="1" fillId="4" borderId="1" xfId="0" applyNumberFormat="1" applyFont="1" applyFill="1" applyBorder="1" applyAlignment="1">
      <x:alignment horizontal="center" vertical="center" wrapText="1"/>
    </x:xf>
    <x:xf numFmtId="202" fontId="1" fillId="4" borderId="1" xfId="0" applyNumberFormat="1" applyFont="1" applyFill="1" applyBorder="1" applyAlignment="1">
      <x:alignment horizontal="center" vertical="center" wrapText="1"/>
    </x:xf>
    <x:xf numFmtId="200" fontId="1" fillId="4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203" fontId="0" fillId="0" borderId="3" xfId="0" applyNumberFormat="1" applyFont="1" applyFill="1" applyBorder="1" applyAlignment="1">
      <x:alignment vertical="center" wrapText="1"/>
    </x:xf>
    <x:xf numFmtId="203" fontId="0" fillId="0" borderId="6" xfId="0" applyNumberFormat="1" applyFont="1" applyFill="1" applyBorder="1" applyAlignment="1">
      <x:alignment vertical="center" wrapText="1"/>
    </x:xf>
    <x:xf numFmtId="203" fontId="0" fillId="0" borderId="9" xfId="0" applyNumberFormat="1" applyFont="1" applyFill="1" applyBorder="1" applyAlignment="1">
      <x:alignment vertical="center" wrapText="1"/>
    </x:xf>
    <x:xf numFmtId="204" fontId="0" fillId="0" borderId="3" xfId="0" applyNumberFormat="1" applyFont="1" applyFill="1" applyBorder="1" applyAlignment="1">
      <x:alignment vertical="center" wrapText="1"/>
    </x:xf>
    <x:xf numFmtId="204" fontId="0" fillId="0" borderId="6" xfId="0" applyNumberFormat="1" applyFont="1" applyFill="1" applyBorder="1" applyAlignment="1">
      <x:alignment vertical="center" wrapText="1"/>
    </x:xf>
    <x:xf numFmtId="204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4e4f78ec9f4314" /><Relationship Type="http://schemas.openxmlformats.org/officeDocument/2006/relationships/theme" Target="/xl/theme/theme1.xml" Id="Ra0745c8283fa4c63" /><Relationship Type="http://schemas.openxmlformats.org/officeDocument/2006/relationships/sharedStrings" Target="/xl/sharedStrings.xml" Id="Rcba8cb33cffb4a4f" /><Relationship Type="http://schemas.openxmlformats.org/officeDocument/2006/relationships/worksheet" Target="/xl/worksheets/sheet1.xml" Id="R82e1ef4f60014001" /><Relationship Type="http://schemas.openxmlformats.org/officeDocument/2006/relationships/worksheet" Target="/xl/worksheets/sheet2.xml" Id="R24a6aea395524284" /><Relationship Type="http://schemas.openxmlformats.org/officeDocument/2006/relationships/worksheet" Target="/xl/worksheets/sheet3.xml" Id="R38d271b6678a49a5" /><Relationship Type="http://schemas.openxmlformats.org/officeDocument/2006/relationships/worksheet" Target="/xl/worksheets/sheet4.xml" Id="R12e48f2c2b5249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2" customHeight="1">
      <x:c r="A1" s="4" t="str">
        <x:v>前三建筑版数值方案（翻地经验版）</x:v>
      </x:c>
      <x:c r="B1" s="4" t="str">
        <x:v>前三建筑版数值方案（翻地经验版）</x:v>
      </x:c>
      <x:c r="C1" s="4" t="str">
        <x:v>前三建筑版数值方案（翻地经验版）</x:v>
      </x:c>
      <x:c r="D1" s="4" t="str">
        <x:v>前三建筑版数值方案（翻地经验版）</x:v>
      </x:c>
      <x:c r="E1" s="4" t="str">
        <x:v>前三建筑版数值方案（翻地经验版）</x:v>
      </x:c>
      <x:c r="F1" s="4" t="str">
        <x:v>前三建筑版数值方案（翻地经验版）</x:v>
      </x:c>
      <x:c r="G1" s="4" t="str">
        <x:v>前三建筑版数值方案（翻地经验版）</x:v>
      </x:c>
      <x:c r="H1" s="4" t="str">
        <x:v>前三建筑版数值方案（翻地经验版）</x:v>
      </x:c>
      <x:c r="I1" s="4" t="str">
        <x:v>前三建筑版数值方案（翻地经验版）</x:v>
      </x:c>
      <x:c r="J1" s="4" t="str">
        <x:v>前三建筑版数值方案（翻地经验版）</x:v>
      </x:c>
      <x:c r="K1" s="4" t="str">
        <x:v>前三建筑版数值方案（翻地经验版）</x:v>
      </x:c>
      <x:c r="L1" s="4" t="str">
        <x:v>前三建筑版数值方案（翻地经验版）</x:v>
      </x:c>
      <x:c r="M1" s="4" t="str">
        <x:v>前三建筑版数值方案（翻地经验版）</x:v>
      </x:c>
      <x:c r="N1" s="4" t="str">
        <x:v>前三建筑版数值方案（翻地经验版）</x:v>
      </x:c>
    </x:row>
    <x:row r="2" ht="26" customHeight="1">
      <x:c r="A2" s="9" t="str">
        <x:v>2个自然日；3小时活跃；3,600 Spin；40%建设币掉落；翻地触发expVal升级。</x:v>
      </x:c>
      <x:c r="B2" s="9" t="str">
        <x:v>2个自然日；3小时活跃；3,600 Spin；40%建设币掉落；翻地触发expVal升级。</x:v>
      </x:c>
      <x:c r="C2" s="9" t="str">
        <x:v>2个自然日；3小时活跃；3,600 Spin；40%建设币掉落；翻地触发expVal升级。</x:v>
      </x:c>
      <x:c r="D2" s="9" t="str">
        <x:v>2个自然日；3小时活跃；3,600 Spin；40%建设币掉落；翻地触发expVal升级。</x:v>
      </x:c>
      <x:c r="E2" s="9" t="str">
        <x:v>2个自然日；3小时活跃；3,600 Spin；40%建设币掉落；翻地触发expVal升级。</x:v>
      </x:c>
      <x:c r="F2" s="9" t="str">
        <x:v>2个自然日；3小时活跃；3,600 Spin；40%建设币掉落；翻地触发expVal升级。</x:v>
      </x:c>
      <x:c r="G2" s="9" t="str">
        <x:v>2个自然日；3小时活跃；3,600 Spin；40%建设币掉落；翻地触发expVal升级。</x:v>
      </x:c>
      <x:c r="H2" s="9" t="str">
        <x:v>2个自然日；3小时活跃；3,600 Spin；40%建设币掉落；翻地触发expVal升级。</x:v>
      </x:c>
      <x:c r="I2" s="9" t="str">
        <x:v>2个自然日；3小时活跃；3,600 Spin；40%建设币掉落；翻地触发expVal升级。</x:v>
      </x:c>
      <x:c r="J2" s="9" t="str">
        <x:v>2个自然日；3小时活跃；3,600 Spin；40%建设币掉落；翻地触发expVal升级。</x:v>
      </x:c>
      <x:c r="K2" s="9" t="str">
        <x:v>2个自然日；3小时活跃；3,600 Spin；40%建设币掉落；翻地触发expVal升级。</x:v>
      </x:c>
      <x:c r="L2" s="9" t="str">
        <x:v>2个自然日；3小时活跃；3,600 Spin；40%建设币掉落；翻地触发expVal升级。</x:v>
      </x:c>
      <x:c r="M2" s="9" t="str">
        <x:v>2个自然日；3小时活跃；3,600 Spin；40%建设币掉落；翻地触发expVal升级。</x:v>
      </x:c>
      <x:c r="N2" s="9" t="str">
        <x:v>2个自然日；3小时活跃；3,600 Spin；40%建设币掉落；翻地触发expVal升级。</x:v>
      </x:c>
    </x:row>
    <x:row r="4">
      <x:c r="A4" s="15" t="str">
        <x:v>总Spin</x:v>
      </x:c>
      <x:c r="B4" s="15"/>
      <x:c r="D4" s="15" t="str">
        <x:v>活跃小时</x:v>
      </x:c>
      <x:c r="E4" s="15"/>
      <x:c r="G4" s="15" t="str">
        <x:v>累计消耗USD</x:v>
      </x:c>
      <x:c r="H4" s="15"/>
      <x:c r="J4" s="15" t="str">
        <x:v>通关等级</x:v>
      </x:c>
      <x:c r="K4" s="15"/>
      <x:c r="M4" s="15" t="str">
        <x:v>建设币总需求</x:v>
      </x:c>
      <x:c r="N4" s="15"/>
    </x:row>
    <x:row r="5">
      <x:c r="A5" s="18" t="n">
        <x:v>3600</x:v>
      </x:c>
      <x:c r="B5" s="18"/>
      <x:c r="D5" s="18" t="n">
        <x:v>3</x:v>
      </x:c>
      <x:c r="E5" s="18"/>
      <x:c r="G5" s="19" t="n">
        <x:v>520.64</x:v>
      </x:c>
      <x:c r="H5" s="18"/>
      <x:c r="J5" s="18" t="n">
        <x:v>100</x:v>
      </x:c>
      <x:c r="K5" s="18"/>
      <x:c r="M5" s="20" t="n">
        <x:v>29981800</x:v>
      </x:c>
      <x:c r="N5" s="18"/>
    </x:row>
    <x:row r="8">
      <x:c r="A8" s="15" t="str">
        <x:v>方案结论</x:v>
      </x:c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</x:row>
    <x:row r="9" ht="24" customHeight="1">
      <x:c r="A9" s="48" t="str">
        <x:v>前三建筑共157次翻地；当前expVal累计56,769，实算约36级。</x:v>
      </x:c>
      <x:c r="B9" s="49"/>
      <x:c r="C9" s="49"/>
      <x:c r="D9" s="49"/>
      <x:c r="E9" s="49"/>
      <x:c r="F9" s="49"/>
      <x:c r="G9" s="49"/>
      <x:c r="H9" s="49"/>
      <x:c r="I9" s="49"/>
      <x:c r="J9" s="49"/>
      <x:c r="K9" s="49"/>
      <x:c r="L9" s="49"/>
      <x:c r="M9" s="49"/>
      <x:c r="N9" s="50"/>
    </x:row>
    <x:row r="10" ht="24" customHeight="1">
      <x:c r="A10" s="51" t="str">
        <x:v>新版expVal累计1,760,370：5–14级每3块升级，15–56级每2块升级，57–99级每1块升级。</x:v>
      </x:c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3"/>
    </x:row>
    <x:row r="11" ht="24" customHeight="1">
      <x:c r="A11" s="51" t="str">
        <x:v>BuildLevelCfg前三建筑needCash统一×4，总需求由7,495,450提高到29,981,800。</x:v>
      </x:c>
      <x:c r="B11" s="52"/>
      <x:c r="C11" s="52"/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3"/>
    </x:row>
    <x:row r="12" ht="24" customHeight="1">
      <x:c r="A12" s="51" t="str">
        <x:v>BuildCashCheatSheet等级0–100、全部VIP档统一×0.895695并按0.5取整，约下调10.43%。</x:v>
      </x:c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3"/>
    </x:row>
    <x:row r="13" ht="24" customHeight="1">
      <x:c r="A13" s="51" t="str">
        <x:v>循环模拟：建筑1约51 Spin到16级；建筑2累计1,941 Spin到48级；建筑3累计3,600 Spin到100级。</x:v>
      </x:c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3"/>
    </x:row>
    <x:row r="14" ht="24" customHeight="1">
      <x:c r="A14" s="54" t="str">
        <x:v>离散Bet档下模拟消耗约$520.64，与“约$500”目标偏差+4.1%；实机应以玩家Bet选择分布复核。</x:v>
      </x:c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6"/>
    </x:row>
  </x:sheetData>
  <x:mergeCells>
    <x:mergeCell ref="A1:N1"/>
    <x:mergeCell ref="A2:N2"/>
    <x:mergeCell ref="A5:B5"/>
    <x:mergeCell ref="D5:E5"/>
    <x:mergeCell ref="G5:H5"/>
    <x:mergeCell ref="J5:K5"/>
    <x:mergeCell ref="M5:N5"/>
    <x:mergeCell ref="A8:N8"/>
    <x:mergeCell ref="A9:N9"/>
    <x:mergeCell ref="A10:N10"/>
    <x:mergeCell ref="A11:N11"/>
    <x:mergeCell ref="A12:N12"/>
    <x:mergeCell ref="A13:N13"/>
    <x:mergeCell ref="A14:N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2" customHeight="1">
      <x:c r="A1" s="4" t="str">
        <x:v>前三建筑分段体验</x:v>
      </x:c>
      <x:c r="B1" s="4" t="str">
        <x:v>前三建筑分段体验</x:v>
      </x:c>
      <x:c r="C1" s="4" t="str">
        <x:v>前三建筑分段体验</x:v>
      </x:c>
      <x:c r="D1" s="4" t="str">
        <x:v>前三建筑分段体验</x:v>
      </x:c>
      <x:c r="E1" s="4" t="str">
        <x:v>前三建筑分段体验</x:v>
      </x:c>
      <x:c r="F1" s="4" t="str">
        <x:v>前三建筑分段体验</x:v>
      </x:c>
      <x:c r="G1" s="4" t="str">
        <x:v>前三建筑分段体验</x:v>
      </x:c>
      <x:c r="H1" s="4" t="str">
        <x:v>前三建筑分段体验</x:v>
      </x:c>
      <x:c r="I1" s="4" t="str">
        <x:v>前三建筑分段体验</x:v>
      </x:c>
      <x:c r="J1" s="4" t="str">
        <x:v>前三建筑分段体验</x:v>
      </x:c>
      <x:c r="K1" s="4" t="str">
        <x:v>前三建筑分段体验</x:v>
      </x:c>
      <x:c r="L1" s="4" t="str">
        <x:v>前三建筑分段体验</x:v>
      </x:c>
    </x:row>
    <x:row r="2" ht="26" customHeight="1">
      <x:c r="A2" s="9" t="str">
        <x:v>翻地成本、经验、Spin与玩家等级均来自本次循环模拟。</x:v>
      </x:c>
      <x:c r="B2" s="9" t="str">
        <x:v>翻地成本、经验、Spin与玩家等级均来自本次循环模拟。</x:v>
      </x:c>
      <x:c r="C2" s="9" t="str">
        <x:v>翻地成本、经验、Spin与玩家等级均来自本次循环模拟。</x:v>
      </x:c>
      <x:c r="D2" s="9" t="str">
        <x:v>翻地成本、经验、Spin与玩家等级均来自本次循环模拟。</x:v>
      </x:c>
      <x:c r="E2" s="9" t="str">
        <x:v>翻地成本、经验、Spin与玩家等级均来自本次循环模拟。</x:v>
      </x:c>
      <x:c r="F2" s="9" t="str">
        <x:v>翻地成本、经验、Spin与玩家等级均来自本次循环模拟。</x:v>
      </x:c>
      <x:c r="G2" s="9" t="str">
        <x:v>翻地成本、经验、Spin与玩家等级均来自本次循环模拟。</x:v>
      </x:c>
      <x:c r="H2" s="9" t="str">
        <x:v>翻地成本、经验、Spin与玩家等级均来自本次循环模拟。</x:v>
      </x:c>
      <x:c r="I2" s="9" t="str">
        <x:v>翻地成本、经验、Spin与玩家等级均来自本次循环模拟。</x:v>
      </x:c>
      <x:c r="J2" s="9" t="str">
        <x:v>翻地成本、经验、Spin与玩家等级均来自本次循环模拟。</x:v>
      </x:c>
      <x:c r="K2" s="9" t="str">
        <x:v>翻地成本、经验、Spin与玩家等级均来自本次循环模拟。</x:v>
      </x:c>
      <x:c r="L2" s="9" t="str">
        <x:v>翻地成本、经验、Spin与玩家等级均来自本次循环模拟。</x:v>
      </x:c>
    </x:row>
    <x:row r="4">
      <x:c r="A4" s="15" t="str">
        <x:v>建筑</x:v>
      </x:c>
      <x:c r="B4" s="15" t="str">
        <x:v>翻地块数</x:v>
      </x:c>
      <x:c r="C4" s="15" t="str">
        <x:v>原建设币</x:v>
      </x:c>
      <x:c r="D4" s="15" t="str">
        <x:v>新建设币</x:v>
      </x:c>
      <x:c r="E4" s="15" t="str">
        <x:v>新expVal</x:v>
      </x:c>
      <x:c r="F4" s="15" t="str">
        <x:v>阶段Spin</x:v>
      </x:c>
      <x:c r="G4" s="15" t="str">
        <x:v>累计Spin</x:v>
      </x:c>
      <x:c r="H4" s="15" t="str">
        <x:v>阶段小时</x:v>
      </x:c>
      <x:c r="I4" s="15" t="str">
        <x:v>累计小时</x:v>
      </x:c>
      <x:c r="J4" s="15" t="str">
        <x:v>阶段USD</x:v>
      </x:c>
      <x:c r="K4" s="15" t="str">
        <x:v>累计USD</x:v>
      </x:c>
      <x:c r="L4" s="15" t="str">
        <x:v>阶段结束等级</x:v>
      </x:c>
    </x:row>
    <x:row r="5">
      <x:c r="A5" s="39" t="n">
        <x:v>1</x:v>
      </x:c>
      <x:c r="B5" s="40" t="n">
        <x:v>33</x:v>
      </x:c>
      <x:c r="C5" s="57" t="n">
        <x:v>28700</x:v>
      </x:c>
      <x:c r="D5" s="57" t="n">
        <x:v>114800</x:v>
      </x:c>
      <x:c r="E5" s="57" t="n">
        <x:v>4920</x:v>
      </x:c>
      <x:c r="F5" s="57" t="n">
        <x:f>51-0</x:f>
        <x:v>51</x:v>
      </x:c>
      <x:c r="G5" s="57" t="n">
        <x:v>51</x:v>
      </x:c>
      <x:c r="H5" s="60" t="n">
        <x:f>F5*3/3600</x:f>
        <x:v>0.0425</x:v>
      </x:c>
      <x:c r="I5" s="60" t="n">
        <x:f>G5*3/3600</x:f>
        <x:v>0.0425</x:v>
      </x:c>
      <x:c r="J5" s="63" t="n">
        <x:f>5.69-0</x:f>
        <x:v>5.69</x:v>
      </x:c>
      <x:c r="K5" s="63" t="n">
        <x:v>5.69</x:v>
      </x:c>
      <x:c r="L5" s="41" t="n">
        <x:v>16</x:v>
      </x:c>
    </x:row>
    <x:row r="6">
      <x:c r="A6" s="42" t="n">
        <x:v>2</x:v>
      </x:c>
      <x:c r="B6" s="43" t="n">
        <x:v>64</x:v>
      </x:c>
      <x:c r="C6" s="58" t="n">
        <x:v>3750000</x:v>
      </x:c>
      <x:c r="D6" s="58" t="n">
        <x:v>15000000</x:v>
      </x:c>
      <x:c r="E6" s="58" t="n">
        <x:v>140325</x:v>
      </x:c>
      <x:c r="F6" s="58" t="n">
        <x:f>1941-G5</x:f>
        <x:v>1890</x:v>
      </x:c>
      <x:c r="G6" s="58" t="n">
        <x:v>1941</x:v>
      </x:c>
      <x:c r="H6" s="61" t="n">
        <x:f>F6*3/3600</x:f>
        <x:v>1.575</x:v>
      </x:c>
      <x:c r="I6" s="61" t="n">
        <x:f>G6*3/3600</x:f>
        <x:v>1.6175</x:v>
      </x:c>
      <x:c r="J6" s="64" t="n">
        <x:f>248.5566666667-K5</x:f>
        <x:v>242.8666666667</x:v>
      </x:c>
      <x:c r="K6" s="64" t="n">
        <x:v>248.5566666667</x:v>
      </x:c>
      <x:c r="L6" s="44" t="n">
        <x:v>48</x:v>
      </x:c>
    </x:row>
    <x:row r="7">
      <x:c r="A7" s="45" t="n">
        <x:v>3</x:v>
      </x:c>
      <x:c r="B7" s="46" t="n">
        <x:v>60</x:v>
      </x:c>
      <x:c r="C7" s="59" t="n">
        <x:v>3716750</x:v>
      </x:c>
      <x:c r="D7" s="59" t="n">
        <x:v>14867000</x:v>
      </x:c>
      <x:c r="E7" s="59" t="n">
        <x:v>1615125</x:v>
      </x:c>
      <x:c r="F7" s="59" t="n">
        <x:f>3600-G6</x:f>
        <x:v>1659</x:v>
      </x:c>
      <x:c r="G7" s="59" t="n">
        <x:v>3600</x:v>
      </x:c>
      <x:c r="H7" s="62" t="n">
        <x:f>F7*3/3600</x:f>
        <x:v>1.3825</x:v>
      </x:c>
      <x:c r="I7" s="62" t="n">
        <x:f>G7*3/3600</x:f>
        <x:v>3</x:v>
      </x:c>
      <x:c r="J7" s="65" t="n">
        <x:f>520.64-K6</x:f>
        <x:v>272.08333333329995</x:v>
      </x:c>
      <x:c r="K7" s="65" t="n">
        <x:v>520.64</x:v>
      </x:c>
      <x:c r="L7" s="47" t="n">
        <x:v>100</x:v>
      </x:c>
    </x:row>
    <x:row r="9">
      <x:c r="A9" s="15" t="str">
        <x:v>合计</x:v>
      </x:c>
      <x:c r="B9" s="15" t="n">
        <x:v>157</x:v>
      </x:c>
      <x:c r="C9" s="66" t="n">
        <x:f>SUM(C5:C7)</x:f>
        <x:v>7495450</x:v>
      </x:c>
      <x:c r="D9" s="66" t="n">
        <x:f>SUM(D5:D7)</x:f>
        <x:v>29981800</x:v>
      </x:c>
      <x:c r="E9" s="66" t="n">
        <x:f>SUM(E5:E7)</x:f>
        <x:v>1760370</x:v>
      </x:c>
      <x:c r="F9" s="66" t="n">
        <x:f>SUM(F5:F7)</x:f>
        <x:v>3600</x:v>
      </x:c>
      <x:c r="G9" s="66" t="n">
        <x:f>G7</x:f>
        <x:v>3600</x:v>
      </x:c>
      <x:c r="H9" s="67" t="n">
        <x:f>SUM(H5:H7)</x:f>
        <x:v>3</x:v>
      </x:c>
      <x:c r="I9" s="67" t="n">
        <x:f>I7</x:f>
        <x:v>3</x:v>
      </x:c>
      <x:c r="J9" s="68" t="n">
        <x:f>SUM(J5:J7)</x:f>
        <x:v>520.64</x:v>
      </x:c>
      <x:c r="K9" s="68" t="n">
        <x:f>K7</x:f>
        <x:v>520.64</x:v>
      </x:c>
      <x:c r="L9" s="15" t="n">
        <x:f>L7</x:f>
        <x:v>100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2" hidden="0" customWidth="1"/>
    <x:col min="7" max="7" width="18" hidden="0" customWidth="1"/>
    <x:col min="8" max="8" width="18" hidden="0" customWidth="1"/>
  </x:cols>
  <x:sheetData>
    <x:row r="1" ht="32" customHeight="1">
      <x:c r="A1" s="4" t="str">
        <x:v>翻地升级节奏</x:v>
      </x:c>
      <x:c r="B1" s="4" t="str">
        <x:v>翻地升级节奏</x:v>
      </x:c>
      <x:c r="C1" s="4" t="str">
        <x:v>翻地升级节奏</x:v>
      </x:c>
      <x:c r="D1" s="4" t="str">
        <x:v>翻地升级节奏</x:v>
      </x:c>
      <x:c r="E1" s="4" t="str">
        <x:v>翻地升级节奏</x:v>
      </x:c>
      <x:c r="F1" s="4" t="str">
        <x:v>翻地升级节奏</x:v>
      </x:c>
      <x:c r="G1" s="4" t="str">
        <x:v>翻地升级节奏</x:v>
      </x:c>
      <x:c r="H1" s="4" t="str">
        <x:v>翻地升级节奏</x:v>
      </x:c>
    </x:row>
    <x:row r="2" ht="26" customHeight="1">
      <x:c r="A2" s="9" t="str">
        <x:v>等级1–4沿用新手Spin段；建筑翻地经验从等级5开始推进至100。</x:v>
      </x:c>
      <x:c r="B2" s="9" t="str">
        <x:v>等级1–4沿用新手Spin段；建筑翻地经验从等级5开始推进至100。</x:v>
      </x:c>
      <x:c r="C2" s="9" t="str">
        <x:v>等级1–4沿用新手Spin段；建筑翻地经验从等级5开始推进至100。</x:v>
      </x:c>
      <x:c r="D2" s="9" t="str">
        <x:v>等级1–4沿用新手Spin段；建筑翻地经验从等级5开始推进至100。</x:v>
      </x:c>
      <x:c r="E2" s="9" t="str">
        <x:v>等级1–4沿用新手Spin段；建筑翻地经验从等级5开始推进至100。</x:v>
      </x:c>
      <x:c r="F2" s="9" t="str">
        <x:v>等级1–4沿用新手Spin段；建筑翻地经验从等级5开始推进至100。</x:v>
      </x:c>
      <x:c r="G2" s="9" t="str">
        <x:v>等级1–4沿用新手Spin段；建筑翻地经验从等级5开始推进至100。</x:v>
      </x:c>
      <x:c r="H2" s="9" t="str">
        <x:v>等级1–4沿用新手Spin段；建筑翻地经验从等级5开始推进至100。</x:v>
      </x:c>
    </x:row>
    <x:row r="4">
      <x:c r="A4" s="15" t="str">
        <x:v>等级段</x:v>
      </x:c>
      <x:c r="B4" s="15" t="str">
        <x:v>每级翻地数</x:v>
      </x:c>
      <x:c r="C4" s="15" t="str">
        <x:v>升级级数</x:v>
      </x:c>
      <x:c r="D4" s="15" t="str">
        <x:v>消耗地块</x:v>
      </x:c>
      <x:c r="E4" s="15" t="str">
        <x:v>累计地块</x:v>
      </x:c>
      <x:c r="F4" s="15" t="str">
        <x:v>体验含义</x:v>
      </x:c>
      <x:c r="G4" s="15" t="str">
        <x:v>经验来源</x:v>
      </x:c>
      <x:c r="H4" s="15" t="str">
        <x:v>校验</x:v>
      </x:c>
    </x:row>
    <x:row r="5">
      <x:c r="A5" s="39" t="str">
        <x:v>5-14</x:v>
      </x:c>
      <x:c r="B5" s="40" t="n">
        <x:v>3</x:v>
      </x:c>
      <x:c r="C5" s="40" t="n">
        <x:v>10</x:v>
      </x:c>
      <x:c r="D5" s="40" t="n">
        <x:v>30</x:v>
      </x:c>
      <x:c r="E5" s="40" t="n">
        <x:f>D5</x:f>
        <x:v>30</x:v>
      </x:c>
      <x:c r="F5" s="40" t="str">
        <x:v>前段保持约3块升级一次</x:v>
      </x:c>
      <x:c r="G5" s="40" t="str">
        <x:v>BuildLevelCfg.expVal</x:v>
      </x:c>
      <x:c r="H5" s="41" t="str">
        <x:f>IF(E5&lt;157,"进行中","到达100级")</x:f>
        <x:v>进行中</x:v>
      </x:c>
    </x:row>
    <x:row r="6">
      <x:c r="A6" s="42" t="str">
        <x:v>15-56</x:v>
      </x:c>
      <x:c r="B6" s="43" t="n">
        <x:v>2</x:v>
      </x:c>
      <x:c r="C6" s="43" t="n">
        <x:v>42</x:v>
      </x:c>
      <x:c r="D6" s="43" t="n">
        <x:v>84</x:v>
      </x:c>
      <x:c r="E6" s="43" t="n">
        <x:f>E5+D6</x:f>
        <x:v>114</x:v>
      </x:c>
      <x:c r="F6" s="43" t="str">
        <x:v>中段保持约2块升级一次</x:v>
      </x:c>
      <x:c r="G6" s="43" t="str">
        <x:v>BuildLevelCfg.expVal</x:v>
      </x:c>
      <x:c r="H6" s="44" t="str">
        <x:f>IF(E6&lt;157,"进行中","到达100级")</x:f>
        <x:v>进行中</x:v>
      </x:c>
    </x:row>
    <x:row r="7">
      <x:c r="A7" s="45" t="str">
        <x:v>57-99</x:v>
      </x:c>
      <x:c r="B7" s="46" t="n">
        <x:v>1</x:v>
      </x:c>
      <x:c r="C7" s="46" t="n">
        <x:v>43</x:v>
      </x:c>
      <x:c r="D7" s="46" t="n">
        <x:v>43</x:v>
      </x:c>
      <x:c r="E7" s="46" t="n">
        <x:f>E6+D7</x:f>
        <x:v>157</x:v>
      </x:c>
      <x:c r="F7" s="46" t="str">
        <x:v>后段为满足157块到100级，每块升级一次</x:v>
      </x:c>
      <x:c r="G7" s="46" t="str">
        <x:v>BuildLevelCfg.expVal</x:v>
      </x:c>
      <x:c r="H7" s="47" t="str">
        <x:f>IF(E7&lt;157,"进行中","到达100级")</x:f>
        <x:v>到达100级</x:v>
      </x:c>
    </x:row>
    <x:row r="9">
      <x:c r="A9" s="71" t="str">
        <x:v>数学约束：95个经验等级使用157块，平均1.65块/级；因此不可能全程2–3块/级，后43级必须压到1块/级。</x:v>
      </x:c>
      <x:c r="B9" s="71"/>
      <x:c r="C9" s="71"/>
      <x:c r="D9" s="71"/>
      <x:c r="E9" s="71"/>
      <x:c r="F9" s="71"/>
      <x:c r="G9" s="71"/>
      <x:c r="H9" s="71"/>
    </x:row>
  </x:sheetData>
  <x:mergeCells>
    <x:mergeCell ref="A1:H1"/>
    <x:mergeCell ref="A2:H2"/>
    <x:mergeCell ref="A9:H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6" hidden="0" customWidth="1"/>
    <x:col min="9" max="9" width="26" hidden="0" customWidth="1"/>
    <x:col min="10" max="10" width="16" hidden="0" customWidth="1"/>
  </x:cols>
  <x:sheetData>
    <x:row r="1" ht="32" customHeight="1">
      <x:c r="A1" s="4" t="str">
        <x:v>配置变更范围</x:v>
      </x:c>
      <x:c r="B1" s="4" t="str">
        <x:v>配置变更范围</x:v>
      </x:c>
      <x:c r="C1" s="4" t="str">
        <x:v>配置变更范围</x:v>
      </x:c>
      <x:c r="D1" s="4" t="str">
        <x:v>配置变更范围</x:v>
      </x:c>
      <x:c r="E1" s="4" t="str">
        <x:v>配置变更范围</x:v>
      </x:c>
      <x:c r="F1" s="4" t="str">
        <x:v>配置变更范围</x:v>
      </x:c>
      <x:c r="G1" s="4" t="str">
        <x:v>配置变更范围</x:v>
      </x:c>
      <x:c r="H1" s="4" t="str">
        <x:v>配置变更范围</x:v>
      </x:c>
      <x:c r="I1" s="4" t="str">
        <x:v>配置变更范围</x:v>
      </x:c>
      <x:c r="J1" s="4" t="str">
        <x:v>配置变更范围</x:v>
      </x:c>
    </x:row>
    <x:row r="2" ht="26" customHeight="1">
      <x:c r="A2" s="9" t="str">
        <x:v>只修改用户指定的两张配置表；其余字段、建筑4以后和等级101以上保持原值。</x:v>
      </x:c>
      <x:c r="B2" s="9" t="str">
        <x:v>只修改用户指定的两张配置表；其余字段、建筑4以后和等级101以上保持原值。</x:v>
      </x:c>
      <x:c r="C2" s="9" t="str">
        <x:v>只修改用户指定的两张配置表；其余字段、建筑4以后和等级101以上保持原值。</x:v>
      </x:c>
      <x:c r="D2" s="9" t="str">
        <x:v>只修改用户指定的两张配置表；其余字段、建筑4以后和等级101以上保持原值。</x:v>
      </x:c>
      <x:c r="E2" s="9" t="str">
        <x:v>只修改用户指定的两张配置表；其余字段、建筑4以后和等级101以上保持原值。</x:v>
      </x:c>
      <x:c r="F2" s="9" t="str">
        <x:v>只修改用户指定的两张配置表；其余字段、建筑4以后和等级101以上保持原值。</x:v>
      </x:c>
      <x:c r="G2" s="9" t="str">
        <x:v>只修改用户指定的两张配置表；其余字段、建筑4以后和等级101以上保持原值。</x:v>
      </x:c>
      <x:c r="H2" s="9" t="str">
        <x:v>只修改用户指定的两张配置表；其余字段、建筑4以后和等级101以上保持原值。</x:v>
      </x:c>
      <x:c r="I2" s="9" t="str">
        <x:v>只修改用户指定的两张配置表；其余字段、建筑4以后和等级101以上保持原值。</x:v>
      </x:c>
      <x:c r="J2" s="9" t="str">
        <x:v>只修改用户指定的两张配置表；其余字段、建筑4以后和等级101以上保持原值。</x:v>
      </x:c>
    </x:row>
    <x:row r="4">
      <x:c r="A4" s="15" t="str">
        <x:v>配置表</x:v>
      </x:c>
      <x:c r="B4" s="15" t="str">
        <x:v>字段</x:v>
      </x:c>
      <x:c r="C4" s="15" t="str">
        <x:v>范围</x:v>
      </x:c>
      <x:c r="D4" s="15" t="str">
        <x:v>原值/规则</x:v>
      </x:c>
      <x:c r="E4" s="15" t="str">
        <x:v>新值/规则</x:v>
      </x:c>
      <x:c r="F4" s="15" t="str">
        <x:v>倍率</x:v>
      </x:c>
      <x:c r="G4" s="15" t="str">
        <x:v>变更行</x:v>
      </x:c>
      <x:c r="H4" s="15" t="str">
        <x:v>未改字段</x:v>
      </x:c>
      <x:c r="I4" s="15" t="str">
        <x:v>目标</x:v>
      </x:c>
      <x:c r="J4" s="15" t="str">
        <x:v>校验</x:v>
      </x:c>
    </x:row>
    <x:row r="5">
      <x:c r="A5" s="39" t="str">
        <x:v>BuildLevelCfg.xlsx</x:v>
      </x:c>
      <x:c r="B5" s="40" t="str">
        <x:v>needCash</x:v>
      </x:c>
      <x:c r="C5" s="40" t="str">
        <x:v>建筑1–3</x:v>
      </x:c>
      <x:c r="D5" s="72" t="str">
        <x:v>合计7,495,450</x:v>
      </x:c>
      <x:c r="E5" s="72" t="str">
        <x:v>合计29,981,800</x:v>
      </x:c>
      <x:c r="F5" s="75" t="n">
        <x:v>4</x:v>
      </x:c>
      <x:c r="G5" s="40" t="n">
        <x:v>157</x:v>
      </x:c>
      <x:c r="H5" s="40" t="str">
        <x:v>level/blockNum/honorVal/npcMax；建筑4+</x:v>
      </x:c>
      <x:c r="I5" s="40" t="str">
        <x:v>3小时完成</x:v>
      </x:c>
      <x:c r="J5" s="41" t="str">
        <x:v>通过</x:v>
      </x:c>
    </x:row>
    <x:row r="6">
      <x:c r="A6" s="42" t="str">
        <x:v>BuildLevelCfg.xlsx</x:v>
      </x:c>
      <x:c r="B6" s="43" t="str">
        <x:v>expVal</x:v>
      </x:c>
      <x:c r="C6" s="43" t="str">
        <x:v>建筑1–3</x:v>
      </x:c>
      <x:c r="D6" s="73" t="str">
        <x:v>合计56,769；约36级</x:v>
      </x:c>
      <x:c r="E6" s="73" t="str">
        <x:v>合计1,760,370；100级</x:v>
      </x:c>
      <x:c r="F6" s="76"/>
      <x:c r="G6" s="43" t="n">
        <x:v>157</x:v>
      </x:c>
      <x:c r="H6" s="43" t="str">
        <x:v>其他字段；建筑4+</x:v>
      </x:c>
      <x:c r="I6" s="43" t="str">
        <x:v>翻地升级</x:v>
      </x:c>
      <x:c r="J6" s="44" t="str">
        <x:v>通过</x:v>
      </x:c>
    </x:row>
    <x:row r="7">
      <x:c r="A7" s="45" t="str">
        <x:v>BuildCashCheatSheet.xlsx</x:v>
      </x:c>
      <x:c r="B7" s="46" t="str">
        <x:v>vip_16_0–15</x:v>
      </x:c>
      <x:c r="C7" s="46" t="str">
        <x:v>角色等级0–100</x:v>
      </x:c>
      <x:c r="D7" s="74" t="str">
        <x:v>当前值</x:v>
      </x:c>
      <x:c r="E7" s="74" t="str">
        <x:v>×0.895695，按0.5取整</x:v>
      </x:c>
      <x:c r="F7" s="77" t="n">
        <x:v>0.8956954777665485</x:v>
      </x:c>
      <x:c r="G7" s="46" t="n">
        <x:v>304</x:v>
      </x:c>
      <x:c r="H7" s="46" t="str">
        <x:v>Id/level；等级101+</x:v>
      </x:c>
      <x:c r="I7" s="46" t="str">
        <x:v>匹配3600 Spin</x:v>
      </x:c>
      <x:c r="J7" s="47" t="str">
        <x:v>通过</x:v>
      </x:c>
    </x:row>
    <x:row r="9">
      <x:c r="A9" s="7" t="str">
        <x:v>BuildBox和建筑每秒产出是金币启动/返还来源，不在本次两表改动范围；$520.64为老虎机Spin消耗，不代表净付费。</x:v>
      </x:c>
      <x:c r="B9" s="7"/>
      <x:c r="C9" s="7"/>
      <x:c r="D9" s="7"/>
      <x:c r="E9" s="7"/>
      <x:c r="F9" s="7"/>
      <x:c r="G9" s="7"/>
      <x:c r="H9" s="7"/>
      <x:c r="I9" s="7"/>
      <x:c r="J9" s="7"/>
    </x:row>
  </x:sheetData>
  <x:mergeCells>
    <x:mergeCell ref="A1:J1"/>
    <x:mergeCell ref="A2:J2"/>
    <x:mergeCell ref="A9:J9"/>
  </x:mergeCells>
  <x:pageMargins left="0.7" right="0.7" top="0.75" bottom="0.75" header="0.3" footer="0.3"/>
</x:worksheet>
</file>