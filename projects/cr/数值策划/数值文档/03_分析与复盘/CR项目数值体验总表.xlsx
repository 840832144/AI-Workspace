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56b108645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6fd9a36134254837"/>
    <x:sheet xmlns:r="http://schemas.openxmlformats.org/officeDocument/2006/relationships" name="新用户数值体验表" sheetId="2" r:id="Rd92f2b62b3da433f"/>
    <x:sheet xmlns:r="http://schemas.openxmlformats.org/officeDocument/2006/relationships" name="阶段汇总" sheetId="3" r:id="R051560c81c0d4fe5"/>
    <x:sheet xmlns:r="http://schemas.openxmlformats.org/officeDocument/2006/relationships" name="模块配置总览" sheetId="4" r:id="Rad99b7d107394eca"/>
    <x:sheet xmlns:r="http://schemas.openxmlformats.org/officeDocument/2006/relationships" name="重点模块体验" sheetId="5" r:id="Rbe24b1c9dcb448a0"/>
    <x:sheet xmlns:r="http://schemas.openxmlformats.org/officeDocument/2006/relationships" name="弹球数值体验" sheetId="6" r:id="Rf3b14c30a5064242"/>
    <x:sheet xmlns:r="http://schemas.openxmlformats.org/officeDocument/2006/relationships" name="卡包收集体验" sheetId="7" r:id="R8cbe3c8cad4f4bca"/>
    <x:sheet xmlns:r="http://schemas.openxmlformats.org/officeDocument/2006/relationships" name="参数与来源" sheetId="8" r:id="R19cb9f8c1b29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%"/>
    <x:numFmt numFmtId="202" formatCode="0"/>
    <x:numFmt numFmtId="203" formatCode="$#,##0.00"/>
    <x:numFmt numFmtId="204" formatCode="0.0%"/>
    <x:numFmt numFmtId="205" formatCode="0.0"/>
    <x:numFmt numFmtId="206" formatCode="0.00%"/>
    <x:numFmt numFmtId="207" formatCode="#,##0.00"/>
    <x:numFmt numFmtId="208" formatCode="0.0x"/>
    <x:numFmt numFmtId="209" formatCode="0.00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b/>
      <x:sz val="12"/>
      <x:color rgb="FF17365D"/>
      <x:name val="Carlito"/>
    </x:font>
    <x:font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sz val="11"/>
      <x:color rgb="FF7F6000"/>
      <x:name val="Carlito"/>
    </x:font>
    <x:font>
      <x:b/>
      <x:sz val="18"/>
      <x:color rgb="FF17365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8FBFE"/>
      </x:patternFill>
    </x:fill>
    <x:fill>
      <x:patternFill patternType="solid">
        <x:fgColor rgb="FFEDF5E8"/>
      </x:patternFill>
    </x:fill>
    <x:fill>
      <x:patternFill patternType="solid">
        <x:fgColor rgb="FFF3F6F9"/>
      </x:patternFill>
    </x:fill>
  </x:fills>
  <x:borders count="4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6B800"/>
      </x:left>
      <x:right style="thin">
        <x:color rgb="FFE6B800"/>
      </x:right>
      <x:top style="thin">
        <x:color rgb="FFE6B800"/>
      </x:top>
      <x:bottom style="thin">
        <x:color rgb="FFE6B800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 applyAlignment="1">
      <x:alignment vertical="center" wrapText="1"/>
    </x:xf>
    <x:xf numFmtId="200" fontId="0" fillId="3" borderId="2" xfId="0" applyNumberFormat="1" applyFont="1" applyFill="1" applyBorder="1" applyAlignment="1">
      <x:alignment vertical="center" wrapText="1"/>
    </x:xf>
    <x:xf numFmtId="201" fontId="0" fillId="3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7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200" fontId="0" fillId="7" borderId="2" xfId="0" applyNumberFormat="1" applyFont="1" applyFill="1" applyBorder="1" applyAlignment="1">
      <x:alignment vertical="center" wrapText="1"/>
    </x:xf>
    <x:xf numFmtId="201" fontId="0" fillId="7" borderId="2" xfId="0" applyNumberFormat="1" applyFont="1" applyFill="1" applyBorder="1" applyAlignment="1">
      <x:alignment vertical="center" wrapText="1"/>
    </x:xf>
    <x:xf numFmtId="202" fontId="0" fillId="7" borderId="2" xfId="0" applyNumberFormat="1" applyFont="1" applyFill="1" applyBorder="1" applyAlignment="1">
      <x:alignment vertical="center" wrapText="1"/>
    </x:xf>
    <x:xf numFmtId="202" fontId="0" fillId="8" borderId="2" xfId="0" applyNumberFormat="1" applyFont="1" applyFill="1" applyBorder="1" applyAlignment="1">
      <x:alignment vertical="center" wrapText="1"/>
    </x:xf>
    <x:xf numFmtId="200" fontId="0" fillId="6" borderId="2" xfId="0" applyNumberFormat="1" applyFont="1" applyFill="1" applyBorder="1" applyAlignment="1">
      <x:alignment vertical="center" wrapText="1"/>
    </x:xf>
    <x:xf numFmtId="203" fontId="0" fillId="6" borderId="2" xfId="0" applyNumberFormat="1" applyFont="1" applyFill="1" applyBorder="1" applyAlignment="1">
      <x:alignment vertical="center" wrapText="1"/>
    </x:xf>
    <x:xf numFmtId="203" fontId="0" fillId="8" borderId="2" xfId="0" applyNumberFormat="1" applyFont="1" applyFill="1" applyBorder="1" applyAlignment="1">
      <x:alignment vertical="center" wrapText="1"/>
    </x:xf>
    <x:xf numFmtId="204" fontId="0" fillId="8" borderId="2" xfId="0" applyNumberFormat="1" applyFont="1" applyFill="1" applyBorder="1" applyAlignment="1">
      <x:alignment vertical="center" wrapText="1"/>
    </x:xf>
    <x:xf numFmtId="200" fontId="0" fillId="8" borderId="2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horizontal="center" vertical="center" wrapText="1"/>
    </x:xf>
    <x:xf numFmtId="200" fontId="0" fillId="7" borderId="2" xfId="0" applyNumberFormat="1" applyFont="1" applyFill="1" applyBorder="1" applyAlignment="1">
      <x:alignment horizontal="center" vertical="center" wrapText="1"/>
    </x:xf>
    <x:xf numFmtId="201" fontId="0" fillId="7" borderId="2" xfId="0" applyNumberFormat="1" applyFont="1" applyFill="1" applyBorder="1" applyAlignment="1">
      <x:alignment horizontal="center" vertical="center" wrapText="1"/>
    </x:xf>
    <x:xf numFmtId="202" fontId="0" fillId="7" borderId="2" xfId="0" applyNumberFormat="1" applyFont="1" applyFill="1" applyBorder="1" applyAlignment="1">
      <x:alignment horizontal="center" vertical="center" wrapText="1"/>
    </x:xf>
    <x:xf numFmtId="202" fontId="0" fillId="8" borderId="2" xfId="0" applyNumberFormat="1" applyFont="1" applyFill="1" applyBorder="1" applyAlignment="1">
      <x:alignment horizontal="center" vertical="center" wrapText="1"/>
    </x:xf>
    <x:xf numFmtId="200" fontId="0" fillId="6" borderId="2" xfId="0" applyNumberFormat="1" applyFont="1" applyFill="1" applyBorder="1" applyAlignment="1">
      <x:alignment horizontal="center" vertical="center" wrapText="1"/>
    </x:xf>
    <x:xf numFmtId="203" fontId="0" fillId="6" borderId="2" xfId="0" applyNumberFormat="1" applyFont="1" applyFill="1" applyBorder="1" applyAlignment="1">
      <x:alignment horizontal="center" vertical="center" wrapText="1"/>
    </x:xf>
    <x:xf numFmtId="203" fontId="0" fillId="8" borderId="2" xfId="0" applyNumberFormat="1" applyFont="1" applyFill="1" applyBorder="1" applyAlignment="1">
      <x:alignment horizontal="center" vertical="center" wrapText="1"/>
    </x:xf>
    <x:xf numFmtId="204" fontId="0" fillId="8" borderId="2" xfId="0" applyNumberFormat="1" applyFont="1" applyFill="1" applyBorder="1" applyAlignment="1">
      <x:alignment horizontal="center" vertical="center" wrapText="1"/>
    </x:xf>
    <x:xf numFmtId="200" fontId="0" fillId="8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202" fontId="6" fillId="3" borderId="1" xfId="0" applyNumberFormat="1" applyFont="1" applyFill="1" applyBorder="1" applyAlignment="1">
      <x:alignment vertical="center" wrapText="1"/>
    </x:xf>
    <x:xf numFmtId="203" fontId="0" fillId="0" borderId="2" xfId="0" applyNumberFormat="1" applyFont="1" applyFill="1" applyBorder="1" applyAlignment="1">
      <x:alignment vertical="center" wrapText="1"/>
    </x:xf>
    <x:xf numFmtId="203" fontId="6" fillId="3" borderId="1" xfId="0" applyNumberFormat="1" applyFont="1" applyFill="1" applyBorder="1" applyAlignment="1">
      <x:alignment vertical="center" wrapText="1"/>
    </x:xf>
    <x:xf numFmtId="204" fontId="0" fillId="0" borderId="2" xfId="0" applyNumberFormat="1" applyFont="1" applyFill="1" applyBorder="1" applyAlignment="1">
      <x:alignment vertical="center" wrapText="1"/>
    </x:xf>
    <x:xf numFmtId="204" fontId="6" fillId="3" borderId="1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7" fillId="5" borderId="2" xfId="0" applyNumberFormat="1" applyFont="1" applyFill="1" applyBorder="1" applyAlignment="1">
      <x:alignment vertic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205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6" fontId="0" fillId="0" borderId="2" xfId="0" applyNumberFormat="1" applyFont="1" applyFill="1" applyBorder="1" applyAlignment="1">
      <x:alignment vertical="center" wrapText="1"/>
    </x:xf>
    <x:xf numFmtId="207" fontId="0" fillId="7" borderId="2" xfId="0" applyNumberFormat="1" applyFont="1" applyFill="1" applyBorder="1" applyAlignment="1">
      <x:alignment vertical="center" wrapText="1"/>
    </x:xf>
    <x:xf numFmtId="208" fontId="0" fillId="8" borderId="2" xfId="0" applyNumberFormat="1" applyFont="1" applyFill="1" applyBorder="1" applyAlignment="1">
      <x:alignment vertical="center" wrapText="1"/>
    </x:xf>
    <x:xf numFmtId="204" fontId="0" fillId="7" borderId="2" xfId="0" applyNumberFormat="1" applyFont="1" applyFill="1" applyBorder="1" applyAlignment="1">
      <x:alignment vertical="center" wrapText="1"/>
    </x:xf>
    <x:xf numFmtId="205" fontId="0" fillId="7" borderId="2" xfId="0" applyNumberFormat="1" applyFont="1" applyFill="1" applyBorder="1" applyAlignment="1">
      <x:alignment vertical="center" wrapText="1"/>
    </x:xf>
    <x:xf numFmtId="209" fontId="0" fillId="8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3" xfId="0" applyNumberFormat="1" applyFont="1" applyFill="1" applyBorder="1"/>
    <x:xf numFmtId="0" fontId="8" fillId="5" borderId="3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horizontal="center"/>
    </x:xf>
    <x:xf numFmtId="0" fontId="9" fillId="6" borderId="1" xfId="0" applyNumberFormat="1" applyFont="1" applyFill="1" applyBorder="1" applyAlignment="1">
      <x:alignment horizontal="center" vertical="center"/>
    </x:xf>
    <x:xf numFmtId="200" fontId="9" fillId="6" borderId="1" xfId="0" applyNumberFormat="1" applyFont="1" applyFill="1" applyBorder="1" applyAlignment="1">
      <x:alignment horizontal="center" vertical="center"/>
    </x:xf>
    <x:xf numFmtId="203" fontId="9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621aaf61e47cd" /><Relationship Type="http://schemas.openxmlformats.org/officeDocument/2006/relationships/theme" Target="/xl/theme/theme1.xml" Id="Rdf0e2db60f9f4438" /><Relationship Type="http://schemas.openxmlformats.org/officeDocument/2006/relationships/sharedStrings" Target="/xl/sharedStrings.xml" Id="Rfc3bc11ed75843e2" /><Relationship Type="http://schemas.openxmlformats.org/officeDocument/2006/relationships/worksheet" Target="/xl/worksheets/sheet1.xml" Id="R6fd9a36134254837" /><Relationship Type="http://schemas.openxmlformats.org/officeDocument/2006/relationships/worksheet" Target="/xl/worksheets/sheet2.xml" Id="Rd92f2b62b3da433f" /><Relationship Type="http://schemas.openxmlformats.org/officeDocument/2006/relationships/worksheet" Target="/xl/worksheets/sheet3.xml" Id="R051560c81c0d4fe5" /><Relationship Type="http://schemas.openxmlformats.org/officeDocument/2006/relationships/worksheet" Target="/xl/worksheets/sheet4.xml" Id="Rad99b7d107394eca" /><Relationship Type="http://schemas.openxmlformats.org/officeDocument/2006/relationships/worksheet" Target="/xl/worksheets/sheet5.xml" Id="Rbe24b1c9dcb448a0" /><Relationship Type="http://schemas.openxmlformats.org/officeDocument/2006/relationships/worksheet" Target="/xl/worksheets/sheet6.xml" Id="Rf3b14c30a5064242" /><Relationship Type="http://schemas.openxmlformats.org/officeDocument/2006/relationships/worksheet" Target="/xl/worksheets/sheet7.xml" Id="R8cbe3c8cad4f4bca" /><Relationship Type="http://schemas.openxmlformats.org/officeDocument/2006/relationships/worksheet" Target="/xl/worksheets/sheet8.xml" Id="R19cb9f8c1b2944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4b61237e6042b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b7a3c2ada534b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分段推进：期望余额与累计消耗（USD）</a:t>
            </a:r>
          </a:p>
        </c:rich>
      </c:tx>
    </c:title>
    <c:plotArea>
      <c:lineChart>
        <c:grouping val="standard"/>
        <c:ser>
          <c:idx val="0"/>
          <c:order val="0"/>
          <c:tx>
            <c:v>段末USD</c:v>
          </c:tx>
          <c:marker>
            <c:symbol val="none"/>
          </c:marker>
          <c:cat>
            <c:strRef>
              <c:f>'概览'!$A$18:$A$24</c:f>
              <c:strCache>
                <c:ptCount val="0"/>
              </c:strCache>
            </c:strRef>
          </c:cat>
          <c:val>
            <c:numRef>
              <c:f>'概览'!$B$18:$B$24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累计消耗USD</c:v>
          </c:tx>
          <c:marker>
            <c:symbol val="none"/>
          </c:marker>
          <c:cat>
            <c:strRef>
              <c:f>'概览'!$A$18:$A$24</c:f>
              <c:strCache>
                <c:ptCount val="0"/>
              </c:strCache>
            </c:strRef>
          </c:cat>
          <c:val>
            <c:numRef>
              <c:f>'概览'!$C$18:$C$24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收集完成度对应卡包需求（P10/P50/P90）</a:t>
            </a:r>
          </a:p>
        </c:rich>
      </c:tx>
    </c:title>
    <c:plotArea>
      <c:lineChart>
        <c:grouping val="standard"/>
        <c:ser>
          <c:idx val="0"/>
          <c:order val="0"/>
          <c:tx>
            <c:v>卡包P10</c:v>
          </c:tx>
          <c:marker>
            <c:symbol val="none"/>
          </c:marker>
          <c:cat>
            <c:strRef>
              <c:f>'卡包收集体验'!$C$5:$C$9</c:f>
              <c:strCache>
                <c:ptCount val="0"/>
              </c:strCache>
            </c:strRef>
          </c:cat>
          <c:val>
            <c:numRef>
              <c:f>'卡包收集体验'!$D$5:$D$9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卡包P50</c:v>
          </c:tx>
          <c:marker>
            <c:symbol val="none"/>
          </c:marker>
          <c:cat>
            <c:strRef>
              <c:f>'卡包收集体验'!$C$5:$C$9</c:f>
              <c:strCache>
                <c:ptCount val="0"/>
              </c:strCache>
            </c:strRef>
          </c:cat>
          <c:val>
            <c:numRef>
              <c:f>'卡包收集体验'!$E$5:$E$9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卡包P90</c:v>
          </c:tx>
          <c:marker>
            <c:symbol val="none"/>
          </c:marker>
          <c:cat>
            <c:strRef>
              <c:f>'卡包收集体验'!$C$5:$C$9</c:f>
              <c:strCache>
                <c:ptCount val="0"/>
              </c:strCache>
            </c:strRef>
          </c:cat>
          <c:val>
            <c:numRef>
              <c:f>'卡包收集体验'!$F$5:$F$9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4b61237e6042b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3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7a3c2ada534b0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52d86a067a4d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481a963e47624f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4" customHeight="1">
      <x:c r="A1" s="4" t="str">
        <x:v>CR 项目数值体验总表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8" t="str">
        <x:v>用途：快速看模块配置、体验断点和新用户主经济串联；快照口径为14份策划源表 + 659份程序配置，共673份工作簿。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24" customHeight="1">
      <x:c r="A4" s="78" t="str">
        <x:v>配置资产</x:v>
      </x:c>
      <x:c r="B4" s="78"/>
      <x:c r="D4" s="78" t="str">
        <x:v>模拟Spin</x:v>
      </x:c>
      <x:c r="E4" s="78"/>
      <x:c r="G4" s="78" t="str">
        <x:v>累计消耗USD</x:v>
      </x:c>
      <x:c r="H4" s="78"/>
      <x:c r="J4" s="78" t="str">
        <x:v>累计总返还USD</x:v>
      </x:c>
      <x:c r="K4" s="78"/>
      <x:c r="M4" s="78" t="str">
        <x:v>期望期末USD</x:v>
      </x:c>
      <x:c r="N4" s="78"/>
    </x:row>
    <x:row r="5">
      <x:c r="A5" s="83" t="n">
        <x:v>673</x:v>
      </x:c>
      <x:c r="B5" s="82"/>
      <x:c r="D5" s="83" t="n">
        <x:f>'新用户数值体验表'!J11</x:f>
        <x:v>2483</x:v>
      </x:c>
      <x:c r="E5" s="82"/>
      <x:c r="G5" s="84" t="n">
        <x:f>SUM('新用户数值体验表'!L5:L11)</x:f>
        <x:v>20544.225720000002</x:v>
      </x:c>
      <x:c r="H5" s="82"/>
      <x:c r="J5" s="84" t="n">
        <x:f>SUM('新用户数值体验表'!Q5:Q11)</x:f>
        <x:v>19769.41482</x:v>
      </x:c>
      <x:c r="K5" s="82"/>
      <x:c r="M5" s="84" t="n">
        <x:f>'新用户数值体验表'!U11</x:f>
        <x:v>-803.83063</x:v>
      </x:c>
      <x:c r="N5" s="82"/>
    </x:row>
    <x:row r="6">
      <x:c r="A6" s="82"/>
      <x:c r="B6" s="82"/>
      <x:c r="D6" s="82"/>
      <x:c r="E6" s="82"/>
      <x:c r="G6" s="82"/>
      <x:c r="H6" s="82"/>
      <x:c r="J6" s="82"/>
      <x:c r="K6" s="82"/>
      <x:c r="M6" s="82"/>
      <x:c r="N6" s="82"/>
    </x:row>
    <x:row r="8" ht="24" customHeight="1">
      <x:c r="A8" s="25" t="str">
        <x:v>体验结论</x:v>
      </x:c>
      <x:c r="B8" s="25"/>
      <x:c r="C8" s="25"/>
      <x:c r="D8" s="25"/>
      <x:c r="E8" s="25"/>
      <x:c r="F8" s="25"/>
    </x:row>
    <x:row r="9" ht="30" customHeight="1">
      <x:c r="A9" s="52" t="str">
        <x:v>经济起点：创角金币为0；第1建筑产出33,600金币（$0.0336）后启动老虎机。</x:v>
      </x:c>
      <x:c r="B9" s="52"/>
      <x:c r="C9" s="52"/>
      <x:c r="D9" s="52"/>
      <x:c r="E9" s="52"/>
      <x:c r="F9" s="52"/>
    </x:row>
    <x:row r="10" ht="30" customHeight="1">
      <x:c r="A10" s="52" t="str">
        <x:v>长期成长：转95% RTP后在50–100级出现资金缺口；到300级理论余额约-$803.83。</x:v>
      </x:c>
      <x:c r="B10" s="52"/>
      <x:c r="C10" s="52"/>
      <x:c r="D10" s="52"/>
      <x:c r="E10" s="52"/>
      <x:c r="F10" s="52"/>
    </x:row>
    <x:row r="11" ht="30" customHeight="1">
      <x:c r="A11" s="52" t="str">
        <x:v>弹球：3轮消耗积分膨胀约22倍，奖励约15倍，后轮消耗增长更快。</x:v>
      </x:c>
      <x:c r="B11" s="52"/>
      <x:c r="C11" s="52"/>
      <x:c r="D11" s="52"/>
      <x:c r="E11" s="52"/>
      <x:c r="F11" s="52"/>
    </x:row>
    <x:row r="12" ht="30" customHeight="1">
      <x:c r="A12" s="52" t="str">
        <x:v>卡包：168张自然掉落P50完整收集约120天，明显长于约60天赛季。</x:v>
      </x:c>
      <x:c r="B12" s="52"/>
      <x:c r="C12" s="52"/>
      <x:c r="D12" s="52"/>
      <x:c r="E12" s="52"/>
      <x:c r="F12" s="52"/>
    </x:row>
    <x:row r="13" ht="30" customHeight="1">
      <x:c r="A13" s="52" t="str">
        <x:v>系统性风险：长期完成依赖免费奖励、活动、控卡、交易/Joker和付费注入。</x:v>
      </x:c>
      <x:c r="B13" s="52"/>
      <x:c r="C13" s="52"/>
      <x:c r="D13" s="52"/>
      <x:c r="E13" s="52"/>
      <x:c r="F13" s="52"/>
    </x:row>
    <x:row r="16" ht="24" customHeight="1">
      <x:c r="A16" s="25" t="str">
        <x:v>新用户余额轨迹（图表数据）</x:v>
      </x:c>
      <x:c r="B16" s="25"/>
      <x:c r="C16" s="25"/>
      <x:c r="D16" s="25"/>
      <x:c r="E16" s="25"/>
      <x:c r="F16" s="25"/>
    </x:row>
    <x:row r="17" ht="32" customHeight="1">
      <x:c r="A17" s="14" t="str">
        <x:v>体验阶段</x:v>
      </x:c>
      <x:c r="B17" s="14" t="str">
        <x:v>段末USD</x:v>
      </x:c>
      <x:c r="C17" s="14" t="str">
        <x:v>累计消耗USD</x:v>
      </x:c>
    </x:row>
    <x:row r="18">
      <x:c r="A18" s="17" t="str">
        <x:f>'新用户数值体验表'!A5</x:f>
        <x:v>新手强扶持</x:v>
      </x:c>
      <x:c r="B18" s="58" t="n">
        <x:f>'新用户数值体验表'!U5</x:f>
        <x:v>11.1593</x:v>
      </x:c>
      <x:c r="C18" s="58" t="n">
        <x:f>SUM('新用户数值体验表'!$L$5:L5)</x:f>
        <x:v>12.34</x:v>
      </x:c>
    </x:row>
    <x:row r="19">
      <x:c r="A19" s="17" t="str">
        <x:f>'新用户数值体验表'!A6</x:f>
        <x:v>新人过渡</x:v>
      </x:c>
      <x:c r="B19" s="58" t="n">
        <x:f>'新用户数值体验表'!U6</x:f>
        <x:v>56.34786</x:v>
      </x:c>
      <x:c r="C19" s="58" t="n">
        <x:f>SUM('新用户数值体验表'!$L$5:L6)</x:f>
        <x:v>306.94</x:v>
      </x:c>
    </x:row>
    <x:row r="20">
      <x:c r="A20" s="17" t="str">
        <x:f>'新用户数值体验表'!A7</x:f>
        <x:v>常规前段</x:v>
      </x:c>
      <x:c r="B20" s="58" t="n">
        <x:f>'新用户数值体验表'!U7</x:f>
        <x:v>-19.29296</x:v>
      </x:c>
      <x:c r="C20" s="58" t="n">
        <x:f>SUM('新用户数值体验表'!$L$5:L7)</x:f>
        <x:v>1833.51143</x:v>
      </x:c>
    </x:row>
    <x:row r="21">
      <x:c r="A21" s="17" t="str">
        <x:f>'新用户数值体验表'!A8</x:f>
        <x:v>常规中段Ⅰ</x:v>
      </x:c>
      <x:c r="B21" s="58" t="n">
        <x:f>'新用户数值体验表'!U8</x:f>
        <x:v>-137.78341</x:v>
      </x:c>
      <x:c r="C21" s="58" t="n">
        <x:f>SUM('新用户数值体验表'!$L$5:L8)</x:f>
        <x:v>4971.72572</x:v>
      </x:c>
    </x:row>
    <x:row r="22">
      <x:c r="A22" s="17" t="str">
        <x:f>'新用户数值体验表'!A9</x:f>
        <x:v>常规中段Ⅱ</x:v>
      </x:c>
      <x:c r="B22" s="58" t="n">
        <x:f>'新用户数值体验表'!U9</x:f>
        <x:v>-313.00563</x:v>
      </x:c>
      <x:c r="C22" s="58" t="n">
        <x:f>SUM('新用户数值体验表'!$L$5:L9)</x:f>
        <x:v>8956.72572</x:v>
      </x:c>
    </x:row>
    <x:row r="23">
      <x:c r="A23" s="17" t="str">
        <x:f>'新用户数值体验表'!A10</x:f>
        <x:v>常规后段Ⅰ</x:v>
      </x:c>
      <x:c r="B23" s="58" t="n">
        <x:f>'新用户数值体验表'!U10</x:f>
        <x:v>-524.46397</x:v>
      </x:c>
      <x:c r="C23" s="58" t="n">
        <x:f>SUM('新用户数值体验表'!$L$5:L10)</x:f>
        <x:v>13944.22572</x:v>
      </x:c>
    </x:row>
    <x:row r="24">
      <x:c r="A24" s="17" t="str">
        <x:f>'新用户数值体验表'!A11</x:f>
        <x:v>常规后段Ⅱ</x:v>
      </x:c>
      <x:c r="B24" s="58" t="n">
        <x:f>'新用户数值体验表'!U11</x:f>
        <x:v>-803.83063</x:v>
      </x:c>
      <x:c r="C24" s="58" t="n">
        <x:f>SUM('新用户数值体验表'!$L$5:L11)</x:f>
        <x:v>20544.225720000002</x:v>
      </x:c>
    </x:row>
  </x:sheetData>
  <x:mergeCells>
    <x:mergeCell ref="A1:N1"/>
    <x:mergeCell ref="A2:N2"/>
    <x:mergeCell ref="A4:B4"/>
    <x:mergeCell ref="D4:E4"/>
    <x:mergeCell ref="G4:H4"/>
    <x:mergeCell ref="J4:K4"/>
    <x:mergeCell ref="M4:N4"/>
    <x:mergeCell ref="A5:B6"/>
    <x:mergeCell ref="D5:E6"/>
    <x:mergeCell ref="G5:H6"/>
    <x:mergeCell ref="J5:K6"/>
    <x:mergeCell ref="M5:N6"/>
    <x:mergeCell ref="A8:F8"/>
    <x:mergeCell ref="A9:F9"/>
    <x:mergeCell ref="A10:F10"/>
    <x:mergeCell ref="A11:F11"/>
    <x:mergeCell ref="A12:F12"/>
    <x:mergeCell ref="A13:F13"/>
    <x:mergeCell ref="A16:F16"/>
  </x:mergeCells>
  <x:pageMargins left="0.7" right="0.7" top="0.75" bottom="0.75" header="0.3" footer="0.3"/>
  <x:drawing xmlns:r="http://schemas.openxmlformats.org/officeDocument/2006/relationships" r:id="R6a52d86a067a4dc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8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11" hidden="0" customWidth="1"/>
    <x:col min="10" max="10" width="11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3" hidden="0" customWidth="1"/>
    <x:col min="23" max="23" width="13" hidden="0" customWidth="1"/>
    <x:col min="24" max="24" width="42" hidden="0" customWidth="1"/>
  </x:cols>
  <x:sheetData>
    <x:row r="1" ht="34" customHeight="1">
      <x:c r="A1" s="4" t="str">
        <x:v>CR 新用户 Spin 分段数值体验表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28" customHeight="1">
      <x:c r="A2" s="8" t="str">
        <x:v>起始金币为0；先领取第1建筑33,600金币启动资金，再进入老虎机。金币与美元分列，美元按各等级膨胀倍数折算。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</x:row>
    <x:row r="4" ht="32" customHeight="1">
      <x:c r="A4" s="14" t="str">
        <x:v>阶段</x:v>
      </x:c>
      <x:c r="B4" s="14" t="str">
        <x:v>显示等级</x:v>
      </x:c>
      <x:c r="C4" s="14" t="str">
        <x:v>配置等级</x:v>
      </x:c>
      <x:c r="D4" s="14" t="str">
        <x:v>固定VIP</x:v>
      </x:c>
      <x:c r="E4" s="14" t="str">
        <x:v>Bet变化</x:v>
      </x:c>
      <x:c r="F4" s="14" t="str">
        <x:v>金币膨胀</x:v>
      </x:c>
      <x:c r="G4" s="14" t="str">
        <x:v>段末金币/USD</x:v>
      </x:c>
      <x:c r="H4" s="14" t="str">
        <x:v>RTP</x:v>
      </x:c>
      <x:c r="I4" s="14" t="str">
        <x:v>本段Spin</x:v>
      </x:c>
      <x:c r="J4" s="14" t="str">
        <x:v>累计Spin</x:v>
      </x:c>
      <x:c r="K4" s="14" t="str">
        <x:v>消耗金币</x:v>
      </x:c>
      <x:c r="L4" s="14" t="str">
        <x:v>消耗USD</x:v>
      </x:c>
      <x:c r="M4" s="14" t="str">
        <x:v>Slot返还金币</x:v>
      </x:c>
      <x:c r="N4" s="14" t="str">
        <x:v>Slot返还USD</x:v>
      </x:c>
      <x:c r="O4" s="14" t="str">
        <x:v>等级奖金币</x:v>
      </x:c>
      <x:c r="P4" s="14" t="str">
        <x:v>等级奖USD</x:v>
      </x:c>
      <x:c r="Q4" s="14" t="str">
        <x:v>总返还USD</x:v>
      </x:c>
      <x:c r="R4" s="14" t="str">
        <x:v>净变化USD</x:v>
      </x:c>
      <x:c r="S4" s="14" t="str">
        <x:v>美元返还率</x:v>
      </x:c>
      <x:c r="T4" s="14" t="str">
        <x:v>段末金币</x:v>
      </x:c>
      <x:c r="U4" s="14" t="str">
        <x:v>段末USD</x:v>
      </x:c>
      <x:c r="V4" s="14" t="str">
        <x:v>本段VIP经验</x:v>
      </x:c>
      <x:c r="W4" s="14" t="str">
        <x:v>累计VIP经验</x:v>
      </x:c>
      <x:c r="X4" s="14" t="str">
        <x:v>体验说明</x:v>
      </x:c>
    </x:row>
    <x:row r="5">
      <x:c r="A5" s="38" t="str">
        <x:v>新手强扶持</x:v>
      </x:c>
      <x:c r="B5" s="38" t="str">
        <x:v>0→10</x:v>
      </x:c>
      <x:c r="C5" s="38" t="str">
        <x:v>1–10</x:v>
      </x:c>
      <x:c r="D5" s="38" t="n">
        <x:v>0</x:v>
      </x:c>
      <x:c r="E5" s="38" t="str">
        <x:v>1万→20万</x:v>
      </x:c>
      <x:c r="F5" s="38" t="str">
        <x:v>1→2</x:v>
      </x:c>
      <x:c r="G5" s="39" t="n">
        <x:v>2000000</x:v>
      </x:c>
      <x:c r="H5" s="40" t="n">
        <x:v>2.5</x:v>
      </x:c>
      <x:c r="I5" s="41" t="n">
        <x:v>121</x:v>
      </x:c>
      <x:c r="J5" s="42" t="n">
        <x:f>SUM($I$5:I5)</x:f>
        <x:v>121</x:v>
      </x:c>
      <x:c r="K5" s="43" t="n">
        <x:v>14640000</x:v>
      </x:c>
      <x:c r="L5" s="44" t="n">
        <x:v>12.34</x:v>
      </x:c>
      <x:c r="M5" s="43" t="n">
        <x:v>36600000</x:v>
      </x:c>
      <x:c r="N5" s="44" t="n">
        <x:v>30.85</x:v>
      </x:c>
      <x:c r="O5" s="43" t="n">
        <x:v>325000</x:v>
      </x:c>
      <x:c r="P5" s="44" t="n">
        <x:v>0.29</x:v>
      </x:c>
      <x:c r="Q5" s="45" t="n">
        <x:f>N5+P5</x:f>
        <x:v>31.14</x:v>
      </x:c>
      <x:c r="R5" s="45" t="n">
        <x:f>Q5-L5</x:f>
        <x:v>18.8</x:v>
      </x:c>
      <x:c r="S5" s="46" t="n">
        <x:f>Q5/L5</x:f>
        <x:v>2.5235008103727714</x:v>
      </x:c>
      <x:c r="T5" s="47" t="n">
        <x:v>22318600</x:v>
      </x:c>
      <x:c r="U5" s="45" t="n">
        <x:v>11.1593</x:v>
      </x:c>
      <x:c r="V5" s="47" t="n">
        <x:v>10</x:v>
      </x:c>
      <x:c r="W5" s="47" t="n">
        <x:f>SUM($V$5:V5)</x:f>
        <x:v>10</x:v>
      </x:c>
      <x:c r="X5" s="48" t="str">
        <x:v>建筑3.36万启动；250% RTP抬升首段资金</x:v>
      </x:c>
    </x:row>
    <x:row r="6">
      <x:c r="A6" s="38" t="str">
        <x:v>新人过渡</x:v>
      </x:c>
      <x:c r="B6" s="38" t="str">
        <x:v>10→50</x:v>
      </x:c>
      <x:c r="C6" s="38" t="str">
        <x:v>11–50</x:v>
      </x:c>
      <x:c r="D6" s="38" t="n">
        <x:v>0</x:v>
      </x:c>
      <x:c r="E6" s="38" t="str">
        <x:v>20万→3000万</x:v>
      </x:c>
      <x:c r="F6" s="38" t="str">
        <x:v>2→10</x:v>
      </x:c>
      <x:c r="G6" s="39" t="n">
        <x:v>10000000</x:v>
      </x:c>
      <x:c r="H6" s="40" t="n">
        <x:v>1.3</x:v>
      </x:c>
      <x:c r="I6" s="41" t="n">
        <x:v>432</x:v>
      </x:c>
      <x:c r="J6" s="42" t="n">
        <x:f>SUM($I$5:I6)</x:f>
        <x:v>553</x:v>
      </x:c>
      <x:c r="K6" s="43" t="n">
        <x:v>1767200000</x:v>
      </x:c>
      <x:c r="L6" s="44" t="n">
        <x:v>294.6</x:v>
      </x:c>
      <x:c r="M6" s="43" t="n">
        <x:v>2297360000</x:v>
      </x:c>
      <x:c r="N6" s="44" t="n">
        <x:v>382.98</x:v>
      </x:c>
      <x:c r="O6" s="43" t="n">
        <x:v>11000000</x:v>
      </x:c>
      <x:c r="P6" s="44" t="n">
        <x:v>2.16825</x:v>
      </x:c>
      <x:c r="Q6" s="45" t="n">
        <x:f>N6+P6</x:f>
        <x:v>385.14825</x:v>
      </x:c>
      <x:c r="R6" s="45" t="n">
        <x:f>Q6-L6</x:f>
        <x:v>90.54825</x:v>
      </x:c>
      <x:c r="S6" s="46" t="n">
        <x:f>Q6/L6</x:f>
        <x:v>1.3073599796334012</x:v>
      </x:c>
      <x:c r="T6" s="47" t="n">
        <x:v>563478600</x:v>
      </x:c>
      <x:c r="U6" s="45" t="n">
        <x:v>56.34786</x:v>
      </x:c>
      <x:c r="V6" s="47" t="n">
        <x:v>40</x:v>
      </x:c>
      <x:c r="W6" s="47" t="n">
        <x:f>SUM($V$5:V6)</x:f>
        <x:v>50</x:v>
      </x:c>
      <x:c r="X6" s="48" t="str">
        <x:v>金币膨胀后按分级汇率折算美元</x:v>
      </x:c>
    </x:row>
    <x:row r="7">
      <x:c r="A7" s="38" t="str">
        <x:v>常规前段</x:v>
      </x:c>
      <x:c r="B7" s="38" t="str">
        <x:v>50→100</x:v>
      </x:c>
      <x:c r="C7" s="38" t="str">
        <x:v>51–100</x:v>
      </x:c>
      <x:c r="D7" s="38" t="n">
        <x:v>0</x:v>
      </x:c>
      <x:c r="E7" s="38" t="str">
        <x:v>3000万→9000万</x:v>
      </x:c>
      <x:c r="F7" s="38" t="str">
        <x:v>10→14</x:v>
      </x:c>
      <x:c r="G7" s="39" t="n">
        <x:v>14000000</x:v>
      </x:c>
      <x:c r="H7" s="40" t="n">
        <x:v>0.95</x:v>
      </x:c>
      <x:c r="I7" s="41" t="n">
        <x:v>345</x:v>
      </x:c>
      <x:c r="J7" s="42" t="n">
        <x:f>SUM($I$5:I7)</x:f>
        <x:v>898</x:v>
      </x:c>
      <x:c r="K7" s="43" t="n">
        <x:v>17400000000</x:v>
      </x:c>
      <x:c r="L7" s="44" t="n">
        <x:v>1526.57143</x:v>
      </x:c>
      <x:c r="M7" s="43" t="n">
        <x:v>16530000000</x:v>
      </x:c>
      <x:c r="N7" s="44" t="n">
        <x:v>1450.24286</x:v>
      </x:c>
      <x:c r="O7" s="43" t="n">
        <x:v>36420000</x:v>
      </x:c>
      <x:c r="P7" s="44" t="n">
        <x:v>3.2599</x:v>
      </x:c>
      <x:c r="Q7" s="45" t="n">
        <x:f>N7+P7</x:f>
        <x:v>1453.50276</x:v>
      </x:c>
      <x:c r="R7" s="45" t="n">
        <x:f>Q7-L7</x:f>
        <x:v>-73.06866999999988</x:v>
      </x:c>
      <x:c r="S7" s="46" t="n">
        <x:f>Q7/L7</x:f>
        <x:v>0.952135439872604</x:v>
      </x:c>
      <x:c r="T7" s="47" t="n">
        <x:v>-270101400</x:v>
      </x:c>
      <x:c r="U7" s="45" t="n">
        <x:v>-19.29296</x:v>
      </x:c>
      <x:c r="V7" s="47" t="n">
        <x:v>76</x:v>
      </x:c>
      <x:c r="W7" s="47" t="n">
        <x:f>SUM($V$5:V7)</x:f>
        <x:v>126</x:v>
      </x:c>
      <x:c r="X7" s="48" t="str">
        <x:v>95% RTP阶段首次出现美元资金缺口</x:v>
      </x:c>
    </x:row>
    <x:row r="8">
      <x:c r="A8" s="38" t="str">
        <x:v>常规中段Ⅰ</x:v>
      </x:c>
      <x:c r="B8" s="38" t="str">
        <x:v>100→150</x:v>
      </x:c>
      <x:c r="C8" s="38" t="str">
        <x:v>101–150</x:v>
      </x:c>
      <x:c r="D8" s="38" t="n">
        <x:v>0</x:v>
      </x:c>
      <x:c r="E8" s="38" t="str">
        <x:v>9000万→1.8亿</x:v>
      </x:c>
      <x:c r="F8" s="38" t="str">
        <x:v>14→18</x:v>
      </x:c>
      <x:c r="G8" s="39" t="n">
        <x:v>18000000</x:v>
      </x:c>
      <x:c r="H8" s="40" t="n">
        <x:v>0.95</x:v>
      </x:c>
      <x:c r="I8" s="41" t="n">
        <x:v>395</x:v>
      </x:c>
      <x:c r="J8" s="42" t="n">
        <x:f>SUM($I$5:I8)</x:f>
        <x:v>1293</x:v>
      </x:c>
      <x:c r="K8" s="43" t="n">
        <x:v>47850000000</x:v>
      </x:c>
      <x:c r="L8" s="44" t="n">
        <x:v>3138.21429</x:v>
      </x:c>
      <x:c r="M8" s="43" t="n">
        <x:v>45457500000</x:v>
      </x:c>
      <x:c r="N8" s="44" t="n">
        <x:v>2981.30357</x:v>
      </x:c>
      <x:c r="O8" s="43" t="n">
        <x:v>182500000</x:v>
      </x:c>
      <x:c r="P8" s="44" t="n">
        <x:v>11.86746</x:v>
      </x:c>
      <x:c r="Q8" s="45" t="n">
        <x:f>N8+P8</x:f>
        <x:v>2993.17103</x:v>
      </x:c>
      <x:c r="R8" s="45" t="n">
        <x:f>Q8-L8</x:f>
        <x:v>-145.04325999999992</x:v>
      </x:c>
      <x:c r="S8" s="46" t="n">
        <x:f>Q8/L8</x:f>
        <x:v>0.9537815946915468</x:v>
      </x:c>
      <x:c r="T8" s="47" t="n">
        <x:v>-2480101400</x:v>
      </x:c>
      <x:c r="U8" s="45" t="n">
        <x:v>-137.78341</x:v>
      </x:c>
      <x:c r="V8" s="47" t="n">
        <x:v>100</x:v>
      </x:c>
      <x:c r="W8" s="47" t="n">
        <x:f>SUM($V$5:V8)</x:f>
        <x:v>226</x:v>
      </x:c>
      <x:c r="X8" s="48" t="str">
        <x:v>等级奖美元价值不足以覆盖理论损耗</x:v>
      </x:c>
    </x:row>
    <x:row r="9">
      <x:c r="A9" s="38" t="str">
        <x:v>常规中段Ⅱ</x:v>
      </x:c>
      <x:c r="B9" s="38" t="str">
        <x:v>150→200</x:v>
      </x:c>
      <x:c r="C9" s="38" t="str">
        <x:v>151–200</x:v>
      </x:c>
      <x:c r="D9" s="38" t="n">
        <x:v>0</x:v>
      </x:c>
      <x:c r="E9" s="38" t="str">
        <x:v>1.8亿→2.25亿</x:v>
      </x:c>
      <x:c r="F9" s="38" t="str">
        <x:v>18</x:v>
      </x:c>
      <x:c r="G9" s="39" t="n">
        <x:v>18000000</x:v>
      </x:c>
      <x:c r="H9" s="40" t="n">
        <x:v>0.95</x:v>
      </x:c>
      <x:c r="I9" s="41" t="n">
        <x:v>397</x:v>
      </x:c>
      <x:c r="J9" s="42" t="n">
        <x:f>SUM($I$5:I9)</x:f>
        <x:v>1690</x:v>
      </x:c>
      <x:c r="K9" s="43" t="n">
        <x:v>71730000000</x:v>
      </x:c>
      <x:c r="L9" s="44" t="n">
        <x:v>3985</x:v>
      </x:c>
      <x:c r="M9" s="43" t="n">
        <x:v>68143500000</x:v>
      </x:c>
      <x:c r="N9" s="44" t="n">
        <x:v>3785.75</x:v>
      </x:c>
      <x:c r="O9" s="43" t="n">
        <x:v>432500000</x:v>
      </x:c>
      <x:c r="P9" s="44" t="n">
        <x:v>24.02778</x:v>
      </x:c>
      <x:c r="Q9" s="45" t="n">
        <x:f>N9+P9</x:f>
        <x:v>3809.77778</x:v>
      </x:c>
      <x:c r="R9" s="45" t="n">
        <x:f>Q9-L9</x:f>
        <x:v>-175.2222200000001</x:v>
      </x:c>
      <x:c r="S9" s="46" t="n">
        <x:f>Q9/L9</x:f>
        <x:v>0.9560295558343789</x:v>
      </x:c>
      <x:c r="T9" s="47" t="n">
        <x:v>-5634101400</x:v>
      </x:c>
      <x:c r="U9" s="45" t="n">
        <x:v>-313.00563</x:v>
      </x:c>
      <x:c r="V9" s="47" t="n">
        <x:v>100</x:v>
      </x:c>
      <x:c r="W9" s="47" t="n">
        <x:f>SUM($V$5:V9)</x:f>
        <x:v>326</x:v>
      </x:c>
      <x:c r="X9" s="48" t="str">
        <x:v>固定18倍膨胀，缺口继续扩大</x:v>
      </x:c>
    </x:row>
    <x:row r="10">
      <x:c r="A10" s="38" t="str">
        <x:v>常规后段Ⅰ</x:v>
      </x:c>
      <x:c r="B10" s="38" t="str">
        <x:v>200→250</x:v>
      </x:c>
      <x:c r="C10" s="38" t="str">
        <x:v>201–250</x:v>
      </x:c>
      <x:c r="D10" s="38" t="n">
        <x:v>0</x:v>
      </x:c>
      <x:c r="E10" s="38" t="str">
        <x:v>2.25亿→3亿</x:v>
      </x:c>
      <x:c r="F10" s="38" t="str">
        <x:v>18</x:v>
      </x:c>
      <x:c r="G10" s="39" t="n">
        <x:v>18000000</x:v>
      </x:c>
      <x:c r="H10" s="40" t="n">
        <x:v>0.95</x:v>
      </x:c>
      <x:c r="I10" s="41" t="n">
        <x:v>397</x:v>
      </x:c>
      <x:c r="J10" s="42" t="n">
        <x:f>SUM($I$5:I10)</x:f>
        <x:v>2087</x:v>
      </x:c>
      <x:c r="K10" s="43" t="n">
        <x:v>89775000000</x:v>
      </x:c>
      <x:c r="L10" s="44" t="n">
        <x:v>4987.5</x:v>
      </x:c>
      <x:c r="M10" s="43" t="n">
        <x:v>85286250000</x:v>
      </x:c>
      <x:c r="N10" s="44" t="n">
        <x:v>4738.125</x:v>
      </x:c>
      <x:c r="O10" s="43" t="n">
        <x:v>682500000</x:v>
      </x:c>
      <x:c r="P10" s="44" t="n">
        <x:v>37.91667</x:v>
      </x:c>
      <x:c r="Q10" s="45" t="n">
        <x:f>N10+P10</x:f>
        <x:v>4776.04167</x:v>
      </x:c>
      <x:c r="R10" s="45" t="n">
        <x:f>Q10-L10</x:f>
        <x:v>-211.4583300000004</x:v>
      </x:c>
      <x:c r="S10" s="46" t="n">
        <x:f>Q10/L10</x:f>
        <x:v>0.957602339849624</x:v>
      </x:c>
      <x:c r="T10" s="47" t="n">
        <x:v>-9440351400</x:v>
      </x:c>
      <x:c r="U10" s="45" t="n">
        <x:v>-524.46397</x:v>
      </x:c>
      <x:c r="V10" s="47" t="n">
        <x:v>100</x:v>
      </x:c>
      <x:c r="W10" s="47" t="n">
        <x:f>SUM($V$5:V10)</x:f>
        <x:v>426</x:v>
      </x:c>
      <x:c r="X10" s="48" t="str">
        <x:v>需要建筑/活动/免费奖励持续注入</x:v>
      </x:c>
    </x:row>
    <x:row r="11">
      <x:c r="A11" s="38" t="str">
        <x:v>常规后段Ⅱ</x:v>
      </x:c>
      <x:c r="B11" s="38" t="str">
        <x:v>250→299</x:v>
      </x:c>
      <x:c r="C11" s="38" t="str">
        <x:v>251–299</x:v>
      </x:c>
      <x:c r="D11" s="38" t="n">
        <x:v>0</x:v>
      </x:c>
      <x:c r="E11" s="38" t="str">
        <x:v>3亿</x:v>
      </x:c>
      <x:c r="F11" s="38" t="str">
        <x:v>18</x:v>
      </x:c>
      <x:c r="G11" s="39" t="n">
        <x:v>18000000</x:v>
      </x:c>
      <x:c r="H11" s="40" t="n">
        <x:v>0.95</x:v>
      </x:c>
      <x:c r="I11" s="41" t="n">
        <x:v>396</x:v>
      </x:c>
      <x:c r="J11" s="42" t="n">
        <x:f>SUM($I$5:I11)</x:f>
        <x:v>2483</x:v>
      </x:c>
      <x:c r="K11" s="43" t="n">
        <x:v>118800000000</x:v>
      </x:c>
      <x:c r="L11" s="44" t="n">
        <x:v>6600</x:v>
      </x:c>
      <x:c r="M11" s="43" t="n">
        <x:v>112860000000</x:v>
      </x:c>
      <x:c r="N11" s="44" t="n">
        <x:v>6270</x:v>
      </x:c>
      <x:c r="O11" s="43" t="n">
        <x:v>911400000</x:v>
      </x:c>
      <x:c r="P11" s="44" t="n">
        <x:v>50.63333</x:v>
      </x:c>
      <x:c r="Q11" s="45" t="n">
        <x:f>N11+P11</x:f>
        <x:v>6320.63333</x:v>
      </x:c>
      <x:c r="R11" s="45" t="n">
        <x:f>Q11-L11</x:f>
        <x:v>-279.36667000000034</x:v>
      </x:c>
      <x:c r="S11" s="46" t="n">
        <x:f>Q11/L11</x:f>
        <x:v>0.9576717166666666</x:v>
      </x:c>
      <x:c r="T11" s="47" t="n">
        <x:v>-14468951400</x:v>
      </x:c>
      <x:c r="U11" s="45" t="n">
        <x:v>-803.83063</x:v>
      </x:c>
      <x:c r="V11" s="47" t="n">
        <x:v>98</x:v>
      </x:c>
      <x:c r="W11" s="47" t="n">
        <x:f>SUM($V$5:V11)</x:f>
        <x:v>524</x:v>
      </x:c>
      <x:c r="X11" s="48" t="str">
        <x:v>到300级理论美元缺口约803.83</x:v>
      </x:c>
    </x:row>
    <x:row r="14" ht="24" customHeight="1">
      <x:c r="A14" s="25" t="str">
        <x:v>分段体验判断</x:v>
      </x:c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</x:row>
    <x:row r="15" ht="26" customHeight="1">
      <x:c r="A15" s="52" t="str">
        <x:v>启动：账户初始金币为0，第1建筑满额产出33,600金币（$0.0336），可启动3次1万Bet。</x:v>
      </x:c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</x:row>
    <x:row r="16" ht="26" customHeight="1">
      <x:c r="A16" s="52" t="str">
        <x:v>0–50级：新人RTP阶段持续正向；段末5.63亿金币按10倍膨胀折算约$56.35。</x:v>
      </x:c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</x:row>
    <x:row r="17" ht="26" customHeight="1">
      <x:c r="A17" s="52" t="str">
        <x:v>50–100级：RTP转为95%后余额跌破0；美元口径段末约-$19.29。</x:v>
      </x:c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</x:row>
    <x:row r="18" ht="26" customHeight="1">
      <x:c r="A18" s="52" t="str">
        <x:v>到300级：名义金币缺口约144.69亿，按18倍膨胀折算约-$803.83；需由建筑、活动等系统注入补足。</x:v>
      </x:c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</x:row>
  </x:sheetData>
  <x:mergeCells>
    <x:mergeCell ref="A1:X1"/>
    <x:mergeCell ref="A2:X2"/>
    <x:mergeCell ref="A14:X14"/>
    <x:mergeCell ref="A15:X15"/>
    <x:mergeCell ref="A16:X16"/>
    <x:mergeCell ref="A17:X17"/>
    <x:mergeCell ref="A18:X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4" t="str">
        <x:v>新用户阶段体验汇总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8" t="str">
        <x:v>将逐等级体验压缩为RTP阶段，便于观察扶持退坡前后的消耗与余额变化。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2" customHeight="1">
      <x:c r="A4" s="14" t="str">
        <x:v>阶段</x:v>
      </x:c>
      <x:c r="B4" s="14" t="str">
        <x:v>配置等级</x:v>
      </x:c>
      <x:c r="C4" s="14" t="str">
        <x:v>RTP</x:v>
      </x:c>
      <x:c r="D4" s="14" t="str">
        <x:v>Spin</x:v>
      </x:c>
      <x:c r="E4" s="14" t="str">
        <x:v>消耗USD</x:v>
      </x:c>
      <x:c r="F4" s="14" t="str">
        <x:v>Slot返还USD</x:v>
      </x:c>
      <x:c r="G4" s="14" t="str">
        <x:v>升级奖励USD</x:v>
      </x:c>
      <x:c r="H4" s="14" t="str">
        <x:v>总返还USD</x:v>
      </x:c>
      <x:c r="I4" s="14" t="str">
        <x:v>净变化USD</x:v>
      </x:c>
      <x:c r="J4" s="14" t="str">
        <x:v>美元返还率</x:v>
      </x:c>
    </x:row>
    <x:row r="5">
      <x:c r="A5" s="17" t="str">
        <x:v>强扶持期</x:v>
      </x:c>
      <x:c r="B5" s="17" t="str">
        <x:v>1–10</x:v>
      </x:c>
      <x:c r="C5" s="55" t="n">
        <x:v>2.5</x:v>
      </x:c>
      <x:c r="D5" s="56" t="n">
        <x:f>'新用户数值体验表'!I5</x:f>
        <x:v>121</x:v>
      </x:c>
      <x:c r="E5" s="58" t="n">
        <x:f>'新用户数值体验表'!L5</x:f>
        <x:v>12.34</x:v>
      </x:c>
      <x:c r="F5" s="58" t="n">
        <x:f>'新用户数值体验表'!N5</x:f>
        <x:v>30.85</x:v>
      </x:c>
      <x:c r="G5" s="58" t="n">
        <x:f>'新用户数值体验表'!P5</x:f>
        <x:v>0.29</x:v>
      </x:c>
      <x:c r="H5" s="58" t="n">
        <x:f>'新用户数值体验表'!Q5</x:f>
        <x:v>31.14</x:v>
      </x:c>
      <x:c r="I5" s="58" t="n">
        <x:f>'新用户数值体验表'!R5</x:f>
        <x:v>18.8</x:v>
      </x:c>
      <x:c r="J5" s="60" t="n">
        <x:f>H5/E5</x:f>
        <x:v>2.5235008103727714</x:v>
      </x:c>
    </x:row>
    <x:row r="6">
      <x:c r="A6" s="17" t="str">
        <x:v>新人过渡期</x:v>
      </x:c>
      <x:c r="B6" s="17" t="str">
        <x:v>11–50</x:v>
      </x:c>
      <x:c r="C6" s="55" t="n">
        <x:v>1.3</x:v>
      </x:c>
      <x:c r="D6" s="56" t="n">
        <x:f>'新用户数值体验表'!I6</x:f>
        <x:v>432</x:v>
      </x:c>
      <x:c r="E6" s="58" t="n">
        <x:f>'新用户数值体验表'!L6</x:f>
        <x:v>294.6</x:v>
      </x:c>
      <x:c r="F6" s="58" t="n">
        <x:f>'新用户数值体验表'!N6</x:f>
        <x:v>382.98</x:v>
      </x:c>
      <x:c r="G6" s="58" t="n">
        <x:f>'新用户数值体验表'!P6</x:f>
        <x:v>2.16825</x:v>
      </x:c>
      <x:c r="H6" s="58" t="n">
        <x:f>'新用户数值体验表'!Q6</x:f>
        <x:v>385.14825</x:v>
      </x:c>
      <x:c r="I6" s="58" t="n">
        <x:f>'新用户数值体验表'!R6</x:f>
        <x:v>90.54825</x:v>
      </x:c>
      <x:c r="J6" s="60" t="n">
        <x:f>H6/E6</x:f>
        <x:v>1.3073599796334012</x:v>
      </x:c>
    </x:row>
    <x:row r="7">
      <x:c r="A7" s="17" t="str">
        <x:v>常规前段</x:v>
      </x:c>
      <x:c r="B7" s="17" t="str">
        <x:v>51–100</x:v>
      </x:c>
      <x:c r="C7" s="55" t="n">
        <x:v>0.95</x:v>
      </x:c>
      <x:c r="D7" s="56" t="n">
        <x:f>'新用户数值体验表'!I7</x:f>
        <x:v>345</x:v>
      </x:c>
      <x:c r="E7" s="58" t="n">
        <x:f>'新用户数值体验表'!L7</x:f>
        <x:v>1526.57143</x:v>
      </x:c>
      <x:c r="F7" s="58" t="n">
        <x:f>'新用户数值体验表'!N7</x:f>
        <x:v>1450.24286</x:v>
      </x:c>
      <x:c r="G7" s="58" t="n">
        <x:f>'新用户数值体验表'!P7</x:f>
        <x:v>3.2599</x:v>
      </x:c>
      <x:c r="H7" s="58" t="n">
        <x:f>'新用户数值体验表'!Q7</x:f>
        <x:v>1453.50276</x:v>
      </x:c>
      <x:c r="I7" s="58" t="n">
        <x:f>'新用户数值体验表'!R7</x:f>
        <x:v>-73.06866999999988</x:v>
      </x:c>
      <x:c r="J7" s="60" t="n">
        <x:f>H7/E7</x:f>
        <x:v>0.952135439872604</x:v>
      </x:c>
    </x:row>
    <x:row r="8">
      <x:c r="A8" s="17" t="str">
        <x:v>常规中后段</x:v>
      </x:c>
      <x:c r="B8" s="17" t="str">
        <x:v>101–299</x:v>
      </x:c>
      <x:c r="C8" s="55" t="n">
        <x:v>0.95</x:v>
      </x:c>
      <x:c r="D8" s="56" t="n">
        <x:f>SUM('新用户数值体验表'!I8:I11)</x:f>
        <x:v>1585</x:v>
      </x:c>
      <x:c r="E8" s="58" t="n">
        <x:f>SUM('新用户数值体验表'!L8:L11)</x:f>
        <x:v>18710.71429</x:v>
      </x:c>
      <x:c r="F8" s="58" t="n">
        <x:f>SUM('新用户数值体验表'!N8:N11)</x:f>
        <x:v>17775.17857</x:v>
      </x:c>
      <x:c r="G8" s="58" t="n">
        <x:f>SUM('新用户数值体验表'!P8:P11)</x:f>
        <x:v>124.44524000000001</x:v>
      </x:c>
      <x:c r="H8" s="58" t="n">
        <x:f>SUM('新用户数值体验表'!Q8:Q11)</x:f>
        <x:v>17899.62381</x:v>
      </x:c>
      <x:c r="I8" s="58" t="n">
        <x:f>SUM('新用户数值体验表'!R8:R11)</x:f>
        <x:v>-811.0904800000008</x:v>
      </x:c>
      <x:c r="J8" s="60" t="n">
        <x:f>H8/E8</x:f>
        <x:v>0.9566510146310401</x:v>
      </x:c>
    </x:row>
    <x:row r="9">
      <x:c r="A9" s="54" t="str">
        <x:v>合计</x:v>
      </x:c>
      <x:c r="B9" s="54" t="str">
        <x:v>1–299</x:v>
      </x:c>
      <x:c r="C9" s="54"/>
      <x:c r="D9" s="57" t="n">
        <x:f>SUM(D5:D8)</x:f>
        <x:v>2483</x:v>
      </x:c>
      <x:c r="E9" s="59" t="n">
        <x:f>SUM(E5:E8)</x:f>
        <x:v>20544.22572</x:v>
      </x:c>
      <x:c r="F9" s="59" t="n">
        <x:f>SUM(F5:F8)</x:f>
        <x:v>19639.25143</x:v>
      </x:c>
      <x:c r="G9" s="59" t="n">
        <x:f>SUM(G5:G8)</x:f>
        <x:v>130.16339000000002</x:v>
      </x:c>
      <x:c r="H9" s="59" t="n">
        <x:f>SUM(H5:H8)</x:f>
        <x:v>19769.41482</x:v>
      </x:c>
      <x:c r="I9" s="59" t="n">
        <x:f>SUM(I5:I8)</x:f>
        <x:v>-774.8109000000006</x:v>
      </x:c>
      <x:c r="J9" s="61" t="n">
        <x:f>H9/E9</x:f>
        <x:v>0.9622857093491866</x:v>
      </x:c>
    </x:row>
    <x:row r="12" ht="24" customHeight="1">
      <x:c r="A12" s="25" t="str">
        <x:v>关键体验判断</x:v>
      </x:c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 ht="28" customHeight="1">
      <x:c r="A13" s="52" t="str">
        <x:v>1. 初始金币为0，第1建筑产出33,600金币（$0.0336）后才进入老虎机。</x:v>
      </x:c>
      <x:c r="B13" s="52"/>
      <x:c r="C13" s="52"/>
      <x:c r="D13" s="52"/>
      <x:c r="E13" s="52"/>
      <x:c r="F13" s="52"/>
      <x:c r="G13" s="52"/>
      <x:c r="H13" s="52"/>
      <x:c r="I13" s="52"/>
      <x:c r="J13" s="52"/>
    </x:row>
    <x:row r="14" ht="28" customHeight="1">
      <x:c r="A14" s="52" t="str">
        <x:v>2. 0–50级新人扶持累计净增美元约$109.35（未计阶段间币值重估），为常规RTP提供本金。</x:v>
      </x:c>
      <x:c r="B14" s="52"/>
      <x:c r="C14" s="52"/>
      <x:c r="D14" s="52"/>
      <x:c r="E14" s="52"/>
      <x:c r="F14" s="52"/>
      <x:c r="G14" s="52"/>
      <x:c r="H14" s="52"/>
      <x:c r="I14" s="52"/>
      <x:c r="J14" s="52"/>
    </x:row>
    <x:row r="15" ht="28" customHeight="1">
      <x:c r="A15" s="52" t="str">
        <x:v>3. 到显示等级299累计约2483 Spins；各级折算总消耗约$20,544，段末余额约-$803.83。</x:v>
      </x:c>
      <x:c r="B15" s="52"/>
      <x:c r="C15" s="52"/>
      <x:c r="D15" s="52"/>
      <x:c r="E15" s="52"/>
      <x:c r="F15" s="52"/>
      <x:c r="G15" s="52"/>
      <x:c r="H15" s="52"/>
      <x:c r="I15" s="52"/>
      <x:c r="J15" s="52"/>
    </x:row>
    <x:row r="16" ht="28" customHeight="1">
      <x:c r="A16" s="52" t="str">
        <x:v>4. 长期结果对Bet选择、真实RTP、免费奖励和活动参与率高度敏感，应按玩家分层补三组情景。</x:v>
      </x:c>
      <x:c r="B16" s="52"/>
      <x:c r="C16" s="52"/>
      <x:c r="D16" s="52"/>
      <x:c r="E16" s="52"/>
      <x:c r="F16" s="52"/>
      <x:c r="G16" s="52"/>
      <x:c r="H16" s="52"/>
      <x:c r="I16" s="52"/>
      <x:c r="J16" s="52"/>
    </x:row>
  </x:sheetData>
  <x:mergeCells>
    <x:mergeCell ref="A1:J1"/>
    <x:mergeCell ref="A2:J2"/>
    <x:mergeCell ref="A12:J12"/>
    <x:mergeCell ref="A13:J13"/>
    <x:mergeCell ref="A14:J14"/>
    <x:mergeCell ref="A15:J15"/>
    <x:mergeCell ref="A16:J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0" hidden="0" customWidth="1"/>
    <x:col min="4" max="4" width="44" hidden="0" customWidth="1"/>
    <x:col min="5" max="5" width="9" hidden="0" customWidth="1"/>
    <x:col min="6" max="6" width="34" hidden="0" customWidth="1"/>
    <x:col min="7" max="7" width="28" hidden="0" customWidth="1"/>
  </x:cols>
  <x:sheetData>
    <x:row r="1" ht="34" customHeight="1">
      <x:c r="A1" s="4" t="str">
        <x:v>CR 各模块主要数值配置与体验结论</x:v>
      </x:c>
      <x:c r="B1" s="4"/>
      <x:c r="C1" s="4"/>
      <x:c r="D1" s="4"/>
      <x:c r="E1" s="4"/>
      <x:c r="F1" s="4"/>
      <x:c r="G1" s="4"/>
    </x:row>
    <x:row r="2" ht="28" customHeight="1">
      <x:c r="A2" s="8" t="str">
        <x:v>表名以程序配置快照与策划源表为依据；“体验判断”用于排查，不替代服务端逻辑确认。</x:v>
      </x:c>
      <x:c r="B2" s="8"/>
      <x:c r="C2" s="8"/>
      <x:c r="D2" s="8"/>
      <x:c r="E2" s="8"/>
      <x:c r="F2" s="8"/>
      <x:c r="G2" s="8"/>
    </x:row>
    <x:row r="4" ht="32" customHeight="1">
      <x:c r="A4" s="14" t="str">
        <x:v>模块</x:v>
      </x:c>
      <x:c r="B4" s="14" t="str">
        <x:v>主要配置表名</x:v>
      </x:c>
      <x:c r="C4" s="14" t="str">
        <x:v>含义</x:v>
      </x:c>
      <x:c r="D4" s="14" t="str">
        <x:v>简单数值体验</x:v>
      </x:c>
      <x:c r="E4" s="14" t="str">
        <x:v>风险</x:v>
      </x:c>
      <x:c r="F4" s="14" t="str">
        <x:v>下一步验证</x:v>
      </x:c>
      <x:c r="G4" s="14" t="str">
        <x:v>仓库位置</x:v>
      </x:c>
    </x:row>
    <x:row r="5">
      <x:c r="A5" s="62" t="str">
        <x:v>初始资产与道具</x:v>
      </x:c>
      <x:c r="B5" s="17" t="str">
        <x:v>PlayerInitItem；BuildingProductChip</x:v>
      </x:c>
      <x:c r="C5" s="17" t="str">
        <x:v>定义初始道具与建筑金币产出</x:v>
      </x:c>
      <x:c r="D5" s="17" t="str">
        <x:v>创角金币为0；第1建筑满额产出33,600金币后启动老虎机</x:v>
      </x:c>
      <x:c r="E5" s="64" t="str">
        <x:v>中</x:v>
      </x:c>
      <x:c r="F5" s="17" t="str">
        <x:v>确认首笔建筑领取时点与离线累积时长</x:v>
      </x:c>
      <x:c r="G5" s="17" t="str">
        <x:v>数值策划/数据源</x:v>
      </x:c>
    </x:row>
    <x:row r="6">
      <x:c r="A6" s="62" t="str">
        <x:v>Slot Bet</x:v>
      </x:c>
      <x:c r="B6" s="17" t="str">
        <x:v>SlotsBetCfg；SlotsBetLevelCfg</x:v>
      </x:c>
      <x:c r="C6" s="17" t="str">
        <x:v>Bet档位、解锁等级及押注选择</x:v>
      </x:c>
      <x:c r="D6" s="17" t="str">
        <x:v>前10级Bet从1万跳到20万，档位跳变明显</x:v>
      </x:c>
      <x:c r="E6" s="64" t="str">
        <x:v>中</x:v>
      </x:c>
      <x:c r="F6" s="17" t="str">
        <x:v>按真实选Bet行为重跑P10/P50/P90</x:v>
      </x:c>
      <x:c r="G6" s="17" t="str">
        <x:v>数值策划/数据源</x:v>
      </x:c>
    </x:row>
    <x:row r="7">
      <x:c r="A7" s="62" t="str">
        <x:v>Slot RTP与结果</x:v>
      </x:c>
      <x:c r="B7" s="17" t="str">
        <x:v>SlotsCasinoNewbieConfig；SlotsCasinoCfg；SlotsResultCfg</x:v>
      </x:c>
      <x:c r="C7" s="17" t="str">
        <x:v>新人RTP分层、常规RTP和结果权重</x:v>
      </x:c>
      <x:c r="D7" s="17" t="str">
        <x:v>0–10级250%、11–50级130%；均值强扶持但波动未验证</x:v>
      </x:c>
      <x:c r="E7" s="64" t="str">
        <x:v>高</x:v>
      </x:c>
      <x:c r="F7" s="17" t="str">
        <x:v>确认RTP字段语义并做Monte Carlo</x:v>
      </x:c>
      <x:c r="G7" s="17" t="str">
        <x:v>数值策划/数据源</x:v>
      </x:c>
    </x:row>
    <x:row r="8">
      <x:c r="A8" s="62" t="str">
        <x:v>等级成长</x:v>
      </x:c>
      <x:c r="B8" s="17" t="str">
        <x:v>LevelCfg；LevelAwardCfg</x:v>
      </x:c>
      <x:c r="C8" s="17" t="str">
        <x:v>升级需求、每Spin经验及等级奖励</x:v>
      </x:c>
      <x:c r="D8" s="17" t="str">
        <x:v>早期由次数切到经验值，升级节奏存在明显折点</x:v>
      </x:c>
      <x:c r="E8" s="64" t="str">
        <x:v>中</x:v>
      </x:c>
      <x:c r="F8" s="17" t="str">
        <x:v>补全显示等级0映射和埋点实测</x:v>
      </x:c>
      <x:c r="G8" s="17" t="str">
        <x:v>数值策划/数据源</x:v>
      </x:c>
    </x:row>
    <x:row r="9">
      <x:c r="A9" s="62" t="str">
        <x:v>VIP</x:v>
      </x:c>
      <x:c r="B9" s="17" t="str">
        <x:v>VipLevelCfg；VipAwardCfg</x:v>
      </x:c>
      <x:c r="C9" s="17" t="str">
        <x:v>VIP经验门槛、权益及升级奖励</x:v>
      </x:c>
      <x:c r="D9" s="17" t="str">
        <x:v>自然升级仅得1点/级，至15级仅14/500，VIP触达偏慢</x:v>
      </x:c>
      <x:c r="E9" s="64" t="str">
        <x:v>中</x:v>
      </x:c>
      <x:c r="F9" s="17" t="str">
        <x:v>补充付费/任务VIP经验来源</x:v>
      </x:c>
      <x:c r="G9" s="17" t="str">
        <x:v>数值策划/数据源</x:v>
      </x:c>
    </x:row>
    <x:row r="10">
      <x:c r="A10" s="62" t="str">
        <x:v>免费奖励</x:v>
      </x:c>
      <x:c r="B10" s="17" t="str">
        <x:v>FreeBonusHourly；FreeBonusWheel；FreeBonusMultiplier</x:v>
      </x:c>
      <x:c r="C10" s="17" t="str">
        <x:v>小时奖励、转盘和倍率</x:v>
      </x:c>
      <x:c r="D10" s="17" t="str">
        <x:v>可作为余额兜底，但本次串联未计入领取频率</x:v>
      </x:c>
      <x:c r="E10" s="64" t="str">
        <x:v>中</x:v>
      </x:c>
      <x:c r="F10" s="17" t="str">
        <x:v>建立活跃时长与领取率假设</x:v>
      </x:c>
      <x:c r="G10" s="17" t="str">
        <x:v>数值策划/数据源</x:v>
      </x:c>
    </x:row>
    <x:row r="11">
      <x:c r="A11" s="62" t="str">
        <x:v>建造</x:v>
      </x:c>
      <x:c r="B11" s="17" t="str">
        <x:v>BuildLevelCfg；BuildCostCfg；BuildBoxCfg</x:v>
      </x:c>
      <x:c r="C11" s="17" t="str">
        <x:v>建设币掉落、建筑成本和宝箱返还</x:v>
      </x:c>
      <x:c r="D11" s="17" t="str">
        <x:v>前三建筑约1.5天；后续单体3–7天，非宝箱即时返还骤降</x:v>
      </x:c>
      <x:c r="E11" s="64" t="str">
        <x:v>高</x:v>
      </x:c>
      <x:c r="F11" s="17" t="str">
        <x:v>核对掉落覆盖并压测第4建筑断崖</x:v>
      </x:c>
      <x:c r="G11" s="17" t="str">
        <x:v>数值策划/数据源</x:v>
      </x:c>
    </x:row>
    <x:row r="12">
      <x:c r="A12" s="62" t="str">
        <x:v>Quest与小游戏</x:v>
      </x:c>
      <x:c r="B12" s="17" t="str">
        <x:v>QuestGetLevel；QuestPickGet；Quest*LevelCfg</x:v>
      </x:c>
      <x:c r="C12" s="17" t="str">
        <x:v>玩法解锁、任务资源及关卡奖励</x:v>
      </x:c>
      <x:c r="D12" s="17" t="str">
        <x:v>模块多且入口分散，需按人群/版本选择体验表</x:v>
      </x:c>
      <x:c r="E12" s="64" t="str">
        <x:v>中</x:v>
      </x:c>
      <x:c r="F12" s="17" t="str">
        <x:v>建立统一资源折算和日循环</x:v>
      </x:c>
      <x:c r="G12" s="17" t="str">
        <x:v>数值策划/数据源</x:v>
      </x:c>
    </x:row>
    <x:row r="13">
      <x:c r="A13" s="62" t="str">
        <x:v>疯狂探险</x:v>
      </x:c>
      <x:c r="B13" s="17" t="str">
        <x:v>QuestFrenzyMission</x:v>
      </x:c>
      <x:c r="C13" s="17" t="str">
        <x:v>关卡任务、消耗与返还</x:v>
      </x:c>
      <x:c r="D13" s="17" t="str">
        <x:v>第一章前4段约100%，随后降至49%–59%；后续多低于3.3%</x:v>
      </x:c>
      <x:c r="E13" s="64" t="str">
        <x:v>高</x:v>
      </x:c>
      <x:c r="F13" s="17" t="str">
        <x:v>确认低返还是否由跨系统奖励补偿</x:v>
      </x:c>
      <x:c r="G13" s="17" t="str">
        <x:v>数值策划/数据源</x:v>
      </x:c>
    </x:row>
    <x:row r="14">
      <x:c r="A14" s="62" t="str">
        <x:v>卡牌与相册</x:v>
      </x:c>
      <x:c r="B14" s="17" t="str">
        <x:v>CardCfg；AlbumCfg；CardPackCfg</x:v>
      </x:c>
      <x:c r="C14" s="17" t="str">
        <x:v>卡牌、相册进度和卡包产出</x:v>
      </x:c>
      <x:c r="D14" s="17" t="str">
        <x:v>长期收集系统，短期新用户链路未量化</x:v>
      </x:c>
      <x:c r="E14" s="64" t="str">
        <x:v>中</x:v>
      </x:c>
      <x:c r="F14" s="17" t="str">
        <x:v>纳入卡包期望价值与重复率</x:v>
      </x:c>
      <x:c r="G14" s="17" t="str">
        <x:v>数值策划/数据源</x:v>
      </x:c>
    </x:row>
    <x:row r="15">
      <x:c r="A15" s="62" t="str">
        <x:v>任务与BP</x:v>
      </x:c>
      <x:c r="B15" s="17" t="str">
        <x:v>TaskCfg；CommonBPLevel；CommonBPPrice</x:v>
      </x:c>
      <x:c r="C15" s="17" t="str">
        <x:v>日常任务、通行证进度及付费层</x:v>
      </x:c>
      <x:c r="D15" s="17" t="str">
        <x:v>承担跨玩法串联，但奖励折算口径仍需统一</x:v>
      </x:c>
      <x:c r="E15" s="64" t="str">
        <x:v>中</x:v>
      </x:c>
      <x:c r="F15" s="17" t="str">
        <x:v>统一金币等价价值和完成率</x:v>
      </x:c>
      <x:c r="G15" s="17" t="str">
        <x:v>数值策划/数据源</x:v>
      </x:c>
    </x:row>
    <x:row r="16">
      <x:c r="A16" s="62" t="str">
        <x:v>付费礼包</x:v>
      </x:c>
      <x:c r="B16" s="17" t="str">
        <x:v>GiftCfg；OnePlusSixGift；TreasureHuntReward</x:v>
      </x:c>
      <x:c r="C16" s="17" t="str">
        <x:v>礼包档位、进度和奖励</x:v>
      </x:c>
      <x:c r="D16" s="17" t="str">
        <x:v>策划体验表较完整，需接入新人分层和付费膨胀</x:v>
      </x:c>
      <x:c r="E16" s="64" t="str">
        <x:v>中</x:v>
      </x:c>
      <x:c r="F16" s="17" t="str">
        <x:v>补充首购/非付费两条体验路径</x:v>
      </x:c>
      <x:c r="G16" s="17" t="str">
        <x:v>数值策划/数据源</x:v>
      </x:c>
    </x:row>
    <x:row r="17">
      <x:c r="A17" s="62" t="str">
        <x:v>活动与排行</x:v>
      </x:c>
      <x:c r="B17" s="17" t="str">
        <x:v>ActivityCfg；RankCfg；TournamentCfg</x:v>
      </x:c>
      <x:c r="C17" s="17" t="str">
        <x:v>活动门槛、排行奖励和竞赛节奏</x:v>
      </x:c>
      <x:c r="D17" s="17" t="str">
        <x:v>对主经济形成额外注入与消耗，当前串联未计入</x:v>
      </x:c>
      <x:c r="E17" s="64" t="str">
        <x:v>中</x:v>
      </x:c>
      <x:c r="F17" s="17" t="str">
        <x:v>选典型活动做7日全链路模拟</x:v>
      </x:c>
      <x:c r="G17" s="17" t="str">
        <x:v>数值策划/数据源</x:v>
      </x:c>
    </x:row>
  </x:sheetData>
  <x:mergeCells>
    <x:mergeCell ref="A1:G1"/>
    <x:mergeCell ref="A2:G2"/>
  </x:mergeCells>
  <x:conditionalFormatting sqref="E5:E17">
    <x:cfRule type="expression" dxfId="0" priority="1">
      <x:formula>E5="高"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8" max="8" width="16" hidden="0" customWidth="1"/>
    <x:col min="9" max="9" width="16" hidden="0" customWidth="1"/>
    <x:col min="11" max="11" width="22" hidden="0" customWidth="1"/>
    <x:col min="12" max="12" width="34" hidden="0" customWidth="1"/>
    <x:col min="13" max="13" width="34" hidden="0" customWidth="1"/>
  </x:cols>
  <x:sheetData>
    <x:row r="1" ht="34" customHeight="1">
      <x:c r="A1" s="4" t="str">
        <x:v>重点模块数值体验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8" customHeight="1">
      <x:c r="A2" s="8" t="str">
        <x:v>复用已落库策划体验数据，集中展示建造节奏断点与疯狂探险返还差异；配置表本身未修改。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4" ht="24" customHeight="1">
      <x:c r="A4" s="25" t="str">
        <x:v>建造体验</x:v>
      </x:c>
      <x:c r="B4" s="25"/>
      <x:c r="C4" s="25"/>
      <x:c r="D4" s="25"/>
      <x:c r="E4" s="25"/>
      <x:c r="F4" s="25"/>
      <x:c r="H4" s="25" t="str">
        <x:v>疯狂探险体验</x:v>
      </x:c>
      <x:c r="I4" s="25"/>
      <x:c r="J4" s="25"/>
      <x:c r="K4" s="25"/>
      <x:c r="L4" s="25"/>
      <x:c r="M4" s="25"/>
    </x:row>
    <x:row r="5" ht="32" customHeight="1">
      <x:c r="A5" s="14" t="str">
        <x:v>建筑</x:v>
      </x:c>
      <x:c r="B5" s="14" t="str">
        <x:v>地块数</x:v>
      </x:c>
      <x:c r="C5" s="14" t="str">
        <x:v>单体耗时(天)</x:v>
      </x:c>
      <x:c r="D5" s="14" t="str">
        <x:v>累计里程碑(天)</x:v>
      </x:c>
      <x:c r="E5" s="14" t="str">
        <x:v>预计Spin</x:v>
      </x:c>
      <x:c r="F5" s="14" t="str">
        <x:v>即时返还率</x:v>
      </x:c>
      <x:c r="H5" s="14" t="str">
        <x:v>关卡</x:v>
      </x:c>
      <x:c r="I5" s="14" t="str">
        <x:v>消耗返还率</x:v>
      </x:c>
      <x:c r="K5" s="14" t="str">
        <x:v>观察</x:v>
      </x:c>
      <x:c r="L5" s="14" t="str">
        <x:v>结论</x:v>
      </x:c>
      <x:c r="M5" s="14" t="str">
        <x:v>建议</x:v>
      </x:c>
    </x:row>
    <x:row r="6">
      <x:c r="A6" s="17" t="str">
        <x:v>建筑1</x:v>
      </x:c>
      <x:c r="B6" s="17" t="n">
        <x:v>16</x:v>
      </x:c>
      <x:c r="C6" s="65" t="n">
        <x:v>0.5</x:v>
      </x:c>
      <x:c r="D6" s="65" t="n">
        <x:v>0.5</x:v>
      </x:c>
      <x:c r="E6" s="66" t="n">
        <x:v>250</x:v>
      </x:c>
      <x:c r="F6" s="67" t="n">
        <x:v>0.088592</x:v>
      </x:c>
      <x:c r="H6" s="17" t="str">
        <x:v>第一章-1</x:v>
      </x:c>
      <x:c r="I6" s="67" t="n">
        <x:v>1</x:v>
      </x:c>
      <x:c r="K6" s="17" t="str">
        <x:v>建造前三段</x:v>
      </x:c>
      <x:c r="L6" s="17" t="str">
        <x:v>约1.5天完成，建筑3即时返还约84.16%</x:v>
      </x:c>
      <x:c r="M6" s="17" t="str">
        <x:v>确认是否刻意设置新手高潮</x:v>
      </x:c>
    </x:row>
    <x:row r="7">
      <x:c r="A7" s="17" t="str">
        <x:v>建筑2</x:v>
      </x:c>
      <x:c r="B7" s="17" t="n">
        <x:v>64</x:v>
      </x:c>
      <x:c r="C7" s="65" t="n">
        <x:v>0.5</x:v>
      </x:c>
      <x:c r="D7" s="65" t="n">
        <x:v>1</x:v>
      </x:c>
      <x:c r="E7" s="66" t="n">
        <x:v>250</x:v>
      </x:c>
      <x:c r="F7" s="67" t="n">
        <x:v>0.0660624</x:v>
      </x:c>
      <x:c r="H7" s="17" t="str">
        <x:v>第一章-2</x:v>
      </x:c>
      <x:c r="I7" s="67" t="n">
        <x:v>1</x:v>
      </x:c>
      <x:c r="K7" s="17" t="str">
        <x:v>建筑4起</x:v>
      </x:c>
      <x:c r="L7" s="17" t="str">
        <x:v>单体耗时升至3–7天，即时返还低于0.16%</x:v>
      </x:c>
      <x:c r="M7" s="17" t="str">
        <x:v>排查第4建筑体验断崖</x:v>
      </x:c>
    </x:row>
    <x:row r="8">
      <x:c r="A8" s="17" t="str">
        <x:v>建筑3</x:v>
      </x:c>
      <x:c r="B8" s="17" t="n">
        <x:v>60</x:v>
      </x:c>
      <x:c r="C8" s="65" t="n">
        <x:v>0.5</x:v>
      </x:c>
      <x:c r="D8" s="65" t="n">
        <x:v>1.5</x:v>
      </x:c>
      <x:c r="E8" s="66" t="n">
        <x:v>250</x:v>
      </x:c>
      <x:c r="F8" s="67" t="n">
        <x:v>0.8415616</x:v>
      </x:c>
      <x:c r="H8" s="17" t="str">
        <x:v>第一章-3</x:v>
      </x:c>
      <x:c r="I8" s="67" t="n">
        <x:v>1</x:v>
      </x:c>
      <x:c r="K8" s="17" t="str">
        <x:v>疯狂探险第一章</x:v>
      </x:c>
      <x:c r="L8" s="17" t="str">
        <x:v>前4段约100%，后两段降至58.82%/48.98%</x:v>
      </x:c>
      <x:c r="M8" s="17" t="str">
        <x:v>检查章节尾部挫败感</x:v>
      </x:c>
    </x:row>
    <x:row r="9">
      <x:c r="A9" s="17" t="str">
        <x:v>建筑4</x:v>
      </x:c>
      <x:c r="B9" s="17" t="n">
        <x:v>29</x:v>
      </x:c>
      <x:c r="C9" s="65" t="n">
        <x:v>3</x:v>
      </x:c>
      <x:c r="D9" s="65" t="n">
        <x:v>4.5</x:v>
      </x:c>
      <x:c r="E9" s="66" t="n">
        <x:v>1500</x:v>
      </x:c>
      <x:c r="F9" s="67" t="n">
        <x:v>0.00152</x:v>
      </x:c>
      <x:c r="H9" s="17" t="str">
        <x:v>第一章-4</x:v>
      </x:c>
      <x:c r="I9" s="67" t="n">
        <x:v>1</x:v>
      </x:c>
      <x:c r="K9" s="17" t="str">
        <x:v>疯狂探险后续</x:v>
      </x:c>
      <x:c r="L9" s="17" t="str">
        <x:v>第二、三章多数仅0.7%–3.3%</x:v>
      </x:c>
      <x:c r="M9" s="17" t="str">
        <x:v>确认跨系统奖励是否补足</x:v>
      </x:c>
    </x:row>
    <x:row r="10">
      <x:c r="A10" s="17" t="str">
        <x:v>建筑5</x:v>
      </x:c>
      <x:c r="B10" s="17" t="n">
        <x:v>44</x:v>
      </x:c>
      <x:c r="C10" s="65" t="n">
        <x:v>3.5</x:v>
      </x:c>
      <x:c r="D10" s="65" t="n">
        <x:v>8</x:v>
      </x:c>
      <x:c r="E10" s="66" t="n">
        <x:v>1750</x:v>
      </x:c>
      <x:c r="F10" s="67" t="n">
        <x:v>0.001302857</x:v>
      </x:c>
      <x:c r="H10" s="17" t="str">
        <x:v>第一章-5</x:v>
      </x:c>
      <x:c r="I10" s="67" t="n">
        <x:v>0.588235</x:v>
      </x:c>
    </x:row>
    <x:row r="11">
      <x:c r="A11" s="17" t="str">
        <x:v>建筑6</x:v>
      </x:c>
      <x:c r="B11" s="17" t="n">
        <x:v>67</x:v>
      </x:c>
      <x:c r="C11" s="65" t="n">
        <x:v>4</x:v>
      </x:c>
      <x:c r="D11" s="65" t="n">
        <x:v>12</x:v>
      </x:c>
      <x:c r="E11" s="66" t="n">
        <x:v>2000</x:v>
      </x:c>
      <x:c r="F11" s="67" t="n">
        <x:v>0.00114</x:v>
      </x:c>
      <x:c r="H11" s="17" t="str">
        <x:v>第一章-6</x:v>
      </x:c>
      <x:c r="I11" s="67" t="n">
        <x:v>0.489796</x:v>
      </x:c>
    </x:row>
    <x:row r="12">
      <x:c r="A12" s="17" t="str">
        <x:v>建筑7</x:v>
      </x:c>
      <x:c r="B12" s="17" t="n">
        <x:v>96</x:v>
      </x:c>
      <x:c r="C12" s="65" t="n">
        <x:v>4.5</x:v>
      </x:c>
      <x:c r="D12" s="65" t="n">
        <x:v>16.5</x:v>
      </x:c>
      <x:c r="E12" s="66" t="n">
        <x:v>2250</x:v>
      </x:c>
      <x:c r="F12" s="67" t="n">
        <x:v>0.001013333</x:v>
      </x:c>
      <x:c r="H12" s="17" t="str">
        <x:v>第二章-1</x:v>
      </x:c>
      <x:c r="I12" s="67" t="n">
        <x:v>0.006944</x:v>
      </x:c>
    </x:row>
    <x:row r="13">
      <x:c r="A13" s="17" t="str">
        <x:v>建筑8</x:v>
      </x:c>
      <x:c r="B13" s="17" t="n">
        <x:v>56</x:v>
      </x:c>
      <x:c r="C13" s="65" t="n">
        <x:v>5</x:v>
      </x:c>
      <x:c r="D13" s="65" t="n">
        <x:v>21.5</x:v>
      </x:c>
      <x:c r="E13" s="66" t="n">
        <x:v>2500</x:v>
      </x:c>
      <x:c r="F13" s="67" t="n">
        <x:v>0.000912</x:v>
      </x:c>
      <x:c r="H13" s="17" t="str">
        <x:v>第二章-2</x:v>
      </x:c>
      <x:c r="I13" s="67" t="n">
        <x:v>0.018182</x:v>
      </x:c>
    </x:row>
    <x:row r="14">
      <x:c r="A14" s="17" t="str">
        <x:v>建筑9</x:v>
      </x:c>
      <x:c r="B14" s="17" t="n">
        <x:v>29</x:v>
      </x:c>
      <x:c r="C14" s="65" t="n">
        <x:v>5.5</x:v>
      </x:c>
      <x:c r="D14" s="65" t="n">
        <x:v>27</x:v>
      </x:c>
      <x:c r="E14" s="66" t="n">
        <x:v>2750</x:v>
      </x:c>
      <x:c r="F14" s="67" t="n">
        <x:v>0.00082909</x:v>
      </x:c>
      <x:c r="H14" s="17" t="str">
        <x:v>第二章-3</x:v>
      </x:c>
      <x:c r="I14" s="67" t="n">
        <x:v>0.015</x:v>
      </x:c>
    </x:row>
    <x:row r="15">
      <x:c r="A15" s="17" t="str">
        <x:v>建筑10</x:v>
      </x:c>
      <x:c r="B15" s="17" t="n">
        <x:v>121</x:v>
      </x:c>
      <x:c r="C15" s="65" t="n">
        <x:v>6</x:v>
      </x:c>
      <x:c r="D15" s="65" t="n">
        <x:v>33</x:v>
      </x:c>
      <x:c r="E15" s="66" t="n">
        <x:v>3000</x:v>
      </x:c>
      <x:c r="F15" s="67" t="n">
        <x:v>0.00076</x:v>
      </x:c>
      <x:c r="H15" s="17" t="str">
        <x:v>第二章-4</x:v>
      </x:c>
      <x:c r="I15" s="67" t="n">
        <x:v>0.01</x:v>
      </x:c>
    </x:row>
    <x:row r="16">
      <x:c r="A16" s="17" t="str">
        <x:v>建筑11</x:v>
      </x:c>
      <x:c r="B16" s="17" t="n">
        <x:v>14</x:v>
      </x:c>
      <x:c r="C16" s="65" t="n">
        <x:v>7</x:v>
      </x:c>
      <x:c r="D16" s="65" t="n">
        <x:v>40</x:v>
      </x:c>
      <x:c r="E16" s="66" t="n">
        <x:v>3500</x:v>
      </x:c>
      <x:c r="F16" s="67" t="n">
        <x:v>0.000651429</x:v>
      </x:c>
      <x:c r="H16" s="17" t="str">
        <x:v>第二章-5</x:v>
      </x:c>
      <x:c r="I16" s="67" t="n">
        <x:v>0.024752</x:v>
      </x:c>
    </x:row>
    <x:row r="17">
      <x:c r="H17" s="17" t="str">
        <x:v>第二章-6</x:v>
      </x:c>
      <x:c r="I17" s="67" t="n">
        <x:v>0.01875</x:v>
      </x:c>
    </x:row>
    <x:row r="18">
      <x:c r="H18" s="17" t="str">
        <x:v>第三章-1</x:v>
      </x:c>
      <x:c r="I18" s="67" t="n">
        <x:v>0.020833</x:v>
      </x:c>
    </x:row>
    <x:row r="19">
      <x:c r="H19" s="17" t="str">
        <x:v>第三章-2</x:v>
      </x:c>
      <x:c r="I19" s="67" t="n">
        <x:v>0.032967</x:v>
      </x:c>
    </x:row>
    <x:row r="20">
      <x:c r="H20" s="17" t="str">
        <x:v>第三章-3</x:v>
      </x:c>
      <x:c r="I20" s="67" t="n">
        <x:v>0.021875</x:v>
      </x:c>
    </x:row>
    <x:row r="21">
      <x:c r="H21" s="17" t="str">
        <x:v>第三章-4</x:v>
      </x:c>
      <x:c r="I21" s="67" t="n">
        <x:v>0.008</x:v>
      </x:c>
    </x:row>
    <x:row r="22">
      <x:c r="H22" s="17" t="str">
        <x:v>第三章-5</x:v>
      </x:c>
      <x:c r="I22" s="67" t="n">
        <x:v>0.01494</x:v>
      </x:c>
    </x:row>
    <x:row r="23">
      <x:c r="H23" s="17" t="str">
        <x:v>第三章-6</x:v>
      </x:c>
      <x:c r="I23" s="67" t="n">
        <x:v>0.00974</x:v>
      </x:c>
    </x:row>
  </x:sheetData>
  <x:mergeCells>
    <x:mergeCell ref="A1:M1"/>
    <x:mergeCell ref="A2:M2"/>
    <x:mergeCell ref="A4:F4"/>
    <x:mergeCell ref="H4:M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4" hidden="0" customWidth="1"/>
  </x:cols>
  <x:sheetData>
    <x:row r="1" ht="34" customHeight="1">
      <x:c r="A1" s="4" t="str">
        <x:v>弹球 Quest 数值体验表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8" t="str">
        <x:v>参考策划源表“弹球quest数值 (2).xlsx/数值体验表”，按3轮×8关展示预期消耗和奖励节奏。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2" customHeight="1">
      <x:c r="A4" s="14" t="str">
        <x:v>轮次</x:v>
      </x:c>
      <x:c r="B4" s="14" t="str">
        <x:v>关卡</x:v>
      </x:c>
      <x:c r="C4" s="14" t="str">
        <x:v>关卡数</x:v>
      </x:c>
      <x:c r="D4" s="14" t="str">
        <x:v>预计发射</x:v>
      </x:c>
      <x:c r="E4" s="14" t="str">
        <x:v>消耗积分</x:v>
      </x:c>
      <x:c r="F4" s="14" t="str">
        <x:v>奖励美金</x:v>
      </x:c>
      <x:c r="G4" s="14" t="str">
        <x:v>球均积分</x:v>
      </x:c>
      <x:c r="H4" s="14" t="str">
        <x:v>积分膨胀</x:v>
      </x:c>
      <x:c r="I4" s="14" t="str">
        <x:v>奖励膨胀</x:v>
      </x:c>
      <x:c r="J4" s="14" t="str">
        <x:v>体验预期</x:v>
      </x:c>
    </x:row>
    <x:row r="5">
      <x:c r="A5" s="26" t="str">
        <x:v>第1轮</x:v>
      </x:c>
      <x:c r="B5" s="26" t="str">
        <x:v>1–8</x:v>
      </x:c>
      <x:c r="C5" s="26" t="n">
        <x:v>8</x:v>
      </x:c>
      <x:c r="D5" s="68" t="n">
        <x:v>272</x:v>
      </x:c>
      <x:c r="E5" s="68" t="n">
        <x:v>272000</x:v>
      </x:c>
      <x:c r="F5" s="68" t="n">
        <x:v>2.925</x:v>
      </x:c>
      <x:c r="G5" s="68" t="n">
        <x:v>1000</x:v>
      </x:c>
      <x:c r="H5" s="69" t="n">
        <x:f>1</x:f>
        <x:v>1</x:v>
      </x:c>
      <x:c r="I5" s="69" t="n">
        <x:f>1</x:f>
        <x:v>1</x:v>
      </x:c>
      <x:c r="J5" s="17" t="str">
        <x:v>低门槛教学轮；点数需求从70升到5000</x:v>
      </x:c>
    </x:row>
    <x:row r="6">
      <x:c r="A6" s="26" t="str">
        <x:v>第2轮</x:v>
      </x:c>
      <x:c r="B6" s="26" t="str">
        <x:v>9–16</x:v>
      </x:c>
      <x:c r="C6" s="26" t="n">
        <x:v>8</x:v>
      </x:c>
      <x:c r="D6" s="68" t="n">
        <x:v>329</x:v>
      </x:c>
      <x:c r="E6" s="68" t="n">
        <x:v>987000</x:v>
      </x:c>
      <x:c r="F6" s="68" t="n">
        <x:v>8.78</x:v>
      </x:c>
      <x:c r="G6" s="68" t="n">
        <x:v>3000</x:v>
      </x:c>
      <x:c r="H6" s="69" t="n">
        <x:f>E6/E5</x:f>
        <x:v>3.6286764705882355</x:v>
      </x:c>
      <x:c r="I6" s="69" t="n">
        <x:f>F6/F5</x:f>
        <x:v>3.0017094017094017</x:v>
      </x:c>
      <x:c r="J6" s="17" t="str">
        <x:v>消耗发射增加21%，积分消耗约为首轮3.6倍</x:v>
      </x:c>
    </x:row>
    <x:row r="7">
      <x:c r="A7" s="26" t="str">
        <x:v>第3轮</x:v>
      </x:c>
      <x:c r="B7" s="26" t="str">
        <x:v>17–24</x:v>
      </x:c>
      <x:c r="C7" s="26" t="n">
        <x:v>8</x:v>
      </x:c>
      <x:c r="D7" s="68" t="n">
        <x:v>398</x:v>
      </x:c>
      <x:c r="E7" s="68" t="n">
        <x:v>5970000</x:v>
      </x:c>
      <x:c r="F7" s="68" t="n">
        <x:v>44.25</x:v>
      </x:c>
      <x:c r="G7" s="68" t="n">
        <x:v>15000</x:v>
      </x:c>
      <x:c r="H7" s="69" t="n">
        <x:f>E7/E5</x:f>
        <x:v>21.948529411764707</x:v>
      </x:c>
      <x:c r="I7" s="69" t="n">
        <x:f>F7/F5</x:f>
        <x:v>15.12820512820513</x:v>
      </x:c>
      <x:c r="J7" s="17" t="str">
        <x:v>积分消耗约为首轮22倍，奖励同步放大</x:v>
      </x:c>
    </x:row>
    <x:row r="10" ht="24" customHeight="1">
      <x:c r="A10" s="25" t="str">
        <x:v>关卡体验预期</x:v>
      </x:c>
      <x:c r="B10" s="25"/>
      <x:c r="C10" s="25"/>
      <x:c r="D10" s="25"/>
      <x:c r="E10" s="25"/>
      <x:c r="F10" s="25"/>
      <x:c r="G10" s="25"/>
      <x:c r="H10" s="25"/>
      <x:c r="I10" s="25"/>
      <x:c r="J10" s="25"/>
    </x:row>
    <x:row r="11" ht="28" customHeight="1">
      <x:c r="A11" s="52" t="str">
        <x:v>每轮8关，通关点数逐级上升；球均点数约21.8–50.5，后段关卡对大奖落点更敏感。</x:v>
      </x:c>
      <x:c r="B11" s="52"/>
      <x:c r="C11" s="52"/>
      <x:c r="D11" s="52"/>
      <x:c r="E11" s="52"/>
      <x:c r="F11" s="52"/>
      <x:c r="G11" s="52"/>
      <x:c r="H11" s="52"/>
      <x:c r="I11" s="52"/>
      <x:c r="J11" s="52"/>
    </x:row>
    <x:row r="12" ht="28" customHeight="1">
      <x:c r="A12" s="52" t="str">
        <x:v>第2轮发射次数仅比第1轮增加约21%，但积分消耗扩大到约3.6倍。</x:v>
      </x:c>
      <x:c r="B12" s="52"/>
      <x:c r="C12" s="52"/>
      <x:c r="D12" s="52"/>
      <x:c r="E12" s="52"/>
      <x:c r="F12" s="52"/>
      <x:c r="G12" s="52"/>
      <x:c r="H12" s="52"/>
      <x:c r="I12" s="52"/>
      <x:c r="J12" s="52"/>
    </x:row>
    <x:row r="13" ht="28" customHeight="1">
      <x:c r="A13" s="52" t="str">
        <x:v>第3轮积分消耗扩大到首轮约22倍，奖励扩大约15倍，消耗膨胀快于奖励膨胀。</x:v>
      </x:c>
      <x:c r="B13" s="52"/>
      <x:c r="C13" s="52"/>
      <x:c r="D13" s="52"/>
      <x:c r="E13" s="52"/>
      <x:c r="F13" s="52"/>
      <x:c r="G13" s="52"/>
      <x:c r="H13" s="52"/>
      <x:c r="I13" s="52"/>
      <x:c r="J13" s="52"/>
    </x:row>
    <x:row r="14" ht="28" customHeight="1">
      <x:c r="A14" s="52" t="str">
        <x:v>当前源体验表部分老虎机Spin换算缺失，本表保留弹球内部资源口径，不强行折算主经济返还率。</x:v>
      </x:c>
      <x:c r="B14" s="52"/>
      <x:c r="C14" s="52"/>
      <x:c r="D14" s="52"/>
      <x:c r="E14" s="52"/>
      <x:c r="F14" s="52"/>
      <x:c r="G14" s="52"/>
      <x:c r="H14" s="52"/>
      <x:c r="I14" s="52"/>
      <x:c r="J14" s="52"/>
    </x:row>
  </x:sheetData>
  <x:mergeCells>
    <x:mergeCell ref="A1:J1"/>
    <x:mergeCell ref="A2:J2"/>
    <x:mergeCell ref="A10:J10"/>
    <x:mergeCell ref="A11:J11"/>
    <x:mergeCell ref="A12:J12"/>
    <x:mergeCell ref="A13:J13"/>
    <x:mergeCell ref="A14:J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34" customHeight="1">
      <x:c r="A1" s="4" t="str">
        <x:v>卡包与相册完整收集体验表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8" t="str">
        <x:v>目标：21章、168张卡全部收集；采用2000次Monte Carlo，结果展示P10/P50/P90。黄色区域为需确认的模拟假设。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32" customHeight="1">
      <x:c r="A4" s="14" t="str">
        <x:v>阶段</x:v>
      </x:c>
      <x:c r="B4" s="14" t="str">
        <x:v>累计独立卡</x:v>
      </x:c>
      <x:c r="C4" s="14" t="str">
        <x:v>完成度</x:v>
      </x:c>
      <x:c r="D4" s="14" t="str">
        <x:v>卡包P10</x:v>
      </x:c>
      <x:c r="E4" s="14" t="str">
        <x:v>卡包P50</x:v>
      </x:c>
      <x:c r="F4" s="14" t="str">
        <x:v>卡包P90</x:v>
      </x:c>
      <x:c r="G4" s="14" t="str">
        <x:v>Spin P50</x:v>
      </x:c>
      <x:c r="H4" s="14" t="str">
        <x:v>天数P50</x:v>
      </x:c>
      <x:c r="I4" s="14" t="str">
        <x:v>新增卡效率</x:v>
      </x:c>
      <x:c r="J4" s="14" t="str">
        <x:v>长尾倍率</x:v>
      </x:c>
      <x:c r="K4" s="14" t="str">
        <x:v>体验预期</x:v>
      </x:c>
    </x:row>
    <x:row r="5">
      <x:c r="A5" s="26" t="str">
        <x:v>起步收集</x:v>
      </x:c>
      <x:c r="B5" s="26" t="n">
        <x:v>40</x:v>
      </x:c>
      <x:c r="C5" s="70" t="n">
        <x:v>0.238095</x:v>
      </x:c>
      <x:c r="D5" s="29" t="n">
        <x:v>8</x:v>
      </x:c>
      <x:c r="E5" s="29" t="n">
        <x:v>9</x:v>
      </x:c>
      <x:c r="F5" s="29" t="n">
        <x:v>10</x:v>
      </x:c>
      <x:c r="G5" s="29" t="n">
        <x:v>450</x:v>
      </x:c>
      <x:c r="H5" s="71" t="n">
        <x:v>0.9</x:v>
      </x:c>
      <x:c r="I5" s="72" t="n">
        <x:f>B5/E5</x:f>
        <x:v>4.444444444444445</x:v>
      </x:c>
      <x:c r="J5" s="69" t="n">
        <x:f>E5/E5</x:f>
        <x:v>1</x:v>
      </x:c>
      <x:c r="K5" s="17" t="str">
        <x:v>新卡密度高，首日可见明显进展</x:v>
      </x:c>
    </x:row>
    <x:row r="6">
      <x:c r="A6" s="26" t="str">
        <x:v>基础成型</x:v>
      </x:c>
      <x:c r="B6" s="26" t="n">
        <x:v>80</x:v>
      </x:c>
      <x:c r="C6" s="70" t="n">
        <x:v>0.47619</x:v>
      </x:c>
      <x:c r="D6" s="29" t="n">
        <x:v>20</x:v>
      </x:c>
      <x:c r="E6" s="29" t="n">
        <x:v>22</x:v>
      </x:c>
      <x:c r="F6" s="29" t="n">
        <x:v>25</x:v>
      </x:c>
      <x:c r="G6" s="29" t="n">
        <x:v>1100</x:v>
      </x:c>
      <x:c r="H6" s="71" t="n">
        <x:v>2.2</x:v>
      </x:c>
      <x:c r="I6" s="72" t="n">
        <x:f>(B6-B5)/(E6-E5)</x:f>
        <x:v>3.076923076923077</x:v>
      </x:c>
      <x:c r="J6" s="69" t="n">
        <x:f>E6/E5</x:f>
        <x:v>2.4444444444444446</x:v>
      </x:c>
      <x:c r="K6" s="17" t="str">
        <x:v>约2天达到半册</x:v>
      </x:c>
    </x:row>
    <x:row r="7">
      <x:c r="A7" s="26" t="str">
        <x:v>中期收集</x:v>
      </x:c>
      <x:c r="B7" s="26" t="n">
        <x:v>120</x:v>
      </x:c>
      <x:c r="C7" s="70" t="n">
        <x:v>0.714286</x:v>
      </x:c>
      <x:c r="D7" s="29" t="n">
        <x:v>43</x:v>
      </x:c>
      <x:c r="E7" s="29" t="n">
        <x:v>48</x:v>
      </x:c>
      <x:c r="F7" s="29" t="n">
        <x:v>54</x:v>
      </x:c>
      <x:c r="G7" s="29" t="n">
        <x:v>2400</x:v>
      </x:c>
      <x:c r="H7" s="71" t="n">
        <x:v>4.8</x:v>
      </x:c>
      <x:c r="I7" s="72" t="n">
        <x:f>(B7-B6)/(E7-E6)</x:f>
        <x:v>1.5384615384615385</x:v>
      </x:c>
      <x:c r="J7" s="69" t="n">
        <x:f>E7/E5</x:f>
        <x:v>5.333333333333333</x:v>
      </x:c>
      <x:c r="K7" s="17" t="str">
        <x:v>重复卡开始明显增加</x:v>
      </x:c>
    </x:row>
    <x:row r="8">
      <x:c r="A8" s="26" t="str">
        <x:v>普通册接近完成</x:v>
      </x:c>
      <x:c r="B8" s="26" t="n">
        <x:v>152</x:v>
      </x:c>
      <x:c r="C8" s="70" t="n">
        <x:v>0.904762</x:v>
      </x:c>
      <x:c r="D8" s="29" t="n">
        <x:v>112</x:v>
      </x:c>
      <x:c r="E8" s="29" t="n">
        <x:v>138</x:v>
      </x:c>
      <x:c r="F8" s="29" t="n">
        <x:v>173</x:v>
      </x:c>
      <x:c r="G8" s="29" t="n">
        <x:v>6900</x:v>
      </x:c>
      <x:c r="H8" s="71" t="n">
        <x:v>13.8</x:v>
      </x:c>
      <x:c r="I8" s="72" t="n">
        <x:f>(B8-B7)/(E8-E7)</x:f>
        <x:v>0.35555555555555557</x:v>
      </x:c>
      <x:c r="J8" s="69" t="n">
        <x:f>E8/E5</x:f>
        <x:v>15.333333333333334</x:v>
      </x:c>
      <x:c r="K8" s="17" t="str">
        <x:v>前90%约两周，进入长尾</x:v>
      </x:c>
    </x:row>
    <x:row r="9">
      <x:c r="A9" s="26" t="str">
        <x:v>全卡收集</x:v>
      </x:c>
      <x:c r="B9" s="26" t="n">
        <x:v>168</x:v>
      </x:c>
      <x:c r="C9" s="70" t="n">
        <x:v>1</x:v>
      </x:c>
      <x:c r="D9" s="29" t="n">
        <x:v>781</x:v>
      </x:c>
      <x:c r="E9" s="29" t="n">
        <x:v>1204</x:v>
      </x:c>
      <x:c r="F9" s="29" t="n">
        <x:v>1847</x:v>
      </x:c>
      <x:c r="G9" s="29" t="n">
        <x:v>60200</x:v>
      </x:c>
      <x:c r="H9" s="71" t="n">
        <x:v>120.4</x:v>
      </x:c>
      <x:c r="I9" s="72" t="n">
        <x:f>(B9-B8)/(E9-E8)</x:f>
        <x:v>0.0150093808630394</x:v>
      </x:c>
      <x:c r="J9" s="69" t="n">
        <x:f>E9/E5</x:f>
        <x:v>133.77777777777777</x:v>
      </x:c>
      <x:c r="K9" s="17" t="str">
        <x:v>最后16张决定周期；P50约120天，超过当前60天赛季</x:v>
      </x:c>
    </x:row>
    <x:row r="12" ht="24" customHeight="1">
      <x:c r="A12" s="25" t="str">
        <x:v>配置规模</x:v>
      </x:c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</x:row>
    <x:row r="13" ht="32" customHeight="1">
      <x:c r="A13" s="14" t="str">
        <x:v>章节</x:v>
      </x:c>
      <x:c r="B13" s="14" t="str">
        <x:v>总卡数</x:v>
      </x:c>
      <x:c r="C13" s="14" t="str">
        <x:v>普通卡</x:v>
      </x:c>
      <x:c r="D13" s="14" t="str">
        <x:v>金卡</x:v>
      </x:c>
      <x:c r="E13" s="14" t="str">
        <x:v>赛季长度</x:v>
      </x:c>
    </x:row>
    <x:row r="14">
      <x:c r="A14" s="17" t="n">
        <x:v>21</x:v>
      </x:c>
      <x:c r="B14" s="17" t="n">
        <x:v>168</x:v>
      </x:c>
      <x:c r="C14" s="17" t="n">
        <x:v>138</x:v>
      </x:c>
      <x:c r="D14" s="17" t="n">
        <x:v>30</x:v>
      </x:c>
      <x:c r="E14" s="17" t="n">
        <x:v>60</x:v>
      </x:c>
    </x:row>
    <x:row r="17" ht="24" customHeight="1">
      <x:c r="A17" s="25" t="str">
        <x:v>模拟假设与边界</x:v>
      </x:c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</x:row>
    <x:row r="18" ht="28" customHeight="1">
      <x:c r="A18" s="76" t="str">
        <x:v>老虎机掉卡概率按2%/Spin；每日500 Spins。</x:v>
      </x:c>
      <x:c r="B18" s="76"/>
      <x:c r="C18" s="76"/>
      <x:c r="D18" s="76"/>
      <x:c r="E18" s="76"/>
      <x:c r="F18" s="76"/>
      <x:c r="G18" s="76"/>
      <x:c r="H18" s="76"/>
      <x:c r="I18" s="76"/>
      <x:c r="J18" s="76"/>
      <x:c r="K18" s="76"/>
    </x:row>
    <x:row r="19" ht="28" customHeight="1">
      <x:c r="A19" s="76" t="str">
        <x:v>后期卡包结构按2004/2005/2006权重40%/40%/20%，映射CardPack 100004/100005/100006。</x:v>
      </x:c>
      <x:c r="B19" s="76"/>
      <x:c r="C19" s="76"/>
      <x:c r="D19" s="76"/>
      <x:c r="E19" s="76"/>
      <x:c r="F19" s="76"/>
      <x:c r="G19" s="76"/>
      <x:c r="H19" s="76"/>
      <x:c r="I19" s="76"/>
      <x:c r="J19" s="76"/>
      <x:c r="K19" s="76"/>
    </x:row>
    <x:row r="20" ht="28" customHeight="1">
      <x:c r="A20" s="76" t="str">
        <x:v>同星级、同品质卡池内等概率抽取；应用卡包槽位结构，但未应用CardGroup随赛季天数/进度动态控卡。</x:v>
      </x:c>
      <x:c r="B20" s="76"/>
      <x:c r="C20" s="76"/>
      <x:c r="D20" s="76"/>
      <x:c r="E20" s="76"/>
      <x:c r="F20" s="76"/>
      <x:c r="G20" s="76"/>
      <x:c r="H20" s="76"/>
      <x:c r="I20" s="76"/>
      <x:c r="J20" s="76"/>
      <x:c r="K20" s="76"/>
    </x:row>
    <x:row r="21" ht="28" customHeight="1">
      <x:c r="A21" s="76" t="str">
        <x:v>未计交易、Joker、活动定向卡、礼包和保底，因此该结果用于识别自然掉落长尾，不是服务端最终完成率。</x:v>
      </x:c>
      <x:c r="B21" s="76"/>
      <x:c r="C21" s="76"/>
      <x:c r="D21" s="76"/>
      <x:c r="E21" s="76"/>
      <x:c r="F21" s="76"/>
      <x:c r="G21" s="76"/>
      <x:c r="H21" s="76"/>
      <x:c r="I21" s="76"/>
      <x:c r="J21" s="76"/>
      <x:c r="K21" s="76"/>
    </x:row>
    <x:row r="22" ht="28" customHeight="1">
      <x:c r="A22" s="76" t="str">
        <x:v>核心判断：P50完成约120天，P90约185天；均超过当前约60天赛季，完整收集必须依赖控卡或额外定向来源。</x:v>
      </x:c>
      <x:c r="B22" s="76"/>
      <x:c r="C22" s="76"/>
      <x:c r="D22" s="76"/>
      <x:c r="E22" s="76"/>
      <x:c r="F22" s="76"/>
      <x:c r="G22" s="76"/>
      <x:c r="H22" s="76"/>
      <x:c r="I22" s="76"/>
      <x:c r="J22" s="76"/>
      <x:c r="K22" s="76"/>
    </x:row>
  </x:sheetData>
  <x:mergeCells>
    <x:mergeCell ref="A1:K1"/>
    <x:mergeCell ref="A2:K2"/>
    <x:mergeCell ref="A12:K12"/>
    <x:mergeCell ref="A17:K17"/>
    <x:mergeCell ref="A18:K18"/>
    <x:mergeCell ref="A19:K19"/>
    <x:mergeCell ref="A20:K20"/>
    <x:mergeCell ref="A21:K21"/>
    <x:mergeCell ref="A22:K22"/>
  </x:mergeCells>
  <x:pageMargins left="0.7" right="0.7" top="0.75" bottom="0.75" header="0.3" footer="0.3"/>
  <x:drawing xmlns:r="http://schemas.openxmlformats.org/officeDocument/2006/relationships" r:id="R481a963e47624f8b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4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4" customHeight="1">
      <x:c r="A1" s="4" t="str">
        <x:v>CR 项目数值体验参数与来源</x:v>
      </x:c>
      <x:c r="B1" s="4"/>
      <x:c r="C1" s="4"/>
      <x:c r="D1" s="4"/>
      <x:c r="E1" s="4"/>
      <x:c r="F1" s="4"/>
    </x:row>
    <x:row r="2" ht="28" customHeight="1">
      <x:c r="A2" s="8" t="str">
        <x:v>黄色单元格为可调整假设；蓝色为配置读取值；所有路径均使用仓库相对路径。</x:v>
      </x:c>
      <x:c r="B2" s="8"/>
      <x:c r="C2" s="8"/>
      <x:c r="D2" s="8"/>
      <x:c r="E2" s="8"/>
      <x:c r="F2" s="8"/>
    </x:row>
    <x:row r="4" ht="32" customHeight="1">
      <x:c r="A4" s="14" t="str">
        <x:v>参数</x:v>
      </x:c>
      <x:c r="B4" s="14" t="str">
        <x:v>值</x:v>
      </x:c>
      <x:c r="C4" s="14" t="str">
        <x:v>单位</x:v>
      </x:c>
      <x:c r="D4" s="14" t="str">
        <x:v>口径/影响</x:v>
      </x:c>
    </x:row>
    <x:row r="5">
      <x:c r="A5" s="17" t="str">
        <x:v>显示起始等级</x:v>
      </x:c>
      <x:c r="B5" s="20" t="n">
        <x:v>0</x:v>
      </x:c>
      <x:c r="C5" s="17" t="str">
        <x:v>级</x:v>
      </x:c>
      <x:c r="D5" s="17" t="str">
        <x:v>用户视角起点</x:v>
      </x:c>
    </x:row>
    <x:row r="6">
      <x:c r="A6" s="17" t="str">
        <x:v>配置起始等级</x:v>
      </x:c>
      <x:c r="B6" s="20" t="n">
        <x:v>1</x:v>
      </x:c>
      <x:c r="C6" s="17" t="str">
        <x:v>级</x:v>
      </x:c>
      <x:c r="D6" s="17" t="str">
        <x:v>LevelCfg 最小等级为1，本表按显示等级+1映射</x:v>
      </x:c>
    </x:row>
    <x:row r="7">
      <x:c r="A7" s="17" t="str">
        <x:v>起始VIP</x:v>
      </x:c>
      <x:c r="B7" s="20" t="n">
        <x:v>0</x:v>
      </x:c>
      <x:c r="C7" s="17" t="str">
        <x:v>级</x:v>
      </x:c>
      <x:c r="D7" s="17" t="str">
        <x:v>模拟不含付费和额外VIP经验</x:v>
      </x:c>
    </x:row>
    <x:row r="8">
      <x:c r="A8" s="17" t="str">
        <x:v>账户初始金币</x:v>
      </x:c>
      <x:c r="B8" s="20" t="n">
        <x:v>0</x:v>
      </x:c>
      <x:c r="C8" s="17" t="str">
        <x:v>金币</x:v>
      </x:c>
      <x:c r="D8" s="17" t="str">
        <x:v>用户确认：创角不直接发金币</x:v>
      </x:c>
    </x:row>
    <x:row r="9">
      <x:c r="A9" s="17" t="str">
        <x:v>第1建筑启动产出</x:v>
      </x:c>
      <x:c r="B9" s="20" t="n">
        <x:v>33600</x:v>
      </x:c>
      <x:c r="C9" s="17" t="str">
        <x:v>金币</x:v>
      </x:c>
      <x:c r="D9" s="17" t="str">
        <x:v>建造数值体验表/源数据汇总：建筑1日金币</x:v>
      </x:c>
    </x:row>
    <x:row r="10">
      <x:c r="A10" s="17" t="str">
        <x:v>初始金币/USD</x:v>
      </x:c>
      <x:c r="B10" s="20" t="n">
        <x:v>1000000</x:v>
      </x:c>
      <x:c r="C10" s="17" t="str">
        <x:v>金币/USD</x:v>
      </x:c>
      <x:c r="D10" s="17" t="str">
        <x:v>无膨胀阶段：1美元兑换100万金币</x:v>
      </x:c>
    </x:row>
    <x:row r="11">
      <x:c r="A11" s="17" t="str">
        <x:v>目标显示等级</x:v>
      </x:c>
      <x:c r="B11" s="20" t="n">
        <x:v>300</x:v>
      </x:c>
      <x:c r="C11" s="17" t="str">
        <x:v>级</x:v>
      </x:c>
      <x:c r="D11" s="17" t="str">
        <x:v>本次长期串联终点</x:v>
      </x:c>
    </x:row>
    <x:row r="12">
      <x:c r="A12" s="17" t="str">
        <x:v>VIP1门槛</x:v>
      </x:c>
      <x:c r="B12" s="21" t="n">
        <x:v>500</x:v>
      </x:c>
      <x:c r="C12" s="17" t="str">
        <x:v>VIP经验</x:v>
      </x:c>
      <x:c r="D12" s="17" t="str">
        <x:v>来自 VipLevelCfg</x:v>
      </x:c>
    </x:row>
    <x:row r="13">
      <x:c r="A13" s="17" t="str">
        <x:v>新人RTP Tier3</x:v>
      </x:c>
      <x:c r="B13" s="22" t="n">
        <x:v>2.5</x:v>
      </x:c>
      <x:c r="C13" s="17" t="str">
        <x:v>倍率</x:v>
      </x:c>
      <x:c r="D13" s="17" t="str">
        <x:v>SlotsCasinoNewbieConfig，配置等级0–10</x:v>
      </x:c>
    </x:row>
    <x:row r="14">
      <x:c r="A14" s="17" t="str">
        <x:v>新人RTP Tier4</x:v>
      </x:c>
      <x:c r="B14" s="22" t="n">
        <x:v>1.3</x:v>
      </x:c>
      <x:c r="C14" s="17" t="str">
        <x:v>倍率</x:v>
      </x:c>
      <x:c r="D14" s="17" t="str">
        <x:v>SlotsCasinoNewbieConfig，配置等级11–50</x:v>
      </x:c>
    </x:row>
    <x:row r="16" ht="24" customHeight="1">
      <x:c r="A16" s="25" t="str">
        <x:v>数据来源与可追溯位置</x:v>
      </x:c>
      <x:c r="B16" s="25"/>
      <x:c r="C16" s="25"/>
      <x:c r="D16" s="25"/>
      <x:c r="E16" s="25"/>
      <x:c r="F16" s="25"/>
    </x:row>
    <x:row r="17" ht="32" customHeight="1">
      <x:c r="A17" s="14" t="str">
        <x:v>类型</x:v>
      </x:c>
      <x:c r="B17" s="14" t="str">
        <x:v>仓库相对位置</x:v>
      </x:c>
      <x:c r="C17" s="14" t="str">
        <x:v>关键文件/表</x:v>
      </x:c>
      <x:c r="D17" s="14" t="str">
        <x:v>使用字段</x:v>
      </x:c>
      <x:c r="E17" s="14" t="str">
        <x:v>用途</x:v>
      </x:c>
      <x:c r="F17" s="14" t="str">
        <x:v>边界</x:v>
      </x:c>
    </x:row>
    <x:row r="18">
      <x:c r="A18" s="17" t="str">
        <x:v>程序配置快照</x:v>
      </x:c>
      <x:c r="B18" s="17" t="str">
        <x:v>数值策划/数据源/程序配置导出快照</x:v>
      </x:c>
      <x:c r="C18" s="17" t="str">
        <x:v>LevelCfg；LevelAwardCfg</x:v>
      </x:c>
      <x:c r="D18" s="17" t="str">
        <x:v>等级、升级需求、经验、奖励</x:v>
      </x:c>
      <x:c r="E18" s="17" t="str">
        <x:v>成长模拟</x:v>
      </x:c>
      <x:c r="F18" s="17" t="str">
        <x:v>只读，不修改</x:v>
      </x:c>
    </x:row>
    <x:row r="19">
      <x:c r="A19" s="17" t="str">
        <x:v>程序配置快照</x:v>
      </x:c>
      <x:c r="B19" s="17" t="str">
        <x:v>数值策划/数据源/程序配置导出快照</x:v>
      </x:c>
      <x:c r="C19" s="17" t="str">
        <x:v>SlotsBetCfg；SlotsCasinoNewbieConfig</x:v>
      </x:c>
      <x:c r="D19" s="17" t="str">
        <x:v>Bet、解锁、RTP分层</x:v>
      </x:c>
      <x:c r="E19" s="17" t="str">
        <x:v>Spin消耗返还</x:v>
      </x:c>
      <x:c r="F19" s="17" t="str">
        <x:v>需确认服务端最终语义</x:v>
      </x:c>
    </x:row>
    <x:row r="20">
      <x:c r="A20" s="17" t="str">
        <x:v>程序配置快照</x:v>
      </x:c>
      <x:c r="B20" s="17" t="str">
        <x:v>数值策划/数据源/程序配置导出快照</x:v>
      </x:c>
      <x:c r="C20" s="17" t="str">
        <x:v>VipLevelCfg</x:v>
      </x:c>
      <x:c r="D20" s="17" t="str">
        <x:v>VIP门槛</x:v>
      </x:c>
      <x:c r="E20" s="17" t="str">
        <x:v>VIP进度</x:v>
      </x:c>
      <x:c r="F20" s="17" t="str">
        <x:v>本表未计额外来源</x:v>
      </x:c>
    </x:row>
    <x:row r="21">
      <x:c r="A21" s="17" t="str">
        <x:v>策划源表</x:v>
      </x:c>
      <x:c r="B21" s="17" t="str">
        <x:v>数值策划/数据源/策划源表</x:v>
      </x:c>
      <x:c r="C21" s="17" t="str">
        <x:v>CR等级+buff新.xlsx/等级+buff</x:v>
      </x:c>
      <x:c r="D21" s="17" t="str">
        <x:v>金币膨胀倍数</x:v>
      </x:c>
      <x:c r="E21" s="17" t="str">
        <x:v>美元价值折算</x:v>
      </x:c>
      <x:c r="F21" s="17" t="str">
        <x:v>等级1为1倍；后续按表内倍数</x:v>
      </x:c>
    </x:row>
    <x:row r="22">
      <x:c r="A22" s="17" t="str">
        <x:v>策划源表</x:v>
      </x:c>
      <x:c r="B22" s="17" t="str">
        <x:v>数值策划/数据源/策划源表</x:v>
      </x:c>
      <x:c r="C22" s="17" t="str">
        <x:v>建造数值体验表.xlsx/源数据汇总</x:v>
      </x:c>
      <x:c r="D22" s="17" t="str">
        <x:v>建筑1日金币33,600</x:v>
      </x:c>
      <x:c r="E22" s="17" t="str">
        <x:v>启动资金与建造体验</x:v>
      </x:c>
      <x:c r="F22" s="17" t="str">
        <x:v>配置页不改动</x:v>
      </x:c>
    </x:row>
    <x:row r="23">
      <x:c r="A23" s="17" t="str">
        <x:v>策划源表</x:v>
      </x:c>
      <x:c r="B23" s="17" t="str">
        <x:v>数值策划/数据源/策划源表</x:v>
      </x:c>
      <x:c r="C23" s="17" t="str">
        <x:v>疯狂探险.xlsx</x:v>
      </x:c>
      <x:c r="D23" s="17" t="str">
        <x:v>关卡消耗返还</x:v>
      </x:c>
      <x:c r="E23" s="17" t="str">
        <x:v>活动体验</x:v>
      </x:c>
      <x:c r="F23" s="17" t="str">
        <x:v>需核对跨系统补偿</x:v>
      </x:c>
    </x:row>
    <x:row r="24">
      <x:c r="A24" s="17" t="str">
        <x:v>策划源表</x:v>
      </x:c>
      <x:c r="B24" s="17" t="str">
        <x:v>数值策划/数据源/策划源表</x:v>
      </x:c>
      <x:c r="C24" s="17" t="str">
        <x:v>弹球quest数值 (2).xlsx</x:v>
      </x:c>
      <x:c r="D24" s="17" t="str">
        <x:v>3轮×8关消耗与奖励</x:v>
      </x:c>
      <x:c r="E24" s="17" t="str">
        <x:v>弹球体验</x:v>
      </x:c>
      <x:c r="F24" s="17" t="str">
        <x:v>部分Spin换算缺失</x:v>
      </x:c>
    </x:row>
    <x:row r="25">
      <x:c r="A25" s="17" t="str">
        <x:v>程序配置快照</x:v>
      </x:c>
      <x:c r="B25" s="17" t="str">
        <x:v>数值策划/数据源/程序配置导出快照</x:v>
      </x:c>
      <x:c r="C25" s="17" t="str">
        <x:v>CardAlbumCfg；CardList；CardPack；SlotsCasinoDropCards</x:v>
      </x:c>
      <x:c r="D25" s="17" t="str">
        <x:v>168张卡、卡包结构、掉落率</x:v>
      </x:c>
      <x:c r="E25" s="17" t="str">
        <x:v>卡包完整收集模拟</x:v>
      </x:c>
      <x:c r="F25" s="17" t="str">
        <x:v>旧新卡包ID映射待确认</x:v>
      </x:c>
    </x:row>
  </x:sheetData>
  <x:mergeCells>
    <x:mergeCell ref="A1:F1"/>
    <x:mergeCell ref="A2:F2"/>
    <x:mergeCell ref="A16:F16"/>
  </x:mergeCells>
  <x:pageMargins left="0.7" right="0.7" top="0.75" bottom="0.75" header="0.3" footer="0.3"/>
</x:worksheet>
</file>