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.xml" ContentType="application/vnd.openxmlformats-officedocument.spreadsheetml.table+xml"/>
  <Override PartName="/xl/worksheets/sheet14.xml" ContentType="application/vnd.openxmlformats-officedocument.spreadsheetml.worksheet+xml"/>
  <Override PartName="/xl/tables/table2.xml" ContentType="application/vnd.openxmlformats-officedocument.spreadsheetml.table+xml"/>
  <Override PartName="/xl/worksheets/sheet15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c2818104cd47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结论看板" sheetId="1" r:id="R55fa77cc810b485d"/>
    <x:sheet xmlns:r="http://schemas.openxmlformats.org/officeDocument/2006/relationships" name="分段覆盖" sheetId="2" r:id="Rda621c0fe24c4808"/>
    <x:sheet xmlns:r="http://schemas.openxmlformats.org/officeDocument/2006/relationships" name="建造曲线" sheetId="3" r:id="R79d51b6bdb86442a"/>
    <x:sheet xmlns:r="http://schemas.openxmlformats.org/officeDocument/2006/relationships" name="概率表" sheetId="4" r:id="R2070b8e088ad4146"/>
    <x:sheet xmlns:r="http://schemas.openxmlformats.org/officeDocument/2006/relationships" name="奖励表" sheetId="5" r:id="R85bcda5bf6ea4a05"/>
    <x:sheet xmlns:r="http://schemas.openxmlformats.org/officeDocument/2006/relationships" name="进度与模块" sheetId="6" r:id="R5e8173f99c2041a7"/>
    <x:sheet xmlns:r="http://schemas.openxmlformats.org/officeDocument/2006/relationships" name="循环模型" sheetId="7" r:id="R24f2367413f04828"/>
    <x:sheet xmlns:r="http://schemas.openxmlformats.org/officeDocument/2006/relationships" name="付费展示" sheetId="8" r:id="R4ee404c05f204744"/>
    <x:sheet xmlns:r="http://schemas.openxmlformats.org/officeDocument/2006/relationships" name="等价美金锚点" sheetId="9" r:id="R2881ff281e254c73"/>
    <x:sheet xmlns:r="http://schemas.openxmlformats.org/officeDocument/2006/relationships" name="模块返还" sheetId="10" r:id="Rf33627a4430e434b"/>
    <x:sheet xmlns:r="http://schemas.openxmlformats.org/officeDocument/2006/relationships" name="敏感性" sheetId="11" r:id="R8ea2bc571ad544c3"/>
    <x:sheet xmlns:r="http://schemas.openxmlformats.org/officeDocument/2006/relationships" name="假设与缺口" sheetId="12" r:id="R28132114bc52416a"/>
    <x:sheet xmlns:r="http://schemas.openxmlformats.org/officeDocument/2006/relationships" name="Spin样本" sheetId="13" r:id="R6ede391e178e456e"/>
    <x:sheet xmlns:r="http://schemas.openxmlformats.org/officeDocument/2006/relationships" name="建造样本" sheetId="14" r:id="R26c3864857e34e5a"/>
    <x:sheet xmlns:r="http://schemas.openxmlformats.org/officeDocument/2006/relationships" name="分段样本" sheetId="15" r:id="Rabae326e2da546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#,##0"/>
    <x:numFmt numFmtId="201" formatCode="#,##0.00"/>
    <x:numFmt numFmtId="202" formatCode="0.0%"/>
    <x:numFmt numFmtId="203" formatCode="HK$#,##0.00"/>
    <x:numFmt numFmtId="204" formatCode="0.000"/>
    <x:numFmt numFmtId="205" formatCode="0.000000"/>
    <x:numFmt numFmtId="206" formatCode="0.00"/>
    <x:numFmt numFmtId="207" formatCode="&quot;$&quot;0.000000"/>
    <x:numFmt numFmtId="208" formatCode="0.0000"/>
    <x:numFmt numFmtId="209" formatCode="+0%;-0%;0%"/>
  </x:numFmts>
  <x:fonts count="6">
    <x:font>
      <x:sz val="11"/>
      <x:name val="Carlito"/>
    </x:font>
    <x:font>
      <x:sz val="10"/>
      <x:color rgb="FF1F2933"/>
      <x:name val="Arial"/>
    </x:font>
    <x:font>
      <x:b/>
      <x:sz val="10"/>
      <x:color rgb="FFFFFFFF"/>
      <x:name val="Arial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1F7A8C"/>
      </x:patternFill>
    </x:fill>
    <x:fill>
      <x:patternFill patternType="solid">
        <x:fgColor rgb="FFFFF4CC"/>
      </x:patternFill>
    </x:fill>
  </x:fills>
  <x:borders count="18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left style="thin">
        <x:color rgb="FF1F7A8C"/>
      </x:left>
      <x:top style="thin">
        <x:color rgb="FF1F7A8C"/>
      </x:top>
      <x:bottom style="thin">
        <x:color rgb="FF1F7A8C"/>
      </x:bottom>
    </x:border>
    <x:border>
      <x:top style="thin">
        <x:color rgb="FF1F7A8C"/>
      </x:top>
      <x:bottom style="thin">
        <x:color rgb="FF1F7A8C"/>
      </x:bottom>
    </x:border>
    <x:border>
      <x:right style="thin">
        <x:color rgb="FF1F7A8C"/>
      </x:right>
      <x:top style="thin">
        <x:color rgb="FF1F7A8C"/>
      </x:top>
      <x:bottom style="thin">
        <x:color rgb="FF1F7A8C"/>
      </x:bottom>
    </x:border>
    <x:border>
      <x:left style="thin">
        <x:color rgb="FFF4A261"/>
      </x:left>
      <x:top style="thin">
        <x:color rgb="FFF4A261"/>
      </x:top>
    </x:border>
    <x:border>
      <x:top style="thin">
        <x:color rgb="FFF4A261"/>
      </x:top>
    </x:border>
    <x:border>
      <x:right style="thin">
        <x:color rgb="FFF4A261"/>
      </x:right>
      <x:top style="thin">
        <x:color rgb="FFF4A261"/>
      </x:top>
    </x:border>
    <x:border>
      <x:left style="thin">
        <x:color rgb="FFF4A261"/>
      </x:left>
    </x:border>
    <x:border>
      <x:right style="thin">
        <x:color rgb="FFF4A261"/>
      </x:right>
    </x:border>
    <x:border>
      <x:left style="thin">
        <x:color rgb="FFF4A261"/>
      </x:left>
      <x:bottom style="thin">
        <x:color rgb="FFF4A261"/>
      </x:bottom>
    </x:border>
    <x:border>
      <x:bottom style="thin">
        <x:color rgb="FFF4A261"/>
      </x:bottom>
    </x:border>
    <x:border>
      <x:right style="thin">
        <x:color rgb="FFF4A261"/>
      </x:right>
      <x:bottom style="thin">
        <x:color rgb="FFF4A261"/>
      </x:bottom>
    </x:border>
    <x:border>
      <x:left style="thin">
        <x:color rgb="FF17324D"/>
      </x:left>
    </x:border>
    <x:border>
      <x:left style="thin">
        <x:color rgb="FF17324D"/>
      </x:left>
      <x:bottom style="thin">
        <x:color rgb="FF17324D"/>
      </x:bottom>
    </x:border>
    <x:border>
      <x:bottom style="thin">
        <x:color rgb="FF17324D"/>
      </x:bottom>
    </x:border>
  </x:borders>
  <x:cellStyleXfs count="1">
    <x:xf numFmtId="0" fontId="0" fillId="0" borderId="0"/>
  </x:cellStyleXfs>
  <x:cellXfs count="10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/>
    </x:xf>
    <x:xf numFmtId="0" fontId="2" fillId="2" borderId="1" xfId="0" applyNumberFormat="1" applyFont="1" applyFill="1" applyBorder="1" applyAlignment="1">
      <x:alignment vertical="top"/>
    </x:xf>
    <x:xf numFmtId="0" fontId="2" fillId="2" borderId="2" xfId="0" applyNumberFormat="1" applyFont="1" applyFill="1" applyBorder="1" applyAlignment="1">
      <x:alignment vertical="top"/>
    </x:xf>
    <x:xf numFmtId="0" fontId="2" fillId="2" borderId="3" xfId="0" applyNumberFormat="1" applyFont="1" applyFill="1" applyBorder="1" applyAlignment="1">
      <x:alignment vertical="top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3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2" fillId="2" borderId="2" xfId="0" applyNumberFormat="1" applyFont="1" applyFill="1" applyBorder="1" applyAlignment="1">
      <x:alignment horizontal="center" vertical="top" wrapText="1"/>
    </x:xf>
    <x:xf numFmtId="0" fontId="2" fillId="2" borderId="3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0"/>
    </x:xf>
    <x:xf numFmtId="200" fontId="1" fillId="0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2" xfId="0" applyNumberFormat="1" applyFont="1" applyFill="1" applyBorder="1"/>
    <x:xf numFmtId="0" fontId="4" fillId="2" borderId="3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2" xfId="0" applyNumberFormat="1" applyFont="1" applyFill="1" applyBorder="1" applyAlignment="1">
      <x:alignment wrapText="1"/>
    </x:xf>
    <x:xf numFmtId="0" fontId="4" fillId="2" borderId="3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2" xfId="0" applyNumberFormat="1" applyFont="1" applyFill="1" applyBorder="1" applyAlignment="1">
      <x:alignment horizontal="center" wrapText="1"/>
    </x:xf>
    <x:xf numFmtId="0" fontId="4" fillId="2" borderId="3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/>
    <x:xf numFmtId="0" fontId="0" fillId="0" borderId="0" xfId="0" applyNumberFormat="1" applyFont="1" applyFill="1" applyBorder="1"/>
    <x:xf numFmtId="0" fontId="0" fillId="3" borderId="0" xfId="0" applyNumberFormat="1" applyFont="1" applyFill="1" applyBorder="1"/>
    <x:xf numFmtId="202" fontId="0" fillId="3" borderId="0" xfId="0" applyNumberFormat="1" applyFont="1" applyFill="1" applyBorder="1"/>
    <x:xf numFmtId="0" fontId="5" fillId="3" borderId="0" xfId="0" applyNumberFormat="1" applyFont="1" applyFill="1" applyBorder="1"/>
    <x:xf numFmtId="202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202" fontId="5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4" xfId="0" applyNumberFormat="1" applyFont="1" applyFill="1" applyBorder="1"/>
    <x:xf numFmtId="0" fontId="4" fillId="4" borderId="5" xfId="0" applyNumberFormat="1" applyFont="1" applyFill="1" applyBorder="1"/>
    <x:xf numFmtId="0" fontId="4" fillId="4" borderId="6" xfId="0" applyNumberFormat="1" applyFont="1" applyFill="1" applyBorder="1"/>
    <x:xf numFmtId="0" fontId="4" fillId="4" borderId="4" xfId="0" applyNumberFormat="1" applyFont="1" applyFill="1" applyBorder="1" applyAlignment="1">
      <x:alignment wrapText="1"/>
    </x:xf>
    <x:xf numFmtId="0" fontId="4" fillId="4" borderId="5" xfId="0" applyNumberFormat="1" applyFont="1" applyFill="1" applyBorder="1" applyAlignment="1">
      <x:alignment wrapText="1"/>
    </x:xf>
    <x:xf numFmtId="0" fontId="4" fillId="4" borderId="6" xfId="0" applyNumberFormat="1" applyFont="1" applyFill="1" applyBorder="1" applyAlignment="1">
      <x:alignment wrapText="1"/>
    </x:xf>
    <x:xf numFmtId="0" fontId="4" fillId="4" borderId="4" xfId="0" applyNumberFormat="1" applyFont="1" applyFill="1" applyBorder="1" applyAlignment="1">
      <x:alignment vertical="center" wrapText="1"/>
    </x:xf>
    <x:xf numFmtId="0" fontId="4" fillId="4" borderId="5" xfId="0" applyNumberFormat="1" applyFont="1" applyFill="1" applyBorder="1" applyAlignment="1">
      <x:alignment vertical="center" wrapText="1"/>
    </x:xf>
    <x:xf numFmtId="0" fontId="4" fillId="4" borderId="6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0" fillId="5" borderId="7" xfId="0" applyNumberFormat="1" applyFont="1" applyFill="1" applyBorder="1"/>
    <x:xf numFmtId="0" fontId="0" fillId="5" borderId="8" xfId="0" applyNumberFormat="1" applyFont="1" applyFill="1" applyBorder="1"/>
    <x:xf numFmtId="0" fontId="0" fillId="5" borderId="9" xfId="0" applyNumberFormat="1" applyFont="1" applyFill="1" applyBorder="1"/>
    <x:xf numFmtId="0" fontId="0" fillId="5" borderId="10" xfId="0" applyNumberFormat="1" applyFont="1" applyFill="1" applyBorder="1"/>
    <x:xf numFmtId="0" fontId="0" fillId="5" borderId="11" xfId="0" applyNumberFormat="1" applyFont="1" applyFill="1" applyBorder="1"/>
    <x:xf numFmtId="0" fontId="0" fillId="5" borderId="12" xfId="0" applyNumberFormat="1" applyFont="1" applyFill="1" applyBorder="1"/>
    <x:xf numFmtId="0" fontId="0" fillId="5" borderId="13" xfId="0" applyNumberFormat="1" applyFont="1" applyFill="1" applyBorder="1"/>
    <x:xf numFmtId="0" fontId="0" fillId="5" borderId="14" xfId="0" applyNumberFormat="1" applyFont="1" applyFill="1" applyBorder="1"/>
    <x:xf numFmtId="0" fontId="0" fillId="5" borderId="7" xfId="0" applyNumberFormat="1" applyFont="1" applyFill="1" applyBorder="1" applyAlignment="1">
      <x:alignment wrapText="1"/>
    </x:xf>
    <x:xf numFmtId="0" fontId="0" fillId="5" borderId="8" xfId="0" applyNumberFormat="1" applyFont="1" applyFill="1" applyBorder="1" applyAlignment="1">
      <x:alignment wrapText="1"/>
    </x:xf>
    <x:xf numFmtId="0" fontId="0" fillId="5" borderId="9" xfId="0" applyNumberFormat="1" applyFont="1" applyFill="1" applyBorder="1" applyAlignment="1">
      <x:alignment wrapText="1"/>
    </x:xf>
    <x:xf numFmtId="0" fontId="0" fillId="5" borderId="1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11" xfId="0" applyNumberFormat="1" applyFont="1" applyFill="1" applyBorder="1" applyAlignment="1">
      <x:alignment wrapText="1"/>
    </x:xf>
    <x:xf numFmtId="0" fontId="0" fillId="5" borderId="12" xfId="0" applyNumberFormat="1" applyFont="1" applyFill="1" applyBorder="1" applyAlignment="1">
      <x:alignment wrapText="1"/>
    </x:xf>
    <x:xf numFmtId="0" fontId="0" fillId="5" borderId="13" xfId="0" applyNumberFormat="1" applyFont="1" applyFill="1" applyBorder="1" applyAlignment="1">
      <x:alignment wrapText="1"/>
    </x:xf>
    <x:xf numFmtId="0" fontId="0" fillId="5" borderId="14" xfId="0" applyNumberFormat="1" applyFont="1" applyFill="1" applyBorder="1" applyAlignment="1">
      <x:alignment wrapText="1"/>
    </x:xf>
    <x:xf numFmtId="0" fontId="0" fillId="5" borderId="7" xfId="0" applyNumberFormat="1" applyFont="1" applyFill="1" applyBorder="1" applyAlignment="1">
      <x:alignment vertical="top" wrapText="1"/>
    </x:xf>
    <x:xf numFmtId="0" fontId="0" fillId="5" borderId="8" xfId="0" applyNumberFormat="1" applyFont="1" applyFill="1" applyBorder="1" applyAlignment="1">
      <x:alignment vertical="top" wrapText="1"/>
    </x:xf>
    <x:xf numFmtId="0" fontId="0" fillId="5" borderId="9" xfId="0" applyNumberFormat="1" applyFont="1" applyFill="1" applyBorder="1" applyAlignment="1">
      <x:alignment vertical="top" wrapText="1"/>
    </x:xf>
    <x:xf numFmtId="0" fontId="0" fillId="5" borderId="1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1" xfId="0" applyNumberFormat="1" applyFont="1" applyFill="1" applyBorder="1" applyAlignment="1">
      <x:alignment vertical="top" wrapText="1"/>
    </x:xf>
    <x:xf numFmtId="0" fontId="0" fillId="5" borderId="12" xfId="0" applyNumberFormat="1" applyFont="1" applyFill="1" applyBorder="1" applyAlignment="1">
      <x:alignment vertical="top" wrapText="1"/>
    </x:xf>
    <x:xf numFmtId="0" fontId="0" fillId="5" borderId="13" xfId="0" applyNumberFormat="1" applyFont="1" applyFill="1" applyBorder="1" applyAlignment="1">
      <x:alignment vertical="top" wrapText="1"/>
    </x:xf>
    <x:xf numFmtId="0" fontId="0" fillId="5" borderId="14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201" fontId="0" fillId="0" borderId="17" xfId="0" applyNumberFormat="1" applyFont="1" applyFill="1" applyBorder="1"/>
    <x:xf numFmtId="202" fontId="0" fillId="0" borderId="17" xfId="0" applyNumberFormat="1" applyFont="1" applyFill="1" applyBorder="1"/>
    <x:xf numFmtId="0" fontId="2" fillId="4" borderId="1" xfId="0" applyNumberFormat="1" applyFont="1" applyFill="1" applyBorder="1" applyAlignment="1">
      <x:alignment horizontal="center" vertical="center" wrapText="1"/>
    </x:xf>
    <x:xf numFmtId="0" fontId="2" fillId="4" borderId="2" xfId="0" applyNumberFormat="1" applyFont="1" applyFill="1" applyBorder="1" applyAlignment="1">
      <x:alignment horizontal="center" vertical="center" wrapText="1"/>
    </x:xf>
    <x:xf numFmtId="0" fontId="2" fillId="4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203" fontId="1" fillId="0" borderId="0" xfId="0" applyNumberFormat="1" applyFont="1" applyFill="1" applyBorder="1" applyAlignment="1">
      <x:alignment vertical="top" wrapText="1"/>
    </x:xf>
    <x:xf numFmtId="204" fontId="0" fillId="0" borderId="0" xfId="0" applyNumberFormat="1" applyFont="1" applyFill="1" applyBorder="1"/>
    <x:xf numFmtId="0" fontId="5" fillId="5" borderId="0" xfId="0" applyNumberFormat="1" applyFont="1" applyFill="1" applyBorder="1"/>
    <x:xf numFmtId="205" fontId="5" fillId="5" borderId="0" xfId="0" applyNumberFormat="1" applyFont="1" applyFill="1" applyBorder="1"/>
    <x:xf numFmtId="206" fontId="0" fillId="0" borderId="0" xfId="0" applyNumberFormat="1" applyFont="1" applyFill="1" applyBorder="1"/>
    <x:xf numFmtId="200" fontId="0" fillId="0" borderId="0" xfId="0" applyNumberFormat="1" applyFont="1" applyFill="1" applyBorder="1"/>
    <x:xf numFmtId="207" fontId="0" fillId="0" borderId="0" xfId="0" applyNumberFormat="1" applyFont="1" applyFill="1" applyBorder="1"/>
    <x:xf numFmtId="208" fontId="0" fillId="0" borderId="0" xfId="0" applyNumberFormat="1" applyFont="1" applyFill="1" applyBorder="1"/>
    <x:xf numFmtId="209" fontId="0" fillId="0" borderId="0" xfId="0" applyNumberFormat="1" applyFont="1" applyFill="1" applyBorder="1"/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ont>
        <x:color rgb="FF8B1E1E"/>
      </x:font>
      <x:fill>
        <x:patternFill patternType="solid">
          <x:bgColor rgb="FFFDE2E1"/>
        </x:patternFill>
      </x:fill>
    </x:dxf>
    <x:dxf>
      <x:font>
        <x:color rgb="FF7A4E00"/>
      </x:font>
      <x:fill>
        <x:patternFill patternType="solid">
          <x:bgColor rgb="FFFFF4CC"/>
        </x:patternFill>
      </x:fill>
    </x:dxf>
    <x:dxf>
      <x:fill>
        <x:patternFill patternType="solid">
          <x:bgColor rgb="FFFFF4CC"/>
        </x:patternFill>
      </x:fill>
    </x:dxf>
    <x:dxf>
      <x:fill>
        <x:patternFill patternType="solid">
          <x:bgColor rgb="FFFDE2E1"/>
        </x:patternFill>
      </x:fill>
    </x:dxf>
    <x:dxf>
      <x:fill>
        <x:patternFill patternType="solid">
          <x:bgColor rgb="FFFFF4CC"/>
        </x:patternFill>
      </x:fill>
    </x:dxf>
    <x:dxf>
      <x:fill>
        <x:patternFill patternType="solid">
          <x:bgColor rgb="FFFDE2E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abebe649ae477b" /><Relationship Type="http://schemas.openxmlformats.org/officeDocument/2006/relationships/theme" Target="/xl/theme/theme1.xml" Id="Rde5de372195e44a7" /><Relationship Type="http://schemas.openxmlformats.org/officeDocument/2006/relationships/sharedStrings" Target="/xl/sharedStrings.xml" Id="Rbe3de6f8dc5f4d3e" /><Relationship Type="http://schemas.openxmlformats.org/officeDocument/2006/relationships/worksheet" Target="/xl/worksheets/sheet1.xml" Id="R55fa77cc810b485d" /><Relationship Type="http://schemas.openxmlformats.org/officeDocument/2006/relationships/worksheet" Target="/xl/worksheets/sheet2.xml" Id="Rda621c0fe24c4808" /><Relationship Type="http://schemas.openxmlformats.org/officeDocument/2006/relationships/worksheet" Target="/xl/worksheets/sheet3.xml" Id="R79d51b6bdb86442a" /><Relationship Type="http://schemas.openxmlformats.org/officeDocument/2006/relationships/worksheet" Target="/xl/worksheets/sheet4.xml" Id="R2070b8e088ad4146" /><Relationship Type="http://schemas.openxmlformats.org/officeDocument/2006/relationships/worksheet" Target="/xl/worksheets/sheet5.xml" Id="R85bcda5bf6ea4a05" /><Relationship Type="http://schemas.openxmlformats.org/officeDocument/2006/relationships/worksheet" Target="/xl/worksheets/sheet6.xml" Id="R5e8173f99c2041a7" /><Relationship Type="http://schemas.openxmlformats.org/officeDocument/2006/relationships/worksheet" Target="/xl/worksheets/sheet7.xml" Id="R24f2367413f04828" /><Relationship Type="http://schemas.openxmlformats.org/officeDocument/2006/relationships/worksheet" Target="/xl/worksheets/sheet8.xml" Id="R4ee404c05f204744" /><Relationship Type="http://schemas.openxmlformats.org/officeDocument/2006/relationships/worksheet" Target="/xl/worksheets/sheet9.xml" Id="R2881ff281e254c73" /><Relationship Type="http://schemas.openxmlformats.org/officeDocument/2006/relationships/worksheet" Target="/xl/worksheets/sheet10.xml" Id="Rf33627a4430e434b" /><Relationship Type="http://schemas.openxmlformats.org/officeDocument/2006/relationships/worksheet" Target="/xl/worksheets/sheet11.xml" Id="R8ea2bc571ad544c3" /><Relationship Type="http://schemas.openxmlformats.org/officeDocument/2006/relationships/worksheet" Target="/xl/worksheets/sheet12.xml" Id="R28132114bc52416a" /><Relationship Type="http://schemas.openxmlformats.org/officeDocument/2006/relationships/worksheet" Target="/xl/worksheets/sheet13.xml" Id="R6ede391e178e456e" /><Relationship Type="http://schemas.openxmlformats.org/officeDocument/2006/relationships/worksheet" Target="/xl/worksheets/sheet14.xml" Id="R26c3864857e34e5a" /><Relationship Type="http://schemas.openxmlformats.org/officeDocument/2006/relationships/worksheet" Target="/xl/worksheets/sheet15.xml" Id="Rabae326e2da5466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8b4bf49a3c247a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各下注切片样本均低于 500 Spin 初筛门槛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有效 n</c:v>
          </c:tx>
          <c:cat>
            <c:strRef>
              <c:f>'结论看板'!$A$21:$A$26</c:f>
              <c:strCache>
                <c:ptCount val="0"/>
              </c:strCache>
            </c:strRef>
          </c:cat>
          <c:val>
            <c:numRef>
              <c:f>'结论看板'!$B$21:$B$26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初筛门槛</c:v>
          </c:tx>
          <c:cat>
            <c:strRef>
              <c:f>'结论看板'!$A$21:$A$26</c:f>
              <c:strCache>
                <c:ptCount val="0"/>
              </c:strCache>
            </c:strRef>
          </c:cat>
          <c:val>
            <c:numRef>
              <c:f>'结论看板'!$C$21:$C$26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  <c:max val="55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2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8b4bf49a3c247a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odelSpinSampleTable" displayName="ModelSpinSampleTable" ref="A1:AB141" headerRowCount="1" totalsRowCount="0" totalsRowShown="0">
  <x:tableColumns count="28">
    <x:tableColumn id="1" name="video_id"/>
    <x:tableColumn id="2" name="spin_id"/>
    <x:tableColumn id="3" name="timestamp"/>
    <x:tableColumn id="4" name="timestamp_seconds"/>
    <x:tableColumn id="5" name="spin_count"/>
    <x:tableColumn id="6" name="bet_multiplier"/>
    <x:tableColumn id="7" name="energy_before"/>
    <x:tableColumn id="8" name="energy_after_spend"/>
    <x:tableColumn id="9" name="energy_cost"/>
    <x:tableColumn id="10" name="energy_return_observed"/>
    <x:tableColumn id="11" name="coins_before"/>
    <x:tableColumn id="12" name="coins_after"/>
    <x:tableColumn id="13" name="coin_gain_observed"/>
    <x:tableColumn id="14" name="progress_before"/>
    <x:tableColumn id="15" name="progress_after"/>
    <x:tableColumn id="16" name="progress_gain_observed"/>
    <x:tableColumn id="17" name="result_type"/>
    <x:tableColumn id="18" name="evidence_frame"/>
    <x:tableColumn id="19" name="evidence_window_end"/>
    <x:tableColumn id="20" name="status"/>
    <x:tableColumn id="21" name="confidence"/>
    <x:tableColumn id="22" name="notes"/>
    <x:tableColumn id="23" name="primary_category"/>
    <x:tableColumn id="24" name="probability_sample"/>
    <x:tableColumn id="25" name="newbie_segment"/>
    <x:tableColumn id="26" name="payment_tier"/>
    <x:tableColumn id="27" name="vip_status"/>
    <x:tableColumn id="28" name="near_deple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odelBuildSampleTable" displayName="ModelBuildSampleTable" ref="A1:Y49" headerRowCount="1" totalsRowCount="0" totalsRowShown="0">
  <x:tableColumns count="25">
    <x:tableColumn id="1" name="build_event_id"/>
    <x:tableColumn id="2" name="video_id"/>
    <x:tableColumn id="3" name="timestamp"/>
    <x:tableColumn id="4" name="frame_index"/>
    <x:tableColumn id="5" name="plot_building_id"/>
    <x:tableColumn id="6" name="chapter_region"/>
    <x:tableColumn id="7" name="build_type"/>
    <x:tableColumn id="8" name="coin_before"/>
    <x:tableColumn id="9" name="coin_after"/>
    <x:tableColumn id="10" name="coin_cost"/>
    <x:tableColumn id="11" name="unlock_condition"/>
    <x:tableColumn id="12" name="build_duration_seconds"/>
    <x:tableColumn id="13" name="output"/>
    <x:tableColumn id="14" name="depletion_event"/>
    <x:tableColumn id="15" name="progress_before"/>
    <x:tableColumn id="16" name="progress_after"/>
    <x:tableColumn id="17" name="progress_target"/>
    <x:tableColumn id="18" name="progress_delta"/>
    <x:tableColumn id="19" name="coins_per_progress"/>
    <x:tableColumn id="20" name="usable_for_curve"/>
    <x:tableColumn id="21" name="evidence_before"/>
    <x:tableColumn id="22" name="evidence_after"/>
    <x:tableColumn id="23" name="status"/>
    <x:tableColumn id="24" name="confidence"/>
    <x:tableColumn id="25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odelSegmentSampleTable" displayName="ModelSegmentSampleTable" ref="A1:P392" headerRowCount="1" totalsRowCount="0" totalsRowShown="0">
  <x:tableColumns count="16">
    <x:tableColumn id="1" name="segment_id"/>
    <x:tableColumn id="2" name="video_id"/>
    <x:tableColumn id="3" name="start_frame"/>
    <x:tableColumn id="4" name="end_frame"/>
    <x:tableColumn id="5" name="start_time"/>
    <x:tableColumn id="6" name="end_time"/>
    <x:tableColumn id="7" name="duration_seconds"/>
    <x:tableColumn id="8" name="module_position"/>
    <x:tableColumn id="9" name="ui_state"/>
    <x:tableColumn id="10" name="continuous_accounting"/>
    <x:tableColumn id="11" name="keep_exclude_reason"/>
    <x:tableColumn id="12" name="evidence_frame"/>
    <x:tableColumn id="13" name="evidence_frame_index"/>
    <x:tableColumn id="14" name="review_status"/>
    <x:tableColumn id="15" name="classification_basis"/>
    <x:tableColumn id="16" name="ocr_excerp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1cc9e42e42247c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.xml" Id="Rf12de8b4ea77471b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2.xml" Id="R79a82237963248ef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3.xml" Id="R1568e35c52d74ea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34" hidden="0" customWidth="1"/>
  </x:cols>
  <x:sheetData>
    <x:row r="1" ht="36" customHeight="1">
      <x:c r="A1" s="24" t="str">
        <x:v>Top Tycoon 数值模型｜证据门控看板</x:v>
      </x:c>
      <x:c r="B1" s="24" t="str">
        <x:v>Top Tycoon 数值模型｜证据门控看板</x:v>
      </x:c>
      <x:c r="C1" s="24" t="str">
        <x:v>Top Tycoon 数值模型｜证据门控看板</x:v>
      </x:c>
      <x:c r="D1" s="24" t="str">
        <x:v>Top Tycoon 数值模型｜证据门控看板</x:v>
      </x:c>
      <x:c r="E1" s="24" t="str">
        <x:v>Top Tycoon 数值模型｜证据门控看板</x:v>
      </x:c>
      <x:c r="F1" s="24" t="str">
        <x:v>Top Tycoon 数值模型｜证据门控看板</x:v>
      </x:c>
      <x:c r="G1" s="24" t="str">
        <x:v>Top Tycoon 数值模型｜证据门控看板</x:v>
      </x:c>
      <x:c r="H1" s="24" t="str">
        <x:v>Top Tycoon 数值模型｜证据门控看板</x:v>
      </x:c>
      <x:c r="I1" s="24" t="str">
        <x:v>Top Tycoon 数值模型｜证据门控看板</x:v>
      </x:c>
      <x:c r="J1" s="24" t="str">
        <x:v>Top Tycoon 数值模型｜证据门控看板</x:v>
      </x:c>
      <x:c r="K1" s="24" t="str">
        <x:v>Top Tycoon 数值模型｜证据门控看板</x:v>
      </x:c>
      <x:c r="L1" s="24" t="str">
        <x:v>Top Tycoon 数值模型｜证据门控看板</x:v>
      </x:c>
      <x:c r="M1" s="24" t="str">
        <x:v>Top Tycoon 数值模型｜证据门控看板</x:v>
      </x:c>
      <x:c r="N1" s="24" t="str">
        <x:v>Top Tycoon 数值模型｜证据门控看板</x:v>
      </x:c>
    </x:row>
    <x:row r="3" ht="30" customHeight="1">
      <x:c r="A3" s="35" t="str">
        <x:v>核心指标</x:v>
      </x:c>
      <x:c r="B3" s="36" t="str">
        <x:v>结果</x:v>
      </x:c>
      <x:c r="C3" s="37" t="str">
        <x:v>判定</x:v>
      </x:c>
    </x:row>
    <x:row r="4">
      <x:c r="A4" s="39" t="str">
        <x:v>有效单 Spin 样本</x:v>
      </x:c>
      <x:c r="B4" s="44" t="n">
        <x:f>COUNTIF('Spin样本'!$X$2:$X$141,"是")</x:f>
        <x:v>136</x:v>
      </x:c>
      <x:c r="C4" s="39" t="str">
        <x:v>每主要切片门槛 500</x:v>
      </x:c>
    </x:row>
    <x:row r="5">
      <x:c r="A5" s="39" t="str">
        <x:v>A/B 级闭环率</x:v>
      </x:c>
      <x:c r="B5" s="45" t="n">
        <x:f>(COUNTIF('Spin样本'!$U$2:$U$141,"A")+COUNTIF('Spin样本'!$U$2:$U$141,"B"))/COUNTA('Spin样本'!$A$2:$A$141)</x:f>
        <x:v>0.9714285714285714</x:v>
      </x:c>
      <x:c r="C5" s="39" t="str">
        <x:v>P2 门槛 ≥95%</x:v>
      </x:c>
    </x:row>
    <x:row r="6">
      <x:c r="A6" s="39" t="str">
        <x:v>全片模块定位</x:v>
      </x:c>
      <x:c r="B6" s="44" t="str">
        <x:v>6/6</x:v>
      </x:c>
      <x:c r="C6" s="39" t="str">
        <x:v>固定 1 fps；无未标注视频</x:v>
      </x:c>
    </x:row>
    <x:row r="7">
      <x:c r="A7" s="39" t="str">
        <x:v>建造消耗窗口</x:v>
      </x:c>
      <x:c r="B7" s="44" t="n">
        <x:f>COUNTA('建造样本'!$A$2:$A$49)</x:f>
        <x:v>48</x:v>
      </x:c>
      <x:c r="C7" s="39" t="str">
        <x:v>10 秒窗口，不等同单击价</x:v>
      </x:c>
    </x:row>
    <x:row r="8">
      <x:c r="A8" s="39" t="str">
        <x:v>可用于建造曲线</x:v>
      </x:c>
      <x:c r="B8" s="44" t="n">
        <x:f>COUNTIF('建造样本'!$T$2:$T$49,"是")</x:f>
        <x:v>33</x:v>
      </x:c>
      <x:c r="C8" s="39" t="str">
        <x:v>余额与进度同窗闭合</x:v>
      </x:c>
    </x:row>
    <x:row r="9">
      <x:c r="A9" s="39" t="str">
        <x:v>观察到的实际购买</x:v>
      </x:c>
      <x:c r="B9" s="44" t="n">
        <x:f>COUNTIF('付费展示'!$O$2:$O$11,"是")</x:f>
        <x:v>0</x:v>
      </x:c>
      <x:c r="C9" s="39" t="str">
        <x:v>0 则付费前后对比不可识别</x:v>
      </x:c>
    </x:row>
    <x:row r="10">
      <x:c r="A10" s="39" t="str">
        <x:v>等价美金返还</x:v>
      </x:c>
      <x:c r="B10" s="44" t="str">
        <x:v>待确认</x:v>
      </x:c>
      <x:c r="C10" s="39" t="str">
        <x:v>能量/金币锚点未获业务确认</x:v>
      </x:c>
    </x:row>
    <x:row r="12">
      <x:c r="A12" s="54" t="str">
        <x:v>结论边界</x:v>
      </x:c>
      <x:c r="B12" s="55" t="str">
        <x:v>结论边界</x:v>
      </x:c>
      <x:c r="C12" s="56" t="str">
        <x:v>结论边界</x:v>
      </x:c>
    </x:row>
    <x:row r="13">
      <x:c r="A13" s="75" t="str">
        <x:v>已确认：全局闭环是建造花金币 → Slot 花能量赚金币 → 金币回流建造；小游戏/礼包补充资源。</x:v>
      </x:c>
      <x:c r="B13" s="76"/>
      <x:c r="C13" s="77"/>
    </x:row>
    <x:row r="14">
      <x:c r="A14" s="78" t="str">
        <x:v>已确认：BET 倍率就是单 Spin 能量成本；能量条由 50 上限与 overflow 构成。</x:v>
      </x:c>
      <x:c r="B14" s="79"/>
      <x:c r="C14" s="80"/>
    </x:row>
    <x:row r="15">
      <x:c r="A15" s="78" t="str">
        <x:v>已确认：主进度目标/奖励随成长段明显放大（200→540→4100；400→1.2K→5K 能量）。</x:v>
      </x:c>
      <x:c r="B15" s="79"/>
      <x:c r="C15" s="80"/>
    </x:row>
    <x:row r="16">
      <x:c r="A16" s="78" t="str">
        <x:v>推算：48 个建造 10 秒消耗窗中，33 个同时闭合余额与区域进度，可看阶段量级，不可当单击配置。</x:v>
      </x:c>
      <x:c r="B16" s="79"/>
      <x:c r="C16" s="80"/>
    </x:row>
    <x:row r="17">
      <x:c r="A17" s="78" t="str">
        <x:v>待复核：不同下注档的结果概率差异；当前 Wilson 区间过宽。</x:v>
      </x:c>
      <x:c r="B17" s="79"/>
      <x:c r="C17" s="80"/>
    </x:row>
    <x:row r="18">
      <x:c r="A18" s="81" t="str">
        <x:v>录屏未展示：购买前后连续窗口、累计付费档、VIP 因果、能量/金币直给美金锚点。</x:v>
      </x:c>
      <x:c r="B18" s="82"/>
      <x:c r="C18" s="83"/>
    </x:row>
    <x:row r="20" ht="30" customHeight="1">
      <x:c r="A20" s="35" t="str">
        <x:v>样本切片</x:v>
      </x:c>
      <x:c r="B20" s="36" t="str">
        <x:v>有效 n</x:v>
      </x:c>
      <x:c r="C20" s="37" t="str">
        <x:v>初筛门槛</x:v>
      </x:c>
    </x:row>
    <x:row r="21">
      <x:c r="A21" t="str">
        <x:f>'奖励表'!A4&amp;" x"&amp;'奖励表'!B4</x:f>
        <x:v>TT_NEW_01 x1</x:v>
      </x:c>
      <x:c r="B21" t="n">
        <x:f>'奖励表'!C4</x:f>
        <x:v>44</x:v>
      </x:c>
      <x:c r="C21" t="n">
        <x:v>500</x:v>
      </x:c>
    </x:row>
    <x:row r="22">
      <x:c r="A22" t="str">
        <x:f>'奖励表'!A5&amp;" x"&amp;'奖励表'!B5</x:f>
        <x:v>TT_NEW_03 x5</x:v>
      </x:c>
      <x:c r="B22" t="n">
        <x:f>'奖励表'!C5</x:f>
        <x:v>17</x:v>
      </x:c>
      <x:c r="C22" t="n">
        <x:v>500</x:v>
      </x:c>
    </x:row>
    <x:row r="23">
      <x:c r="A23" t="str">
        <x:f>'奖励表'!A6&amp;" x"&amp;'奖励表'!B6</x:f>
        <x:v>TT_NEW_03 x10</x:v>
      </x:c>
      <x:c r="B23" t="n">
        <x:f>'奖励表'!C6</x:f>
        <x:v>24</x:v>
      </x:c>
      <x:c r="C23" t="n">
        <x:v>500</x:v>
      </x:c>
    </x:row>
    <x:row r="24">
      <x:c r="A24" t="str">
        <x:f>'奖励表'!A7&amp;" x"&amp;'奖励表'!B7</x:f>
        <x:v>TT_NEW_03 x20</x:v>
      </x:c>
      <x:c r="B24" t="n">
        <x:f>'奖励表'!C7</x:f>
        <x:v>3</x:v>
      </x:c>
      <x:c r="C24" t="n">
        <x:v>500</x:v>
      </x:c>
    </x:row>
    <x:row r="25">
      <x:c r="A25" t="str">
        <x:f>'奖励表'!A8&amp;" x"&amp;'奖励表'!B8</x:f>
        <x:v>TT_NEW_06 x2</x:v>
      </x:c>
      <x:c r="B25" t="n">
        <x:f>'奖励表'!C8</x:f>
        <x:v>3</x:v>
      </x:c>
      <x:c r="C25" t="n">
        <x:v>500</x:v>
      </x:c>
    </x:row>
    <x:row r="26">
      <x:c r="A26" t="str">
        <x:f>'奖励表'!A9&amp;" x"&amp;'奖励表'!B9</x:f>
        <x:v>TT_NEW_06 x5</x:v>
      </x:c>
      <x:c r="B26" t="n">
        <x:f>'奖励表'!C9</x:f>
        <x:v>45</x:v>
      </x:c>
      <x:c r="C26" t="n">
        <x:v>500</x:v>
      </x:c>
    </x:row>
    <x:row r="27">
      <x:c r="A27"/>
      <x:c r="B27"/>
      <x:c r="C27" t="n">
        <x:v>500</x:v>
      </x:c>
    </x:row>
  </x:sheetData>
  <x:mergeCells>
    <x:mergeCell ref="A1:N1"/>
    <x:mergeCell ref="A12:C12"/>
    <x:mergeCell ref="A13:C13"/>
    <x:mergeCell ref="A14:C14"/>
    <x:mergeCell ref="A15:C15"/>
    <x:mergeCell ref="A16:C16"/>
    <x:mergeCell ref="A17:C17"/>
    <x:mergeCell ref="A18:C18"/>
  </x:mergeCells>
  <x:pageMargins left="0.7" right="0.7" top="0.75" bottom="0.75" header="0.3" footer="0.3"/>
  <x:drawing xmlns:r="http://schemas.openxmlformats.org/officeDocument/2006/relationships" r:id="Rb1cc9e42e42247c7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46" hidden="0" customWidth="1"/>
  </x:cols>
  <x:sheetData>
    <x:row r="1" ht="36" customHeight="1">
      <x:c r="A1" s="24" t="str">
        <x:v>六段录屏切分覆盖｜固定 1 fps 时间轴</x:v>
      </x:c>
      <x:c r="B1" s="24" t="str">
        <x:v>六段录屏切分覆盖｜固定 1 fps 时间轴</x:v>
      </x:c>
      <x:c r="C1" s="24" t="str">
        <x:v>六段录屏切分覆盖｜固定 1 fps 时间轴</x:v>
      </x:c>
      <x:c r="D1" s="24" t="str">
        <x:v>六段录屏切分覆盖｜固定 1 fps 时间轴</x:v>
      </x:c>
      <x:c r="E1" s="24" t="str">
        <x:v>六段录屏切分覆盖｜固定 1 fps 时间轴</x:v>
      </x:c>
      <x:c r="F1" s="24" t="str">
        <x:v>六段录屏切分覆盖｜固定 1 fps 时间轴</x:v>
      </x:c>
      <x:c r="G1" s="24" t="str">
        <x:v>六段录屏切分覆盖｜固定 1 fps 时间轴</x:v>
      </x:c>
      <x:c r="H1" s="24" t="str">
        <x:v>六段录屏切分覆盖｜固定 1 fps 时间轴</x:v>
      </x:c>
    </x:row>
    <x:row r="3" ht="30" customHeight="1">
      <x:c r="A3" s="35" t="str">
        <x:v>video_id</x:v>
      </x:c>
      <x:c r="B3" s="36" t="str">
        <x:v>总定位秒数</x:v>
      </x:c>
      <x:c r="C3" s="36" t="str">
        <x:v>已确认秒数</x:v>
      </x:c>
      <x:c r="D3" s="36" t="str">
        <x:v>待复核秒数</x:v>
      </x:c>
      <x:c r="E3" s="36" t="str">
        <x:v>可核账窗口</x:v>
      </x:c>
      <x:c r="F3" s="36" t="str">
        <x:v>模块数</x:v>
      </x:c>
      <x:c r="G3" s="36" t="str">
        <x:v>P0 定位</x:v>
      </x:c>
      <x:c r="H3" s="37" t="str">
        <x:v>备注</x:v>
      </x:c>
    </x:row>
    <x:row r="4">
      <x:c r="A4" t="str">
        <x:v>TT_NEW_01</x:v>
      </x:c>
      <x:c r="B4" t="n">
        <x:f>SUMIFS('分段样本'!$G$2:$G$392,'分段样本'!$B$2:$B$392,A4)</x:f>
        <x:v>627</x:v>
      </x:c>
      <x:c r="C4" t="n">
        <x:f>SUMIFS('分段样本'!$G$2:$G$392,'分段样本'!$B$2:$B$392,A4,'分段样本'!$N$2:$N$392,"已确认")</x:f>
        <x:v>490</x:v>
      </x:c>
      <x:c r="D4" t="n">
        <x:f>B4-C4</x:f>
        <x:v>137</x:v>
      </x:c>
      <x:c r="E4" t="n">
        <x:f>COUNTIFS('分段样本'!$B$2:$B$392,A4,'分段样本'!$J$2:$J$392,"是")</x:f>
        <x:v>7</x:v>
      </x:c>
      <x:c r="F4" t="n">
        <x:v>6</x:v>
      </x:c>
      <x:c r="G4" t="str">
        <x:f>IF(B4&gt;0,"通过","缺口")</x:f>
        <x:v>通过</x:v>
      </x:c>
      <x:c r="H4" t="str">
        <x:f>IF(A4="TT_NEW_02","独立小游戏；不进入主循环","模块已定位；核账能力按 SegmentLog")</x:f>
        <x:v>模块已定位；核账能力按 SegmentLog</x:v>
      </x:c>
    </x:row>
    <x:row r="5">
      <x:c r="A5" t="str">
        <x:v>TT_NEW_02</x:v>
      </x:c>
      <x:c r="B5" t="n">
        <x:f>SUMIFS('分段样本'!$G$2:$G$392,'分段样本'!$B$2:$B$392,A5)</x:f>
        <x:v>103</x:v>
      </x:c>
      <x:c r="C5" t="n">
        <x:f>SUMIFS('分段样本'!$G$2:$G$392,'分段样本'!$B$2:$B$392,A5,'分段样本'!$N$2:$N$392,"已确认")</x:f>
        <x:v>103</x:v>
      </x:c>
      <x:c r="D5" t="n">
        <x:f>B5-C5</x:f>
        <x:v>0</x:v>
      </x:c>
      <x:c r="E5" t="n">
        <x:f>COUNTIFS('分段样本'!$B$2:$B$392,A5,'分段样本'!$J$2:$J$392,"是")</x:f>
        <x:v>0</x:v>
      </x:c>
      <x:c r="F5" t="n">
        <x:v>1</x:v>
      </x:c>
      <x:c r="G5" t="str">
        <x:f>IF(B5&gt;0,"通过","缺口")</x:f>
        <x:v>通过</x:v>
      </x:c>
      <x:c r="H5" t="str">
        <x:f>IF(A5="TT_NEW_02","独立小游戏；不进入主循环","模块已定位；核账能力按 SegmentLog")</x:f>
        <x:v>独立小游戏；不进入主循环</x:v>
      </x:c>
    </x:row>
    <x:row r="6">
      <x:c r="A6" t="str">
        <x:v>TT_NEW_03</x:v>
      </x:c>
      <x:c r="B6" t="n">
        <x:f>SUMIFS('分段样本'!$G$2:$G$392,'分段样本'!$B$2:$B$392,A6)</x:f>
        <x:v>3916</x:v>
      </x:c>
      <x:c r="C6" t="n">
        <x:f>SUMIFS('分段样本'!$G$2:$G$392,'分段样本'!$B$2:$B$392,A6,'分段样本'!$N$2:$N$392,"已确认")</x:f>
        <x:v>2890</x:v>
      </x:c>
      <x:c r="D6" t="n">
        <x:f>B6-C6</x:f>
        <x:v>1026</x:v>
      </x:c>
      <x:c r="E6" t="n">
        <x:f>COUNTIFS('分段样本'!$B$2:$B$392,A6,'分段样本'!$J$2:$J$392,"是")</x:f>
        <x:v>14</x:v>
      </x:c>
      <x:c r="F6" t="n">
        <x:v>6</x:v>
      </x:c>
      <x:c r="G6" t="str">
        <x:f>IF(B6&gt;0,"通过","缺口")</x:f>
        <x:v>通过</x:v>
      </x:c>
      <x:c r="H6" t="str">
        <x:f>IF(A6="TT_NEW_02","独立小游戏；不进入主循环","模块已定位；核账能力按 SegmentLog")</x:f>
        <x:v>模块已定位；核账能力按 SegmentLog</x:v>
      </x:c>
    </x:row>
    <x:row r="7">
      <x:c r="A7" t="str">
        <x:v>TT_NEW_04</x:v>
      </x:c>
      <x:c r="B7" t="n">
        <x:f>SUMIFS('分段样本'!$G$2:$G$392,'分段样本'!$B$2:$B$392,A7)</x:f>
        <x:v>3996</x:v>
      </x:c>
      <x:c r="C7" t="n">
        <x:f>SUMIFS('分段样本'!$G$2:$G$392,'分段样本'!$B$2:$B$392,A7,'分段样本'!$N$2:$N$392,"已确认")</x:f>
        <x:v>2576</x:v>
      </x:c>
      <x:c r="D7" t="n">
        <x:f>B7-C7</x:f>
        <x:v>1420</x:v>
      </x:c>
      <x:c r="E7" t="n">
        <x:f>COUNTIFS('分段样本'!$B$2:$B$392,A7,'分段样本'!$J$2:$J$392,"是")</x:f>
        <x:v>6</x:v>
      </x:c>
      <x:c r="F7" t="n">
        <x:v>5</x:v>
      </x:c>
      <x:c r="G7" t="str">
        <x:f>IF(B7&gt;0,"通过","缺口")</x:f>
        <x:v>通过</x:v>
      </x:c>
      <x:c r="H7" t="str">
        <x:f>IF(A7="TT_NEW_02","独立小游戏；不进入主循环","模块已定位；核账能力按 SegmentLog")</x:f>
        <x:v>模块已定位；核账能力按 SegmentLog</x:v>
      </x:c>
    </x:row>
    <x:row r="8">
      <x:c r="A8" t="str">
        <x:v>TT_NEW_05</x:v>
      </x:c>
      <x:c r="B8" t="n">
        <x:f>SUMIFS('分段样本'!$G$2:$G$392,'分段样本'!$B$2:$B$392,A8)</x:f>
        <x:v>2000</x:v>
      </x:c>
      <x:c r="C8" t="n">
        <x:f>SUMIFS('分段样本'!$G$2:$G$392,'分段样本'!$B$2:$B$392,A8,'分段样本'!$N$2:$N$392,"已确认")</x:f>
        <x:v>1660</x:v>
      </x:c>
      <x:c r="D8" t="n">
        <x:f>B8-C8</x:f>
        <x:v>340</x:v>
      </x:c>
      <x:c r="E8" t="n">
        <x:f>COUNTIFS('分段样本'!$B$2:$B$392,A8,'分段样本'!$J$2:$J$392,"是")</x:f>
        <x:v>4</x:v>
      </x:c>
      <x:c r="F8" t="n">
        <x:v>6</x:v>
      </x:c>
      <x:c r="G8" t="str">
        <x:f>IF(B8&gt;0,"通过","缺口")</x:f>
        <x:v>通过</x:v>
      </x:c>
      <x:c r="H8" t="str">
        <x:f>IF(A8="TT_NEW_02","独立小游戏；不进入主循环","模块已定位；核账能力按 SegmentLog")</x:f>
        <x:v>模块已定位；核账能力按 SegmentLog</x:v>
      </x:c>
    </x:row>
    <x:row r="9">
      <x:c r="A9" t="str">
        <x:v>TT_NEW_06</x:v>
      </x:c>
      <x:c r="B9" t="n">
        <x:f>SUMIFS('分段样本'!$G$2:$G$392,'分段样本'!$B$2:$B$392,A9)</x:f>
        <x:v>587</x:v>
      </x:c>
      <x:c r="C9" t="n">
        <x:f>SUMIFS('分段样本'!$G$2:$G$392,'分段样本'!$B$2:$B$392,A9,'分段样本'!$N$2:$N$392,"已确认")</x:f>
        <x:v>510</x:v>
      </x:c>
      <x:c r="D9" t="n">
        <x:f>B9-C9</x:f>
        <x:v>77</x:v>
      </x:c>
      <x:c r="E9" t="n">
        <x:f>COUNTIFS('分段样本'!$B$2:$B$392,A9,'分段样本'!$J$2:$J$392,"是")</x:f>
        <x:v>8</x:v>
      </x:c>
      <x:c r="F9" t="n">
        <x:v>4</x:v>
      </x:c>
      <x:c r="G9" t="str">
        <x:f>IF(B9&gt;0,"通过","缺口")</x:f>
        <x:v>通过</x:v>
      </x:c>
      <x:c r="H9" t="str">
        <x:f>IF(A9="TT_NEW_02","独立小游戏；不进入主循环","模块已定位；核账能力按 SegmentLog")</x:f>
        <x:v>模块已定位；核账能力按 SegmentLog</x:v>
      </x:c>
    </x:row>
    <x:row r="12" ht="30" customHeight="1">
      <x:c r="A12" s="35" t="str">
        <x:v>模块</x:v>
      </x:c>
      <x:c r="B12" s="36" t="str">
        <x:v>定位秒数</x:v>
      </x:c>
      <x:c r="C12" s="36" t="str">
        <x:v>时长占比</x:v>
      </x:c>
      <x:c r="D12" s="36" t="str">
        <x:v>切分段数</x:v>
      </x:c>
      <x:c r="E12" s="36" t="str">
        <x:v>可核账窗口</x:v>
      </x:c>
      <x:c r="F12" s="36" t="str">
        <x:v>P0 目标</x:v>
      </x:c>
      <x:c r="G12" s="37" t="str">
        <x:v>验收</x:v>
      </x:c>
    </x:row>
    <x:row r="13">
      <x:c r="A13" t="str">
        <x:v>Slot</x:v>
      </x:c>
      <x:c r="B13" t="n">
        <x:f>SUMIFS('分段样本'!$G$2:$G$392,'分段样本'!$H$2:$H$392,A13)</x:f>
        <x:v>4780</x:v>
      </x:c>
      <x:c r="C13" s="38" t="n">
        <x:f>IFERROR(B13/SUM($B$13:$B$18),0)</x:f>
        <x:v>0.4256834980853148</x:v>
      </x:c>
      <x:c r="D13" t="n">
        <x:f>COUNTIF('分段样本'!$H$2:$H$392,A13)</x:f>
        <x:v>113</x:v>
      </x:c>
      <x:c r="E13" t="n">
        <x:f>COUNTIFS('分段样本'!$H$2:$H$392,A13,'分段样本'!$J$2:$J$392,"是")</x:f>
        <x:v>19</x:v>
      </x:c>
      <x:c r="F13" t="n">
        <x:f>IF(A13="转场/加载","不适用",1)</x:f>
        <x:v>1</x:v>
      </x:c>
      <x:c r="G13" t="str">
        <x:f>IF(F13="不适用","不适用",IF(E13&gt;=F13,"通过","缺口"))</x:f>
        <x:v>通过</x:v>
      </x:c>
    </x:row>
    <x:row r="14">
      <x:c r="A14" t="str">
        <x:v>建造</x:v>
      </x:c>
      <x:c r="B14" t="n">
        <x:f>SUMIFS('分段样本'!$G$2:$G$392,'分段样本'!$H$2:$H$392,A14)</x:f>
        <x:v>3616</x:v>
      </x:c>
      <x:c r="C14" s="38" t="n">
        <x:f>IFERROR(B14/SUM($B$13:$B$18),0)</x:f>
        <x:v>0.3220233324427821</x:v>
      </x:c>
      <x:c r="D14" t="n">
        <x:f>COUNTIF('分段样本'!$H$2:$H$392,A14)</x:f>
        <x:v>105</x:v>
      </x:c>
      <x:c r="E14" t="n">
        <x:f>COUNTIFS('分段样本'!$H$2:$H$392,A14,'分段样本'!$J$2:$J$392,"是")</x:f>
        <x:v>20</x:v>
      </x:c>
      <x:c r="F14" t="n">
        <x:f>IF(A14="转场/加载","不适用",1)</x:f>
        <x:v>1</x:v>
      </x:c>
      <x:c r="G14" t="str">
        <x:f>IF(F14="不适用","不适用",IF(E14&gt;=F14,"通过","缺口"))</x:f>
        <x:v>通过</x:v>
      </x:c>
    </x:row>
    <x:row r="15">
      <x:c r="A15" t="str">
        <x:v>主进度</x:v>
      </x:c>
      <x:c r="B15" t="n">
        <x:f>SUMIFS('分段样本'!$G$2:$G$392,'分段样本'!$H$2:$H$392,A15)</x:f>
        <x:v>80</x:v>
      </x:c>
      <x:c r="C15" s="38" t="n">
        <x:f>IFERROR(B15/SUM($B$13:$B$18),0)</x:f>
        <x:v>0.0071244100097960636</x:v>
      </x:c>
      <x:c r="D15" t="n">
        <x:f>COUNTIF('分段样本'!$H$2:$H$392,A15)</x:f>
        <x:v>7</x:v>
      </x:c>
      <x:c r="E15" t="n">
        <x:f>COUNTIFS('分段样本'!$H$2:$H$392,A15,'分段样本'!$J$2:$J$392,"是")</x:f>
        <x:v>0</x:v>
      </x:c>
      <x:c r="F15" t="n">
        <x:f>IF(A15="转场/加载","不适用",1)</x:f>
        <x:v>1</x:v>
      </x:c>
      <x:c r="G15" t="str">
        <x:f>IF(F15="不适用","不适用",IF(E15&gt;=F15,"通过","缺口"))</x:f>
        <x:v>缺口</x:v>
      </x:c>
    </x:row>
    <x:row r="16">
      <x:c r="A16" t="str">
        <x:v>小游戏</x:v>
      </x:c>
      <x:c r="B16" t="n">
        <x:f>SUMIFS('分段样本'!$G$2:$G$392,'分段样本'!$H$2:$H$392,A16)</x:f>
        <x:v>1343</x:v>
      </x:c>
      <x:c r="C16" s="38" t="n">
        <x:f>IFERROR(B16/SUM($B$13:$B$18),0)</x:f>
        <x:v>0.11960103303945142</x:v>
      </x:c>
      <x:c r="D16" t="n">
        <x:f>COUNTIF('分段样本'!$H$2:$H$392,A16)</x:f>
        <x:v>70</x:v>
      </x:c>
      <x:c r="E16" t="n">
        <x:f>COUNTIFS('分段样本'!$H$2:$H$392,A16,'分段样本'!$J$2:$J$392,"是")</x:f>
        <x:v>0</x:v>
      </x:c>
      <x:c r="F16" t="n">
        <x:f>IF(A16="转场/加载","不适用",1)</x:f>
        <x:v>1</x:v>
      </x:c>
      <x:c r="G16" t="str">
        <x:f>IF(F16="不适用","不适用",IF(E16&gt;=F16,"通过","缺口"))</x:f>
        <x:v>缺口</x:v>
      </x:c>
    </x:row>
    <x:row r="17">
      <x:c r="A17" t="str">
        <x:v>礼包</x:v>
      </x:c>
      <x:c r="B17" t="n">
        <x:f>SUMIFS('分段样本'!$G$2:$G$392,'分段样本'!$H$2:$H$392,A17)</x:f>
        <x:v>950</x:v>
      </x:c>
      <x:c r="C17" s="38" t="n">
        <x:f>IFERROR(B17/SUM($B$13:$B$18),0)</x:f>
        <x:v>0.08460236886632826</x:v>
      </x:c>
      <x:c r="D17" t="n">
        <x:f>COUNTIF('分段样本'!$H$2:$H$392,A17)</x:f>
        <x:v>62</x:v>
      </x:c>
      <x:c r="E17" t="n">
        <x:f>COUNTIFS('分段样本'!$H$2:$H$392,A17,'分段样本'!$J$2:$J$392,"是")</x:f>
        <x:v>0</x:v>
      </x:c>
      <x:c r="F17" t="n">
        <x:f>IF(A17="转场/加载","不适用",1)</x:f>
        <x:v>1</x:v>
      </x:c>
      <x:c r="G17" t="str">
        <x:f>IF(F17="不适用","不适用",IF(E17&gt;=F17,"通过","缺口"))</x:f>
        <x:v>缺口</x:v>
      </x:c>
    </x:row>
    <x:row r="18">
      <x:c r="A18" t="str">
        <x:v>转场/加载</x:v>
      </x:c>
      <x:c r="B18" t="n">
        <x:f>SUMIFS('分段样本'!$G$2:$G$392,'分段样本'!$H$2:$H$392,A18)</x:f>
        <x:v>460</x:v>
      </x:c>
      <x:c r="C18" s="38" t="n">
        <x:f>IFERROR(B18/SUM($B$13:$B$18),0)</x:f>
        <x:v>0.04096535755632737</x:v>
      </x:c>
      <x:c r="D18" t="n">
        <x:f>COUNTIF('分段样本'!$H$2:$H$392,A18)</x:f>
        <x:v>34</x:v>
      </x:c>
      <x:c r="E18" t="n">
        <x:f>COUNTIFS('分段样本'!$H$2:$H$392,A18,'分段样本'!$J$2:$J$392,"是")</x:f>
        <x:v>0</x:v>
      </x:c>
      <x:c r="F18" t="str">
        <x:f>IF(A18="转场/加载","不适用",1)</x:f>
        <x:v>不适用</x:v>
      </x:c>
      <x:c r="G18" t="str">
        <x:f>IF(F18="不适用","不适用",IF(E18&gt;=F18,"通过","缺口"))</x:f>
        <x:v>不适用</x:v>
      </x:c>
    </x:row>
    <x:row r="20">
      <x:c r="A20" s="66" t="str">
        <x:v>口径：定位秒数覆盖 11,229 个固定帧索引；浏览关键帧只用于辅助识别。</x:v>
      </x:c>
      <x:c r="B20" s="67"/>
      <x:c r="C20" s="67"/>
      <x:c r="D20" s="67"/>
      <x:c r="E20" s="67"/>
      <x:c r="F20" s="67"/>
      <x:c r="G20" s="67"/>
      <x:c r="H20" s="68"/>
    </x:row>
    <x:row r="21">
      <x:c r="A21" s="69" t="str">
        <x:v>当前只有 Slot 与建造形成可连续核账窗口；主进度、小游戏、礼包仍缺完整起止快照。</x:v>
      </x:c>
      <x:c r="B21" s="70"/>
      <x:c r="C21" s="70"/>
      <x:c r="D21" s="70"/>
      <x:c r="E21" s="70"/>
      <x:c r="F21" s="70"/>
      <x:c r="G21" s="70"/>
      <x:c r="H21" s="71"/>
    </x:row>
    <x:row r="22">
      <x:c r="A22" s="72" t="str">
        <x:v>“待复核”表示画面原型定位或边界近似，不进入概率/成本主样本。</x:v>
      </x:c>
      <x:c r="B22" s="73"/>
      <x:c r="C22" s="73"/>
      <x:c r="D22" s="73"/>
      <x:c r="E22" s="73"/>
      <x:c r="F22" s="73"/>
      <x:c r="G22" s="73"/>
      <x:c r="H22" s="74"/>
    </x:row>
  </x:sheetData>
  <x:mergeCells>
    <x:mergeCell ref="A1:H1"/>
    <x:mergeCell ref="A20:H20"/>
    <x:mergeCell ref="A21:H21"/>
    <x:mergeCell ref="A22:H22"/>
  </x:mergeCells>
  <x:conditionalFormatting sqref="G13:G18">
    <x:cfRule type="containsText" dxfId="0" priority="1" operator="containsText" text="缺口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</x:cols>
  <x:sheetData>
    <x:row r="1" ht="36" customHeight="1">
      <x:c r="A1" s="24" t="str">
        <x:v>建造成本曲线｜10 秒窗口量级，不等同单次点击配置</x:v>
      </x:c>
      <x:c r="B1" s="24" t="str">
        <x:v>建造成本曲线｜10 秒窗口量级，不等同单次点击配置</x:v>
      </x:c>
      <x:c r="C1" s="24" t="str">
        <x:v>建造成本曲线｜10 秒窗口量级，不等同单次点击配置</x:v>
      </x:c>
      <x:c r="D1" s="24" t="str">
        <x:v>建造成本曲线｜10 秒窗口量级，不等同单次点击配置</x:v>
      </x:c>
      <x:c r="E1" s="24" t="str">
        <x:v>建造成本曲线｜10 秒窗口量级，不等同单次点击配置</x:v>
      </x:c>
      <x:c r="F1" s="24" t="str">
        <x:v>建造成本曲线｜10 秒窗口量级，不等同单次点击配置</x:v>
      </x:c>
      <x:c r="G1" s="24" t="str">
        <x:v>建造成本曲线｜10 秒窗口量级，不等同单次点击配置</x:v>
      </x:c>
      <x:c r="H1" s="24" t="str">
        <x:v>建造成本曲线｜10 秒窗口量级，不等同单次点击配置</x:v>
      </x:c>
      <x:c r="I1" s="24" t="str">
        <x:v>建造成本曲线｜10 秒窗口量级，不等同单次点击配置</x:v>
      </x:c>
    </x:row>
    <x:row r="3" ht="30" customHeight="1">
      <x:c r="A3" s="35" t="str">
        <x:v>章节/区域</x:v>
      </x:c>
      <x:c r="B3" s="36" t="str">
        <x:v>视频数</x:v>
      </x:c>
      <x:c r="C3" s="36" t="str">
        <x:v>可用窗口</x:v>
      </x:c>
      <x:c r="D3" s="36" t="str">
        <x:v>金币总消耗</x:v>
      </x:c>
      <x:c r="E3" s="36" t="str">
        <x:v>进度总增量</x:v>
      </x:c>
      <x:c r="F3" s="36" t="str">
        <x:v>加权金币/进度</x:v>
      </x:c>
      <x:c r="G3" s="36" t="str">
        <x:v>窗口均值</x:v>
      </x:c>
      <x:c r="H3" s="36" t="str">
        <x:v>最小</x:v>
      </x:c>
      <x:c r="I3" s="36" t="str">
        <x:v>最大</x:v>
      </x:c>
    </x:row>
    <x:row r="4">
      <x:c r="A4" s="85" t="str">
        <x:v>Apex Rush</x:v>
      </x:c>
      <x:c r="B4" s="39" t="n">
        <x:v>1</x:v>
      </x:c>
      <x:c r="C4" s="39" t="n">
        <x:f>COUNTIFS('建造样本'!$F$2:$F$49,A4,'建造样本'!$T$2:$T$49,"是")</x:f>
        <x:v>1</x:v>
      </x:c>
      <x:c r="D4" s="84" t="n">
        <x:f>SUMIFS('建造样本'!$J$2:$J$49,'建造样本'!$F$2:$F$49,A4,'建造样本'!$T$2:$T$49,"是")</x:f>
        <x:v>708149</x:v>
      </x:c>
      <x:c r="E4" s="84" t="n">
        <x:f>SUMIFS('建造样本'!$R$2:$R$49,'建造样本'!$F$2:$F$49,A4,'建造样本'!$T$2:$T$49,"是")</x:f>
        <x:v>15000</x:v>
      </x:c>
      <x:c r="F4" s="84" t="n">
        <x:f>IFERROR(D4/E4,"")</x:f>
        <x:v>47.20993333333333</x:v>
      </x:c>
      <x:c r="G4" s="84" t="n">
        <x:f>IFERROR(SUMIFS('建造样本'!$S$2:$S$49,'建造样本'!$F$2:$F$49,A4,'建造样本'!$T$2:$T$49,"是")/COUNTIFS('建造样本'!$F$2:$F$49,A4,'建造样本'!$T$2:$T$49,"是"),"")</x:f>
        <x:v>47.2099</x:v>
      </x:c>
      <x:c r="H4" s="84" t="n">
        <x:f>IFERROR(MINIFS('建造样本'!$S$2:$S$49,'建造样本'!$F$2:$F$49,A4,'建造样本'!$T$2:$T$49,"是"),"")</x:f>
        <x:v>47.2099</x:v>
      </x:c>
      <x:c r="I4" s="84" t="n">
        <x:f>IFERROR(MAXIFS('建造样本'!$S$2:$S$49,'建造样本'!$F$2:$F$49,A4,'建造样本'!$T$2:$T$49,"是"),"")</x:f>
        <x:v>47.2099</x:v>
      </x:c>
    </x:row>
    <x:row r="5">
      <x:c r="A5" s="85" t="str">
        <x:v>Circus Mirage</x:v>
      </x:c>
      <x:c r="B5" s="39" t="n">
        <x:v>1</x:v>
      </x:c>
      <x:c r="C5" s="39" t="n">
        <x:f>COUNTIFS('建造样本'!$F$2:$F$49,A5,'建造样本'!$T$2:$T$49,"是")</x:f>
        <x:v>2</x:v>
      </x:c>
      <x:c r="D5" s="84" t="n">
        <x:f>SUMIFS('建造样本'!$J$2:$J$49,'建造样本'!$F$2:$F$49,A5,'建造样本'!$T$2:$T$49,"是")</x:f>
        <x:v>3140811</x:v>
      </x:c>
      <x:c r="E5" s="84" t="n">
        <x:f>SUMIFS('建造样本'!$R$2:$R$49,'建造样本'!$F$2:$F$49,A5,'建造样本'!$T$2:$T$49,"是")</x:f>
        <x:v>38000</x:v>
      </x:c>
      <x:c r="F5" s="84" t="n">
        <x:f>IFERROR(D5/E5,"")</x:f>
        <x:v>82.65292105263158</x:v>
      </x:c>
      <x:c r="G5" s="84" t="n">
        <x:f>IFERROR(SUMIFS('建造样本'!$S$2:$S$49,'建造样本'!$F$2:$F$49,A5,'建造样本'!$T$2:$T$49,"是")/COUNTIFS('建造样本'!$F$2:$F$49,A5,'建造样本'!$T$2:$T$49,"是"),"")</x:f>
        <x:v>74.43535</x:v>
      </x:c>
      <x:c r="H5" s="84" t="n">
        <x:f>IFERROR(MINIFS('建造样本'!$S$2:$S$49,'建造样本'!$F$2:$F$49,A5,'建造样本'!$T$2:$T$49,"是"),"")</x:f>
        <x:v>43.2086</x:v>
      </x:c>
      <x:c r="I5" s="84" t="n">
        <x:f>IFERROR(MAXIFS('建造样本'!$S$2:$S$49,'建造样本'!$F$2:$F$49,A5,'建造样本'!$T$2:$T$49,"是"),"")</x:f>
        <x:v>105.6621</x:v>
      </x:c>
    </x:row>
    <x:row r="6">
      <x:c r="A6" s="85" t="str">
        <x:v>Emerald Trail</x:v>
      </x:c>
      <x:c r="B6" s="39" t="n">
        <x:v>1</x:v>
      </x:c>
      <x:c r="C6" s="39" t="n">
        <x:f>COUNTIFS('建造样本'!$F$2:$F$49,A6,'建造样本'!$T$2:$T$49,"是")</x:f>
        <x:v>1</x:v>
      </x:c>
      <x:c r="D6" s="84" t="n">
        <x:f>SUMIFS('建造样本'!$J$2:$J$49,'建造样本'!$F$2:$F$49,A6,'建造样本'!$T$2:$T$49,"是")</x:f>
        <x:v>8926385</x:v>
      </x:c>
      <x:c r="E6" s="84" t="n">
        <x:f>SUMIFS('建造样本'!$R$2:$R$49,'建造样本'!$F$2:$F$49,A6,'建造样本'!$T$2:$T$49,"是")</x:f>
        <x:v>5000</x:v>
      </x:c>
      <x:c r="F6" s="84" t="n">
        <x:f>IFERROR(D6/E6,"")</x:f>
        <x:v>1785.277</x:v>
      </x:c>
      <x:c r="G6" s="84" t="n">
        <x:f>IFERROR(SUMIFS('建造样本'!$S$2:$S$49,'建造样本'!$F$2:$F$49,A6,'建造样本'!$T$2:$T$49,"是")/COUNTIFS('建造样本'!$F$2:$F$49,A6,'建造样本'!$T$2:$T$49,"是"),"")</x:f>
        <x:v>1785.277</x:v>
      </x:c>
      <x:c r="H6" s="84" t="n">
        <x:f>IFERROR(MINIFS('建造样本'!$S$2:$S$49,'建造样本'!$F$2:$F$49,A6,'建造样本'!$T$2:$T$49,"是"),"")</x:f>
        <x:v>1785.277</x:v>
      </x:c>
      <x:c r="I6" s="84" t="n">
        <x:f>IFERROR(MAXIFS('建造样本'!$S$2:$S$49,'建造样本'!$F$2:$F$49,A6,'建造样本'!$T$2:$T$49,"是"),"")</x:f>
        <x:v>1785.277</x:v>
      </x:c>
    </x:row>
    <x:row r="7">
      <x:c r="A7" s="85" t="str">
        <x:v>Epic Splash</x:v>
      </x:c>
      <x:c r="B7" s="39" t="n">
        <x:v>1</x:v>
      </x:c>
      <x:c r="C7" s="39" t="n">
        <x:f>COUNTIFS('建造样本'!$F$2:$F$49,A7,'建造样本'!$T$2:$T$49,"是")</x:f>
        <x:v>1</x:v>
      </x:c>
      <x:c r="D7" s="84" t="n">
        <x:f>SUMIFS('建造样本'!$J$2:$J$49,'建造样本'!$F$2:$F$49,A7,'建造样本'!$T$2:$T$49,"是")</x:f>
        <x:v>1102558</x:v>
      </x:c>
      <x:c r="E7" s="84" t="n">
        <x:f>SUMIFS('建造样本'!$R$2:$R$49,'建造样本'!$F$2:$F$49,A7,'建造样本'!$T$2:$T$49,"是")</x:f>
        <x:v>18000</x:v>
      </x:c>
      <x:c r="F7" s="84" t="n">
        <x:f>IFERROR(D7/E7,"")</x:f>
        <x:v>61.25322222222222</x:v>
      </x:c>
      <x:c r="G7" s="84" t="n">
        <x:f>IFERROR(SUMIFS('建造样本'!$S$2:$S$49,'建造样本'!$F$2:$F$49,A7,'建造样本'!$T$2:$T$49,"是")/COUNTIFS('建造样本'!$F$2:$F$49,A7,'建造样本'!$T$2:$T$49,"是"),"")</x:f>
        <x:v>61.2532</x:v>
      </x:c>
      <x:c r="H7" s="84" t="n">
        <x:f>IFERROR(MINIFS('建造样本'!$S$2:$S$49,'建造样本'!$F$2:$F$49,A7,'建造样本'!$T$2:$T$49,"是"),"")</x:f>
        <x:v>61.2532</x:v>
      </x:c>
      <x:c r="I7" s="84" t="n">
        <x:f>IFERROR(MAXIFS('建造样本'!$S$2:$S$49,'建造样本'!$F$2:$F$49,A7,'建造样本'!$T$2:$T$49,"是"),"")</x:f>
        <x:v>61.2532</x:v>
      </x:c>
    </x:row>
    <x:row r="8">
      <x:c r="A8" s="85" t="str">
        <x:v>Fable Haven</x:v>
      </x:c>
      <x:c r="B8" s="39" t="n">
        <x:v>1</x:v>
      </x:c>
      <x:c r="C8" s="39" t="n">
        <x:f>COUNTIFS('建造样本'!$F$2:$F$49,A8,'建造样本'!$T$2:$T$49,"是")</x:f>
        <x:v>5</x:v>
      </x:c>
      <x:c r="D8" s="84" t="n">
        <x:f>SUMIFS('建造样本'!$J$2:$J$49,'建造样本'!$F$2:$F$49,A8,'建造样本'!$T$2:$T$49,"是")</x:f>
        <x:v>2704763</x:v>
      </x:c>
      <x:c r="E8" s="84" t="n">
        <x:f>SUMIFS('建造样本'!$R$2:$R$49,'建造样本'!$F$2:$F$49,A8,'建造样本'!$T$2:$T$49,"是")</x:f>
        <x:v>28000</x:v>
      </x:c>
      <x:c r="F8" s="84" t="n">
        <x:f>IFERROR(D8/E8,"")</x:f>
        <x:v>96.59867857142856</x:v>
      </x:c>
      <x:c r="G8" s="84" t="n">
        <x:f>IFERROR(SUMIFS('建造样本'!$S$2:$S$49,'建造样本'!$F$2:$F$49,A8,'建造样本'!$T$2:$T$49,"是")/COUNTIFS('建造样本'!$F$2:$F$49,A8,'建造样本'!$T$2:$T$49,"是"),"")</x:f>
        <x:v>141.85622</x:v>
      </x:c>
      <x:c r="H8" s="84" t="n">
        <x:f>IFERROR(MINIFS('建造样本'!$S$2:$S$49,'建造样本'!$F$2:$F$49,A8,'建造样本'!$T$2:$T$49,"是"),"")</x:f>
        <x:v>0.544</x:v>
      </x:c>
      <x:c r="I8" s="84" t="n">
        <x:f>IFERROR(MAXIFS('建造样本'!$S$2:$S$49,'建造样本'!$F$2:$F$49,A8,'建造样本'!$T$2:$T$49,"是"),"")</x:f>
        <x:v>421.856</x:v>
      </x:c>
    </x:row>
    <x:row r="9">
      <x:c r="A9" s="85" t="str">
        <x:v>Freefall</x:v>
      </x:c>
      <x:c r="B9" s="39" t="n">
        <x:v>1</x:v>
      </x:c>
      <x:c r="C9" s="39" t="n">
        <x:f>COUNTIFS('建造样本'!$F$2:$F$49,A9,'建造样本'!$T$2:$T$49,"是")</x:f>
        <x:v>3</x:v>
      </x:c>
      <x:c r="D9" s="84" t="n">
        <x:f>SUMIFS('建造样本'!$J$2:$J$49,'建造样本'!$F$2:$F$49,A9,'建造样本'!$T$2:$T$49,"是")</x:f>
        <x:v>1261</x:v>
      </x:c>
      <x:c r="E9" s="84" t="n">
        <x:f>SUMIFS('建造样本'!$R$2:$R$49,'建造样本'!$F$2:$F$49,A9,'建造样本'!$T$2:$T$49,"是")</x:f>
        <x:v>11000</x:v>
      </x:c>
      <x:c r="F9" s="84" t="n">
        <x:f>IFERROR(D9/E9,"")</x:f>
        <x:v>0.11463636363636363</x:v>
      </x:c>
      <x:c r="G9" s="84" t="n">
        <x:f>IFERROR(SUMIFS('建造样本'!$S$2:$S$49,'建造样本'!$F$2:$F$49,A9,'建造样本'!$T$2:$T$49,"是")/COUNTIFS('建造样本'!$F$2:$F$49,A9,'建造样本'!$T$2:$T$49,"是"),"")</x:f>
        <x:v>0.10316666666666667</x:v>
      </x:c>
      <x:c r="H9" s="84" t="n">
        <x:f>IFERROR(MINIFS('建造样本'!$S$2:$S$49,'建造样本'!$F$2:$F$49,A9,'建造样本'!$T$2:$T$49,"是"),"")</x:f>
        <x:v>0.028</x:v>
      </x:c>
      <x:c r="I9" s="84" t="n">
        <x:f>IFERROR(MAXIFS('建造样本'!$S$2:$S$49,'建造样本'!$F$2:$F$49,A9,'建造样本'!$T$2:$T$49,"是"),"")</x:f>
        <x:v>0.2278</x:v>
      </x:c>
    </x:row>
    <x:row r="10">
      <x:c r="A10" s="85" t="str">
        <x:v>Natural Gas</x:v>
      </x:c>
      <x:c r="B10" s="39" t="n">
        <x:v>1</x:v>
      </x:c>
      <x:c r="C10" s="39" t="n">
        <x:f>COUNTIFS('建造样本'!$F$2:$F$49,A10,'建造样本'!$T$2:$T$49,"是")</x:f>
        <x:v>3</x:v>
      </x:c>
      <x:c r="D10" s="84" t="n">
        <x:f>SUMIFS('建造样本'!$J$2:$J$49,'建造样本'!$F$2:$F$49,A10,'建造样本'!$T$2:$T$49,"是")</x:f>
        <x:v>6088003</x:v>
      </x:c>
      <x:c r="E10" s="84" t="n">
        <x:f>SUMIFS('建造样本'!$R$2:$R$49,'建造样本'!$F$2:$F$49,A10,'建造样本'!$T$2:$T$49,"是")</x:f>
        <x:v>22000</x:v>
      </x:c>
      <x:c r="F10" s="84" t="n">
        <x:f>IFERROR(D10/E10,"")</x:f>
        <x:v>276.7274090909091</x:v>
      </x:c>
      <x:c r="G10" s="84" t="n">
        <x:f>IFERROR(SUMIFS('建造样本'!$S$2:$S$49,'建造样本'!$F$2:$F$49,A10,'建造样本'!$T$2:$T$49,"是")/COUNTIFS('建造样本'!$F$2:$F$49,A10,'建造样本'!$T$2:$T$49,"是"),"")</x:f>
        <x:v>259.86830000000003</x:v>
      </x:c>
      <x:c r="H10" s="84" t="n">
        <x:f>IFERROR(MINIFS('建造样本'!$S$2:$S$49,'建造样本'!$F$2:$F$49,A10,'建造样本'!$T$2:$T$49,"是"),"")</x:f>
        <x:v>102.3235</x:v>
      </x:c>
      <x:c r="I10" s="84" t="n">
        <x:f>IFERROR(MAXIFS('建造样本'!$S$2:$S$49,'建造样本'!$F$2:$F$49,A10,'建造样本'!$T$2:$T$49,"是"),"")</x:f>
        <x:v>426.7149</x:v>
      </x:c>
    </x:row>
    <x:row r="11">
      <x:c r="A11" s="85" t="str">
        <x:v>Pixie Hollow</x:v>
      </x:c>
      <x:c r="B11" s="39" t="n">
        <x:v>1</x:v>
      </x:c>
      <x:c r="C11" s="39" t="n">
        <x:f>COUNTIFS('建造样本'!$F$2:$F$49,A11,'建造样本'!$T$2:$T$49,"是")</x:f>
        <x:v>1</x:v>
      </x:c>
      <x:c r="D11" s="84" t="n">
        <x:f>SUMIFS('建造样本'!$J$2:$J$49,'建造样本'!$F$2:$F$49,A11,'建造样本'!$T$2:$T$49,"是")</x:f>
        <x:v>451793</x:v>
      </x:c>
      <x:c r="E11" s="84" t="n">
        <x:f>SUMIFS('建造样本'!$R$2:$R$49,'建造样本'!$F$2:$F$49,A11,'建造样本'!$T$2:$T$49,"是")</x:f>
        <x:v>2000</x:v>
      </x:c>
      <x:c r="F11" s="84" t="n">
        <x:f>IFERROR(D11/E11,"")</x:f>
        <x:v>225.8965</x:v>
      </x:c>
      <x:c r="G11" s="84" t="n">
        <x:f>IFERROR(SUMIFS('建造样本'!$S$2:$S$49,'建造样本'!$F$2:$F$49,A11,'建造样本'!$T$2:$T$49,"是")/COUNTIFS('建造样本'!$F$2:$F$49,A11,'建造样本'!$T$2:$T$49,"是"),"")</x:f>
        <x:v>225.8965</x:v>
      </x:c>
      <x:c r="H11" s="84" t="n">
        <x:f>IFERROR(MINIFS('建造样本'!$S$2:$S$49,'建造样本'!$F$2:$F$49,A11,'建造样本'!$T$2:$T$49,"是"),"")</x:f>
        <x:v>225.8965</x:v>
      </x:c>
      <x:c r="I11" s="84" t="n">
        <x:f>IFERROR(MAXIFS('建造样本'!$S$2:$S$49,'建造样本'!$F$2:$F$49,A11,'建造样本'!$T$2:$T$49,"是"),"")</x:f>
        <x:v>225.8965</x:v>
      </x:c>
    </x:row>
    <x:row r="12">
      <x:c r="A12" s="85" t="str">
        <x:v>Port</x:v>
      </x:c>
      <x:c r="B12" s="39" t="n">
        <x:v>2</x:v>
      </x:c>
      <x:c r="C12" s="39" t="n">
        <x:f>COUNTIFS('建造样本'!$F$2:$F$49,A12,'建造样本'!$T$2:$T$49,"是")</x:f>
        <x:v>8</x:v>
      </x:c>
      <x:c r="D12" s="84" t="n">
        <x:f>SUMIFS('建造样本'!$J$2:$J$49,'建造样本'!$F$2:$F$49,A12,'建造样本'!$T$2:$T$49,"是")</x:f>
        <x:v>21828485</x:v>
      </x:c>
      <x:c r="E12" s="84" t="n">
        <x:f>SUMIFS('建造样本'!$R$2:$R$49,'建造样本'!$F$2:$F$49,A12,'建造样本'!$T$2:$T$49,"是")</x:f>
        <x:v>56000</x:v>
      </x:c>
      <x:c r="F12" s="84" t="n">
        <x:f>IFERROR(D12/E12,"")</x:f>
        <x:v>389.794375</x:v>
      </x:c>
      <x:c r="G12" s="84" t="n">
        <x:f>IFERROR(SUMIFS('建造样本'!$S$2:$S$49,'建造样本'!$F$2:$F$49,A12,'建造样本'!$T$2:$T$49,"是")/COUNTIFS('建造样本'!$F$2:$F$49,A12,'建造样本'!$T$2:$T$49,"是"),"")</x:f>
        <x:v>275.675625</x:v>
      </x:c>
      <x:c r="H12" s="84" t="n">
        <x:f>IFERROR(MINIFS('建造样本'!$S$2:$S$49,'建造样本'!$F$2:$F$49,A12,'建造样本'!$T$2:$T$49,"是"),"")</x:f>
        <x:v>0.91</x:v>
      </x:c>
      <x:c r="I12" s="84" t="n">
        <x:f>IFERROR(MAXIFS('建造样本'!$S$2:$S$49,'建造样本'!$F$2:$F$49,A12,'建造样本'!$T$2:$T$49,"是"),"")</x:f>
        <x:v>1172.1962</x:v>
      </x:c>
    </x:row>
    <x:row r="13">
      <x:c r="A13" s="85" t="str">
        <x:v>Sewage Treatment</x:v>
      </x:c>
      <x:c r="B13" s="39" t="n">
        <x:v>1</x:v>
      </x:c>
      <x:c r="C13" s="39" t="n">
        <x:f>COUNTIFS('建造样本'!$F$2:$F$49,A13,'建造样本'!$T$2:$T$49,"是")</x:f>
        <x:v>2</x:v>
      </x:c>
      <x:c r="D13" s="84" t="n">
        <x:f>SUMIFS('建造样本'!$J$2:$J$49,'建造样本'!$F$2:$F$49,A13,'建造样本'!$T$2:$T$49,"是")</x:f>
        <x:v>6223622</x:v>
      </x:c>
      <x:c r="E13" s="84" t="n">
        <x:f>SUMIFS('建造样本'!$R$2:$R$49,'建造样本'!$F$2:$F$49,A13,'建造样本'!$T$2:$T$49,"是")</x:f>
        <x:v>26000</x:v>
      </x:c>
      <x:c r="F13" s="84" t="n">
        <x:f>IFERROR(D13/E13,"")</x:f>
        <x:v>239.37007692307694</x:v>
      </x:c>
      <x:c r="G13" s="84" t="n">
        <x:f>IFERROR(SUMIFS('建造样本'!$S$2:$S$49,'建造样本'!$F$2:$F$49,A13,'建造样本'!$T$2:$T$49,"是")/COUNTIFS('建造样本'!$F$2:$F$49,A13,'建造样本'!$T$2:$T$49,"是"),"")</x:f>
        <x:v>215.6929</x:v>
      </x:c>
      <x:c r="H13" s="84" t="n">
        <x:f>IFERROR(MINIFS('建造样本'!$S$2:$S$49,'建造样本'!$F$2:$F$49,A13,'建造样本'!$T$2:$T$49,"是"),"")</x:f>
        <x:v>61.7911</x:v>
      </x:c>
      <x:c r="I13" s="84" t="n">
        <x:f>IFERROR(MAXIFS('建造样本'!$S$2:$S$49,'建造样本'!$F$2:$F$49,A13,'建造样本'!$T$2:$T$49,"是"),"")</x:f>
        <x:v>369.5947</x:v>
      </x:c>
    </x:row>
    <x:row r="14">
      <x:c r="A14" s="85" t="str">
        <x:v>Sky Plunge</x:v>
      </x:c>
      <x:c r="B14" s="39" t="n">
        <x:v>2</x:v>
      </x:c>
      <x:c r="C14" s="39" t="n">
        <x:f>COUNTIFS('建造样本'!$F$2:$F$49,A14,'建造样本'!$T$2:$T$49,"是")</x:f>
        <x:v>2</x:v>
      </x:c>
      <x:c r="D14" s="84" t="n">
        <x:f>SUMIFS('建造样本'!$J$2:$J$49,'建造样本'!$F$2:$F$49,A14,'建造样本'!$T$2:$T$49,"是")</x:f>
        <x:v>1607649</x:v>
      </x:c>
      <x:c r="E14" s="84" t="n">
        <x:f>SUMIFS('建造样本'!$R$2:$R$49,'建造样本'!$F$2:$F$49,A14,'建造样本'!$T$2:$T$49,"是")</x:f>
        <x:v>21800</x:v>
      </x:c>
      <x:c r="F14" s="84" t="n">
        <x:f>IFERROR(D14/E14,"")</x:f>
        <x:v>73.74536697247706</x:v>
      </x:c>
      <x:c r="G14" s="84" t="n">
        <x:f>IFERROR(SUMIFS('建造样本'!$S$2:$S$49,'建造样本'!$F$2:$F$49,A14,'建造样本'!$T$2:$T$49,"是")/COUNTIFS('建造样本'!$F$2:$F$49,A14,'建造样本'!$T$2:$T$49,"是"),"")</x:f>
        <x:v>120.83760000000001</x:v>
      </x:c>
      <x:c r="H14" s="84" t="n">
        <x:f>IFERROR(MINIFS('建造样本'!$S$2:$S$49,'建造样本'!$F$2:$F$49,A14,'建造样本'!$T$2:$T$49,"是"),"")</x:f>
        <x:v>16.0815</x:v>
      </x:c>
      <x:c r="I14" s="84" t="n">
        <x:f>IFERROR(MAXIFS('建造样本'!$S$2:$S$49,'建造样本'!$F$2:$F$49,A14,'建造样本'!$T$2:$T$49,"是"),"")</x:f>
        <x:v>225.5937</x:v>
      </x:c>
    </x:row>
    <x:row r="15">
      <x:c r="A15" s="86" t="str">
        <x:v>Wind Farm</x:v>
      </x:c>
      <x:c r="B15" s="87" t="n">
        <x:v>1</x:v>
      </x:c>
      <x:c r="C15" s="87" t="n">
        <x:f>COUNTIFS('建造样本'!$F$2:$F$49,A15,'建造样本'!$T$2:$T$49,"是")</x:f>
        <x:v>4</x:v>
      </x:c>
      <x:c r="D15" s="88" t="n">
        <x:f>SUMIFS('建造样本'!$J$2:$J$49,'建造样本'!$F$2:$F$49,A15,'建造样本'!$T$2:$T$49,"是")</x:f>
        <x:v>22199727</x:v>
      </x:c>
      <x:c r="E15" s="88" t="n">
        <x:f>SUMIFS('建造样本'!$R$2:$R$49,'建造样本'!$F$2:$F$49,A15,'建造样本'!$T$2:$T$49,"是")</x:f>
        <x:v>74000</x:v>
      </x:c>
      <x:c r="F15" s="88" t="n">
        <x:f>IFERROR(D15/E15,"")</x:f>
        <x:v>299.9963108108108</x:v>
      </x:c>
      <x:c r="G15" s="88" t="n">
        <x:f>IFERROR(SUMIFS('建造样本'!$S$2:$S$49,'建造样本'!$F$2:$F$49,A15,'建造样本'!$T$2:$T$49,"是")/COUNTIFS('建造样本'!$F$2:$F$49,A15,'建造样本'!$T$2:$T$49,"是"),"")</x:f>
        <x:v>319.476525</x:v>
      </x:c>
      <x:c r="H15" s="88" t="n">
        <x:f>IFERROR(MINIFS('建造样本'!$S$2:$S$49,'建造样本'!$F$2:$F$49,A15,'建造样本'!$T$2:$T$49,"是"),"")</x:f>
        <x:v>108.5103</x:v>
      </x:c>
      <x:c r="I15" s="88" t="n">
        <x:f>IFERROR(MAXIFS('建造样本'!$S$2:$S$49,'建造样本'!$F$2:$F$49,A15,'建造样本'!$T$2:$T$49,"是"),"")</x:f>
        <x:v>594.5123</x:v>
      </x:c>
    </x:row>
    <x:row r="17">
      <x:c r="A17" s="66" t="str">
        <x:v>已恢复 48 个金币下降窗口，其中 33 个同时识别到同目标下的正向区域进度，可用于量级曲线。</x:v>
      </x:c>
      <x:c r="B17" s="67"/>
      <x:c r="C17" s="67"/>
      <x:c r="D17" s="67"/>
      <x:c r="E17" s="67"/>
      <x:c r="F17" s="67"/>
      <x:c r="G17" s="67"/>
      <x:c r="H17" s="67"/>
      <x:c r="I17" s="68"/>
    </x:row>
    <x:row r="18">
      <x:c r="A18" s="69" t="str">
        <x:v>金币/进度随账号阶段、区域、任务组合和 Buff 混合变化；当前不能拟合服务端单击成本公式。</x:v>
      </x:c>
      <x:c r="B18" s="70"/>
      <x:c r="C18" s="70"/>
      <x:c r="D18" s="70"/>
      <x:c r="E18" s="70"/>
      <x:c r="F18" s="70"/>
      <x:c r="G18" s="70"/>
      <x:c r="H18" s="70"/>
      <x:c r="I18" s="71"/>
    </x:row>
    <x:row r="19">
      <x:c r="A19" s="69" t="str">
        <x:v>进度回退、区域切换、OCR 数字格式异常的 15 行保留在建造样本中，但不进入曲线。</x:v>
      </x:c>
      <x:c r="B19" s="70"/>
      <x:c r="C19" s="70"/>
      <x:c r="D19" s="70"/>
      <x:c r="E19" s="70"/>
      <x:c r="F19" s="70"/>
      <x:c r="G19" s="70"/>
      <x:c r="H19" s="70"/>
      <x:c r="I19" s="71"/>
    </x:row>
    <x:row r="20">
      <x:c r="A20" s="72" t="str">
        <x:v>金币枯竭：录屏可见 Insufficient coins；精确首次枯竭点仍需无剪辑起止余额。</x:v>
      </x:c>
      <x:c r="B20" s="73"/>
      <x:c r="C20" s="73"/>
      <x:c r="D20" s="73"/>
      <x:c r="E20" s="73"/>
      <x:c r="F20" s="73"/>
      <x:c r="G20" s="73"/>
      <x:c r="H20" s="73"/>
      <x:c r="I20" s="74"/>
    </x:row>
  </x:sheetData>
  <x:mergeCells>
    <x:mergeCell ref="A1:I1"/>
    <x:mergeCell ref="A17:I17"/>
    <x:mergeCell ref="A18:I18"/>
    <x:mergeCell ref="A19:I19"/>
    <x:mergeCell ref="A20:I20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0" hidden="0" customWidth="1"/>
    <x:col min="3" max="3" width="18" hidden="0" customWidth="1"/>
    <x:col min="4" max="4" width="12" hidden="0" customWidth="1"/>
    <x:col min="5" max="5" width="12" hidden="0" customWidth="1"/>
    <x:col min="6" max="6" width="15" hidden="0" customWidth="1"/>
    <x:col min="7" max="7" width="15" hidden="0" customWidth="1"/>
    <x:col min="8" max="8" width="15" hidden="0" customWidth="1"/>
    <x:col min="9" max="9" width="14" hidden="0" customWidth="1"/>
  </x:cols>
  <x:sheetData>
    <x:row r="1" ht="36" customHeight="1">
      <x:c r="A1" s="24" t="str">
        <x:v>观察概率与 95% Wilson 区间｜仅方向性</x:v>
      </x:c>
      <x:c r="B1" s="24" t="str">
        <x:v>观察概率与 95% Wilson 区间｜仅方向性</x:v>
      </x:c>
      <x:c r="C1" s="24" t="str">
        <x:v>观察概率与 95% Wilson 区间｜仅方向性</x:v>
      </x:c>
      <x:c r="D1" s="24" t="str">
        <x:v>观察概率与 95% Wilson 区间｜仅方向性</x:v>
      </x:c>
      <x:c r="E1" s="24" t="str">
        <x:v>观察概率与 95% Wilson 区间｜仅方向性</x:v>
      </x:c>
      <x:c r="F1" s="24" t="str">
        <x:v>观察概率与 95% Wilson 区间｜仅方向性</x:v>
      </x:c>
      <x:c r="G1" s="24" t="str">
        <x:v>观察概率与 95% Wilson 区间｜仅方向性</x:v>
      </x:c>
      <x:c r="H1" s="24" t="str">
        <x:v>观察概率与 95% Wilson 区间｜仅方向性</x:v>
      </x:c>
      <x:c r="I1" s="24" t="str">
        <x:v>观察概率与 95% Wilson 区间｜仅方向性</x:v>
      </x:c>
    </x:row>
    <x:row r="3" ht="30" customHeight="1">
      <x:c r="A3" s="35" t="str">
        <x:v>video_id</x:v>
      </x:c>
      <x:c r="B3" s="36" t="str">
        <x:v>BET</x:v>
      </x:c>
      <x:c r="C3" s="36" t="str">
        <x:v>主结果类型</x:v>
      </x:c>
      <x:c r="D3" s="36" t="str">
        <x:v>有效 n</x:v>
      </x:c>
      <x:c r="E3" s="36" t="str">
        <x:v>出现数</x:v>
      </x:c>
      <x:c r="F3" s="36" t="str">
        <x:v>观察概率</x:v>
      </x:c>
      <x:c r="G3" s="36" t="str">
        <x:v>Wilson 下界</x:v>
      </x:c>
      <x:c r="H3" s="36" t="str">
        <x:v>Wilson 上界</x:v>
      </x:c>
      <x:c r="I3" s="36" t="str">
        <x:v>样本门控</x:v>
      </x:c>
    </x:row>
    <x:row r="4">
      <x:c r="A4" s="85" t="str">
        <x:v>TT_NEW_01</x:v>
      </x:c>
      <x:c r="B4" s="39" t="n">
        <x:v>1</x:v>
      </x:c>
      <x:c r="C4" s="39" t="str">
        <x:v>纯金币</x:v>
      </x:c>
      <x:c r="D4" s="39" t="n">
        <x:f>COUNTIFS('Spin样本'!$A$2:$A$141,A4,'Spin样本'!$F$2:$F$141,B4,'Spin样本'!$X$2:$X$141,"是")</x:f>
        <x:v>44</x:v>
      </x:c>
      <x:c r="E4" s="39" t="n">
        <x:f>COUNTIFS('Spin样本'!$A$2:$A$141,A4,'Spin样本'!$F$2:$F$141,B4,'Spin样本'!$W$2:$W$141,C4,'Spin样本'!$X$2:$X$141,"是")</x:f>
        <x:v>27</x:v>
      </x:c>
      <x:c r="F4" s="38" t="n">
        <x:f>IFERROR(E4/D4,0)</x:f>
        <x:v>0.6136363636363636</x:v>
      </x:c>
      <x:c r="G4" s="38" t="n">
        <x:f>IF(D4=0,0,((F4+1.96^2/(2*D4))/(1+1.96^2/D4))-1.96*SQRT(F4*(1-F4)/D4+1.96^2/(4*D4^2))/(1+1.96^2/D4))</x:f>
        <x:v>0.46623309846201666</x:v>
      </x:c>
      <x:c r="H4" s="38" t="n">
        <x:f>IF(D4=0,0,((F4+1.96^2/(2*D4))/(1+1.96^2/D4))+1.96*SQRT(F4*(1-F4)/D4+1.96^2/(4*D4^2))/(1+1.96^2/D4))</x:f>
        <x:v>0.7427900111329802</x:v>
      </x:c>
      <x:c r="I4" s="39" t="str">
        <x:f>IF(D4&gt;=500,"初筛达标","方向性")</x:f>
        <x:v>方向性</x:v>
      </x:c>
    </x:row>
    <x:row r="5">
      <x:c r="A5" s="85" t="str">
        <x:v>TT_NEW_01</x:v>
      </x:c>
      <x:c r="B5" s="39" t="n">
        <x:v>1</x:v>
      </x:c>
      <x:c r="C5" s="39" t="str">
        <x:v>混合奖励</x:v>
      </x:c>
      <x:c r="D5" s="39" t="n">
        <x:f>COUNTIFS('Spin样本'!$A$2:$A$141,A5,'Spin样本'!$F$2:$F$141,B5,'Spin样本'!$X$2:$X$141,"是")</x:f>
        <x:v>44</x:v>
      </x:c>
      <x:c r="E5" s="39" t="n">
        <x:f>COUNTIFS('Spin样本'!$A$2:$A$141,A5,'Spin样本'!$F$2:$F$141,B5,'Spin样本'!$W$2:$W$141,C5,'Spin样本'!$X$2:$X$141,"是")</x:f>
        <x:v>7</x:v>
      </x:c>
      <x:c r="F5" s="38" t="n">
        <x:f>IFERROR(E5/D5,0)</x:f>
        <x:v>0.1590909090909091</x:v>
      </x:c>
      <x:c r="G5" s="38" t="n">
        <x:f>IF(D5=0,0,((F5+1.96^2/(2*D5))/(1+1.96^2/D5))-1.96*SQRT(F5*(1-F5)/D5+1.96^2/(4*D5^2))/(1+1.96^2/D5))</x:f>
        <x:v>0.07926576557718398</x:v>
      </x:c>
      <x:c r="H5" s="38" t="n">
        <x:f>IF(D5=0,0,((F5+1.96^2/(2*D5))/(1+1.96^2/D5))+1.96*SQRT(F5*(1-F5)/D5+1.96^2/(4*D5^2))/(1+1.96^2/D5))</x:f>
        <x:v>0.29366490563782555</x:v>
      </x:c>
      <x:c r="I5" s="39" t="str">
        <x:f>IF(D5&gt;=500,"初筛达标","方向性")</x:f>
        <x:v>方向性</x:v>
      </x:c>
    </x:row>
    <x:row r="6">
      <x:c r="A6" s="85" t="str">
        <x:v>TT_NEW_01</x:v>
      </x:c>
      <x:c r="B6" s="39" t="n">
        <x:v>1</x:v>
      </x:c>
      <x:c r="C6" s="39" t="str">
        <x:v>Attack</x:v>
      </x:c>
      <x:c r="D6" s="39" t="n">
        <x:f>COUNTIFS('Spin样本'!$A$2:$A$141,A6,'Spin样本'!$F$2:$F$141,B6,'Spin样本'!$X$2:$X$141,"是")</x:f>
        <x:v>44</x:v>
      </x:c>
      <x:c r="E6" s="39" t="n">
        <x:f>COUNTIFS('Spin样本'!$A$2:$A$141,A6,'Spin样本'!$F$2:$F$141,B6,'Spin样本'!$W$2:$W$141,C6,'Spin样本'!$X$2:$X$141,"是")</x:f>
        <x:v>3</x:v>
      </x:c>
      <x:c r="F6" s="38" t="n">
        <x:f>IFERROR(E6/D6,0)</x:f>
        <x:v>0.06818181818181818</x:v>
      </x:c>
      <x:c r="G6" s="38" t="n">
        <x:f>IF(D6=0,0,((F6+1.96^2/(2*D6))/(1+1.96^2/D6))-1.96*SQRT(F6*(1-F6)/D6+1.96^2/(4*D6^2))/(1+1.96^2/D6))</x:f>
        <x:v>0.023458970172840127</x:v>
      </x:c>
      <x:c r="H6" s="38" t="n">
        <x:f>IF(D6=0,0,((F6+1.96^2/(2*D6))/(1+1.96^2/D6))+1.96*SQRT(F6*(1-F6)/D6+1.96^2/(4*D6^2))/(1+1.96^2/D6))</x:f>
        <x:v>0.1822532133661719</x:v>
      </x:c>
      <x:c r="I6" s="39" t="str">
        <x:f>IF(D6&gt;=500,"初筛达标","方向性")</x:f>
        <x:v>方向性</x:v>
      </x:c>
    </x:row>
    <x:row r="7">
      <x:c r="A7" s="85" t="str">
        <x:v>TT_NEW_01</x:v>
      </x:c>
      <x:c r="B7" s="39" t="n">
        <x:v>1</x:v>
      </x:c>
      <x:c r="C7" s="39" t="str">
        <x:v>空奖</x:v>
      </x:c>
      <x:c r="D7" s="39" t="n">
        <x:f>COUNTIFS('Spin样本'!$A$2:$A$141,A7,'Spin样本'!$F$2:$F$141,B7,'Spin样本'!$X$2:$X$141,"是")</x:f>
        <x:v>44</x:v>
      </x:c>
      <x:c r="E7" s="39" t="n">
        <x:f>COUNTIFS('Spin样本'!$A$2:$A$141,A7,'Spin样本'!$F$2:$F$141,B7,'Spin样本'!$W$2:$W$141,C7,'Spin样本'!$X$2:$X$141,"是")</x:f>
        <x:v>2</x:v>
      </x:c>
      <x:c r="F7" s="38" t="n">
        <x:f>IFERROR(E7/D7,0)</x:f>
        <x:v>0.045454545454545456</x:v>
      </x:c>
      <x:c r="G7" s="38" t="n">
        <x:f>IF(D7=0,0,((F7+1.96^2/(2*D7))/(1+1.96^2/D7))-1.96*SQRT(F7*(1-F7)/D7+1.96^2/(4*D7^2))/(1+1.96^2/D7))</x:f>
        <x:v>0.012554846366981079</x:v>
      </x:c>
      <x:c r="H7" s="38" t="n">
        <x:f>IF(D7=0,0,((F7+1.96^2/(2*D7))/(1+1.96^2/D7))+1.96*SQRT(F7*(1-F7)/D7+1.96^2/(4*D7^2))/(1+1.96^2/D7))</x:f>
        <x:v>0.15135271525303162</x:v>
      </x:c>
      <x:c r="I7" s="39" t="str">
        <x:f>IF(D7&gt;=500,"初筛达标","方向性")</x:f>
        <x:v>方向性</x:v>
      </x:c>
    </x:row>
    <x:row r="8">
      <x:c r="A8" s="85" t="str">
        <x:v>TT_NEW_01</x:v>
      </x:c>
      <x:c r="B8" s="39" t="n">
        <x:v>1</x:v>
      </x:c>
      <x:c r="C8" s="39" t="str">
        <x:v>纯进度</x:v>
      </x:c>
      <x:c r="D8" s="39" t="n">
        <x:f>COUNTIFS('Spin样本'!$A$2:$A$141,A8,'Spin样本'!$F$2:$F$141,B8,'Spin样本'!$X$2:$X$141,"是")</x:f>
        <x:v>44</x:v>
      </x:c>
      <x:c r="E8" s="39" t="n">
        <x:f>COUNTIFS('Spin样本'!$A$2:$A$141,A8,'Spin样本'!$F$2:$F$141,B8,'Spin样本'!$W$2:$W$141,C8,'Spin样本'!$X$2:$X$141,"是")</x:f>
        <x:v>1</x:v>
      </x:c>
      <x:c r="F8" s="38" t="n">
        <x:f>IFERROR(E8/D8,0)</x:f>
        <x:v>0.022727272727272728</x:v>
      </x:c>
      <x:c r="G8" s="38" t="n">
        <x:f>IF(D8=0,0,((F8+1.96^2/(2*D8))/(1+1.96^2/D8))-1.96*SQRT(F8*(1-F8)/D8+1.96^2/(4*D8^2))/(1+1.96^2/D8))</x:f>
        <x:v>0.004023148385637013</x:v>
      </x:c>
      <x:c r="H8" s="38" t="n">
        <x:f>IF(D8=0,0,((F8+1.96^2/(2*D8))/(1+1.96^2/D8))+1.96*SQRT(F8*(1-F8)/D8+1.96^2/(4*D8^2))/(1+1.96^2/D8))</x:f>
        <x:v>0.11807979131537633</x:v>
      </x:c>
      <x:c r="I8" s="39" t="str">
        <x:f>IF(D8&gt;=500,"初筛达标","方向性")</x:f>
        <x:v>方向性</x:v>
      </x:c>
    </x:row>
    <x:row r="9">
      <x:c r="A9" s="85" t="str">
        <x:v>TT_NEW_01</x:v>
      </x:c>
      <x:c r="B9" s="39" t="n">
        <x:v>1</x:v>
      </x:c>
      <x:c r="C9" s="39" t="str">
        <x:v>Shield</x:v>
      </x:c>
      <x:c r="D9" s="39" t="n">
        <x:f>COUNTIFS('Spin样本'!$A$2:$A$141,A9,'Spin样本'!$F$2:$F$141,B9,'Spin样本'!$X$2:$X$141,"是")</x:f>
        <x:v>44</x:v>
      </x:c>
      <x:c r="E9" s="39" t="n">
        <x:f>COUNTIFS('Spin样本'!$A$2:$A$141,A9,'Spin样本'!$F$2:$F$141,B9,'Spin样本'!$W$2:$W$141,C9,'Spin样本'!$X$2:$X$141,"是")</x:f>
        <x:v>2</x:v>
      </x:c>
      <x:c r="F9" s="38" t="n">
        <x:f>IFERROR(E9/D9,0)</x:f>
        <x:v>0.045454545454545456</x:v>
      </x:c>
      <x:c r="G9" s="38" t="n">
        <x:f>IF(D9=0,0,((F9+1.96^2/(2*D9))/(1+1.96^2/D9))-1.96*SQRT(F9*(1-F9)/D9+1.96^2/(4*D9^2))/(1+1.96^2/D9))</x:f>
        <x:v>0.012554846366981079</x:v>
      </x:c>
      <x:c r="H9" s="38" t="n">
        <x:f>IF(D9=0,0,((F9+1.96^2/(2*D9))/(1+1.96^2/D9))+1.96*SQRT(F9*(1-F9)/D9+1.96^2/(4*D9^2))/(1+1.96^2/D9))</x:f>
        <x:v>0.15135271525303162</x:v>
      </x:c>
      <x:c r="I9" s="39" t="str">
        <x:f>IF(D9&gt;=500,"初筛达标","方向性")</x:f>
        <x:v>方向性</x:v>
      </x:c>
    </x:row>
    <x:row r="10">
      <x:c r="A10" s="85" t="str">
        <x:v>TT_NEW_01</x:v>
      </x:c>
      <x:c r="B10" s="39" t="n">
        <x:v>1</x:v>
      </x:c>
      <x:c r="C10" s="39" t="str">
        <x:v>Credit Grab</x:v>
      </x:c>
      <x:c r="D10" s="39" t="n">
        <x:f>COUNTIFS('Spin样本'!$A$2:$A$141,A10,'Spin样本'!$F$2:$F$141,B10,'Spin样本'!$X$2:$X$141,"是")</x:f>
        <x:v>44</x:v>
      </x:c>
      <x:c r="E10" s="39" t="n">
        <x:f>COUNTIFS('Spin样本'!$A$2:$A$141,A10,'Spin样本'!$F$2:$F$141,B10,'Spin样本'!$W$2:$W$141,C10,'Spin样本'!$X$2:$X$141,"是")</x:f>
        <x:v>1</x:v>
      </x:c>
      <x:c r="F10" s="38" t="n">
        <x:f>IFERROR(E10/D10,0)</x:f>
        <x:v>0.022727272727272728</x:v>
      </x:c>
      <x:c r="G10" s="38" t="n">
        <x:f>IF(D10=0,0,((F10+1.96^2/(2*D10))/(1+1.96^2/D10))-1.96*SQRT(F10*(1-F10)/D10+1.96^2/(4*D10^2))/(1+1.96^2/D10))</x:f>
        <x:v>0.004023148385637013</x:v>
      </x:c>
      <x:c r="H10" s="38" t="n">
        <x:f>IF(D10=0,0,((F10+1.96^2/(2*D10))/(1+1.96^2/D10))+1.96*SQRT(F10*(1-F10)/D10+1.96^2/(4*D10^2))/(1+1.96^2/D10))</x:f>
        <x:v>0.11807979131537633</x:v>
      </x:c>
      <x:c r="I10" s="39" t="str">
        <x:f>IF(D10&gt;=500,"初筛达标","方向性")</x:f>
        <x:v>方向性</x:v>
      </x:c>
    </x:row>
    <x:row r="11">
      <x:c r="A11" s="85" t="str">
        <x:v>TT_NEW_01</x:v>
      </x:c>
      <x:c r="B11" s="39" t="n">
        <x:v>1</x:v>
      </x:c>
      <x:c r="C11" s="39" t="str">
        <x:v>大奖</x:v>
      </x:c>
      <x:c r="D11" s="39" t="n">
        <x:f>COUNTIFS('Spin样本'!$A$2:$A$141,A11,'Spin样本'!$F$2:$F$141,B11,'Spin样本'!$X$2:$X$141,"是")</x:f>
        <x:v>44</x:v>
      </x:c>
      <x:c r="E11" s="39" t="n">
        <x:f>COUNTIFS('Spin样本'!$A$2:$A$141,A11,'Spin样本'!$F$2:$F$141,B11,'Spin样本'!$W$2:$W$141,C11,'Spin样本'!$X$2:$X$141,"是")</x:f>
        <x:v>1</x:v>
      </x:c>
      <x:c r="F11" s="38" t="n">
        <x:f>IFERROR(E11/D11,0)</x:f>
        <x:v>0.022727272727272728</x:v>
      </x:c>
      <x:c r="G11" s="38" t="n">
        <x:f>IF(D11=0,0,((F11+1.96^2/(2*D11))/(1+1.96^2/D11))-1.96*SQRT(F11*(1-F11)/D11+1.96^2/(4*D11^2))/(1+1.96^2/D11))</x:f>
        <x:v>0.004023148385637013</x:v>
      </x:c>
      <x:c r="H11" s="38" t="n">
        <x:f>IF(D11=0,0,((F11+1.96^2/(2*D11))/(1+1.96^2/D11))+1.96*SQRT(F11*(1-F11)/D11+1.96^2/(4*D11^2))/(1+1.96^2/D11))</x:f>
        <x:v>0.11807979131537633</x:v>
      </x:c>
      <x:c r="I11" s="39" t="str">
        <x:f>IF(D11&gt;=500,"初筛达标","方向性")</x:f>
        <x:v>方向性</x:v>
      </x:c>
    </x:row>
    <x:row r="12">
      <x:c r="A12" s="85" t="str">
        <x:v>TT_NEW_03</x:v>
      </x:c>
      <x:c r="B12" s="39" t="n">
        <x:v>5</x:v>
      </x:c>
      <x:c r="C12" s="39" t="str">
        <x:v>纯金币</x:v>
      </x:c>
      <x:c r="D12" s="39" t="n">
        <x:f>COUNTIFS('Spin样本'!$A$2:$A$141,A12,'Spin样本'!$F$2:$F$141,B12,'Spin样本'!$X$2:$X$141,"是")</x:f>
        <x:v>17</x:v>
      </x:c>
      <x:c r="E12" s="39" t="n">
        <x:f>COUNTIFS('Spin样本'!$A$2:$A$141,A12,'Spin样本'!$F$2:$F$141,B12,'Spin样本'!$W$2:$W$141,C12,'Spin样本'!$X$2:$X$141,"是")</x:f>
        <x:v>8</x:v>
      </x:c>
      <x:c r="F12" s="38" t="n">
        <x:f>IFERROR(E12/D12,0)</x:f>
        <x:v>0.47058823529411764</x:v>
      </x:c>
      <x:c r="G12" s="38" t="n">
        <x:f>IF(D12=0,0,((F12+1.96^2/(2*D12))/(1+1.96^2/D12))-1.96*SQRT(F12*(1-F12)/D12+1.96^2/(4*D12^2))/(1+1.96^2/D12))</x:f>
        <x:v>0.26164801196088106</x:v>
      </x:c>
      <x:c r="H12" s="38" t="n">
        <x:f>IF(D12=0,0,((F12+1.96^2/(2*D12))/(1+1.96^2/D12))+1.96*SQRT(F12*(1-F12)/D12+1.96^2/(4*D12^2))/(1+1.96^2/D12))</x:f>
        <x:v>0.6903710268845051</x:v>
      </x:c>
      <x:c r="I12" s="39" t="str">
        <x:f>IF(D12&gt;=500,"初筛达标","方向性")</x:f>
        <x:v>方向性</x:v>
      </x:c>
    </x:row>
    <x:row r="13">
      <x:c r="A13" s="85" t="str">
        <x:v>TT_NEW_03</x:v>
      </x:c>
      <x:c r="B13" s="39" t="n">
        <x:v>5</x:v>
      </x:c>
      <x:c r="C13" s="39" t="str">
        <x:v>混合奖励</x:v>
      </x:c>
      <x:c r="D13" s="39" t="n">
        <x:f>COUNTIFS('Spin样本'!$A$2:$A$141,A13,'Spin样本'!$F$2:$F$141,B13,'Spin样本'!$X$2:$X$141,"是")</x:f>
        <x:v>17</x:v>
      </x:c>
      <x:c r="E13" s="39" t="n">
        <x:f>COUNTIFS('Spin样本'!$A$2:$A$141,A13,'Spin样本'!$F$2:$F$141,B13,'Spin样本'!$W$2:$W$141,C13,'Spin样本'!$X$2:$X$141,"是")</x:f>
        <x:v>3</x:v>
      </x:c>
      <x:c r="F13" s="38" t="n">
        <x:f>IFERROR(E13/D13,0)</x:f>
        <x:v>0.17647058823529413</x:v>
      </x:c>
      <x:c r="G13" s="38" t="n">
        <x:f>IF(D13=0,0,((F13+1.96^2/(2*D13))/(1+1.96^2/D13))-1.96*SQRT(F13*(1-F13)/D13+1.96^2/(4*D13^2))/(1+1.96^2/D13))</x:f>
        <x:v>0.0619101371254899</x:v>
      </x:c>
      <x:c r="H13" s="38" t="n">
        <x:f>IF(D13=0,0,((F13+1.96^2/(2*D13))/(1+1.96^2/D13))+1.96*SQRT(F13*(1-F13)/D13+1.96^2/(4*D13^2))/(1+1.96^2/D13))</x:f>
        <x:v>0.41029929017375777</x:v>
      </x:c>
      <x:c r="I13" s="39" t="str">
        <x:f>IF(D13&gt;=500,"初筛达标","方向性")</x:f>
        <x:v>方向性</x:v>
      </x:c>
    </x:row>
    <x:row r="14">
      <x:c r="A14" s="85" t="str">
        <x:v>TT_NEW_03</x:v>
      </x:c>
      <x:c r="B14" s="39" t="n">
        <x:v>5</x:v>
      </x:c>
      <x:c r="C14" s="39" t="str">
        <x:v>Attack</x:v>
      </x:c>
      <x:c r="D14" s="39" t="n">
        <x:f>COUNTIFS('Spin样本'!$A$2:$A$141,A14,'Spin样本'!$F$2:$F$141,B14,'Spin样本'!$X$2:$X$141,"是")</x:f>
        <x:v>17</x:v>
      </x:c>
      <x:c r="E14" s="39" t="n">
        <x:f>COUNTIFS('Spin样本'!$A$2:$A$141,A14,'Spin样本'!$F$2:$F$141,B14,'Spin样本'!$W$2:$W$141,C14,'Spin样本'!$X$2:$X$141,"是")</x:f>
        <x:v>2</x:v>
      </x:c>
      <x:c r="F14" s="38" t="n">
        <x:f>IFERROR(E14/D14,0)</x:f>
        <x:v>0.11764705882352941</x:v>
      </x:c>
      <x:c r="G14" s="38" t="n">
        <x:f>IF(D14=0,0,((F14+1.96^2/(2*D14))/(1+1.96^2/D14))-1.96*SQRT(F14*(1-F14)/D14+1.96^2/(4*D14^2))/(1+1.96^2/D14))</x:f>
        <x:v>0.03287908001292092</x:v>
      </x:c>
      <x:c r="H14" s="38" t="n">
        <x:f>IF(D14=0,0,((F14+1.96^2/(2*D14))/(1+1.96^2/D14))+1.96*SQRT(F14*(1-F14)/D14+1.96^2/(4*D14^2))/(1+1.96^2/D14))</x:f>
        <x:v>0.3433684249770991</x:v>
      </x:c>
      <x:c r="I14" s="39" t="str">
        <x:f>IF(D14&gt;=500,"初筛达标","方向性")</x:f>
        <x:v>方向性</x:v>
      </x:c>
    </x:row>
    <x:row r="15">
      <x:c r="A15" s="85" t="str">
        <x:v>TT_NEW_03</x:v>
      </x:c>
      <x:c r="B15" s="39" t="n">
        <x:v>5</x:v>
      </x:c>
      <x:c r="C15" s="39" t="str">
        <x:v>空奖</x:v>
      </x:c>
      <x:c r="D15" s="39" t="n">
        <x:f>COUNTIFS('Spin样本'!$A$2:$A$141,A15,'Spin样本'!$F$2:$F$141,B15,'Spin样本'!$X$2:$X$141,"是")</x:f>
        <x:v>17</x:v>
      </x:c>
      <x:c r="E15" s="39" t="n">
        <x:f>COUNTIFS('Spin样本'!$A$2:$A$141,A15,'Spin样本'!$F$2:$F$141,B15,'Spin样本'!$W$2:$W$141,C15,'Spin样本'!$X$2:$X$141,"是")</x:f>
        <x:v>2</x:v>
      </x:c>
      <x:c r="F15" s="38" t="n">
        <x:f>IFERROR(E15/D15,0)</x:f>
        <x:v>0.11764705882352941</x:v>
      </x:c>
      <x:c r="G15" s="38" t="n">
        <x:f>IF(D15=0,0,((F15+1.96^2/(2*D15))/(1+1.96^2/D15))-1.96*SQRT(F15*(1-F15)/D15+1.96^2/(4*D15^2))/(1+1.96^2/D15))</x:f>
        <x:v>0.03287908001292092</x:v>
      </x:c>
      <x:c r="H15" s="38" t="n">
        <x:f>IF(D15=0,0,((F15+1.96^2/(2*D15))/(1+1.96^2/D15))+1.96*SQRT(F15*(1-F15)/D15+1.96^2/(4*D15^2))/(1+1.96^2/D15))</x:f>
        <x:v>0.3433684249770991</x:v>
      </x:c>
      <x:c r="I15" s="39" t="str">
        <x:f>IF(D15&gt;=500,"初筛达标","方向性")</x:f>
        <x:v>方向性</x:v>
      </x:c>
    </x:row>
    <x:row r="16">
      <x:c r="A16" s="85" t="str">
        <x:v>TT_NEW_03</x:v>
      </x:c>
      <x:c r="B16" s="39" t="n">
        <x:v>5</x:v>
      </x:c>
      <x:c r="C16" s="39" t="str">
        <x:v>纯进度</x:v>
      </x:c>
      <x:c r="D16" s="39" t="n">
        <x:f>COUNTIFS('Spin样本'!$A$2:$A$141,A16,'Spin样本'!$F$2:$F$141,B16,'Spin样本'!$X$2:$X$141,"是")</x:f>
        <x:v>17</x:v>
      </x:c>
      <x:c r="E16" s="39" t="n">
        <x:f>COUNTIFS('Spin样本'!$A$2:$A$141,A16,'Spin样本'!$F$2:$F$141,B16,'Spin样本'!$W$2:$W$141,C16,'Spin样本'!$X$2:$X$141,"是")</x:f>
        <x:v>1</x:v>
      </x:c>
      <x:c r="F16" s="38" t="n">
        <x:f>IFERROR(E16/D16,0)</x:f>
        <x:v>0.058823529411764705</x:v>
      </x:c>
      <x:c r="G16" s="38" t="n">
        <x:f>IF(D16=0,0,((F16+1.96^2/(2*D16))/(1+1.96^2/D16))-1.96*SQRT(F16*(1-F16)/D16+1.96^2/(4*D16^2))/(1+1.96^2/D16))</x:f>
        <x:v>0.01046013064516424</x:v>
      </x:c>
      <x:c r="H16" s="38" t="n">
        <x:f>IF(D16=0,0,((F16+1.96^2/(2*D16))/(1+1.96^2/D16))+1.96*SQRT(F16*(1-F16)/D16+1.96^2/(4*D16^2))/(1+1.96^2/D16))</x:f>
        <x:v>0.269825452035628</x:v>
      </x:c>
      <x:c r="I16" s="39" t="str">
        <x:f>IF(D16&gt;=500,"初筛达标","方向性")</x:f>
        <x:v>方向性</x:v>
      </x:c>
    </x:row>
    <x:row r="17">
      <x:c r="A17" s="85" t="str">
        <x:v>TT_NEW_03</x:v>
      </x:c>
      <x:c r="B17" s="39" t="n">
        <x:v>5</x:v>
      </x:c>
      <x:c r="C17" s="39" t="str">
        <x:v>Shield</x:v>
      </x:c>
      <x:c r="D17" s="39" t="n">
        <x:f>COUNTIFS('Spin样本'!$A$2:$A$141,A17,'Spin样本'!$F$2:$F$141,B17,'Spin样本'!$X$2:$X$141,"是")</x:f>
        <x:v>17</x:v>
      </x:c>
      <x:c r="E17" s="39" t="n">
        <x:f>COUNTIFS('Spin样本'!$A$2:$A$141,A17,'Spin样本'!$F$2:$F$141,B17,'Spin样本'!$W$2:$W$141,C17,'Spin样本'!$X$2:$X$141,"是")</x:f>
        <x:v>1</x:v>
      </x:c>
      <x:c r="F17" s="38" t="n">
        <x:f>IFERROR(E17/D17,0)</x:f>
        <x:v>0.058823529411764705</x:v>
      </x:c>
      <x:c r="G17" s="38" t="n">
        <x:f>IF(D17=0,0,((F17+1.96^2/(2*D17))/(1+1.96^2/D17))-1.96*SQRT(F17*(1-F17)/D17+1.96^2/(4*D17^2))/(1+1.96^2/D17))</x:f>
        <x:v>0.01046013064516424</x:v>
      </x:c>
      <x:c r="H17" s="38" t="n">
        <x:f>IF(D17=0,0,((F17+1.96^2/(2*D17))/(1+1.96^2/D17))+1.96*SQRT(F17*(1-F17)/D17+1.96^2/(4*D17^2))/(1+1.96^2/D17))</x:f>
        <x:v>0.269825452035628</x:v>
      </x:c>
      <x:c r="I17" s="39" t="str">
        <x:f>IF(D17&gt;=500,"初筛达标","方向性")</x:f>
        <x:v>方向性</x:v>
      </x:c>
    </x:row>
    <x:row r="18">
      <x:c r="A18" s="85" t="str">
        <x:v>TT_NEW_03</x:v>
      </x:c>
      <x:c r="B18" s="39" t="n">
        <x:v>5</x:v>
      </x:c>
      <x:c r="C18" s="39" t="str">
        <x:v>Credit Grab</x:v>
      </x:c>
      <x:c r="D18" s="39" t="n">
        <x:f>COUNTIFS('Spin样本'!$A$2:$A$141,A18,'Spin样本'!$F$2:$F$141,B18,'Spin样本'!$X$2:$X$141,"是")</x:f>
        <x:v>17</x:v>
      </x:c>
      <x:c r="E18" s="39" t="n">
        <x:f>COUNTIFS('Spin样本'!$A$2:$A$141,A18,'Spin样本'!$F$2:$F$141,B18,'Spin样本'!$W$2:$W$141,C18,'Spin样本'!$X$2:$X$141,"是")</x:f>
        <x:v>0</x:v>
      </x:c>
      <x:c r="F18" s="38" t="n">
        <x:f>IFERROR(E18/D18,0)</x:f>
        <x:v>0</x:v>
      </x:c>
      <x:c r="G18" s="38" t="n">
        <x:f>IF(D18=0,0,((F18+1.96^2/(2*D18))/(1+1.96^2/D18))-1.96*SQRT(F18*(1-F18)/D18+1.96^2/(4*D18^2))/(1+1.96^2/D18))</x:f>
        <x:v>0</x:v>
      </x:c>
      <x:c r="H18" s="38" t="n">
        <x:f>IF(D18=0,0,((F18+1.96^2/(2*D18))/(1+1.96^2/D18))+1.96*SQRT(F18*(1-F18)/D18+1.96^2/(4*D18^2))/(1+1.96^2/D18))</x:f>
        <x:v>0.18432366037156456</x:v>
      </x:c>
      <x:c r="I18" s="39" t="str">
        <x:f>IF(D18&gt;=500,"初筛达标","方向性")</x:f>
        <x:v>方向性</x:v>
      </x:c>
    </x:row>
    <x:row r="19">
      <x:c r="A19" s="85" t="str">
        <x:v>TT_NEW_03</x:v>
      </x:c>
      <x:c r="B19" s="39" t="n">
        <x:v>5</x:v>
      </x:c>
      <x:c r="C19" s="39" t="str">
        <x:v>大奖</x:v>
      </x:c>
      <x:c r="D19" s="39" t="n">
        <x:f>COUNTIFS('Spin样本'!$A$2:$A$141,A19,'Spin样本'!$F$2:$F$141,B19,'Spin样本'!$X$2:$X$141,"是")</x:f>
        <x:v>17</x:v>
      </x:c>
      <x:c r="E19" s="39" t="n">
        <x:f>COUNTIFS('Spin样本'!$A$2:$A$141,A19,'Spin样本'!$F$2:$F$141,B19,'Spin样本'!$W$2:$W$141,C19,'Spin样本'!$X$2:$X$141,"是")</x:f>
        <x:v>0</x:v>
      </x:c>
      <x:c r="F19" s="38" t="n">
        <x:f>IFERROR(E19/D19,0)</x:f>
        <x:v>0</x:v>
      </x:c>
      <x:c r="G19" s="38" t="n">
        <x:f>IF(D19=0,0,((F19+1.96^2/(2*D19))/(1+1.96^2/D19))-1.96*SQRT(F19*(1-F19)/D19+1.96^2/(4*D19^2))/(1+1.96^2/D19))</x:f>
        <x:v>0</x:v>
      </x:c>
      <x:c r="H19" s="38" t="n">
        <x:f>IF(D19=0,0,((F19+1.96^2/(2*D19))/(1+1.96^2/D19))+1.96*SQRT(F19*(1-F19)/D19+1.96^2/(4*D19^2))/(1+1.96^2/D19))</x:f>
        <x:v>0.18432366037156456</x:v>
      </x:c>
      <x:c r="I19" s="39" t="str">
        <x:f>IF(D19&gt;=500,"初筛达标","方向性")</x:f>
        <x:v>方向性</x:v>
      </x:c>
    </x:row>
    <x:row r="20">
      <x:c r="A20" s="85" t="str">
        <x:v>TT_NEW_03</x:v>
      </x:c>
      <x:c r="B20" s="39" t="n">
        <x:v>10</x:v>
      </x:c>
      <x:c r="C20" s="39" t="str">
        <x:v>纯金币</x:v>
      </x:c>
      <x:c r="D20" s="39" t="n">
        <x:f>COUNTIFS('Spin样本'!$A$2:$A$141,A20,'Spin样本'!$F$2:$F$141,B20,'Spin样本'!$X$2:$X$141,"是")</x:f>
        <x:v>24</x:v>
      </x:c>
      <x:c r="E20" s="39" t="n">
        <x:f>COUNTIFS('Spin样本'!$A$2:$A$141,A20,'Spin样本'!$F$2:$F$141,B20,'Spin样本'!$W$2:$W$141,C20,'Spin样本'!$X$2:$X$141,"是")</x:f>
        <x:v>18</x:v>
      </x:c>
      <x:c r="F20" s="38" t="n">
        <x:f>IFERROR(E20/D20,0)</x:f>
        <x:v>0.75</x:v>
      </x:c>
      <x:c r="G20" s="38" t="n">
        <x:f>IF(D20=0,0,((F20+1.96^2/(2*D20))/(1+1.96^2/D20))-1.96*SQRT(F20*(1-F20)/D20+1.96^2/(4*D20^2))/(1+1.96^2/D20))</x:f>
        <x:v>0.5510017468789357</x:v>
      </x:c>
      <x:c r="H20" s="38" t="n">
        <x:f>IF(D20=0,0,((F20+1.96^2/(2*D20))/(1+1.96^2/D20))+1.96*SQRT(F20*(1-F20)/D20+1.96^2/(4*D20^2))/(1+1.96^2/D20))</x:f>
        <x:v>0.8800079652065766</x:v>
      </x:c>
      <x:c r="I20" s="39" t="str">
        <x:f>IF(D20&gt;=500,"初筛达标","方向性")</x:f>
        <x:v>方向性</x:v>
      </x:c>
    </x:row>
    <x:row r="21">
      <x:c r="A21" s="85" t="str">
        <x:v>TT_NEW_03</x:v>
      </x:c>
      <x:c r="B21" s="39" t="n">
        <x:v>10</x:v>
      </x:c>
      <x:c r="C21" s="39" t="str">
        <x:v>混合奖励</x:v>
      </x:c>
      <x:c r="D21" s="39" t="n">
        <x:f>COUNTIFS('Spin样本'!$A$2:$A$141,A21,'Spin样本'!$F$2:$F$141,B21,'Spin样本'!$X$2:$X$141,"是")</x:f>
        <x:v>24</x:v>
      </x:c>
      <x:c r="E21" s="39" t="n">
        <x:f>COUNTIFS('Spin样本'!$A$2:$A$141,A21,'Spin样本'!$F$2:$F$141,B21,'Spin样本'!$W$2:$W$141,C21,'Spin样本'!$X$2:$X$141,"是")</x:f>
        <x:v>2</x:v>
      </x:c>
      <x:c r="F21" s="38" t="n">
        <x:f>IFERROR(E21/D21,0)</x:f>
        <x:v>0.08333333333333333</x:v>
      </x:c>
      <x:c r="G21" s="38" t="n">
        <x:f>IF(D21=0,0,((F21+1.96^2/(2*D21))/(1+1.96^2/D21))-1.96*SQRT(F21*(1-F21)/D21+1.96^2/(4*D21^2))/(1+1.96^2/D21))</x:f>
        <x:v>0.023158327842973503</x:v>
      </x:c>
      <x:c r="H21" s="38" t="n">
        <x:f>IF(D21=0,0,((F21+1.96^2/(2*D21))/(1+1.96^2/D21))+1.96*SQRT(F21*(1-F21)/D21+1.96^2/(4*D21^2))/(1+1.96^2/D21))</x:f>
        <x:v>0.258492152014506</x:v>
      </x:c>
      <x:c r="I21" s="39" t="str">
        <x:f>IF(D21&gt;=500,"初筛达标","方向性")</x:f>
        <x:v>方向性</x:v>
      </x:c>
    </x:row>
    <x:row r="22">
      <x:c r="A22" s="85" t="str">
        <x:v>TT_NEW_03</x:v>
      </x:c>
      <x:c r="B22" s="39" t="n">
        <x:v>10</x:v>
      </x:c>
      <x:c r="C22" s="39" t="str">
        <x:v>Attack</x:v>
      </x:c>
      <x:c r="D22" s="39" t="n">
        <x:f>COUNTIFS('Spin样本'!$A$2:$A$141,A22,'Spin样本'!$F$2:$F$141,B22,'Spin样本'!$X$2:$X$141,"是")</x:f>
        <x:v>24</x:v>
      </x:c>
      <x:c r="E22" s="39" t="n">
        <x:f>COUNTIFS('Spin样本'!$A$2:$A$141,A22,'Spin样本'!$F$2:$F$141,B22,'Spin样本'!$W$2:$W$141,C22,'Spin样本'!$X$2:$X$141,"是")</x:f>
        <x:v>2</x:v>
      </x:c>
      <x:c r="F22" s="38" t="n">
        <x:f>IFERROR(E22/D22,0)</x:f>
        <x:v>0.08333333333333333</x:v>
      </x:c>
      <x:c r="G22" s="38" t="n">
        <x:f>IF(D22=0,0,((F22+1.96^2/(2*D22))/(1+1.96^2/D22))-1.96*SQRT(F22*(1-F22)/D22+1.96^2/(4*D22^2))/(1+1.96^2/D22))</x:f>
        <x:v>0.023158327842973503</x:v>
      </x:c>
      <x:c r="H22" s="38" t="n">
        <x:f>IF(D22=0,0,((F22+1.96^2/(2*D22))/(1+1.96^2/D22))+1.96*SQRT(F22*(1-F22)/D22+1.96^2/(4*D22^2))/(1+1.96^2/D22))</x:f>
        <x:v>0.258492152014506</x:v>
      </x:c>
      <x:c r="I22" s="39" t="str">
        <x:f>IF(D22&gt;=500,"初筛达标","方向性")</x:f>
        <x:v>方向性</x:v>
      </x:c>
    </x:row>
    <x:row r="23">
      <x:c r="A23" s="85" t="str">
        <x:v>TT_NEW_03</x:v>
      </x:c>
      <x:c r="B23" s="39" t="n">
        <x:v>10</x:v>
      </x:c>
      <x:c r="C23" s="39" t="str">
        <x:v>空奖</x:v>
      </x:c>
      <x:c r="D23" s="39" t="n">
        <x:f>COUNTIFS('Spin样本'!$A$2:$A$141,A23,'Spin样本'!$F$2:$F$141,B23,'Spin样本'!$X$2:$X$141,"是")</x:f>
        <x:v>24</x:v>
      </x:c>
      <x:c r="E23" s="39" t="n">
        <x:f>COUNTIFS('Spin样本'!$A$2:$A$141,A23,'Spin样本'!$F$2:$F$141,B23,'Spin样本'!$W$2:$W$141,C23,'Spin样本'!$X$2:$X$141,"是")</x:f>
        <x:v>1</x:v>
      </x:c>
      <x:c r="F23" s="38" t="n">
        <x:f>IFERROR(E23/D23,0)</x:f>
        <x:v>0.041666666666666664</x:v>
      </x:c>
      <x:c r="G23" s="38" t="n">
        <x:f>IF(D23=0,0,((F23+1.96^2/(2*D23))/(1+1.96^2/D23))-1.96*SQRT(F23*(1-F23)/D23+1.96^2/(4*D23^2))/(1+1.96^2/D23))</x:f>
        <x:v>0.007393265354805126</x:v>
      </x:c>
      <x:c r="H23" s="38" t="n">
        <x:f>IF(D23=0,0,((F23+1.96^2/(2*D23))/(1+1.96^2/D23))+1.96*SQRT(F23*(1-F23)/D23+1.96^2/(4*D23^2))/(1+1.96^2/D23))</x:f>
        <x:v>0.20242226248842232</x:v>
      </x:c>
      <x:c r="I23" s="39" t="str">
        <x:f>IF(D23&gt;=500,"初筛达标","方向性")</x:f>
        <x:v>方向性</x:v>
      </x:c>
    </x:row>
    <x:row r="24">
      <x:c r="A24" s="85" t="str">
        <x:v>TT_NEW_03</x:v>
      </x:c>
      <x:c r="B24" s="39" t="n">
        <x:v>10</x:v>
      </x:c>
      <x:c r="C24" s="39" t="str">
        <x:v>纯进度</x:v>
      </x:c>
      <x:c r="D24" s="39" t="n">
        <x:f>COUNTIFS('Spin样本'!$A$2:$A$141,A24,'Spin样本'!$F$2:$F$141,B24,'Spin样本'!$X$2:$X$141,"是")</x:f>
        <x:v>24</x:v>
      </x:c>
      <x:c r="E24" s="39" t="n">
        <x:f>COUNTIFS('Spin样本'!$A$2:$A$141,A24,'Spin样本'!$F$2:$F$141,B24,'Spin样本'!$W$2:$W$141,C24,'Spin样本'!$X$2:$X$141,"是")</x:f>
        <x:v>0</x:v>
      </x:c>
      <x:c r="F24" s="38" t="n">
        <x:f>IFERROR(E24/D24,0)</x:f>
        <x:v>0</x:v>
      </x:c>
      <x:c r="G24" s="38" t="n">
        <x:f>IF(D24=0,0,((F24+1.96^2/(2*D24))/(1+1.96^2/D24))-1.96*SQRT(F24*(1-F24)/D24+1.96^2/(4*D24^2))/(1+1.96^2/D24))</x:f>
        <x:v>0</x:v>
      </x:c>
      <x:c r="H24" s="38" t="n">
        <x:f>IF(D24=0,0,((F24+1.96^2/(2*D24))/(1+1.96^2/D24))+1.96*SQRT(F24*(1-F24)/D24+1.96^2/(4*D24^2))/(1+1.96^2/D24))</x:f>
        <x:v>0.13798057582897535</x:v>
      </x:c>
      <x:c r="I24" s="39" t="str">
        <x:f>IF(D24&gt;=500,"初筛达标","方向性")</x:f>
        <x:v>方向性</x:v>
      </x:c>
    </x:row>
    <x:row r="25">
      <x:c r="A25" s="85" t="str">
        <x:v>TT_NEW_03</x:v>
      </x:c>
      <x:c r="B25" s="39" t="n">
        <x:v>10</x:v>
      </x:c>
      <x:c r="C25" s="39" t="str">
        <x:v>Shield</x:v>
      </x:c>
      <x:c r="D25" s="39" t="n">
        <x:f>COUNTIFS('Spin样本'!$A$2:$A$141,A25,'Spin样本'!$F$2:$F$141,B25,'Spin样本'!$X$2:$X$141,"是")</x:f>
        <x:v>24</x:v>
      </x:c>
      <x:c r="E25" s="39" t="n">
        <x:f>COUNTIFS('Spin样本'!$A$2:$A$141,A25,'Spin样本'!$F$2:$F$141,B25,'Spin样本'!$W$2:$W$141,C25,'Spin样本'!$X$2:$X$141,"是")</x:f>
        <x:v>1</x:v>
      </x:c>
      <x:c r="F25" s="38" t="n">
        <x:f>IFERROR(E25/D25,0)</x:f>
        <x:v>0.041666666666666664</x:v>
      </x:c>
      <x:c r="G25" s="38" t="n">
        <x:f>IF(D25=0,0,((F25+1.96^2/(2*D25))/(1+1.96^2/D25))-1.96*SQRT(F25*(1-F25)/D25+1.96^2/(4*D25^2))/(1+1.96^2/D25))</x:f>
        <x:v>0.007393265354805126</x:v>
      </x:c>
      <x:c r="H25" s="38" t="n">
        <x:f>IF(D25=0,0,((F25+1.96^2/(2*D25))/(1+1.96^2/D25))+1.96*SQRT(F25*(1-F25)/D25+1.96^2/(4*D25^2))/(1+1.96^2/D25))</x:f>
        <x:v>0.20242226248842232</x:v>
      </x:c>
      <x:c r="I25" s="39" t="str">
        <x:f>IF(D25&gt;=500,"初筛达标","方向性")</x:f>
        <x:v>方向性</x:v>
      </x:c>
    </x:row>
    <x:row r="26">
      <x:c r="A26" s="85" t="str">
        <x:v>TT_NEW_03</x:v>
      </x:c>
      <x:c r="B26" s="39" t="n">
        <x:v>10</x:v>
      </x:c>
      <x:c r="C26" s="39" t="str">
        <x:v>Credit Grab</x:v>
      </x:c>
      <x:c r="D26" s="39" t="n">
        <x:f>COUNTIFS('Spin样本'!$A$2:$A$141,A26,'Spin样本'!$F$2:$F$141,B26,'Spin样本'!$X$2:$X$141,"是")</x:f>
        <x:v>24</x:v>
      </x:c>
      <x:c r="E26" s="39" t="n">
        <x:f>COUNTIFS('Spin样本'!$A$2:$A$141,A26,'Spin样本'!$F$2:$F$141,B26,'Spin样本'!$W$2:$W$141,C26,'Spin样本'!$X$2:$X$141,"是")</x:f>
        <x:v>0</x:v>
      </x:c>
      <x:c r="F26" s="38" t="n">
        <x:f>IFERROR(E26/D26,0)</x:f>
        <x:v>0</x:v>
      </x:c>
      <x:c r="G26" s="38" t="n">
        <x:f>IF(D26=0,0,((F26+1.96^2/(2*D26))/(1+1.96^2/D26))-1.96*SQRT(F26*(1-F26)/D26+1.96^2/(4*D26^2))/(1+1.96^2/D26))</x:f>
        <x:v>0</x:v>
      </x:c>
      <x:c r="H26" s="38" t="n">
        <x:f>IF(D26=0,0,((F26+1.96^2/(2*D26))/(1+1.96^2/D26))+1.96*SQRT(F26*(1-F26)/D26+1.96^2/(4*D26^2))/(1+1.96^2/D26))</x:f>
        <x:v>0.13798057582897535</x:v>
      </x:c>
      <x:c r="I26" s="39" t="str">
        <x:f>IF(D26&gt;=500,"初筛达标","方向性")</x:f>
        <x:v>方向性</x:v>
      </x:c>
    </x:row>
    <x:row r="27">
      <x:c r="A27" s="85" t="str">
        <x:v>TT_NEW_03</x:v>
      </x:c>
      <x:c r="B27" s="39" t="n">
        <x:v>10</x:v>
      </x:c>
      <x:c r="C27" s="39" t="str">
        <x:v>大奖</x:v>
      </x:c>
      <x:c r="D27" s="39" t="n">
        <x:f>COUNTIFS('Spin样本'!$A$2:$A$141,A27,'Spin样本'!$F$2:$F$141,B27,'Spin样本'!$X$2:$X$141,"是")</x:f>
        <x:v>24</x:v>
      </x:c>
      <x:c r="E27" s="39" t="n">
        <x:f>COUNTIFS('Spin样本'!$A$2:$A$141,A27,'Spin样本'!$F$2:$F$141,B27,'Spin样本'!$W$2:$W$141,C27,'Spin样本'!$X$2:$X$141,"是")</x:f>
        <x:v>0</x:v>
      </x:c>
      <x:c r="F27" s="38" t="n">
        <x:f>IFERROR(E27/D27,0)</x:f>
        <x:v>0</x:v>
      </x:c>
      <x:c r="G27" s="38" t="n">
        <x:f>IF(D27=0,0,((F27+1.96^2/(2*D27))/(1+1.96^2/D27))-1.96*SQRT(F27*(1-F27)/D27+1.96^2/(4*D27^2))/(1+1.96^2/D27))</x:f>
        <x:v>0</x:v>
      </x:c>
      <x:c r="H27" s="38" t="n">
        <x:f>IF(D27=0,0,((F27+1.96^2/(2*D27))/(1+1.96^2/D27))+1.96*SQRT(F27*(1-F27)/D27+1.96^2/(4*D27^2))/(1+1.96^2/D27))</x:f>
        <x:v>0.13798057582897535</x:v>
      </x:c>
      <x:c r="I27" s="39" t="str">
        <x:f>IF(D27&gt;=500,"初筛达标","方向性")</x:f>
        <x:v>方向性</x:v>
      </x:c>
    </x:row>
    <x:row r="28">
      <x:c r="A28" s="85" t="str">
        <x:v>TT_NEW_03</x:v>
      </x:c>
      <x:c r="B28" s="39" t="n">
        <x:v>20</x:v>
      </x:c>
      <x:c r="C28" s="39" t="str">
        <x:v>纯金币</x:v>
      </x:c>
      <x:c r="D28" s="39" t="n">
        <x:f>COUNTIFS('Spin样本'!$A$2:$A$141,A28,'Spin样本'!$F$2:$F$141,B28,'Spin样本'!$X$2:$X$141,"是")</x:f>
        <x:v>3</x:v>
      </x:c>
      <x:c r="E28" s="39" t="n">
        <x:f>COUNTIFS('Spin样本'!$A$2:$A$141,A28,'Spin样本'!$F$2:$F$141,B28,'Spin样本'!$W$2:$W$141,C28,'Spin样本'!$X$2:$X$141,"是")</x:f>
        <x:v>1</x:v>
      </x:c>
      <x:c r="F28" s="38" t="n">
        <x:f>IFERROR(E28/D28,0)</x:f>
        <x:v>0.3333333333333333</x:v>
      </x:c>
      <x:c r="G28" s="38" t="n">
        <x:f>IF(D28=0,0,((F28+1.96^2/(2*D28))/(1+1.96^2/D28))-1.96*SQRT(F28*(1-F28)/D28+1.96^2/(4*D28^2))/(1+1.96^2/D28))</x:f>
        <x:v>0.0614903152761605</x:v>
      </x:c>
      <x:c r="H28" s="38" t="n">
        <x:f>IF(D28=0,0,((F28+1.96^2/(2*D28))/(1+1.96^2/D28))+1.96*SQRT(F28*(1-F28)/D28+1.96^2/(4*D28^2))/(1+1.96^2/D28))</x:f>
        <x:v>0.7923450448735121</x:v>
      </x:c>
      <x:c r="I28" s="39" t="str">
        <x:f>IF(D28&gt;=500,"初筛达标","方向性")</x:f>
        <x:v>方向性</x:v>
      </x:c>
    </x:row>
    <x:row r="29">
      <x:c r="A29" s="85" t="str">
        <x:v>TT_NEW_03</x:v>
      </x:c>
      <x:c r="B29" s="39" t="n">
        <x:v>20</x:v>
      </x:c>
      <x:c r="C29" s="39" t="str">
        <x:v>混合奖励</x:v>
      </x:c>
      <x:c r="D29" s="39" t="n">
        <x:f>COUNTIFS('Spin样本'!$A$2:$A$141,A29,'Spin样本'!$F$2:$F$141,B29,'Spin样本'!$X$2:$X$141,"是")</x:f>
        <x:v>3</x:v>
      </x:c>
      <x:c r="E29" s="39" t="n">
        <x:f>COUNTIFS('Spin样本'!$A$2:$A$141,A29,'Spin样本'!$F$2:$F$141,B29,'Spin样本'!$W$2:$W$141,C29,'Spin样本'!$X$2:$X$141,"是")</x:f>
        <x:v>1</x:v>
      </x:c>
      <x:c r="F29" s="38" t="n">
        <x:f>IFERROR(E29/D29,0)</x:f>
        <x:v>0.3333333333333333</x:v>
      </x:c>
      <x:c r="G29" s="38" t="n">
        <x:f>IF(D29=0,0,((F29+1.96^2/(2*D29))/(1+1.96^2/D29))-1.96*SQRT(F29*(1-F29)/D29+1.96^2/(4*D29^2))/(1+1.96^2/D29))</x:f>
        <x:v>0.0614903152761605</x:v>
      </x:c>
      <x:c r="H29" s="38" t="n">
        <x:f>IF(D29=0,0,((F29+1.96^2/(2*D29))/(1+1.96^2/D29))+1.96*SQRT(F29*(1-F29)/D29+1.96^2/(4*D29^2))/(1+1.96^2/D29))</x:f>
        <x:v>0.7923450448735121</x:v>
      </x:c>
      <x:c r="I29" s="39" t="str">
        <x:f>IF(D29&gt;=500,"初筛达标","方向性")</x:f>
        <x:v>方向性</x:v>
      </x:c>
    </x:row>
    <x:row r="30">
      <x:c r="A30" s="85" t="str">
        <x:v>TT_NEW_03</x:v>
      </x:c>
      <x:c r="B30" s="39" t="n">
        <x:v>20</x:v>
      </x:c>
      <x:c r="C30" s="39" t="str">
        <x:v>Attack</x:v>
      </x:c>
      <x:c r="D30" s="39" t="n">
        <x:f>COUNTIFS('Spin样本'!$A$2:$A$141,A30,'Spin样本'!$F$2:$F$141,B30,'Spin样本'!$X$2:$X$141,"是")</x:f>
        <x:v>3</x:v>
      </x:c>
      <x:c r="E30" s="39" t="n">
        <x:f>COUNTIFS('Spin样本'!$A$2:$A$141,A30,'Spin样本'!$F$2:$F$141,B30,'Spin样本'!$W$2:$W$141,C30,'Spin样本'!$X$2:$X$141,"是")</x:f>
        <x:v>0</x:v>
      </x:c>
      <x:c r="F30" s="38" t="n">
        <x:f>IFERROR(E30/D30,0)</x:f>
        <x:v>0</x:v>
      </x:c>
      <x:c r="G30" s="38" t="n">
        <x:f>IF(D30=0,0,((F30+1.96^2/(2*D30))/(1+1.96^2/D30))-1.96*SQRT(F30*(1-F30)/D30+1.96^2/(4*D30^2))/(1+1.96^2/D30))</x:f>
        <x:v>0</x:v>
      </x:c>
      <x:c r="H30" s="38" t="n">
        <x:f>IF(D30=0,0,((F30+1.96^2/(2*D30))/(1+1.96^2/D30))+1.96*SQRT(F30*(1-F30)/D30+1.96^2/(4*D30^2))/(1+1.96^2/D30))</x:f>
        <x:v>0.5615060804490177</x:v>
      </x:c>
      <x:c r="I30" s="39" t="str">
        <x:f>IF(D30&gt;=500,"初筛达标","方向性")</x:f>
        <x:v>方向性</x:v>
      </x:c>
    </x:row>
    <x:row r="31">
      <x:c r="A31" s="85" t="str">
        <x:v>TT_NEW_03</x:v>
      </x:c>
      <x:c r="B31" s="39" t="n">
        <x:v>20</x:v>
      </x:c>
      <x:c r="C31" s="39" t="str">
        <x:v>空奖</x:v>
      </x:c>
      <x:c r="D31" s="39" t="n">
        <x:f>COUNTIFS('Spin样本'!$A$2:$A$141,A31,'Spin样本'!$F$2:$F$141,B31,'Spin样本'!$X$2:$X$141,"是")</x:f>
        <x:v>3</x:v>
      </x:c>
      <x:c r="E31" s="39" t="n">
        <x:f>COUNTIFS('Spin样本'!$A$2:$A$141,A31,'Spin样本'!$F$2:$F$141,B31,'Spin样本'!$W$2:$W$141,C31,'Spin样本'!$X$2:$X$141,"是")</x:f>
        <x:v>0</x:v>
      </x:c>
      <x:c r="F31" s="38" t="n">
        <x:f>IFERROR(E31/D31,0)</x:f>
        <x:v>0</x:v>
      </x:c>
      <x:c r="G31" s="38" t="n">
        <x:f>IF(D31=0,0,((F31+1.96^2/(2*D31))/(1+1.96^2/D31))-1.96*SQRT(F31*(1-F31)/D31+1.96^2/(4*D31^2))/(1+1.96^2/D31))</x:f>
        <x:v>0</x:v>
      </x:c>
      <x:c r="H31" s="38" t="n">
        <x:f>IF(D31=0,0,((F31+1.96^2/(2*D31))/(1+1.96^2/D31))+1.96*SQRT(F31*(1-F31)/D31+1.96^2/(4*D31^2))/(1+1.96^2/D31))</x:f>
        <x:v>0.5615060804490177</x:v>
      </x:c>
      <x:c r="I31" s="39" t="str">
        <x:f>IF(D31&gt;=500,"初筛达标","方向性")</x:f>
        <x:v>方向性</x:v>
      </x:c>
    </x:row>
    <x:row r="32">
      <x:c r="A32" s="85" t="str">
        <x:v>TT_NEW_03</x:v>
      </x:c>
      <x:c r="B32" s="39" t="n">
        <x:v>20</x:v>
      </x:c>
      <x:c r="C32" s="39" t="str">
        <x:v>纯进度</x:v>
      </x:c>
      <x:c r="D32" s="39" t="n">
        <x:f>COUNTIFS('Spin样本'!$A$2:$A$141,A32,'Spin样本'!$F$2:$F$141,B32,'Spin样本'!$X$2:$X$141,"是")</x:f>
        <x:v>3</x:v>
      </x:c>
      <x:c r="E32" s="39" t="n">
        <x:f>COUNTIFS('Spin样本'!$A$2:$A$141,A32,'Spin样本'!$F$2:$F$141,B32,'Spin样本'!$W$2:$W$141,C32,'Spin样本'!$X$2:$X$141,"是")</x:f>
        <x:v>0</x:v>
      </x:c>
      <x:c r="F32" s="38" t="n">
        <x:f>IFERROR(E32/D32,0)</x:f>
        <x:v>0</x:v>
      </x:c>
      <x:c r="G32" s="38" t="n">
        <x:f>IF(D32=0,0,((F32+1.96^2/(2*D32))/(1+1.96^2/D32))-1.96*SQRT(F32*(1-F32)/D32+1.96^2/(4*D32^2))/(1+1.96^2/D32))</x:f>
        <x:v>0</x:v>
      </x:c>
      <x:c r="H32" s="38" t="n">
        <x:f>IF(D32=0,0,((F32+1.96^2/(2*D32))/(1+1.96^2/D32))+1.96*SQRT(F32*(1-F32)/D32+1.96^2/(4*D32^2))/(1+1.96^2/D32))</x:f>
        <x:v>0.5615060804490177</x:v>
      </x:c>
      <x:c r="I32" s="39" t="str">
        <x:f>IF(D32&gt;=500,"初筛达标","方向性")</x:f>
        <x:v>方向性</x:v>
      </x:c>
    </x:row>
    <x:row r="33">
      <x:c r="A33" s="85" t="str">
        <x:v>TT_NEW_03</x:v>
      </x:c>
      <x:c r="B33" s="39" t="n">
        <x:v>20</x:v>
      </x:c>
      <x:c r="C33" s="39" t="str">
        <x:v>Shield</x:v>
      </x:c>
      <x:c r="D33" s="39" t="n">
        <x:f>COUNTIFS('Spin样本'!$A$2:$A$141,A33,'Spin样本'!$F$2:$F$141,B33,'Spin样本'!$X$2:$X$141,"是")</x:f>
        <x:v>3</x:v>
      </x:c>
      <x:c r="E33" s="39" t="n">
        <x:f>COUNTIFS('Spin样本'!$A$2:$A$141,A33,'Spin样本'!$F$2:$F$141,B33,'Spin样本'!$W$2:$W$141,C33,'Spin样本'!$X$2:$X$141,"是")</x:f>
        <x:v>0</x:v>
      </x:c>
      <x:c r="F33" s="38" t="n">
        <x:f>IFERROR(E33/D33,0)</x:f>
        <x:v>0</x:v>
      </x:c>
      <x:c r="G33" s="38" t="n">
        <x:f>IF(D33=0,0,((F33+1.96^2/(2*D33))/(1+1.96^2/D33))-1.96*SQRT(F33*(1-F33)/D33+1.96^2/(4*D33^2))/(1+1.96^2/D33))</x:f>
        <x:v>0</x:v>
      </x:c>
      <x:c r="H33" s="38" t="n">
        <x:f>IF(D33=0,0,((F33+1.96^2/(2*D33))/(1+1.96^2/D33))+1.96*SQRT(F33*(1-F33)/D33+1.96^2/(4*D33^2))/(1+1.96^2/D33))</x:f>
        <x:v>0.5615060804490177</x:v>
      </x:c>
      <x:c r="I33" s="39" t="str">
        <x:f>IF(D33&gt;=500,"初筛达标","方向性")</x:f>
        <x:v>方向性</x:v>
      </x:c>
    </x:row>
    <x:row r="34">
      <x:c r="A34" s="85" t="str">
        <x:v>TT_NEW_03</x:v>
      </x:c>
      <x:c r="B34" s="39" t="n">
        <x:v>20</x:v>
      </x:c>
      <x:c r="C34" s="39" t="str">
        <x:v>Credit Grab</x:v>
      </x:c>
      <x:c r="D34" s="39" t="n">
        <x:f>COUNTIFS('Spin样本'!$A$2:$A$141,A34,'Spin样本'!$F$2:$F$141,B34,'Spin样本'!$X$2:$X$141,"是")</x:f>
        <x:v>3</x:v>
      </x:c>
      <x:c r="E34" s="39" t="n">
        <x:f>COUNTIFS('Spin样本'!$A$2:$A$141,A34,'Spin样本'!$F$2:$F$141,B34,'Spin样本'!$W$2:$W$141,C34,'Spin样本'!$X$2:$X$141,"是")</x:f>
        <x:v>1</x:v>
      </x:c>
      <x:c r="F34" s="38" t="n">
        <x:f>IFERROR(E34/D34,0)</x:f>
        <x:v>0.3333333333333333</x:v>
      </x:c>
      <x:c r="G34" s="38" t="n">
        <x:f>IF(D34=0,0,((F34+1.96^2/(2*D34))/(1+1.96^2/D34))-1.96*SQRT(F34*(1-F34)/D34+1.96^2/(4*D34^2))/(1+1.96^2/D34))</x:f>
        <x:v>0.0614903152761605</x:v>
      </x:c>
      <x:c r="H34" s="38" t="n">
        <x:f>IF(D34=0,0,((F34+1.96^2/(2*D34))/(1+1.96^2/D34))+1.96*SQRT(F34*(1-F34)/D34+1.96^2/(4*D34^2))/(1+1.96^2/D34))</x:f>
        <x:v>0.7923450448735121</x:v>
      </x:c>
      <x:c r="I34" s="39" t="str">
        <x:f>IF(D34&gt;=500,"初筛达标","方向性")</x:f>
        <x:v>方向性</x:v>
      </x:c>
    </x:row>
    <x:row r="35">
      <x:c r="A35" s="85" t="str">
        <x:v>TT_NEW_03</x:v>
      </x:c>
      <x:c r="B35" s="39" t="n">
        <x:v>20</x:v>
      </x:c>
      <x:c r="C35" s="39" t="str">
        <x:v>大奖</x:v>
      </x:c>
      <x:c r="D35" s="39" t="n">
        <x:f>COUNTIFS('Spin样本'!$A$2:$A$141,A35,'Spin样本'!$F$2:$F$141,B35,'Spin样本'!$X$2:$X$141,"是")</x:f>
        <x:v>3</x:v>
      </x:c>
      <x:c r="E35" s="39" t="n">
        <x:f>COUNTIFS('Spin样本'!$A$2:$A$141,A35,'Spin样本'!$F$2:$F$141,B35,'Spin样本'!$W$2:$W$141,C35,'Spin样本'!$X$2:$X$141,"是")</x:f>
        <x:v>0</x:v>
      </x:c>
      <x:c r="F35" s="38" t="n">
        <x:f>IFERROR(E35/D35,0)</x:f>
        <x:v>0</x:v>
      </x:c>
      <x:c r="G35" s="38" t="n">
        <x:f>IF(D35=0,0,((F35+1.96^2/(2*D35))/(1+1.96^2/D35))-1.96*SQRT(F35*(1-F35)/D35+1.96^2/(4*D35^2))/(1+1.96^2/D35))</x:f>
        <x:v>0</x:v>
      </x:c>
      <x:c r="H35" s="38" t="n">
        <x:f>IF(D35=0,0,((F35+1.96^2/(2*D35))/(1+1.96^2/D35))+1.96*SQRT(F35*(1-F35)/D35+1.96^2/(4*D35^2))/(1+1.96^2/D35))</x:f>
        <x:v>0.5615060804490177</x:v>
      </x:c>
      <x:c r="I35" s="39" t="str">
        <x:f>IF(D35&gt;=500,"初筛达标","方向性")</x:f>
        <x:v>方向性</x:v>
      </x:c>
    </x:row>
    <x:row r="36">
      <x:c r="A36" s="85" t="str">
        <x:v>TT_NEW_06</x:v>
      </x:c>
      <x:c r="B36" s="39" t="n">
        <x:v>2</x:v>
      </x:c>
      <x:c r="C36" s="39" t="str">
        <x:v>纯金币</x:v>
      </x:c>
      <x:c r="D36" s="39" t="n">
        <x:f>COUNTIFS('Spin样本'!$A$2:$A$141,A36,'Spin样本'!$F$2:$F$141,B36,'Spin样本'!$X$2:$X$141,"是")</x:f>
        <x:v>3</x:v>
      </x:c>
      <x:c r="E36" s="39" t="n">
        <x:f>COUNTIFS('Spin样本'!$A$2:$A$141,A36,'Spin样本'!$F$2:$F$141,B36,'Spin样本'!$W$2:$W$141,C36,'Spin样本'!$X$2:$X$141,"是")</x:f>
        <x:v>1</x:v>
      </x:c>
      <x:c r="F36" s="38" t="n">
        <x:f>IFERROR(E36/D36,0)</x:f>
        <x:v>0.3333333333333333</x:v>
      </x:c>
      <x:c r="G36" s="38" t="n">
        <x:f>IF(D36=0,0,((F36+1.96^2/(2*D36))/(1+1.96^2/D36))-1.96*SQRT(F36*(1-F36)/D36+1.96^2/(4*D36^2))/(1+1.96^2/D36))</x:f>
        <x:v>0.0614903152761605</x:v>
      </x:c>
      <x:c r="H36" s="38" t="n">
        <x:f>IF(D36=0,0,((F36+1.96^2/(2*D36))/(1+1.96^2/D36))+1.96*SQRT(F36*(1-F36)/D36+1.96^2/(4*D36^2))/(1+1.96^2/D36))</x:f>
        <x:v>0.7923450448735121</x:v>
      </x:c>
      <x:c r="I36" s="39" t="str">
        <x:f>IF(D36&gt;=500,"初筛达标","方向性")</x:f>
        <x:v>方向性</x:v>
      </x:c>
    </x:row>
    <x:row r="37">
      <x:c r="A37" s="85" t="str">
        <x:v>TT_NEW_06</x:v>
      </x:c>
      <x:c r="B37" s="39" t="n">
        <x:v>2</x:v>
      </x:c>
      <x:c r="C37" s="39" t="str">
        <x:v>混合奖励</x:v>
      </x:c>
      <x:c r="D37" s="39" t="n">
        <x:f>COUNTIFS('Spin样本'!$A$2:$A$141,A37,'Spin样本'!$F$2:$F$141,B37,'Spin样本'!$X$2:$X$141,"是")</x:f>
        <x:v>3</x:v>
      </x:c>
      <x:c r="E37" s="39" t="n">
        <x:f>COUNTIFS('Spin样本'!$A$2:$A$141,A37,'Spin样本'!$F$2:$F$141,B37,'Spin样本'!$W$2:$W$141,C37,'Spin样本'!$X$2:$X$141,"是")</x:f>
        <x:v>1</x:v>
      </x:c>
      <x:c r="F37" s="38" t="n">
        <x:f>IFERROR(E37/D37,0)</x:f>
        <x:v>0.3333333333333333</x:v>
      </x:c>
      <x:c r="G37" s="38" t="n">
        <x:f>IF(D37=0,0,((F37+1.96^2/(2*D37))/(1+1.96^2/D37))-1.96*SQRT(F37*(1-F37)/D37+1.96^2/(4*D37^2))/(1+1.96^2/D37))</x:f>
        <x:v>0.0614903152761605</x:v>
      </x:c>
      <x:c r="H37" s="38" t="n">
        <x:f>IF(D37=0,0,((F37+1.96^2/(2*D37))/(1+1.96^2/D37))+1.96*SQRT(F37*(1-F37)/D37+1.96^2/(4*D37^2))/(1+1.96^2/D37))</x:f>
        <x:v>0.7923450448735121</x:v>
      </x:c>
      <x:c r="I37" s="39" t="str">
        <x:f>IF(D37&gt;=500,"初筛达标","方向性")</x:f>
        <x:v>方向性</x:v>
      </x:c>
    </x:row>
    <x:row r="38">
      <x:c r="A38" s="85" t="str">
        <x:v>TT_NEW_06</x:v>
      </x:c>
      <x:c r="B38" s="39" t="n">
        <x:v>2</x:v>
      </x:c>
      <x:c r="C38" s="39" t="str">
        <x:v>Attack</x:v>
      </x:c>
      <x:c r="D38" s="39" t="n">
        <x:f>COUNTIFS('Spin样本'!$A$2:$A$141,A38,'Spin样本'!$F$2:$F$141,B38,'Spin样本'!$X$2:$X$141,"是")</x:f>
        <x:v>3</x:v>
      </x:c>
      <x:c r="E38" s="39" t="n">
        <x:f>COUNTIFS('Spin样本'!$A$2:$A$141,A38,'Spin样本'!$F$2:$F$141,B38,'Spin样本'!$W$2:$W$141,C38,'Spin样本'!$X$2:$X$141,"是")</x:f>
        <x:v>0</x:v>
      </x:c>
      <x:c r="F38" s="38" t="n">
        <x:f>IFERROR(E38/D38,0)</x:f>
        <x:v>0</x:v>
      </x:c>
      <x:c r="G38" s="38" t="n">
        <x:f>IF(D38=0,0,((F38+1.96^2/(2*D38))/(1+1.96^2/D38))-1.96*SQRT(F38*(1-F38)/D38+1.96^2/(4*D38^2))/(1+1.96^2/D38))</x:f>
        <x:v>0</x:v>
      </x:c>
      <x:c r="H38" s="38" t="n">
        <x:f>IF(D38=0,0,((F38+1.96^2/(2*D38))/(1+1.96^2/D38))+1.96*SQRT(F38*(1-F38)/D38+1.96^2/(4*D38^2))/(1+1.96^2/D38))</x:f>
        <x:v>0.5615060804490177</x:v>
      </x:c>
      <x:c r="I38" s="39" t="str">
        <x:f>IF(D38&gt;=500,"初筛达标","方向性")</x:f>
        <x:v>方向性</x:v>
      </x:c>
    </x:row>
    <x:row r="39">
      <x:c r="A39" s="85" t="str">
        <x:v>TT_NEW_06</x:v>
      </x:c>
      <x:c r="B39" s="39" t="n">
        <x:v>2</x:v>
      </x:c>
      <x:c r="C39" s="39" t="str">
        <x:v>空奖</x:v>
      </x:c>
      <x:c r="D39" s="39" t="n">
        <x:f>COUNTIFS('Spin样本'!$A$2:$A$141,A39,'Spin样本'!$F$2:$F$141,B39,'Spin样本'!$X$2:$X$141,"是")</x:f>
        <x:v>3</x:v>
      </x:c>
      <x:c r="E39" s="39" t="n">
        <x:f>COUNTIFS('Spin样本'!$A$2:$A$141,A39,'Spin样本'!$F$2:$F$141,B39,'Spin样本'!$W$2:$W$141,C39,'Spin样本'!$X$2:$X$141,"是")</x:f>
        <x:v>0</x:v>
      </x:c>
      <x:c r="F39" s="38" t="n">
        <x:f>IFERROR(E39/D39,0)</x:f>
        <x:v>0</x:v>
      </x:c>
      <x:c r="G39" s="38" t="n">
        <x:f>IF(D39=0,0,((F39+1.96^2/(2*D39))/(1+1.96^2/D39))-1.96*SQRT(F39*(1-F39)/D39+1.96^2/(4*D39^2))/(1+1.96^2/D39))</x:f>
        <x:v>0</x:v>
      </x:c>
      <x:c r="H39" s="38" t="n">
        <x:f>IF(D39=0,0,((F39+1.96^2/(2*D39))/(1+1.96^2/D39))+1.96*SQRT(F39*(1-F39)/D39+1.96^2/(4*D39^2))/(1+1.96^2/D39))</x:f>
        <x:v>0.5615060804490177</x:v>
      </x:c>
      <x:c r="I39" s="39" t="str">
        <x:f>IF(D39&gt;=500,"初筛达标","方向性")</x:f>
        <x:v>方向性</x:v>
      </x:c>
    </x:row>
    <x:row r="40">
      <x:c r="A40" s="85" t="str">
        <x:v>TT_NEW_06</x:v>
      </x:c>
      <x:c r="B40" s="39" t="n">
        <x:v>2</x:v>
      </x:c>
      <x:c r="C40" s="39" t="str">
        <x:v>纯进度</x:v>
      </x:c>
      <x:c r="D40" s="39" t="n">
        <x:f>COUNTIFS('Spin样本'!$A$2:$A$141,A40,'Spin样本'!$F$2:$F$141,B40,'Spin样本'!$X$2:$X$141,"是")</x:f>
        <x:v>3</x:v>
      </x:c>
      <x:c r="E40" s="39" t="n">
        <x:f>COUNTIFS('Spin样本'!$A$2:$A$141,A40,'Spin样本'!$F$2:$F$141,B40,'Spin样本'!$W$2:$W$141,C40,'Spin样本'!$X$2:$X$141,"是")</x:f>
        <x:v>1</x:v>
      </x:c>
      <x:c r="F40" s="38" t="n">
        <x:f>IFERROR(E40/D40,0)</x:f>
        <x:v>0.3333333333333333</x:v>
      </x:c>
      <x:c r="G40" s="38" t="n">
        <x:f>IF(D40=0,0,((F40+1.96^2/(2*D40))/(1+1.96^2/D40))-1.96*SQRT(F40*(1-F40)/D40+1.96^2/(4*D40^2))/(1+1.96^2/D40))</x:f>
        <x:v>0.0614903152761605</x:v>
      </x:c>
      <x:c r="H40" s="38" t="n">
        <x:f>IF(D40=0,0,((F40+1.96^2/(2*D40))/(1+1.96^2/D40))+1.96*SQRT(F40*(1-F40)/D40+1.96^2/(4*D40^2))/(1+1.96^2/D40))</x:f>
        <x:v>0.7923450448735121</x:v>
      </x:c>
      <x:c r="I40" s="39" t="str">
        <x:f>IF(D40&gt;=500,"初筛达标","方向性")</x:f>
        <x:v>方向性</x:v>
      </x:c>
    </x:row>
    <x:row r="41">
      <x:c r="A41" s="85" t="str">
        <x:v>TT_NEW_06</x:v>
      </x:c>
      <x:c r="B41" s="39" t="n">
        <x:v>2</x:v>
      </x:c>
      <x:c r="C41" s="39" t="str">
        <x:v>Shield</x:v>
      </x:c>
      <x:c r="D41" s="39" t="n">
        <x:f>COUNTIFS('Spin样本'!$A$2:$A$141,A41,'Spin样本'!$F$2:$F$141,B41,'Spin样本'!$X$2:$X$141,"是")</x:f>
        <x:v>3</x:v>
      </x:c>
      <x:c r="E41" s="39" t="n">
        <x:f>COUNTIFS('Spin样本'!$A$2:$A$141,A41,'Spin样本'!$F$2:$F$141,B41,'Spin样本'!$W$2:$W$141,C41,'Spin样本'!$X$2:$X$141,"是")</x:f>
        <x:v>0</x:v>
      </x:c>
      <x:c r="F41" s="38" t="n">
        <x:f>IFERROR(E41/D41,0)</x:f>
        <x:v>0</x:v>
      </x:c>
      <x:c r="G41" s="38" t="n">
        <x:f>IF(D41=0,0,((F41+1.96^2/(2*D41))/(1+1.96^2/D41))-1.96*SQRT(F41*(1-F41)/D41+1.96^2/(4*D41^2))/(1+1.96^2/D41))</x:f>
        <x:v>0</x:v>
      </x:c>
      <x:c r="H41" s="38" t="n">
        <x:f>IF(D41=0,0,((F41+1.96^2/(2*D41))/(1+1.96^2/D41))+1.96*SQRT(F41*(1-F41)/D41+1.96^2/(4*D41^2))/(1+1.96^2/D41))</x:f>
        <x:v>0.5615060804490177</x:v>
      </x:c>
      <x:c r="I41" s="39" t="str">
        <x:f>IF(D41&gt;=500,"初筛达标","方向性")</x:f>
        <x:v>方向性</x:v>
      </x:c>
    </x:row>
    <x:row r="42">
      <x:c r="A42" s="85" t="str">
        <x:v>TT_NEW_06</x:v>
      </x:c>
      <x:c r="B42" s="39" t="n">
        <x:v>2</x:v>
      </x:c>
      <x:c r="C42" s="39" t="str">
        <x:v>Credit Grab</x:v>
      </x:c>
      <x:c r="D42" s="39" t="n">
        <x:f>COUNTIFS('Spin样本'!$A$2:$A$141,A42,'Spin样本'!$F$2:$F$141,B42,'Spin样本'!$X$2:$X$141,"是")</x:f>
        <x:v>3</x:v>
      </x:c>
      <x:c r="E42" s="39" t="n">
        <x:f>COUNTIFS('Spin样本'!$A$2:$A$141,A42,'Spin样本'!$F$2:$F$141,B42,'Spin样本'!$W$2:$W$141,C42,'Spin样本'!$X$2:$X$141,"是")</x:f>
        <x:v>0</x:v>
      </x:c>
      <x:c r="F42" s="38" t="n">
        <x:f>IFERROR(E42/D42,0)</x:f>
        <x:v>0</x:v>
      </x:c>
      <x:c r="G42" s="38" t="n">
        <x:f>IF(D42=0,0,((F42+1.96^2/(2*D42))/(1+1.96^2/D42))-1.96*SQRT(F42*(1-F42)/D42+1.96^2/(4*D42^2))/(1+1.96^2/D42))</x:f>
        <x:v>0</x:v>
      </x:c>
      <x:c r="H42" s="38" t="n">
        <x:f>IF(D42=0,0,((F42+1.96^2/(2*D42))/(1+1.96^2/D42))+1.96*SQRT(F42*(1-F42)/D42+1.96^2/(4*D42^2))/(1+1.96^2/D42))</x:f>
        <x:v>0.5615060804490177</x:v>
      </x:c>
      <x:c r="I42" s="39" t="str">
        <x:f>IF(D42&gt;=500,"初筛达标","方向性")</x:f>
        <x:v>方向性</x:v>
      </x:c>
    </x:row>
    <x:row r="43">
      <x:c r="A43" s="85" t="str">
        <x:v>TT_NEW_06</x:v>
      </x:c>
      <x:c r="B43" s="39" t="n">
        <x:v>2</x:v>
      </x:c>
      <x:c r="C43" s="39" t="str">
        <x:v>大奖</x:v>
      </x:c>
      <x:c r="D43" s="39" t="n">
        <x:f>COUNTIFS('Spin样本'!$A$2:$A$141,A43,'Spin样本'!$F$2:$F$141,B43,'Spin样本'!$X$2:$X$141,"是")</x:f>
        <x:v>3</x:v>
      </x:c>
      <x:c r="E43" s="39" t="n">
        <x:f>COUNTIFS('Spin样本'!$A$2:$A$141,A43,'Spin样本'!$F$2:$F$141,B43,'Spin样本'!$W$2:$W$141,C43,'Spin样本'!$X$2:$X$141,"是")</x:f>
        <x:v>0</x:v>
      </x:c>
      <x:c r="F43" s="38" t="n">
        <x:f>IFERROR(E43/D43,0)</x:f>
        <x:v>0</x:v>
      </x:c>
      <x:c r="G43" s="38" t="n">
        <x:f>IF(D43=0,0,((F43+1.96^2/(2*D43))/(1+1.96^2/D43))-1.96*SQRT(F43*(1-F43)/D43+1.96^2/(4*D43^2))/(1+1.96^2/D43))</x:f>
        <x:v>0</x:v>
      </x:c>
      <x:c r="H43" s="38" t="n">
        <x:f>IF(D43=0,0,((F43+1.96^2/(2*D43))/(1+1.96^2/D43))+1.96*SQRT(F43*(1-F43)/D43+1.96^2/(4*D43^2))/(1+1.96^2/D43))</x:f>
        <x:v>0.5615060804490177</x:v>
      </x:c>
      <x:c r="I43" s="39" t="str">
        <x:f>IF(D43&gt;=500,"初筛达标","方向性")</x:f>
        <x:v>方向性</x:v>
      </x:c>
    </x:row>
    <x:row r="44">
      <x:c r="A44" s="85" t="str">
        <x:v>TT_NEW_06</x:v>
      </x:c>
      <x:c r="B44" s="39" t="n">
        <x:v>5</x:v>
      </x:c>
      <x:c r="C44" s="39" t="str">
        <x:v>纯金币</x:v>
      </x:c>
      <x:c r="D44" s="39" t="n">
        <x:f>COUNTIFS('Spin样本'!$A$2:$A$141,A44,'Spin样本'!$F$2:$F$141,B44,'Spin样本'!$X$2:$X$141,"是")</x:f>
        <x:v>45</x:v>
      </x:c>
      <x:c r="E44" s="39" t="n">
        <x:f>COUNTIFS('Spin样本'!$A$2:$A$141,A44,'Spin样本'!$F$2:$F$141,B44,'Spin样本'!$W$2:$W$141,C44,'Spin样本'!$X$2:$X$141,"是")</x:f>
        <x:v>24</x:v>
      </x:c>
      <x:c r="F44" s="38" t="n">
        <x:f>IFERROR(E44/D44,0)</x:f>
        <x:v>0.5333333333333333</x:v>
      </x:c>
      <x:c r="G44" s="38" t="n">
        <x:f>IF(D44=0,0,((F44+1.96^2/(2*D44))/(1+1.96^2/D44))-1.96*SQRT(F44*(1-F44)/D44+1.96^2/(4*D44^2))/(1+1.96^2/D44))</x:f>
        <x:v>0.3907720886241046</x:v>
      </x:c>
      <x:c r="H44" s="38" t="n">
        <x:f>IF(D44=0,0,((F44+1.96^2/(2*D44))/(1+1.96^2/D44))+1.96*SQRT(F44*(1-F44)/D44+1.96^2/(4*D44^2))/(1+1.96^2/D44))</x:f>
        <x:v>0.6706509605798527</x:v>
      </x:c>
      <x:c r="I44" s="39" t="str">
        <x:f>IF(D44&gt;=500,"初筛达标","方向性")</x:f>
        <x:v>方向性</x:v>
      </x:c>
    </x:row>
    <x:row r="45">
      <x:c r="A45" s="85" t="str">
        <x:v>TT_NEW_06</x:v>
      </x:c>
      <x:c r="B45" s="39" t="n">
        <x:v>5</x:v>
      </x:c>
      <x:c r="C45" s="39" t="str">
        <x:v>混合奖励</x:v>
      </x:c>
      <x:c r="D45" s="39" t="n">
        <x:f>COUNTIFS('Spin样本'!$A$2:$A$141,A45,'Spin样本'!$F$2:$F$141,B45,'Spin样本'!$X$2:$X$141,"是")</x:f>
        <x:v>45</x:v>
      </x:c>
      <x:c r="E45" s="39" t="n">
        <x:f>COUNTIFS('Spin样本'!$A$2:$A$141,A45,'Spin样本'!$F$2:$F$141,B45,'Spin样本'!$W$2:$W$141,C45,'Spin样本'!$X$2:$X$141,"是")</x:f>
        <x:v>10</x:v>
      </x:c>
      <x:c r="F45" s="38" t="n">
        <x:f>IFERROR(E45/D45,0)</x:f>
        <x:v>0.2222222222222222</x:v>
      </x:c>
      <x:c r="G45" s="38" t="n">
        <x:f>IF(D45=0,0,((F45+1.96^2/(2*D45))/(1+1.96^2/D45))-1.96*SQRT(F45*(1-F45)/D45+1.96^2/(4*D45^2))/(1+1.96^2/D45))</x:f>
        <x:v>0.12544551866005632</x:v>
      </x:c>
      <x:c r="H45" s="38" t="n">
        <x:f>IF(D45=0,0,((F45+1.96^2/(2*D45))/(1+1.96^2/D45))+1.96*SQRT(F45*(1-F45)/D45+1.96^2/(4*D45^2))/(1+1.96^2/D45))</x:f>
        <x:v>0.3626957379736329</x:v>
      </x:c>
      <x:c r="I45" s="39" t="str">
        <x:f>IF(D45&gt;=500,"初筛达标","方向性")</x:f>
        <x:v>方向性</x:v>
      </x:c>
    </x:row>
    <x:row r="46">
      <x:c r="A46" s="85" t="str">
        <x:v>TT_NEW_06</x:v>
      </x:c>
      <x:c r="B46" s="39" t="n">
        <x:v>5</x:v>
      </x:c>
      <x:c r="C46" s="39" t="str">
        <x:v>Attack</x:v>
      </x:c>
      <x:c r="D46" s="39" t="n">
        <x:f>COUNTIFS('Spin样本'!$A$2:$A$141,A46,'Spin样本'!$F$2:$F$141,B46,'Spin样本'!$X$2:$X$141,"是")</x:f>
        <x:v>45</x:v>
      </x:c>
      <x:c r="E46" s="39" t="n">
        <x:f>COUNTIFS('Spin样本'!$A$2:$A$141,A46,'Spin样本'!$F$2:$F$141,B46,'Spin样本'!$W$2:$W$141,C46,'Spin样本'!$X$2:$X$141,"是")</x:f>
        <x:v>6</x:v>
      </x:c>
      <x:c r="F46" s="38" t="n">
        <x:f>IFERROR(E46/D46,0)</x:f>
        <x:v>0.13333333333333333</x:v>
      </x:c>
      <x:c r="G46" s="38" t="n">
        <x:f>IF(D46=0,0,((F46+1.96^2/(2*D46))/(1+1.96^2/D46))-1.96*SQRT(F46*(1-F46)/D46+1.96^2/(4*D46^2))/(1+1.96^2/D46))</x:f>
        <x:v>0.0625706363434968</x:v>
      </x:c>
      <x:c r="H46" s="38" t="n">
        <x:f>IF(D46=0,0,((F46+1.96^2/(2*D46))/(1+1.96^2/D46))+1.96*SQRT(F46*(1-F46)/D46+1.96^2/(4*D46^2))/(1+1.96^2/D46))</x:f>
        <x:v>0.2617758224129731</x:v>
      </x:c>
      <x:c r="I46" s="39" t="str">
        <x:f>IF(D46&gt;=500,"初筛达标","方向性")</x:f>
        <x:v>方向性</x:v>
      </x:c>
    </x:row>
    <x:row r="47">
      <x:c r="A47" s="85" t="str">
        <x:v>TT_NEW_06</x:v>
      </x:c>
      <x:c r="B47" s="39" t="n">
        <x:v>5</x:v>
      </x:c>
      <x:c r="C47" s="39" t="str">
        <x:v>空奖</x:v>
      </x:c>
      <x:c r="D47" s="39" t="n">
        <x:f>COUNTIFS('Spin样本'!$A$2:$A$141,A47,'Spin样本'!$F$2:$F$141,B47,'Spin样本'!$X$2:$X$141,"是")</x:f>
        <x:v>45</x:v>
      </x:c>
      <x:c r="E47" s="39" t="n">
        <x:f>COUNTIFS('Spin样本'!$A$2:$A$141,A47,'Spin样本'!$F$2:$F$141,B47,'Spin样本'!$W$2:$W$141,C47,'Spin样本'!$X$2:$X$141,"是")</x:f>
        <x:v>1</x:v>
      </x:c>
      <x:c r="F47" s="38" t="n">
        <x:f>IFERROR(E47/D47,0)</x:f>
        <x:v>0.022222222222222223</x:v>
      </x:c>
      <x:c r="G47" s="38" t="n">
        <x:f>IF(D47=0,0,((F47+1.96^2/(2*D47))/(1+1.96^2/D47))-1.96*SQRT(F47*(1-F47)/D47+1.96^2/(4*D47^2))/(1+1.96^2/D47))</x:f>
        <x:v>0.003933497522757505</x:v>
      </x:c>
      <x:c r="H47" s="38" t="n">
        <x:f>IF(D47=0,0,((F47+1.96^2/(2*D47))/(1+1.96^2/D47))+1.96*SQRT(F47*(1-F47)/D47+1.96^2/(4*D47^2))/(1+1.96^2/D47))</x:f>
        <x:v>0.11566946388718813</x:v>
      </x:c>
      <x:c r="I47" s="39" t="str">
        <x:f>IF(D47&gt;=500,"初筛达标","方向性")</x:f>
        <x:v>方向性</x:v>
      </x:c>
    </x:row>
    <x:row r="48">
      <x:c r="A48" s="85" t="str">
        <x:v>TT_NEW_06</x:v>
      </x:c>
      <x:c r="B48" s="39" t="n">
        <x:v>5</x:v>
      </x:c>
      <x:c r="C48" s="39" t="str">
        <x:v>纯进度</x:v>
      </x:c>
      <x:c r="D48" s="39" t="n">
        <x:f>COUNTIFS('Spin样本'!$A$2:$A$141,A48,'Spin样本'!$F$2:$F$141,B48,'Spin样本'!$X$2:$X$141,"是")</x:f>
        <x:v>45</x:v>
      </x:c>
      <x:c r="E48" s="39" t="n">
        <x:f>COUNTIFS('Spin样本'!$A$2:$A$141,A48,'Spin样本'!$F$2:$F$141,B48,'Spin样本'!$W$2:$W$141,C48,'Spin样本'!$X$2:$X$141,"是")</x:f>
        <x:v>2</x:v>
      </x:c>
      <x:c r="F48" s="38" t="n">
        <x:f>IFERROR(E48/D48,0)</x:f>
        <x:v>0.044444444444444446</x:v>
      </x:c>
      <x:c r="G48" s="38" t="n">
        <x:f>IF(D48=0,0,((F48+1.96^2/(2*D48))/(1+1.96^2/D48))-1.96*SQRT(F48*(1-F48)/D48+1.96^2/(4*D48^2))/(1+1.96^2/D48))</x:f>
        <x:v>0.012273869040444335</x:v>
      </x:c>
      <x:c r="H48" s="38" t="n">
        <x:f>IF(D48=0,0,((F48+1.96^2/(2*D48))/(1+1.96^2/D48))+1.96*SQRT(F48*(1-F48)/D48+1.96^2/(4*D48^2))/(1+1.96^2/D48))</x:f>
        <x:v>0.14827779183880616</x:v>
      </x:c>
      <x:c r="I48" s="39" t="str">
        <x:f>IF(D48&gt;=500,"初筛达标","方向性")</x:f>
        <x:v>方向性</x:v>
      </x:c>
    </x:row>
    <x:row r="49">
      <x:c r="A49" s="85" t="str">
        <x:v>TT_NEW_06</x:v>
      </x:c>
      <x:c r="B49" s="39" t="n">
        <x:v>5</x:v>
      </x:c>
      <x:c r="C49" s="39" t="str">
        <x:v>Shield</x:v>
      </x:c>
      <x:c r="D49" s="39" t="n">
        <x:f>COUNTIFS('Spin样本'!$A$2:$A$141,A49,'Spin样本'!$F$2:$F$141,B49,'Spin样本'!$X$2:$X$141,"是")</x:f>
        <x:v>45</x:v>
      </x:c>
      <x:c r="E49" s="39" t="n">
        <x:f>COUNTIFS('Spin样本'!$A$2:$A$141,A49,'Spin样本'!$F$2:$F$141,B49,'Spin样本'!$W$2:$W$141,C49,'Spin样本'!$X$2:$X$141,"是")</x:f>
        <x:v>1</x:v>
      </x:c>
      <x:c r="F49" s="38" t="n">
        <x:f>IFERROR(E49/D49,0)</x:f>
        <x:v>0.022222222222222223</x:v>
      </x:c>
      <x:c r="G49" s="38" t="n">
        <x:f>IF(D49=0,0,((F49+1.96^2/(2*D49))/(1+1.96^2/D49))-1.96*SQRT(F49*(1-F49)/D49+1.96^2/(4*D49^2))/(1+1.96^2/D49))</x:f>
        <x:v>0.003933497522757505</x:v>
      </x:c>
      <x:c r="H49" s="38" t="n">
        <x:f>IF(D49=0,0,((F49+1.96^2/(2*D49))/(1+1.96^2/D49))+1.96*SQRT(F49*(1-F49)/D49+1.96^2/(4*D49^2))/(1+1.96^2/D49))</x:f>
        <x:v>0.11566946388718813</x:v>
      </x:c>
      <x:c r="I49" s="39" t="str">
        <x:f>IF(D49&gt;=500,"初筛达标","方向性")</x:f>
        <x:v>方向性</x:v>
      </x:c>
    </x:row>
    <x:row r="50">
      <x:c r="A50" s="85" t="str">
        <x:v>TT_NEW_06</x:v>
      </x:c>
      <x:c r="B50" s="39" t="n">
        <x:v>5</x:v>
      </x:c>
      <x:c r="C50" s="39" t="str">
        <x:v>Credit Grab</x:v>
      </x:c>
      <x:c r="D50" s="39" t="n">
        <x:f>COUNTIFS('Spin样本'!$A$2:$A$141,A50,'Spin样本'!$F$2:$F$141,B50,'Spin样本'!$X$2:$X$141,"是")</x:f>
        <x:v>45</x:v>
      </x:c>
      <x:c r="E50" s="39" t="n">
        <x:f>COUNTIFS('Spin样本'!$A$2:$A$141,A50,'Spin样本'!$F$2:$F$141,B50,'Spin样本'!$W$2:$W$141,C50,'Spin样本'!$X$2:$X$141,"是")</x:f>
        <x:v>1</x:v>
      </x:c>
      <x:c r="F50" s="38" t="n">
        <x:f>IFERROR(E50/D50,0)</x:f>
        <x:v>0.022222222222222223</x:v>
      </x:c>
      <x:c r="G50" s="38" t="n">
        <x:f>IF(D50=0,0,((F50+1.96^2/(2*D50))/(1+1.96^2/D50))-1.96*SQRT(F50*(1-F50)/D50+1.96^2/(4*D50^2))/(1+1.96^2/D50))</x:f>
        <x:v>0.003933497522757505</x:v>
      </x:c>
      <x:c r="H50" s="38" t="n">
        <x:f>IF(D50=0,0,((F50+1.96^2/(2*D50))/(1+1.96^2/D50))+1.96*SQRT(F50*(1-F50)/D50+1.96^2/(4*D50^2))/(1+1.96^2/D50))</x:f>
        <x:v>0.11566946388718813</x:v>
      </x:c>
      <x:c r="I50" s="39" t="str">
        <x:f>IF(D50&gt;=500,"初筛达标","方向性")</x:f>
        <x:v>方向性</x:v>
      </x:c>
    </x:row>
    <x:row r="51">
      <x:c r="A51" s="86" t="str">
        <x:v>TT_NEW_06</x:v>
      </x:c>
      <x:c r="B51" s="87" t="n">
        <x:v>5</x:v>
      </x:c>
      <x:c r="C51" s="87" t="str">
        <x:v>大奖</x:v>
      </x:c>
      <x:c r="D51" s="87" t="n">
        <x:f>COUNTIFS('Spin样本'!$A$2:$A$141,A51,'Spin样本'!$F$2:$F$141,B51,'Spin样本'!$X$2:$X$141,"是")</x:f>
        <x:v>45</x:v>
      </x:c>
      <x:c r="E51" s="87" t="n">
        <x:f>COUNTIFS('Spin样本'!$A$2:$A$141,A51,'Spin样本'!$F$2:$F$141,B51,'Spin样本'!$W$2:$W$141,C51,'Spin样本'!$X$2:$X$141,"是")</x:f>
        <x:v>0</x:v>
      </x:c>
      <x:c r="F51" s="89" t="n">
        <x:f>IFERROR(E51/D51,0)</x:f>
        <x:v>0</x:v>
      </x:c>
      <x:c r="G51" s="89" t="n">
        <x:f>IF(D51=0,0,((F51+1.96^2/(2*D51))/(1+1.96^2/D51))-1.96*SQRT(F51*(1-F51)/D51+1.96^2/(4*D51^2))/(1+1.96^2/D51))</x:f>
        <x:v>0</x:v>
      </x:c>
      <x:c r="H51" s="89" t="n">
        <x:f>IF(D51=0,0,((F51+1.96^2/(2*D51))/(1+1.96^2/D51))+1.96*SQRT(F51*(1-F51)/D51+1.96^2/(4*D51^2))/(1+1.96^2/D51))</x:f>
        <x:v>0.07865426194064076</x:v>
      </x:c>
      <x:c r="I51" s="87" t="str">
        <x:f>IF(D51&gt;=500,"初筛达标","方向性")</x:f>
        <x:v>方向性</x:v>
      </x:c>
    </x:row>
  </x:sheetData>
  <x:mergeCells>
    <x:mergeCell ref="A1:I1"/>
  </x:mergeCells>
  <x:conditionalFormatting sqref="I4:I51">
    <x:cfRule type="containsText" dxfId="1" priority="1" operator="containsText" text="方向性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0" hidden="0" customWidth="1"/>
    <x:col min="3" max="3" width="10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</x:cols>
  <x:sheetData>
    <x:row r="1" ht="36" customHeight="1">
      <x:c r="A1" s="24" t="str">
        <x:v>Slot 奖励与能量返还｜按视频 × BET 切片</x:v>
      </x:c>
      <x:c r="B1" s="24" t="str">
        <x:v>Slot 奖励与能量返还｜按视频 × BET 切片</x:v>
      </x:c>
      <x:c r="C1" s="24" t="str">
        <x:v>Slot 奖励与能量返还｜按视频 × BET 切片</x:v>
      </x:c>
      <x:c r="D1" s="24" t="str">
        <x:v>Slot 奖励与能量返还｜按视频 × BET 切片</x:v>
      </x:c>
      <x:c r="E1" s="24" t="str">
        <x:v>Slot 奖励与能量返还｜按视频 × BET 切片</x:v>
      </x:c>
      <x:c r="F1" s="24" t="str">
        <x:v>Slot 奖励与能量返还｜按视频 × BET 切片</x:v>
      </x:c>
      <x:c r="G1" s="24" t="str">
        <x:v>Slot 奖励与能量返还｜按视频 × BET 切片</x:v>
      </x:c>
      <x:c r="H1" s="24" t="str">
        <x:v>Slot 奖励与能量返还｜按视频 × BET 切片</x:v>
      </x:c>
      <x:c r="I1" s="24" t="str">
        <x:v>Slot 奖励与能量返还｜按视频 × BET 切片</x:v>
      </x:c>
      <x:c r="J1" s="24" t="str">
        <x:v>Slot 奖励与能量返还｜按视频 × BET 切片</x:v>
      </x:c>
      <x:c r="K1" s="24" t="str">
        <x:v>Slot 奖励与能量返还｜按视频 × BET 切片</x:v>
      </x:c>
      <x:c r="L1" s="24" t="str">
        <x:v>Slot 奖励与能量返还｜按视频 × BET 切片</x:v>
      </x:c>
      <x:c r="M1" s="24" t="str">
        <x:v>Slot 奖励与能量返还｜按视频 × BET 切片</x:v>
      </x:c>
      <x:c r="N1" s="24" t="str">
        <x:v>Slot 奖励与能量返还｜按视频 × BET 切片</x:v>
      </x:c>
    </x:row>
    <x:row r="3" ht="30" customHeight="1">
      <x:c r="A3" s="35" t="str">
        <x:v>video_id</x:v>
      </x:c>
      <x:c r="B3" s="36" t="str">
        <x:v>BET</x:v>
      </x:c>
      <x:c r="C3" s="36" t="str">
        <x:v>有效 n</x:v>
      </x:c>
      <x:c r="D3" s="36" t="str">
        <x:v>均次消耗</x:v>
      </x:c>
      <x:c r="E3" s="36" t="str">
        <x:v>金币命中率</x:v>
      </x:c>
      <x:c r="F3" s="36" t="str">
        <x:v>均次金币</x:v>
      </x:c>
      <x:c r="G3" s="36" t="str">
        <x:v>金币/耗能</x:v>
      </x:c>
      <x:c r="H3" s="36" t="str">
        <x:v>均次能量返还</x:v>
      </x:c>
      <x:c r="I3" s="36" t="str">
        <x:v>观察自返还率</x:v>
      </x:c>
      <x:c r="J3" s="36" t="str">
        <x:v>均次进度</x:v>
      </x:c>
      <x:c r="K3" s="36" t="str">
        <x:v>金币/耗能中位</x:v>
      </x:c>
      <x:c r="L3" s="36" t="str">
        <x:v>P10</x:v>
      </x:c>
      <x:c r="M3" s="36" t="str">
        <x:v>P90</x:v>
      </x:c>
      <x:c r="N3" s="37" t="str">
        <x:v>最大</x:v>
      </x:c>
    </x:row>
    <x:row r="4">
      <x:c r="A4" t="str">
        <x:v>TT_NEW_01</x:v>
      </x:c>
      <x:c r="B4" t="n">
        <x:v>1</x:v>
      </x:c>
      <x:c r="C4" t="n">
        <x:f>COUNTIFS('Spin样本'!$A$2:$A$141,A4,'Spin样本'!$F$2:$F$141,B4,'Spin样本'!$X$2:$X$141,"是")</x:f>
        <x:v>44</x:v>
      </x:c>
      <x:c r="D4" s="84" t="n">
        <x:f>IFERROR(SUMIFS('Spin样本'!$I$2:$I$141,'Spin样本'!$A$2:$A$141,A4,'Spin样本'!$F$2:$F$141,B4,'Spin样本'!$X$2:$X$141,"是")/C4,0)</x:f>
        <x:v>1</x:v>
      </x:c>
      <x:c r="E4" s="38" t="n">
        <x:f>IFERROR(COUNTIFS('Spin样本'!$A$2:$A$141,A4,'Spin样本'!$F$2:$F$141,B4,'Spin样本'!$M$2:$M$141,"&gt;0",'Spin样本'!$X$2:$X$141,"是")/C4,0)</x:f>
        <x:v>0.9090909090909091</x:v>
      </x:c>
      <x:c r="F4" s="84" t="n">
        <x:f>IFERROR(SUMIFS('Spin样本'!$M$2:$M$141,'Spin样本'!$A$2:$A$141,A4,'Spin样本'!$F$2:$F$141,B4,'Spin样本'!$X$2:$X$141,"是")/C4,0)</x:f>
        <x:v>4042.931818181818</x:v>
      </x:c>
      <x:c r="G4" s="84" t="n">
        <x:f>IFERROR(SUMIFS('Spin样本'!$M$2:$M$141,'Spin样本'!$A$2:$A$141,A4,'Spin样本'!$F$2:$F$141,B4,'Spin样本'!$X$2:$X$141,"是")/SUMIFS('Spin样本'!$I$2:$I$141,'Spin样本'!$A$2:$A$141,A4,'Spin样本'!$F$2:$F$141,B4,'Spin样本'!$X$2:$X$141,"是"),0)</x:f>
        <x:v>4042.931818181818</x:v>
      </x:c>
      <x:c r="H4" s="84" t="n">
        <x:f>IFERROR(SUMIFS('Spin样本'!$J$2:$J$141,'Spin样本'!$A$2:$A$141,A4,'Spin样本'!$F$2:$F$141,B4,'Spin样本'!$X$2:$X$141,"是")/C4,0)</x:f>
        <x:v>0.7954545454545454</x:v>
      </x:c>
      <x:c r="I4" s="38" t="n">
        <x:f>IFERROR(SUMIFS('Spin样本'!$J$2:$J$141,'Spin样本'!$A$2:$A$141,A4,'Spin样本'!$F$2:$F$141,B4,'Spin样本'!$X$2:$X$141,"是")/SUMIFS('Spin样本'!$I$2:$I$141,'Spin样本'!$A$2:$A$141,A4,'Spin样本'!$F$2:$F$141,B4,'Spin样本'!$X$2:$X$141,"是"),0)</x:f>
        <x:v>0.7954545454545454</x:v>
      </x:c>
      <x:c r="J4" s="84" t="n">
        <x:f>IFERROR(SUMIFS('Spin样本'!$P$2:$P$141,'Spin样本'!$A$2:$A$141,A4,'Spin样本'!$F$2:$F$141,B4,'Spin样本'!$X$2:$X$141,"是")/C4,0)</x:f>
        <x:v>0.5454545454545454</x:v>
      </x:c>
      <x:c r="K4" s="84" t="n">
        <x:v>1000</x:v>
      </x:c>
      <x:c r="L4" s="84" t="n">
        <x:v>100</x:v>
      </x:c>
      <x:c r="M4" s="84" t="n">
        <x:v>10121.1</x:v>
      </x:c>
      <x:c r="N4" s="84" t="n">
        <x:v>42000</x:v>
      </x:c>
    </x:row>
    <x:row r="5">
      <x:c r="A5" t="str">
        <x:v>TT_NEW_03</x:v>
      </x:c>
      <x:c r="B5" t="n">
        <x:v>5</x:v>
      </x:c>
      <x:c r="C5" t="n">
        <x:f>COUNTIFS('Spin样本'!$A$2:$A$141,A5,'Spin样本'!$F$2:$F$141,B5,'Spin样本'!$X$2:$X$141,"是")</x:f>
        <x:v>17</x:v>
      </x:c>
      <x:c r="D5" s="84" t="n">
        <x:f>IFERROR(SUMIFS('Spin样本'!$I$2:$I$141,'Spin样本'!$A$2:$A$141,A5,'Spin样本'!$F$2:$F$141,B5,'Spin样本'!$X$2:$X$141,"是")/C5,0)</x:f>
        <x:v>5</x:v>
      </x:c>
      <x:c r="E5" s="38" t="n">
        <x:f>IFERROR(COUNTIFS('Spin样本'!$A$2:$A$141,A5,'Spin样本'!$F$2:$F$141,B5,'Spin样本'!$M$2:$M$141,"&gt;0",'Spin样本'!$X$2:$X$141,"是")/C5,0)</x:f>
        <x:v>0.8235294117647058</x:v>
      </x:c>
      <x:c r="F5" s="84" t="n">
        <x:f>IFERROR(SUMIFS('Spin样本'!$M$2:$M$141,'Spin样本'!$A$2:$A$141,A5,'Spin样本'!$F$2:$F$141,B5,'Spin样本'!$X$2:$X$141,"是")/C5,0)</x:f>
        <x:v>18189.058823529413</x:v>
      </x:c>
      <x:c r="G5" s="84" t="n">
        <x:f>IFERROR(SUMIFS('Spin样本'!$M$2:$M$141,'Spin样本'!$A$2:$A$141,A5,'Spin样本'!$F$2:$F$141,B5,'Spin样本'!$X$2:$X$141,"是")/SUMIFS('Spin样本'!$I$2:$I$141,'Spin样本'!$A$2:$A$141,A5,'Spin样本'!$F$2:$F$141,B5,'Spin样本'!$X$2:$X$141,"是"),0)</x:f>
        <x:v>3637.8117647058825</x:v>
      </x:c>
      <x:c r="H5" s="84" t="n">
        <x:f>IFERROR(SUMIFS('Spin样本'!$J$2:$J$141,'Spin样本'!$A$2:$A$141,A5,'Spin样本'!$F$2:$F$141,B5,'Spin样本'!$X$2:$X$141,"是")/C5,0)</x:f>
        <x:v>23.58823529411765</x:v>
      </x:c>
      <x:c r="I5" s="38" t="n">
        <x:f>IFERROR(SUMIFS('Spin样本'!$J$2:$J$141,'Spin样本'!$A$2:$A$141,A5,'Spin样本'!$F$2:$F$141,B5,'Spin样本'!$X$2:$X$141,"是")/SUMIFS('Spin样本'!$I$2:$I$141,'Spin样本'!$A$2:$A$141,A5,'Spin样本'!$F$2:$F$141,B5,'Spin样本'!$X$2:$X$141,"是"),0)</x:f>
        <x:v>4.7176470588235295</x:v>
      </x:c>
      <x:c r="J5" s="84" t="n">
        <x:f>IFERROR(SUMIFS('Spin样本'!$P$2:$P$141,'Spin样本'!$A$2:$A$141,A5,'Spin样本'!$F$2:$F$141,B5,'Spin样本'!$X$2:$X$141,"是")/C5,0)</x:f>
        <x:v>2.0588235294117645</x:v>
      </x:c>
      <x:c r="K5" s="84" t="n">
        <x:v>3000</x:v>
      </x:c>
      <x:c r="L5" s="84" t="n">
        <x:v>0</x:v>
      </x:c>
      <x:c r="M5" s="84" t="n">
        <x:v>9028</x:v>
      </x:c>
      <x:c r="N5" s="84" t="n">
        <x:v>10735.2</x:v>
      </x:c>
    </x:row>
    <x:row r="6">
      <x:c r="A6" t="str">
        <x:v>TT_NEW_03</x:v>
      </x:c>
      <x:c r="B6" t="n">
        <x:v>10</x:v>
      </x:c>
      <x:c r="C6" t="n">
        <x:f>COUNTIFS('Spin样本'!$A$2:$A$141,A6,'Spin样本'!$F$2:$F$141,B6,'Spin样本'!$X$2:$X$141,"是")</x:f>
        <x:v>24</x:v>
      </x:c>
      <x:c r="D6" s="84" t="n">
        <x:f>IFERROR(SUMIFS('Spin样本'!$I$2:$I$141,'Spin样本'!$A$2:$A$141,A6,'Spin样本'!$F$2:$F$141,B6,'Spin样本'!$X$2:$X$141,"是")/C6,0)</x:f>
        <x:v>10</x:v>
      </x:c>
      <x:c r="E6" s="38" t="n">
        <x:f>IFERROR(COUNTIFS('Spin样本'!$A$2:$A$141,A6,'Spin样本'!$F$2:$F$141,B6,'Spin样本'!$M$2:$M$141,"&gt;0",'Spin样本'!$X$2:$X$141,"是")/C6,0)</x:f>
        <x:v>0.9583333333333334</x:v>
      </x:c>
      <x:c r="F6" s="84" t="n">
        <x:f>IFERROR(SUMIFS('Spin样本'!$M$2:$M$141,'Spin样本'!$A$2:$A$141,A6,'Spin样本'!$F$2:$F$141,B6,'Spin样本'!$X$2:$X$141,"是")/C6,0)</x:f>
        <x:v>54821.208333333336</x:v>
      </x:c>
      <x:c r="G6" s="84" t="n">
        <x:f>IFERROR(SUMIFS('Spin样本'!$M$2:$M$141,'Spin样本'!$A$2:$A$141,A6,'Spin样本'!$F$2:$F$141,B6,'Spin样本'!$X$2:$X$141,"是")/SUMIFS('Spin样本'!$I$2:$I$141,'Spin样本'!$A$2:$A$141,A6,'Spin样本'!$F$2:$F$141,B6,'Spin样本'!$X$2:$X$141,"是"),0)</x:f>
        <x:v>5482.120833333333</x:v>
      </x:c>
      <x:c r="H6" s="84" t="n">
        <x:f>IFERROR(SUMIFS('Spin样本'!$J$2:$J$141,'Spin样本'!$A$2:$A$141,A6,'Spin样本'!$F$2:$F$141,B6,'Spin样本'!$X$2:$X$141,"是")/C6,0)</x:f>
        <x:v>0.9583333333333334</x:v>
      </x:c>
      <x:c r="I6" s="38" t="n">
        <x:f>IFERROR(SUMIFS('Spin样本'!$J$2:$J$141,'Spin样本'!$A$2:$A$141,A6,'Spin样本'!$F$2:$F$141,B6,'Spin样本'!$X$2:$X$141,"是")/SUMIFS('Spin样本'!$I$2:$I$141,'Spin样本'!$A$2:$A$141,A6,'Spin样本'!$F$2:$F$141,B6,'Spin样本'!$X$2:$X$141,"是"),0)</x:f>
        <x:v>0.09583333333333334</x:v>
      </x:c>
      <x:c r="J6" s="84" t="n">
        <x:f>IFERROR(SUMIFS('Spin样本'!$P$2:$P$141,'Spin样本'!$A$2:$A$141,A6,'Spin样本'!$F$2:$F$141,B6,'Spin样本'!$X$2:$X$141,"是")/C6,0)</x:f>
        <x:v>0.8333333333333334</x:v>
      </x:c>
      <x:c r="K6" s="84" t="n">
        <x:v>1079.4</x:v>
      </x:c>
      <x:c r="L6" s="84" t="n">
        <x:v>97.55</x:v>
      </x:c>
      <x:c r="M6" s="84" t="n">
        <x:v>21969.999999999985</x:v>
      </x:c>
      <x:c r="N6" s="84" t="n">
        <x:v>31100</x:v>
      </x:c>
    </x:row>
    <x:row r="7">
      <x:c r="A7" t="str">
        <x:v>TT_NEW_03</x:v>
      </x:c>
      <x:c r="B7" t="n">
        <x:v>20</x:v>
      </x:c>
      <x:c r="C7" t="n">
        <x:f>COUNTIFS('Spin样本'!$A$2:$A$141,A7,'Spin样本'!$F$2:$F$141,B7,'Spin样本'!$X$2:$X$141,"是")</x:f>
        <x:v>3</x:v>
      </x:c>
      <x:c r="D7" s="84" t="n">
        <x:f>IFERROR(SUMIFS('Spin样本'!$I$2:$I$141,'Spin样本'!$A$2:$A$141,A7,'Spin样本'!$F$2:$F$141,B7,'Spin样本'!$X$2:$X$141,"是")/C7,0)</x:f>
        <x:v>20</x:v>
      </x:c>
      <x:c r="E7" s="38" t="n">
        <x:f>IFERROR(COUNTIFS('Spin样本'!$A$2:$A$141,A7,'Spin样本'!$F$2:$F$141,B7,'Spin样本'!$M$2:$M$141,"&gt;0",'Spin样本'!$X$2:$X$141,"是")/C7,0)</x:f>
        <x:v>1</x:v>
      </x:c>
      <x:c r="F7" s="84" t="n">
        <x:f>IFERROR(SUMIFS('Spin样本'!$M$2:$M$141,'Spin样本'!$A$2:$A$141,A7,'Spin样本'!$F$2:$F$141,B7,'Spin样本'!$X$2:$X$141,"是")/C7,0)</x:f>
        <x:v>113366.66666666667</x:v>
      </x:c>
      <x:c r="G7" s="84" t="n">
        <x:f>IFERROR(SUMIFS('Spin样本'!$M$2:$M$141,'Spin样本'!$A$2:$A$141,A7,'Spin样本'!$F$2:$F$141,B7,'Spin样本'!$X$2:$X$141,"是")/SUMIFS('Spin样本'!$I$2:$I$141,'Spin样本'!$A$2:$A$141,A7,'Spin样本'!$F$2:$F$141,B7,'Spin样本'!$X$2:$X$141,"是"),0)</x:f>
        <x:v>5668.333333333333</x:v>
      </x:c>
      <x:c r="H7" s="84" t="n">
        <x:f>IFERROR(SUMIFS('Spin样本'!$J$2:$J$141,'Spin样本'!$A$2:$A$141,A7,'Spin样本'!$F$2:$F$141,B7,'Spin样本'!$X$2:$X$141,"是")/C7,0)</x:f>
        <x:v>13.333333333333334</x:v>
      </x:c>
      <x:c r="I7" s="38" t="n">
        <x:f>IFERROR(SUMIFS('Spin样本'!$J$2:$J$141,'Spin样本'!$A$2:$A$141,A7,'Spin样本'!$F$2:$F$141,B7,'Spin样本'!$X$2:$X$141,"是")/SUMIFS('Spin样本'!$I$2:$I$141,'Spin样本'!$A$2:$A$141,A7,'Spin样本'!$F$2:$F$141,B7,'Spin样本'!$X$2:$X$141,"是"),0)</x:f>
        <x:v>0.6666666666666666</x:v>
      </x:c>
      <x:c r="J7" s="84" t="n">
        <x:f>IFERROR(SUMIFS('Spin样本'!$P$2:$P$141,'Spin样本'!$A$2:$A$141,A7,'Spin样本'!$F$2:$F$141,B7,'Spin样本'!$X$2:$X$141,"是")/C7,0)</x:f>
        <x:v>6.666666666666667</x:v>
      </x:c>
      <x:c r="K7" s="84" t="n">
        <x:v>130</x:v>
      </x:c>
      <x:c r="L7" s="84" t="n">
        <x:v>106</x:v>
      </x:c>
      <x:c r="M7" s="84" t="n">
        <x:v>13446</x:v>
      </x:c>
      <x:c r="N7" s="84" t="n">
        <x:v>16775</x:v>
      </x:c>
    </x:row>
    <x:row r="8">
      <x:c r="A8" t="str">
        <x:v>TT_NEW_06</x:v>
      </x:c>
      <x:c r="B8" t="n">
        <x:v>2</x:v>
      </x:c>
      <x:c r="C8" t="n">
        <x:f>COUNTIFS('Spin样本'!$A$2:$A$141,A8,'Spin样本'!$F$2:$F$141,B8,'Spin样本'!$X$2:$X$141,"是")</x:f>
        <x:v>3</x:v>
      </x:c>
      <x:c r="D8" s="84" t="n">
        <x:f>IFERROR(SUMIFS('Spin样本'!$I$2:$I$141,'Spin样本'!$A$2:$A$141,A8,'Spin样本'!$F$2:$F$141,B8,'Spin样本'!$X$2:$X$141,"是")/C8,0)</x:f>
        <x:v>2</x:v>
      </x:c>
      <x:c r="E8" s="38" t="n">
        <x:f>IFERROR(COUNTIFS('Spin样本'!$A$2:$A$141,A8,'Spin样本'!$F$2:$F$141,B8,'Spin样本'!$M$2:$M$141,"&gt;0",'Spin样本'!$X$2:$X$141,"是")/C8,0)</x:f>
        <x:v>0.6666666666666666</x:v>
      </x:c>
      <x:c r="F8" s="84" t="n">
        <x:f>IFERROR(SUMIFS('Spin样本'!$M$2:$M$141,'Spin样本'!$A$2:$A$141,A8,'Spin样本'!$F$2:$F$141,B8,'Spin样本'!$X$2:$X$141,"是")/C8,0)</x:f>
        <x:v>4566.666666666667</x:v>
      </x:c>
      <x:c r="G8" s="84" t="n">
        <x:f>IFERROR(SUMIFS('Spin样本'!$M$2:$M$141,'Spin样本'!$A$2:$A$141,A8,'Spin样本'!$F$2:$F$141,B8,'Spin样本'!$X$2:$X$141,"是")/SUMIFS('Spin样本'!$I$2:$I$141,'Spin样本'!$A$2:$A$141,A8,'Spin样本'!$F$2:$F$141,B8,'Spin样本'!$X$2:$X$141,"是"),0)</x:f>
        <x:v>2283.3333333333335</x:v>
      </x:c>
      <x:c r="H8" s="84" t="n">
        <x:f>IFERROR(SUMIFS('Spin样本'!$J$2:$J$141,'Spin样本'!$A$2:$A$141,A8,'Spin样本'!$F$2:$F$141,B8,'Spin样本'!$X$2:$X$141,"是")/C8,0)</x:f>
        <x:v>6.666666666666667</x:v>
      </x:c>
      <x:c r="I8" s="38" t="n">
        <x:f>IFERROR(SUMIFS('Spin样本'!$J$2:$J$141,'Spin样本'!$A$2:$A$141,A8,'Spin样本'!$F$2:$F$141,B8,'Spin样本'!$X$2:$X$141,"是")/SUMIFS('Spin样本'!$I$2:$I$141,'Spin样本'!$A$2:$A$141,A8,'Spin样本'!$F$2:$F$141,B8,'Spin样本'!$X$2:$X$141,"是"),0)</x:f>
        <x:v>3.3333333333333335</x:v>
      </x:c>
      <x:c r="J8" s="84" t="n">
        <x:f>IFERROR(SUMIFS('Spin样本'!$P$2:$P$141,'Spin样本'!$A$2:$A$141,A8,'Spin样本'!$F$2:$F$141,B8,'Spin样本'!$X$2:$X$141,"是")/C8,0)</x:f>
        <x:v>2.6666666666666665</x:v>
      </x:c>
      <x:c r="K8" s="84" t="n">
        <x:v>1850</x:v>
      </x:c>
      <x:c r="L8" s="84" t="n">
        <x:v>370</x:v>
      </x:c>
      <x:c r="M8" s="84" t="n">
        <x:v>4370</x:v>
      </x:c>
      <x:c r="N8" s="84" t="n">
        <x:v>5000</x:v>
      </x:c>
    </x:row>
    <x:row r="9">
      <x:c r="A9" t="str">
        <x:v>TT_NEW_06</x:v>
      </x:c>
      <x:c r="B9" t="n">
        <x:v>5</x:v>
      </x:c>
      <x:c r="C9" t="n">
        <x:f>COUNTIFS('Spin样本'!$A$2:$A$141,A9,'Spin样本'!$F$2:$F$141,B9,'Spin样本'!$X$2:$X$141,"是")</x:f>
        <x:v>45</x:v>
      </x:c>
      <x:c r="D9" s="84" t="n">
        <x:f>IFERROR(SUMIFS('Spin样本'!$I$2:$I$141,'Spin样本'!$A$2:$A$141,A9,'Spin样本'!$F$2:$F$141,B9,'Spin样本'!$X$2:$X$141,"是")/C9,0)</x:f>
        <x:v>5</x:v>
      </x:c>
      <x:c r="E9" s="38" t="n">
        <x:f>IFERROR(COUNTIFS('Spin样本'!$A$2:$A$141,A9,'Spin样本'!$F$2:$F$141,B9,'Spin样本'!$M$2:$M$141,"&gt;0",'Spin样本'!$X$2:$X$141,"是")/C9,0)</x:f>
        <x:v>0.9333333333333333</x:v>
      </x:c>
      <x:c r="F9" s="84" t="n">
        <x:f>IFERROR(SUMIFS('Spin样本'!$M$2:$M$141,'Spin样本'!$A$2:$A$141,A9,'Spin样本'!$F$2:$F$141,B9,'Spin样本'!$X$2:$X$141,"是")/C9,0)</x:f>
        <x:v>28429.71111111111</x:v>
      </x:c>
      <x:c r="G9" s="84" t="n">
        <x:f>IFERROR(SUMIFS('Spin样本'!$M$2:$M$141,'Spin样本'!$A$2:$A$141,A9,'Spin样本'!$F$2:$F$141,B9,'Spin样本'!$X$2:$X$141,"是")/SUMIFS('Spin样本'!$I$2:$I$141,'Spin样本'!$A$2:$A$141,A9,'Spin样本'!$F$2:$F$141,B9,'Spin样本'!$X$2:$X$141,"是"),0)</x:f>
        <x:v>5685.942222222222</x:v>
      </x:c>
      <x:c r="H9" s="84" t="n">
        <x:f>IFERROR(SUMIFS('Spin样本'!$J$2:$J$141,'Spin样本'!$A$2:$A$141,A9,'Spin样本'!$F$2:$F$141,B9,'Spin样本'!$X$2:$X$141,"是")/C9,0)</x:f>
        <x:v>25.333333333333332</x:v>
      </x:c>
      <x:c r="I9" s="38" t="n">
        <x:f>IFERROR(SUMIFS('Spin样本'!$J$2:$J$141,'Spin样本'!$A$2:$A$141,A9,'Spin样本'!$F$2:$F$141,B9,'Spin样本'!$X$2:$X$141,"是")/SUMIFS('Spin样本'!$I$2:$I$141,'Spin样本'!$A$2:$A$141,A9,'Spin样本'!$F$2:$F$141,B9,'Spin样本'!$X$2:$X$141,"是"),0)</x:f>
        <x:v>5.066666666666666</x:v>
      </x:c>
      <x:c r="J9" s="84" t="n">
        <x:f>IFERROR(SUMIFS('Spin样本'!$P$2:$P$141,'Spin样本'!$A$2:$A$141,A9,'Spin样本'!$F$2:$F$141,B9,'Spin样本'!$X$2:$X$141,"是")/C9,0)</x:f>
        <x:v>6</x:v>
      </x:c>
      <x:c r="K9" s="84" t="n">
        <x:v>1100</x:v>
      </x:c>
      <x:c r="L9" s="84" t="n">
        <x:v>106.96000000000001</x:v>
      </x:c>
      <x:c r="M9" s="84" t="n">
        <x:v>10300</x:v>
      </x:c>
      <x:c r="N9" s="84" t="n">
        <x:v>77000</x:v>
      </x:c>
    </x:row>
    <x:row r="11">
      <x:c r="A11" s="66" t="str">
        <x:v>注意：能量返还样本包含离散大额返还，且并非完整、等概率抽样；观察自返还率只能描述这批事件，不能外推总体。</x:v>
      </x:c>
      <x:c r="B11" s="67"/>
      <x:c r="C11" s="67"/>
      <x:c r="D11" s="67"/>
      <x:c r="E11" s="67"/>
      <x:c r="F11" s="67"/>
      <x:c r="G11" s="67"/>
      <x:c r="H11" s="67"/>
      <x:c r="I11" s="67"/>
      <x:c r="J11" s="67"/>
      <x:c r="K11" s="67"/>
      <x:c r="L11" s="67"/>
      <x:c r="M11" s="67"/>
      <x:c r="N11" s="68"/>
    </x:row>
    <x:row r="12">
      <x:c r="A12" s="69" t="str">
        <x:v>金币/耗能保留原生单位，不与能量相加。P10/P50/P90/最大来自当前有效样本的静态复算。</x:v>
      </x:c>
      <x:c r="B12" s="70"/>
      <x:c r="C12" s="70"/>
      <x:c r="D12" s="70"/>
      <x:c r="E12" s="70"/>
      <x:c r="F12" s="70"/>
      <x:c r="G12" s="70"/>
      <x:c r="H12" s="70"/>
      <x:c r="I12" s="70"/>
      <x:c r="J12" s="70"/>
      <x:c r="K12" s="70"/>
      <x:c r="L12" s="70"/>
      <x:c r="M12" s="70"/>
      <x:c r="N12" s="71"/>
    </x:row>
    <x:row r="13">
      <x:c r="A13" s="72" t="str">
        <x:v>同一视频内仍需按成长段、活动状态、会话位置进一步分层；当前样本不足以识别动态调控。</x:v>
      </x:c>
      <x:c r="B13" s="73"/>
      <x:c r="C13" s="73"/>
      <x:c r="D13" s="73"/>
      <x:c r="E13" s="73"/>
      <x:c r="F13" s="73"/>
      <x:c r="G13" s="73"/>
      <x:c r="H13" s="73"/>
      <x:c r="I13" s="73"/>
      <x:c r="J13" s="73"/>
      <x:c r="K13" s="73"/>
      <x:c r="L13" s="73"/>
      <x:c r="M13" s="73"/>
      <x:c r="N13" s="74"/>
    </x:row>
  </x:sheetData>
  <x:mergeCells>
    <x:mergeCell ref="A1:N1"/>
    <x:mergeCell ref="A11:N11"/>
    <x:mergeCell ref="A12:N12"/>
    <x:mergeCell ref="A13:N1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4" hidden="0" customWidth="1"/>
    <x:col min="3" max="3" width="17" hidden="0" customWidth="1"/>
    <x:col min="4" max="4" width="14" hidden="0" customWidth="1"/>
    <x:col min="5" max="5" width="36" hidden="0" customWidth="1"/>
    <x:col min="6" max="6" width="28" hidden="0" customWidth="1"/>
    <x:col min="7" max="7" width="28" hidden="0" customWidth="1"/>
    <x:col min="8" max="8" width="26" hidden="0" customWidth="1"/>
    <x:col min="9" max="9" width="18" hidden="0" customWidth="1"/>
    <x:col min="10" max="10" width="24" hidden="0" customWidth="1"/>
    <x:col min="11" max="11" width="56" hidden="0" customWidth="1"/>
    <x:col min="12" max="12" width="22" hidden="0" customWidth="1"/>
    <x:col min="13" max="13" width="15" hidden="0" customWidth="1"/>
    <x:col min="14" max="14" width="12" hidden="0" customWidth="1"/>
    <x:col min="15" max="15" width="68" hidden="0" customWidth="1"/>
    <x:col min="16" max="16" width="13" hidden="0" customWidth="1"/>
    <x:col min="17" max="17" width="11" hidden="0" customWidth="1"/>
    <x:col min="18" max="18" width="58" hidden="0" customWidth="1"/>
  </x:cols>
  <x:sheetData>
    <x:row r="1" ht="30" customHeight="1">
      <x:c r="A1" s="90" t="str">
        <x:v>module</x:v>
      </x:c>
      <x:c r="B1" s="91" t="str">
        <x:v>stage</x:v>
      </x:c>
      <x:c r="C1" s="91" t="str">
        <x:v>target_value</x:v>
      </x:c>
      <x:c r="D1" s="91" t="str">
        <x:v>initial_value</x:v>
      </x:c>
      <x:c r="E1" s="91" t="str">
        <x:v>increment_rule</x:v>
      </x:c>
      <x:c r="F1" s="91" t="str">
        <x:v>entry_source</x:v>
      </x:c>
      <x:c r="G1" s="91" t="str">
        <x:v>entry_cost</x:v>
      </x:c>
      <x:c r="H1" s="91" t="str">
        <x:v>attempts</x:v>
      </x:c>
      <x:c r="I1" s="91" t="str">
        <x:v>outcome</x:v>
      </x:c>
      <x:c r="J1" s="91" t="str">
        <x:v>failure_retention</x:v>
      </x:c>
      <x:c r="K1" s="91" t="str">
        <x:v>reward_list</x:v>
      </x:c>
      <x:c r="L1" s="91" t="str">
        <x:v>next_target</x:v>
      </x:c>
      <x:c r="M1" s="91" t="str">
        <x:v>video_id</x:v>
      </x:c>
      <x:c r="N1" s="91" t="str">
        <x:v>timestamp</x:v>
      </x:c>
      <x:c r="O1" s="91" t="str">
        <x:v>evidence_path</x:v>
      </x:c>
      <x:c r="P1" s="91" t="str">
        <x:v>status</x:v>
      </x:c>
      <x:c r="Q1" s="91" t="str">
        <x:v>confidence</x:v>
      </x:c>
      <x:c r="R1" s="92" t="str">
        <x:v>notes</x:v>
      </x:c>
    </x:row>
    <x:row r="2">
      <x:c r="A2" s="17" t="str">
        <x:v>Slot主进度</x:v>
      </x:c>
      <x:c r="B2" s="17" t="str">
        <x:v>前期样本</x:v>
      </x:c>
      <x:c r="C2" s="17" t="n">
        <x:v>200</x:v>
      </x:c>
      <x:c r="D2" s="17" t="n">
        <x:v>175</x:v>
      </x:c>
      <x:c r="E2" s="17" t="str">
        <x:v>每次命中贡献待按事件账复核</x:v>
      </x:c>
      <x:c r="F2" s="17" t="str">
        <x:v>Slot Spin</x:v>
      </x:c>
      <x:c r="G2" s="17" t="str">
        <x:v>BET x5，每次 5 能量</x:v>
      </x:c>
      <x:c r="H2" s="17" t="str">
        <x:v>录屏片段未形成完整一轮</x:v>
      </x:c>
      <x:c r="I2" s="17" t="str">
        <x:v>进行中</x:v>
      </x:c>
      <x:c r="J2" s="17" t="str">
        <x:v>不适用</x:v>
      </x:c>
      <x:c r="K2" s="17" t="str">
        <x:v>400 能量</x:v>
      </x:c>
      <x:c r="L2" s="17" t="str">
        <x:v>录屏未展示</x:v>
      </x:c>
      <x:c r="M2" s="17" t="str">
        <x:v>TT_NEW_03</x:v>
      </x:c>
      <x:c r="N2" s="17" t="str">
        <x:v>00:02:17</x:v>
      </x:c>
      <x:c r="O2" s="18" t="str">
        <x:v>/Users/mac/Documents/智囊团/video_analysis/Top_Tycoon新号流程_20260804/frames/TT_NEW_03/TT_NEW_03_t000137.jpg</x:v>
      </x:c>
      <x:c r="P2" s="17" t="str">
        <x:v>已确认</x:v>
      </x:c>
      <x:c r="Q2" s="17" t="str">
        <x:v>A</x:v>
      </x:c>
      <x:c r="R2" s="17" t="str">
        <x:v>界面显示 175/200 与 400 能量奖励；建造成本窗另见 BuildLog。</x:v>
      </x:c>
    </x:row>
    <x:row r="3">
      <x:c r="A3" s="17" t="str">
        <x:v>Slot主进度</x:v>
      </x:c>
      <x:c r="B3" s="17" t="str">
        <x:v>较后样本</x:v>
      </x:c>
      <x:c r="C3" s="17" t="n">
        <x:v>540</x:v>
      </x:c>
      <x:c r="D3" s="17" t="n">
        <x:v>5</x:v>
      </x:c>
      <x:c r="E3" s="17" t="str">
        <x:v>结果图标贡献，单位增量随结果而变</x:v>
      </x:c>
      <x:c r="F3" s="17" t="str">
        <x:v>Slot Spin</x:v>
      </x:c>
      <x:c r="G3" s="17" t="str">
        <x:v>BET x10，每次 10 能量</x:v>
      </x:c>
      <x:c r="H3" s="17" t="str">
        <x:v>录屏片段未形成完整一轮</x:v>
      </x:c>
      <x:c r="I3" s="17" t="str">
        <x:v>进行中</x:v>
      </x:c>
      <x:c r="J3" s="17" t="str">
        <x:v>不适用</x:v>
      </x:c>
      <x:c r="K3" s="17" t="str">
        <x:v>1.2K 能量</x:v>
      </x:c>
      <x:c r="L3" s="17" t="str">
        <x:v>录屏未展示</x:v>
      </x:c>
      <x:c r="M3" s="17" t="str">
        <x:v>TT_NEW_03</x:v>
      </x:c>
      <x:c r="N3" s="17" t="str">
        <x:v>00:12:50</x:v>
      </x:c>
      <x:c r="O3" s="18" t="str">
        <x:v>/Users/mac/Documents/智囊团/video_analysis/Top_Tycoon新号流程_20260804/frames/TT_NEW_03/TT_NEW_03_t000770.jpg</x:v>
      </x:c>
      <x:c r="P3" s="17" t="str">
        <x:v>已确认</x:v>
      </x:c>
      <x:c r="Q3" s="17" t="str">
        <x:v>A</x:v>
      </x:c>
      <x:c r="R3" s="17" t="str">
        <x:v>目标与奖励可见；跨阶段增长不能由两个截面直接拟合。</x:v>
      </x:c>
    </x:row>
    <x:row r="4">
      <x:c r="A4" s="17" t="str">
        <x:v>Slot主进度</x:v>
      </x:c>
      <x:c r="B4" s="17" t="str">
        <x:v>高成长段样本</x:v>
      </x:c>
      <x:c r="C4" s="17" t="n">
        <x:v>4100</x:v>
      </x:c>
      <x:c r="D4" s="17" t="n">
        <x:v>2075</x:v>
      </x:c>
      <x:c r="E4" s="17" t="str">
        <x:v>结果图标贡献，单位增量随结果而变</x:v>
      </x:c>
      <x:c r="F4" s="17" t="str">
        <x:v>Slot Spin</x:v>
      </x:c>
      <x:c r="G4" s="17" t="str">
        <x:v>BET x100，每次 100 能量</x:v>
      </x:c>
      <x:c r="H4" s="17" t="str">
        <x:v>录屏片段未形成完整一轮</x:v>
      </x:c>
      <x:c r="I4" s="17" t="str">
        <x:v>OVER 段进行中</x:v>
      </x:c>
      <x:c r="J4" s="17" t="str">
        <x:v>不适用</x:v>
      </x:c>
      <x:c r="K4" s="17" t="str">
        <x:v>5K 能量</x:v>
      </x:c>
      <x:c r="L4" s="17" t="str">
        <x:v>录屏未展示</x:v>
      </x:c>
      <x:c r="M4" s="17" t="str">
        <x:v>TT_NEW_05</x:v>
      </x:c>
      <x:c r="N4" s="17" t="str">
        <x:v>00:01:40</x:v>
      </x:c>
      <x:c r="O4" s="18" t="str">
        <x:v>/Users/mac/Documents/智囊团/video_analysis/Top_Tycoon新号流程_20260804/frames/TT_NEW_05/TT_NEW_05_t000100.jpg</x:v>
      </x:c>
      <x:c r="P4" s="17" t="str">
        <x:v>已确认</x:v>
      </x:c>
      <x:c r="Q4" s="17" t="str">
        <x:v>A</x:v>
      </x:c>
      <x:c r="R4" s="17" t="str">
        <x:v>用于证明目标规模随账号/阶段显著不同；不与前期样本直接合并。</x:v>
      </x:c>
    </x:row>
    <x:row r="5">
      <x:c r="A5" s="17" t="str">
        <x:v>Friendship Tower</x:v>
      </x:c>
      <x:c r="B5" s="17" t="str">
        <x:v>邀请 1 人</x:v>
      </x:c>
      <x:c r="C5" s="17" t="n">
        <x:v>1</x:v>
      </x:c>
      <x:c r="D5" s="17" t="n">
        <x:v>0</x:v>
      </x:c>
      <x:c r="E5" s="17" t="str">
        <x:v>每成功邀请 1 人 +1</x:v>
      </x:c>
      <x:c r="F5" s="17" t="str">
        <x:v>邀请码/邀请</x:v>
      </x:c>
      <x:c r="G5" s="17" t="str">
        <x:v>社交行为；资源成本录屏未展示</x:v>
      </x:c>
      <x:c r="H5" s="17" t="n">
        <x:v>0</x:v>
      </x:c>
      <x:c r="I5" s="17" t="str">
        <x:v>未完成</x:v>
      </x:c>
      <x:c r="J5" s="17" t="str">
        <x:v>录屏未展示</x:v>
      </x:c>
      <x:c r="K5" s="17" t="str">
        <x:v>40 能量</x:v>
      </x:c>
      <x:c r="L5" s="17" t="str">
        <x:v>见同模块相邻行</x:v>
      </x:c>
      <x:c r="M5" s="17" t="str">
        <x:v>TT_NEW_03</x:v>
      </x:c>
      <x:c r="N5" s="17" t="str">
        <x:v>00:01:40</x:v>
      </x:c>
      <x:c r="O5" s="18" t="str">
        <x:v>/Users/mac/Documents/智囊团/video_analysis/Top_Tycoon新号流程_20260804/frames/TT_NEW_03/TT_NEW_03_t000100.jpg</x:v>
      </x:c>
      <x:c r="P5" s="17" t="str">
        <x:v>已确认</x:v>
      </x:c>
      <x:c r="Q5" s="17" t="str">
        <x:v>A</x:v>
      </x:c>
      <x:c r="R5" s="17" t="str">
        <x:v>单一界面完整展示阶梯。</x:v>
      </x:c>
    </x:row>
    <x:row r="6">
      <x:c r="A6" s="17" t="str">
        <x:v>Friendship Tower</x:v>
      </x:c>
      <x:c r="B6" s="17" t="str">
        <x:v>邀请 2 人</x:v>
      </x:c>
      <x:c r="C6" s="17" t="n">
        <x:v>2</x:v>
      </x:c>
      <x:c r="D6" s="17" t="n">
        <x:v>0</x:v>
      </x:c>
      <x:c r="E6" s="17" t="str">
        <x:v>每成功邀请 1 人 +1</x:v>
      </x:c>
      <x:c r="F6" s="17" t="str">
        <x:v>邀请码/邀请</x:v>
      </x:c>
      <x:c r="G6" s="17" t="str">
        <x:v>社交行为；资源成本录屏未展示</x:v>
      </x:c>
      <x:c r="H6" s="17" t="n">
        <x:v>0</x:v>
      </x:c>
      <x:c r="I6" s="17" t="str">
        <x:v>未完成</x:v>
      </x:c>
      <x:c r="J6" s="17" t="str">
        <x:v>录屏未展示</x:v>
      </x:c>
      <x:c r="K6" s="17" t="str">
        <x:v>40 能量</x:v>
      </x:c>
      <x:c r="L6" s="17" t="str">
        <x:v>见同模块相邻行</x:v>
      </x:c>
      <x:c r="M6" s="17" t="str">
        <x:v>TT_NEW_03</x:v>
      </x:c>
      <x:c r="N6" s="17" t="str">
        <x:v>00:01:40</x:v>
      </x:c>
      <x:c r="O6" s="18" t="str">
        <x:v>/Users/mac/Documents/智囊团/video_analysis/Top_Tycoon新号流程_20260804/frames/TT_NEW_03/TT_NEW_03_t000100.jpg</x:v>
      </x:c>
      <x:c r="P6" s="17" t="str">
        <x:v>已确认</x:v>
      </x:c>
      <x:c r="Q6" s="17" t="str">
        <x:v>A</x:v>
      </x:c>
      <x:c r="R6" s="17" t="str">
        <x:v>单一界面完整展示阶梯。</x:v>
      </x:c>
    </x:row>
    <x:row r="7">
      <x:c r="A7" s="17" t="str">
        <x:v>Friendship Tower</x:v>
      </x:c>
      <x:c r="B7" s="17" t="str">
        <x:v>邀请 5 人</x:v>
      </x:c>
      <x:c r="C7" s="17" t="n">
        <x:v>5</x:v>
      </x:c>
      <x:c r="D7" s="17" t="n">
        <x:v>0</x:v>
      </x:c>
      <x:c r="E7" s="17" t="str">
        <x:v>每成功邀请 1 人 +1</x:v>
      </x:c>
      <x:c r="F7" s="17" t="str">
        <x:v>邀请码/邀请</x:v>
      </x:c>
      <x:c r="G7" s="17" t="str">
        <x:v>社交行为；资源成本录屏未展示</x:v>
      </x:c>
      <x:c r="H7" s="17" t="n">
        <x:v>0</x:v>
      </x:c>
      <x:c r="I7" s="17" t="str">
        <x:v>未完成</x:v>
      </x:c>
      <x:c r="J7" s="17" t="str">
        <x:v>录屏未展示</x:v>
      </x:c>
      <x:c r="K7" s="17" t="str">
        <x:v>170 能量</x:v>
      </x:c>
      <x:c r="L7" s="17" t="str">
        <x:v>见同模块相邻行</x:v>
      </x:c>
      <x:c r="M7" s="17" t="str">
        <x:v>TT_NEW_03</x:v>
      </x:c>
      <x:c r="N7" s="17" t="str">
        <x:v>00:01:40</x:v>
      </x:c>
      <x:c r="O7" s="18" t="str">
        <x:v>/Users/mac/Documents/智囊团/video_analysis/Top_Tycoon新号流程_20260804/frames/TT_NEW_03/TT_NEW_03_t000100.jpg</x:v>
      </x:c>
      <x:c r="P7" s="17" t="str">
        <x:v>已确认</x:v>
      </x:c>
      <x:c r="Q7" s="17" t="str">
        <x:v>A</x:v>
      </x:c>
      <x:c r="R7" s="17" t="str">
        <x:v>单一界面完整展示阶梯。</x:v>
      </x:c>
    </x:row>
    <x:row r="8">
      <x:c r="A8" s="17" t="str">
        <x:v>Friendship Tower</x:v>
      </x:c>
      <x:c r="B8" s="17" t="str">
        <x:v>邀请 8 人</x:v>
      </x:c>
      <x:c r="C8" s="17" t="n">
        <x:v>8</x:v>
      </x:c>
      <x:c r="D8" s="17" t="n">
        <x:v>0</x:v>
      </x:c>
      <x:c r="E8" s="17" t="str">
        <x:v>每成功邀请 1 人 +1</x:v>
      </x:c>
      <x:c r="F8" s="17" t="str">
        <x:v>邀请码/邀请</x:v>
      </x:c>
      <x:c r="G8" s="17" t="str">
        <x:v>社交行为；资源成本录屏未展示</x:v>
      </x:c>
      <x:c r="H8" s="17" t="n">
        <x:v>0</x:v>
      </x:c>
      <x:c r="I8" s="17" t="str">
        <x:v>未完成</x:v>
      </x:c>
      <x:c r="J8" s="17" t="str">
        <x:v>录屏未展示</x:v>
      </x:c>
      <x:c r="K8" s="17" t="str">
        <x:v>210 能量</x:v>
      </x:c>
      <x:c r="L8" s="17" t="str">
        <x:v>见同模块相邻行</x:v>
      </x:c>
      <x:c r="M8" s="17" t="str">
        <x:v>TT_NEW_03</x:v>
      </x:c>
      <x:c r="N8" s="17" t="str">
        <x:v>00:01:40</x:v>
      </x:c>
      <x:c r="O8" s="18" t="str">
        <x:v>/Users/mac/Documents/智囊团/video_analysis/Top_Tycoon新号流程_20260804/frames/TT_NEW_03/TT_NEW_03_t000100.jpg</x:v>
      </x:c>
      <x:c r="P8" s="17" t="str">
        <x:v>已确认</x:v>
      </x:c>
      <x:c r="Q8" s="17" t="str">
        <x:v>A</x:v>
      </x:c>
      <x:c r="R8" s="17" t="str">
        <x:v>单一界面完整展示阶梯。</x:v>
      </x:c>
    </x:row>
    <x:row r="9">
      <x:c r="A9" s="17" t="str">
        <x:v>Friendship Tower</x:v>
      </x:c>
      <x:c r="B9" s="17" t="str">
        <x:v>邀请 10 人</x:v>
      </x:c>
      <x:c r="C9" s="17" t="n">
        <x:v>10</x:v>
      </x:c>
      <x:c r="D9" s="17" t="n">
        <x:v>0</x:v>
      </x:c>
      <x:c r="E9" s="17" t="str">
        <x:v>每成功邀请 1 人 +1</x:v>
      </x:c>
      <x:c r="F9" s="17" t="str">
        <x:v>邀请码/邀请</x:v>
      </x:c>
      <x:c r="G9" s="17" t="str">
        <x:v>社交行为；资源成本录屏未展示</x:v>
      </x:c>
      <x:c r="H9" s="17" t="n">
        <x:v>0</x:v>
      </x:c>
      <x:c r="I9" s="17" t="str">
        <x:v>未完成</x:v>
      </x:c>
      <x:c r="J9" s="17" t="str">
        <x:v>录屏未展示</x:v>
      </x:c>
      <x:c r="K9" s="17" t="str">
        <x:v>420 能量</x:v>
      </x:c>
      <x:c r="L9" s="17" t="str">
        <x:v>见同模块相邻行</x:v>
      </x:c>
      <x:c r="M9" s="17" t="str">
        <x:v>TT_NEW_03</x:v>
      </x:c>
      <x:c r="N9" s="17" t="str">
        <x:v>00:01:40</x:v>
      </x:c>
      <x:c r="O9" s="18" t="str">
        <x:v>/Users/mac/Documents/智囊团/video_analysis/Top_Tycoon新号流程_20260804/frames/TT_NEW_03/TT_NEW_03_t000100.jpg</x:v>
      </x:c>
      <x:c r="P9" s="17" t="str">
        <x:v>已确认</x:v>
      </x:c>
      <x:c r="Q9" s="17" t="str">
        <x:v>A</x:v>
      </x:c>
      <x:c r="R9" s="17" t="str">
        <x:v>单一界面完整展示阶梯。</x:v>
      </x:c>
    </x:row>
    <x:row r="10">
      <x:c r="A10" s="17" t="str">
        <x:v>Friendship Tower</x:v>
      </x:c>
      <x:c r="B10" s="17" t="str">
        <x:v>邀请 20 人</x:v>
      </x:c>
      <x:c r="C10" s="17" t="n">
        <x:v>20</x:v>
      </x:c>
      <x:c r="D10" s="17" t="n">
        <x:v>0</x:v>
      </x:c>
      <x:c r="E10" s="17" t="str">
        <x:v>每成功邀请 1 人 +1</x:v>
      </x:c>
      <x:c r="F10" s="17" t="str">
        <x:v>邀请码/邀请</x:v>
      </x:c>
      <x:c r="G10" s="17" t="str">
        <x:v>社交行为；资源成本录屏未展示</x:v>
      </x:c>
      <x:c r="H10" s="17" t="n">
        <x:v>0</x:v>
      </x:c>
      <x:c r="I10" s="17" t="str">
        <x:v>未完成</x:v>
      </x:c>
      <x:c r="J10" s="17" t="str">
        <x:v>录屏未展示</x:v>
      </x:c>
      <x:c r="K10" s="17" t="str">
        <x:v>1000 能量</x:v>
      </x:c>
      <x:c r="L10" s="17" t="str">
        <x:v>见同模块相邻行</x:v>
      </x:c>
      <x:c r="M10" s="17" t="str">
        <x:v>TT_NEW_03</x:v>
      </x:c>
      <x:c r="N10" s="17" t="str">
        <x:v>00:01:40</x:v>
      </x:c>
      <x:c r="O10" s="18" t="str">
        <x:v>/Users/mac/Documents/智囊团/video_analysis/Top_Tycoon新号流程_20260804/frames/TT_NEW_03/TT_NEW_03_t000100.jpg</x:v>
      </x:c>
      <x:c r="P10" s="17" t="str">
        <x:v>已确认</x:v>
      </x:c>
      <x:c r="Q10" s="17" t="str">
        <x:v>A</x:v>
      </x:c>
      <x:c r="R10" s="17" t="str">
        <x:v>单一界面完整展示阶梯。</x:v>
      </x:c>
    </x:row>
    <x:row r="11">
      <x:c r="A11" s="17" t="str">
        <x:v>Lead Pursuit</x:v>
      </x:c>
      <x:c r="B11" s="17" t="str">
        <x:v>Day 1</x:v>
      </x:c>
      <x:c r="C11" s="17" t="n">
        <x:v>3200</x:v>
      </x:c>
      <x:c r="D11" s="17" t="n">
        <x:v>280</x:v>
      </x:c>
      <x:c r="E11" s="17" t="str">
        <x:v>完成任务获得放大镜积分</x:v>
      </x:c>
      <x:c r="F11" s="17" t="str">
        <x:v>Bonus、Attack、Credit Grab、Spin、Site tasks</x:v>
      </x:c>
      <x:c r="G11" s="17" t="str">
        <x:v>任务行为成本；部分依赖 Spin/建造</x:v>
      </x:c>
      <x:c r="H11" s="17" t="str">
        <x:v>任务清单可见，完整日循环未展示</x:v>
      </x:c>
      <x:c r="I11" s="17" t="str">
        <x:v>进行中</x:v>
      </x:c>
      <x:c r="J11" s="17" t="str">
        <x:v>跨日保留规则录屏未展示</x:v>
      </x:c>
      <x:c r="K11" s="17" t="str">
        <x:v>里程碑：600→60能量；1200→600K金币；1800→170能量；2400→310能量；3000→Wild</x:v>
      </x:c>
      <x:c r="L11" s="17" t="str">
        <x:v>Day 2 锁定</x:v>
      </x:c>
      <x:c r="M11" s="17" t="str">
        <x:v>TT_NEW_03</x:v>
      </x:c>
      <x:c r="N11" s="17" t="str">
        <x:v>00:02:29</x:v>
      </x:c>
      <x:c r="O11" s="18" t="str">
        <x:v>/Users/mac/Documents/智囊团/video_analysis/Top_Tycoon新号流程_20260804/frames/TT_NEW_03/TT_NEW_03_t000149.jpg</x:v>
      </x:c>
      <x:c r="P11" s="17" t="str">
        <x:v>已确认</x:v>
      </x:c>
      <x:c r="Q11" s="17" t="str">
        <x:v>A</x:v>
      </x:c>
      <x:c r="R11" s="17" t="str">
        <x:v>任务奖励可见：25 Bonus pts→40积分+20K；Attack 1→80；Credit Grab 1→100+20K；9 Spins→100+20K；10 Site tasks→120。</x:v>
      </x:c>
    </x:row>
    <x:row r="12">
      <x:c r="A12" s="17" t="str">
        <x:v>Lead Pursuit</x:v>
      </x:c>
      <x:c r="B12" s="17" t="str">
        <x:v>Day 5</x:v>
      </x:c>
      <x:c r="C12" s="17" t="n">
        <x:v>3200</x:v>
      </x:c>
      <x:c r="D12" s="17" t="n">
        <x:v>880</x:v>
      </x:c>
      <x:c r="E12" s="17" t="str">
        <x:v>完成任务获得放大镜积分</x:v>
      </x:c>
      <x:c r="F12" s="17" t="str">
        <x:v>日历、Attack、Credit Grab、Bonus、Site tasks</x:v>
      </x:c>
      <x:c r="G12" s="17" t="str">
        <x:v>任务行为成本；部分依赖 Spin/建造</x:v>
      </x:c>
      <x:c r="H12" s="17" t="str">
        <x:v>完整日循环未展示</x:v>
      </x:c>
      <x:c r="I12" s="17" t="str">
        <x:v>进行中</x:v>
      </x:c>
      <x:c r="J12" s="17" t="str">
        <x:v>录屏未展示</x:v>
      </x:c>
      <x:c r="K12" s="17" t="str">
        <x:v>里程碑同页可见；部分奖励已领取</x:v>
      </x:c>
      <x:c r="L12" s="17" t="str">
        <x:v>Day 6 锁定</x:v>
      </x:c>
      <x:c r="M12" s="17" t="str">
        <x:v>TT_NEW_05</x:v>
      </x:c>
      <x:c r="N12" s="17" t="str">
        <x:v>00:31:07</x:v>
      </x:c>
      <x:c r="O12" s="18" t="str">
        <x:v>/Users/mac/Documents/智囊团/video_analysis/Top_Tycoon新号流程_20260804/frames/TT_NEW_05/TT_NEW_05_t001867.jpg</x:v>
      </x:c>
      <x:c r="P12" s="17" t="str">
        <x:v>已确认</x:v>
      </x:c>
      <x:c r="Q12" s="17" t="str">
        <x:v>A</x:v>
      </x:c>
      <x:c r="R12" s="17" t="str">
        <x:v>任务规模已膨胀至 Attack 160、Credit Grab 140、Bonus 7200、Site tasks 80。</x:v>
      </x:c>
    </x:row>
    <x:row r="13">
      <x:c r="A13" s="17" t="str">
        <x:v>Strike Lucky</x:v>
      </x:c>
      <x:c r="B13" s="17" t="str">
        <x:v>蓝环探索</x:v>
      </x:c>
      <x:c r="C13" s="17" t="str">
        <x:v>落到宝箱/红环并推进</x:v>
      </x:c>
      <x:c r="D13" s="17" t="str">
        <x:v>3 代币可见</x:v>
      </x:c>
      <x:c r="E13" s="17" t="str">
        <x:v>每次探索消耗 1 代币</x:v>
      </x:c>
      <x:c r="F13" s="17" t="str">
        <x:v>Slot 产出代币</x:v>
      </x:c>
      <x:c r="G13" s="17" t="str">
        <x:v>1 Strike 代币</x:v>
      </x:c>
      <x:c r="H13" s="17" t="str">
        <x:v>完整棋盘结算未覆盖</x:v>
      </x:c>
      <x:c r="I13" s="17" t="str">
        <x:v>机制已展示</x:v>
      </x:c>
      <x:c r="J13" s="17" t="str">
        <x:v>棋盘保留规则录屏未展示</x:v>
      </x:c>
      <x:c r="K13" s="17" t="str">
        <x:v>棋盘含金币、能量、卡包、Wild、宝箱；顶部组合示例 750/190 能量</x:v>
      </x:c>
      <x:c r="L13" s="17" t="str">
        <x:v>Surprise Box 进入内环</x:v>
      </x:c>
      <x:c r="M13" s="17" t="str">
        <x:v>TT_NEW_05</x:v>
      </x:c>
      <x:c r="N13" s="17" t="str">
        <x:v>00:02:47</x:v>
      </x:c>
      <x:c r="O13" s="18" t="str">
        <x:v>/Users/mac/Documents/智囊团/video_analysis/Top_Tycoon新号流程_20260804/frames/TT_NEW_05/TT_NEW_05_t000167.jpg</x:v>
      </x:c>
      <x:c r="P13" s="17" t="str">
        <x:v>已确认</x:v>
      </x:c>
      <x:c r="Q13" s="17" t="str">
        <x:v>A</x:v>
      </x:c>
      <x:c r="R13" s="17" t="str">
        <x:v>只确认入口、单位消耗与可见奖格；未形成成功率和期望奖励样本。</x:v>
      </x:c>
    </x:row>
    <x:row r="14">
      <x:c r="A14" s="17" t="str">
        <x:v>Whack a Pig</x:v>
      </x:c>
      <x:c r="B14" s="17" t="str">
        <x:v>第 1 层</x:v>
      </x:c>
      <x:c r="C14" s="17" t="str">
        <x:v>击破 1 只猪以推进 0/1</x:v>
      </x:c>
      <x:c r="D14" s="17" t="n">
        <x:v>0</x:v>
      </x:c>
      <x:c r="E14" s="17" t="str">
        <x:v>每锤击打 1 个目标，结果可能含奖励或 TNT</x:v>
      </x:c>
      <x:c r="F14" s="17" t="str">
        <x:v>锤子；来源界面录屏未完整展示</x:v>
      </x:c>
      <x:c r="G14" s="17" t="str">
        <x:v>1 锤/次（界面持有 5）</x:v>
      </x:c>
      <x:c r="H14" s="17" t="str">
        <x:v>单轮未完整覆盖</x:v>
      </x:c>
      <x:c r="I14" s="17" t="str">
        <x:v>教程中</x:v>
      </x:c>
      <x:c r="J14" s="17" t="str">
        <x:v>录屏未展示</x:v>
      </x:c>
      <x:c r="K14" s="17" t="str">
        <x:v>可见能量档：35 / 380 / 1500</x:v>
      </x:c>
      <x:c r="L14" s="17" t="str">
        <x:v>层级 2 锁定</x:v>
      </x:c>
      <x:c r="M14" s="17" t="str">
        <x:v>TT_NEW_05</x:v>
      </x:c>
      <x:c r="N14" s="17" t="str">
        <x:v>00:03:45</x:v>
      </x:c>
      <x:c r="O14" s="18" t="str">
        <x:v>/Users/mac/Documents/智囊团/video_analysis/Top_Tycoon新号流程_20260804/frames/TT_NEW_05/TT_NEW_05_t000225.jpg</x:v>
      </x:c>
      <x:c r="P14" s="17" t="str">
        <x:v>已确认</x:v>
      </x:c>
      <x:c r="Q14" s="17" t="str">
        <x:v>A</x:v>
      </x:c>
      <x:c r="R14" s="17" t="str">
        <x:v>无法仅凭教程页计算击中概率、失败成本或毕业成本。</x:v>
      </x:c>
    </x:row>
    <x:row r="15">
      <x:c r="A15" s="17" t="str">
        <x:v>Jackpot 三轨板</x:v>
      </x:c>
      <x:c r="B15" s="17" t="str">
        <x:v>Stage 1</x:v>
      </x:c>
      <x:c r="C15" s="17" t="str">
        <x:v>每种宝石 3 个</x:v>
      </x:c>
      <x:c r="D15" s="17" t="n">
        <x:v>0</x:v>
      </x:c>
      <x:c r="E15" s="17" t="str">
        <x:v>不同轨道独立推进</x:v>
      </x:c>
      <x:c r="F15" s="17" t="str">
        <x:v>门票</x:v>
      </x:c>
      <x:c r="G15" s="17" t="str">
        <x:v>绿/蓝/紫轨分别 2/5/10 门票</x:v>
      </x:c>
      <x:c r="H15" s="17" t="str">
        <x:v>持有 5 门票；完整结算未覆盖</x:v>
      </x:c>
      <x:c r="I15" s="17" t="str">
        <x:v>教程中</x:v>
      </x:c>
      <x:c r="J15" s="17" t="str">
        <x:v>录屏未展示</x:v>
      </x:c>
      <x:c r="K15" s="17" t="str">
        <x:v>绿 60、蓝 360、紫 1.3K 能量</x:v>
      </x:c>
      <x:c r="L15" s="17" t="str">
        <x:v>Stage 2 锁定</x:v>
      </x:c>
      <x:c r="M15" s="17" t="str">
        <x:v>TT_NEW_03</x:v>
      </x:c>
      <x:c r="N15" s="17" t="str">
        <x:v>00:24:16</x:v>
      </x:c>
      <x:c r="O15" s="18" t="str">
        <x:v>/Users/mac/Documents/智囊团/video_analysis/Top_Tycoon新号流程_20260804/frames/TT_NEW_03/TT_NEW_03_t001456.jpg</x:v>
      </x:c>
      <x:c r="P15" s="17" t="str">
        <x:v>已确认</x:v>
      </x:c>
      <x:c r="Q15" s="17" t="str">
        <x:v>A</x:v>
      </x:c>
      <x:c r="R15" s="17" t="str">
        <x:v>只确认票价与首层目标/奖励；随机命中率录屏未展示。</x:v>
      </x:c>
    </x:row>
    <x:row r="16">
      <x:c r="A16" s="17" t="str">
        <x:v>Tycoon Pass</x:v>
      </x:c>
      <x:c r="B16" s="17" t="str">
        <x:v>Phase 1 / 节点 4</x:v>
      </x:c>
      <x:c r="C16" s="17" t="n">
        <x:v>60</x:v>
      </x:c>
      <x:c r="D16" s="17" t="n">
        <x:v>25</x:v>
      </x:c>
      <x:c r="E16" s="17" t="str">
        <x:v>Pass 进度来源录屏未完整展示</x:v>
      </x:c>
      <x:c r="F16" s="17" t="str">
        <x:v>任务/活动行为</x:v>
      </x:c>
      <x:c r="G16" s="17" t="str">
        <x:v>免费轨与付费轨结构可见，价格该页未展示</x:v>
      </x:c>
      <x:c r="H16" s="17" t="str">
        <x:v>进行中</x:v>
      </x:c>
      <x:c r="I16" s="17" t="str">
        <x:v>25/60</x:v>
      </x:c>
      <x:c r="J16" s="17" t="str">
        <x:v>周期 14d18h 可见；重置规则录屏未展示</x:v>
      </x:c>
      <x:c r="K16" s="17" t="str">
        <x:v>沿路径节点领取，当前节点为 Three Pigs Spin</x:v>
      </x:c>
      <x:c r="L16" s="17" t="str">
        <x:v>节点 5</x:v>
      </x:c>
      <x:c r="M16" s="17" t="str">
        <x:v>TT_NEW_03</x:v>
      </x:c>
      <x:c r="N16" s="17" t="str">
        <x:v>00:17:05</x:v>
      </x:c>
      <x:c r="O16" s="18" t="str">
        <x:v>/Users/mac/Documents/智囊团/video_analysis/Top_Tycoon新号流程_20260804/frames/TT_NEW_03/TT_NEW_03_t001025.jpg</x:v>
      </x:c>
      <x:c r="P16" s="17" t="str">
        <x:v>已确认</x:v>
      </x:c>
      <x:c r="Q16" s="17" t="str">
        <x:v>A</x:v>
      </x:c>
      <x:c r="R16" s="17" t="str">
        <x:v>未展示完整免费/付费两轨总奖励，不能计算通行证总价值。</x:v>
      </x:c>
    </x:row>
    <x:row r="17">
      <x:c r="A17" s="17" t="str">
        <x:v>Boxing Pass</x:v>
      </x:c>
      <x:c r="B17" s="17" t="str">
        <x:v>等级 1–6 可见</x:v>
      </x:c>
      <x:c r="C17" s="17" t="str">
        <x:v>每级 1 门票进度</x:v>
      </x:c>
      <x:c r="D17" s="17" t="n">
        <x:v>0</x:v>
      </x:c>
      <x:c r="E17" s="17" t="str">
        <x:v>门票来源录屏未展示</x:v>
      </x:c>
      <x:c r="F17" s="17" t="str">
        <x:v>门票</x:v>
      </x:c>
      <x:c r="G17" s="17" t="str">
        <x:v>付费轨 HK$40（展示页）</x:v>
      </x:c>
      <x:c r="H17" s="17" t="str">
        <x:v>0/1</x:v>
      </x:c>
      <x:c r="I17" s="17" t="str">
        <x:v>等级 3 可见</x:v>
      </x:c>
      <x:c r="J17" s="17" t="str">
        <x:v>周期 2d12h 可见</x:v>
      </x:c>
      <x:c r="K17" s="17" t="str">
        <x:v>付费轨标称总计 940 能量；免费/付费分层奖励可见</x:v>
      </x:c>
      <x:c r="L17" s="17" t="str">
        <x:v>后续等级未完整展示</x:v>
      </x:c>
      <x:c r="M17" s="17" t="str">
        <x:v>TT_NEW_03</x:v>
      </x:c>
      <x:c r="N17" s="17" t="str">
        <x:v>00:24:25</x:v>
      </x:c>
      <x:c r="O17" s="18" t="str">
        <x:v>/Users/mac/Documents/智囊团/video_analysis/Top_Tycoon新号流程_20260804/frames/TT_NEW_03/TT_NEW_03_t001465.jpg</x:v>
      </x:c>
      <x:c r="P17" s="17" t="str">
        <x:v>已确认</x:v>
      </x:c>
      <x:c r="Q17" s="17" t="str">
        <x:v>A</x:v>
      </x:c>
      <x:c r="R17" s="17" t="str">
        <x:v>标称总计不等于已领取；未观察购买。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4" hidden="0" customWidth="1"/>
    <x:col min="3" max="3" width="4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6" customHeight="1">
      <x:c r="A1" s="24" t="str">
        <x:v>全局资源循环｜可识别项与门控模型</x:v>
      </x:c>
      <x:c r="B1" s="24" t="str">
        <x:v>全局资源循环｜可识别项与门控模型</x:v>
      </x:c>
      <x:c r="C1" s="24" t="str">
        <x:v>全局资源循环｜可识别项与门控模型</x:v>
      </x:c>
      <x:c r="D1" s="24" t="str">
        <x:v>全局资源循环｜可识别项与门控模型</x:v>
      </x:c>
      <x:c r="E1" s="24" t="str">
        <x:v>全局资源循环｜可识别项与门控模型</x:v>
      </x:c>
      <x:c r="F1" s="24" t="str">
        <x:v>全局资源循环｜可识别项与门控模型</x:v>
      </x:c>
      <x:c r="G1" s="24" t="str">
        <x:v>全局资源循环｜可识别项与门控模型</x:v>
      </x:c>
      <x:c r="H1" s="24" t="str">
        <x:v>全局资源循环｜可识别项与门控模型</x:v>
      </x:c>
    </x:row>
    <x:row r="3" ht="30" customHeight="1">
      <x:c r="A3" s="35" t="str">
        <x:v>输入/指标</x:v>
      </x:c>
      <x:c r="B3" s="37" t="str">
        <x:v>值</x:v>
      </x:c>
      <x:c r="D3" s="54" t="str">
        <x:v>状态节点</x:v>
      </x:c>
      <x:c r="E3" s="55" t="str">
        <x:v>状态节点</x:v>
      </x:c>
      <x:c r="F3" s="55" t="str">
        <x:v>状态节点</x:v>
      </x:c>
      <x:c r="G3" s="55" t="str">
        <x:v>状态节点</x:v>
      </x:c>
      <x:c r="H3" s="56" t="str">
        <x:v>状态节点</x:v>
      </x:c>
    </x:row>
    <x:row r="4" ht="30" customHeight="1">
      <x:c r="A4" t="str">
        <x:v>示例分层</x:v>
      </x:c>
      <x:c r="B4" t="str">
        <x:v>TT_NEW_01 x1（新手段，方向性）</x:v>
      </x:c>
      <x:c r="D4" s="35" t="str">
        <x:v>节点</x:v>
      </x:c>
      <x:c r="E4" s="36" t="str">
        <x:v>输入</x:v>
      </x:c>
      <x:c r="F4" s="36" t="str">
        <x:v>可见转移</x:v>
      </x:c>
      <x:c r="G4" s="36" t="str">
        <x:v>输出</x:v>
      </x:c>
      <x:c r="H4" s="37" t="str">
        <x:v>识别状态</x:v>
      </x:c>
    </x:row>
    <x:row r="5">
      <x:c r="A5" t="str">
        <x:v>初始能量</x:v>
      </x:c>
      <x:c r="B5" s="57" t="n">
        <x:v>50</x:v>
      </x:c>
      <x:c r="D5" s="93" t="str">
        <x:v>能量</x:v>
      </x:c>
      <x:c r="E5" s="93" t="str">
        <x:v>免费/礼包/活动</x:v>
      </x:c>
      <x:c r="F5" s="93" t="str">
        <x:v>下注后进入 Slot</x:v>
      </x:c>
      <x:c r="G5" s="93" t="str">
        <x:v>Spin 次数</x:v>
      </x:c>
      <x:c r="H5" s="93" t="str">
        <x:v>已确认</x:v>
      </x:c>
    </x:row>
    <x:row r="6">
      <x:c r="A6" t="str">
        <x:v>初筛样本门槛</x:v>
      </x:c>
      <x:c r="B6" s="57" t="n">
        <x:v>500</x:v>
      </x:c>
      <x:c r="D6" s="93" t="str">
        <x:v>Slot</x:v>
      </x:c>
      <x:c r="E6" s="93" t="str">
        <x:v>BET × 能量</x:v>
      </x:c>
      <x:c r="F6" s="93" t="str">
        <x:v>结算图标/特殊事件</x:v>
      </x:c>
      <x:c r="G6" s="93" t="str">
        <x:v>金币/能量/进度</x:v>
      </x:c>
      <x:c r="H6" s="93" t="str">
        <x:v>已确认；概率方向性</x:v>
      </x:c>
    </x:row>
    <x:row r="7">
      <x:c r="A7" t="str">
        <x:v>有效样本 n</x:v>
      </x:c>
      <x:c r="B7" t="n">
        <x:f>'奖励表'!C4</x:f>
        <x:v>44</x:v>
      </x:c>
      <x:c r="D7" s="93" t="str">
        <x:v>主进度</x:v>
      </x:c>
      <x:c r="E7" s="93" t="str">
        <x:v>Slot 结果贡献</x:v>
      </x:c>
      <x:c r="F7" s="93" t="str">
        <x:v>达到阈值领奖</x:v>
      </x:c>
      <x:c r="G7" s="93" t="str">
        <x:v>能量等</x:v>
      </x:c>
      <x:c r="H7" s="93" t="str">
        <x:v>节点可见，完整轮次缺失</x:v>
      </x:c>
    </x:row>
    <x:row r="8">
      <x:c r="A8" t="str">
        <x:v>均次能量消耗</x:v>
      </x:c>
      <x:c r="B8" t="n">
        <x:f>'奖励表'!D4</x:f>
        <x:v>1</x:v>
      </x:c>
      <x:c r="D8" s="93" t="str">
        <x:v>小游戏</x:v>
      </x:c>
      <x:c r="E8" s="93" t="str">
        <x:v>代币/门票/锤子</x:v>
      </x:c>
      <x:c r="F8" s="93" t="str">
        <x:v>关卡或棋盘</x:v>
      </x:c>
      <x:c r="G8" s="93" t="str">
        <x:v>金币/能量/卡包</x:v>
      </x:c>
      <x:c r="H8" s="93" t="str">
        <x:v>机制已确认，期望值缺失</x:v>
      </x:c>
    </x:row>
    <x:row r="9">
      <x:c r="A9" t="str">
        <x:v>均次直接能量返还</x:v>
      </x:c>
      <x:c r="B9" t="n">
        <x:f>'奖励表'!H4</x:f>
        <x:v>0.7954545454545454</x:v>
      </x:c>
      <x:c r="D9" s="93" t="str">
        <x:v>建造</x:v>
      </x:c>
      <x:c r="E9" s="93" t="str">
        <x:v>金币</x:v>
      </x:c>
      <x:c r="F9" s="93" t="str">
        <x:v>Site tasks/地图推进</x:v>
      </x:c>
      <x:c r="G9" s="93" t="str">
        <x:v>区域进度/任务</x:v>
      </x:c>
      <x:c r="H9" s="93" t="str">
        <x:v>48 个消耗窗；33 个可用于量级曲线</x:v>
      </x:c>
    </x:row>
    <x:row r="10">
      <x:c r="A10" t="str">
        <x:v>观察自返还率 r</x:v>
      </x:c>
      <x:c r="B10" s="38" t="n">
        <x:f>IFERROR(B9/B8,0)</x:f>
        <x:v>0.7954545454545454</x:v>
      </x:c>
      <x:c r="D10" s="93" t="str">
        <x:v>付费</x:v>
      </x:c>
      <x:c r="E10" s="93" t="str">
        <x:v>HK$</x:v>
      </x:c>
      <x:c r="F10" s="93" t="str">
        <x:v>直给或解锁奖励轨</x:v>
      </x:c>
      <x:c r="G10" s="93" t="str">
        <x:v>资源/权益</x:v>
      </x:c>
      <x:c r="H10" s="93" t="str">
        <x:v>仅 offer_shown，无购买因果</x:v>
      </x:c>
    </x:row>
    <x:row r="11">
      <x:c r="A11" t="str">
        <x:v>门控后的理论 Spin 倍数</x:v>
      </x:c>
      <x:c r="B11" t="str">
        <x:f>IF(AND(B10&lt;1,B7&gt;=B6),1/(1-B10),"不用于主结论")</x:f>
        <x:v>不用于主结论</x:v>
      </x:c>
    </x:row>
    <x:row r="12">
      <x:c r="A12" t="str">
        <x:v>不门控的方向性倍数</x:v>
      </x:c>
      <x:c r="B12" t="n">
        <x:f>IF(B10&lt;1,1/(1-B10),"不收敛")</x:f>
        <x:v>4.8888888888888875</x:v>
      </x:c>
    </x:row>
    <x:row r="13">
      <x:c r="A13" t="str">
        <x:v>方向性总 Spin</x:v>
      </x:c>
      <x:c r="B13" t="n">
        <x:f>IF(ISNUMBER(B12),B5/B8*B12,"不收敛")</x:f>
        <x:v>244.44444444444437</x:v>
      </x:c>
    </x:row>
    <x:row r="15" ht="30" customHeight="1">
      <x:c r="A15" s="35" t="str">
        <x:v>建造核账</x:v>
      </x:c>
      <x:c r="B15" s="37" t="str">
        <x:v>值</x:v>
      </x:c>
    </x:row>
    <x:row r="16">
      <x:c r="A16" t="str">
        <x:v>可用建造窗口</x:v>
      </x:c>
      <x:c r="B16" t="n">
        <x:f>COUNTIF('建造样本'!$T$2:$T$49,"是")</x:f>
        <x:v>33</x:v>
      </x:c>
    </x:row>
    <x:row r="17">
      <x:c r="A17" t="str">
        <x:v>窗口金币总消耗</x:v>
      </x:c>
      <x:c r="B17" s="84" t="n">
        <x:f>SUMIFS('建造样本'!$J$2:$J$49,'建造样本'!$T$2:$T$49,"是")</x:f>
        <x:v>74983206</x:v>
      </x:c>
    </x:row>
    <x:row r="18">
      <x:c r="A18" t="str">
        <x:v>窗口进度总增量</x:v>
      </x:c>
      <x:c r="B18" s="84" t="n">
        <x:f>SUMIFS('建造样本'!$R$2:$R$49,'建造样本'!$T$2:$T$49,"是")</x:f>
        <x:v>316800</x:v>
      </x:c>
    </x:row>
    <x:row r="19">
      <x:c r="A19" t="str">
        <x:v>加权金币/进度</x:v>
      </x:c>
      <x:c r="B19" s="84" t="n">
        <x:f>IFERROR(B17/B18,"")</x:f>
        <x:v>236.6894128787879</x:v>
      </x:c>
    </x:row>
    <x:row r="20">
      <x:c r="A20" t="str">
        <x:v>等价美金返还</x:v>
      </x:c>
      <x:c r="B20" t="str">
        <x:v>待确认锚点</x:v>
      </x:c>
    </x:row>
  </x:sheetData>
  <x:mergeCells>
    <x:mergeCell ref="A1:H1"/>
    <x:mergeCell ref="D3:H3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5" hidden="0" customWidth="1"/>
    <x:col min="3" max="3" width="12" hidden="0" customWidth="1"/>
    <x:col min="4" max="4" width="20" hidden="0" customWidth="1"/>
    <x:col min="5" max="5" width="27" hidden="0" customWidth="1"/>
    <x:col min="6" max="6" width="12" hidden="0" customWidth="1"/>
    <x:col min="7" max="7" width="12" hidden="0" customWidth="1"/>
    <x:col min="8" max="8" width="16" hidden="0" customWidth="1"/>
    <x:col min="9" max="9" width="22" hidden="0" customWidth="1"/>
    <x:col min="10" max="10" width="32" hidden="0" customWidth="1"/>
    <x:col min="11" max="11" width="22" hidden="0" customWidth="1"/>
    <x:col min="12" max="12" width="18" hidden="0" customWidth="1"/>
    <x:col min="13" max="13" width="28" hidden="0" customWidth="1"/>
    <x:col min="14" max="14" width="28" hidden="0" customWidth="1"/>
    <x:col min="15" max="15" width="18" hidden="0" customWidth="1"/>
    <x:col min="16" max="16" width="18" hidden="0" customWidth="1"/>
    <x:col min="17" max="17" width="18" hidden="0" customWidth="1"/>
    <x:col min="18" max="18" width="68" hidden="0" customWidth="1"/>
    <x:col min="19" max="19" width="13" hidden="0" customWidth="1"/>
    <x:col min="20" max="20" width="11" hidden="0" customWidth="1"/>
    <x:col min="21" max="21" width="52" hidden="0" customWidth="1"/>
    <x:col min="22" max="22" width="19" hidden="0" customWidth="1"/>
    <x:col min="23" max="23" width="28" hidden="0" customWidth="1"/>
  </x:cols>
  <x:sheetData>
    <x:row r="1" ht="30" customHeight="1">
      <x:c r="A1" s="14" t="str">
        <x:v>purchase_id</x:v>
      </x:c>
      <x:c r="B1" s="15" t="str">
        <x:v>video_id</x:v>
      </x:c>
      <x:c r="C1" s="15" t="str">
        <x:v>timestamp</x:v>
      </x:c>
      <x:c r="D1" s="15" t="str">
        <x:v>event_type</x:v>
      </x:c>
      <x:c r="E1" s="15" t="str">
        <x:v>offer_name</x:v>
      </x:c>
      <x:c r="F1" s="15" t="str">
        <x:v>local_currency</x:v>
      </x:c>
      <x:c r="G1" s="15" t="str">
        <x:v>local_price</x:v>
      </x:c>
      <x:c r="H1" s="15" t="str">
        <x:v>direct_energy</x:v>
      </x:c>
      <x:c r="I1" s="15" t="str">
        <x:v>direct_coins</x:v>
      </x:c>
      <x:c r="J1" s="15" t="str">
        <x:v>other_contents</x:v>
      </x:c>
      <x:c r="K1" s="15" t="str">
        <x:v>time_limited_contents</x:v>
      </x:c>
      <x:c r="L1" s="15" t="str">
        <x:v>buff</x:v>
      </x:c>
      <x:c r="M1" s="15" t="str">
        <x:v>vip_change</x:v>
      </x:c>
      <x:c r="N1" s="15" t="str">
        <x:v>unlock_content</x:v>
      </x:c>
      <x:c r="O1" s="15" t="str">
        <x:v>purchase_observed</x:v>
      </x:c>
      <x:c r="P1" s="15" t="str">
        <x:v>pre_window</x:v>
      </x:c>
      <x:c r="Q1" s="15" t="str">
        <x:v>post_window</x:v>
      </x:c>
      <x:c r="R1" s="15" t="str">
        <x:v>evidence_path</x:v>
      </x:c>
      <x:c r="S1" s="15" t="str">
        <x:v>status</x:v>
      </x:c>
      <x:c r="T1" s="15" t="str">
        <x:v>confidence</x:v>
      </x:c>
      <x:c r="U1" s="16" t="str">
        <x:v>notes</x:v>
      </x:c>
      <x:c r="V1" s="35" t="str">
        <x:v>HK$/可见能量</x:v>
      </x:c>
      <x:c r="W1" s="37" t="str">
        <x:v>可用于什么结论</x:v>
      </x:c>
    </x:row>
    <x:row r="2">
      <x:c r="A2" s="17" t="str">
        <x:v>OFFER_001</x:v>
      </x:c>
      <x:c r="B2" s="17" t="str">
        <x:v>TT_NEW_03</x:v>
      </x:c>
      <x:c r="C2" s="17" t="str">
        <x:v>00:00:25</x:v>
      </x:c>
      <x:c r="D2" s="17" t="str">
        <x:v>offer_shown</x:v>
      </x:c>
      <x:c r="E2" s="17" t="str">
        <x:v>Chapter Prize</x:v>
      </x:c>
      <x:c r="F2" s="17" t="str">
        <x:v>HKD</x:v>
      </x:c>
      <x:c r="G2" s="94" t="n">
        <x:v>40</x:v>
      </x:c>
      <x:c r="H2" s="17" t="n">
        <x:v>2060</x:v>
      </x:c>
      <x:c r="I2" s="17" t="str">
        <x:v>录屏未展示</x:v>
      </x:c>
      <x:c r="J2" s="17" t="str">
        <x:v>礼包图标；明细录屏未展示</x:v>
      </x:c>
      <x:c r="K2" s="17" t="str">
        <x:v>未知</x:v>
      </x:c>
      <x:c r="L2" s="17" t="str">
        <x:v>未知</x:v>
      </x:c>
      <x:c r="M2" s="17" t="str">
        <x:v>录屏未展示</x:v>
      </x:c>
      <x:c r="N2" s="17" t="str">
        <x:v>Chapter Prize</x:v>
      </x:c>
      <x:c r="O2" s="17" t="str">
        <x:v>否</x:v>
      </x:c>
      <x:c r="P2" s="17" t="str">
        <x:v>无购买事件</x:v>
      </x:c>
      <x:c r="Q2" s="17" t="str">
        <x:v>无购买事件</x:v>
      </x:c>
      <x:c r="R2" s="18" t="str">
        <x:v>/Users/mac/Documents/智囊团/video_analysis/Top_Tycoon新号流程_20260804/frames/TT_NEW_03/TT_NEW_03_t000025.jpg</x:v>
      </x:c>
      <x:c r="S2" s="17" t="str">
        <x:v>已确认</x:v>
      </x:c>
      <x:c r="T2" s="17" t="str">
        <x:v>A</x:v>
      </x:c>
      <x:c r="U2" s="17" t="str">
        <x:v>Up to 2.06K 为界面标称上限，不等于即时到账。</x:v>
      </x:c>
      <x:c r="V2" s="95" t="n">
        <x:f>IFERROR(G2/H2,"")</x:f>
        <x:v>0.019417475728155338</x:v>
      </x:c>
      <x:c r="W2" t="str">
        <x:f>IF(O2="是","可做购买前后窗","仅展示，不推断购买效果")</x:f>
        <x:v>仅展示，不推断购买效果</x:v>
      </x:c>
    </x:row>
    <x:row r="3">
      <x:c r="A3" s="17" t="str">
        <x:v>OFFER_002</x:v>
      </x:c>
      <x:c r="B3" s="17" t="str">
        <x:v>TT_NEW_03</x:v>
      </x:c>
      <x:c r="C3" s="17" t="str">
        <x:v>00:00:25</x:v>
      </x:c>
      <x:c r="D3" s="17" t="str">
        <x:v>offer_shown</x:v>
      </x:c>
      <x:c r="E3" s="17" t="str">
        <x:v>Mission Pass</x:v>
      </x:c>
      <x:c r="F3" s="17" t="str">
        <x:v>HKD</x:v>
      </x:c>
      <x:c r="G3" s="94" t="n">
        <x:v>55.9</x:v>
      </x:c>
      <x:c r="H3" s="17" t="n">
        <x:v>4000</x:v>
      </x:c>
      <x:c r="I3" s="17" t="str">
        <x:v>录屏未展示</x:v>
      </x:c>
      <x:c r="J3" s="17" t="str">
        <x:v>通行证周期奖励</x:v>
      </x:c>
      <x:c r="K3" s="17" t="str">
        <x:v>是</x:v>
      </x:c>
      <x:c r="L3" s="17" t="str">
        <x:v>未知</x:v>
      </x:c>
      <x:c r="M3" s="17" t="str">
        <x:v>录屏未展示</x:v>
      </x:c>
      <x:c r="N3" s="17" t="str">
        <x:v>Mission Pass</x:v>
      </x:c>
      <x:c r="O3" s="17" t="str">
        <x:v>否</x:v>
      </x:c>
      <x:c r="P3" s="17" t="str">
        <x:v>无购买事件</x:v>
      </x:c>
      <x:c r="Q3" s="17" t="str">
        <x:v>无购买事件</x:v>
      </x:c>
      <x:c r="R3" s="18" t="str">
        <x:v>/Users/mac/Documents/智囊团/video_analysis/Top_Tycoon新号流程_20260804/frames/TT_NEW_03/TT_NEW_03_t000025.jpg</x:v>
      </x:c>
      <x:c r="S3" s="17" t="str">
        <x:v>已确认</x:v>
      </x:c>
      <x:c r="T3" s="17" t="str">
        <x:v>A</x:v>
      </x:c>
      <x:c r="U3" s="17" t="str">
        <x:v>Up to 4K 为界面标称总量。</x:v>
      </x:c>
      <x:c r="V3" s="95" t="n">
        <x:f>IFERROR(G3/H3,"")</x:f>
        <x:v>0.013975</x:v>
      </x:c>
      <x:c r="W3" t="str">
        <x:f>IF(O3="是","可做购买前后窗","仅展示，不推断购买效果")</x:f>
        <x:v>仅展示，不推断购买效果</x:v>
      </x:c>
    </x:row>
    <x:row r="4">
      <x:c r="A4" s="17" t="str">
        <x:v>OFFER_003</x:v>
      </x:c>
      <x:c r="B4" s="17" t="str">
        <x:v>TT_NEW_03</x:v>
      </x:c>
      <x:c r="C4" s="17" t="str">
        <x:v>00:00:25</x:v>
      </x:c>
      <x:c r="D4" s="17" t="str">
        <x:v>offer_shown</x:v>
      </x:c>
      <x:c r="E4" s="17" t="str">
        <x:v>Ads Removal Pack</x:v>
      </x:c>
      <x:c r="F4" s="17" t="str">
        <x:v>HKD</x:v>
      </x:c>
      <x:c r="G4" s="94" t="n">
        <x:v>40</x:v>
      </x:c>
      <x:c r="H4" s="17" t="n">
        <x:v>130</x:v>
      </x:c>
      <x:c r="I4" s="17" t="n">
        <x:v>60000</x:v>
      </x:c>
      <x:c r="J4" s="17" t="str">
        <x:v>去广告权益</x:v>
      </x:c>
      <x:c r="K4" s="17" t="str">
        <x:v>录屏未展示</x:v>
      </x:c>
      <x:c r="L4" s="17" t="str">
        <x:v>移除广告</x:v>
      </x:c>
      <x:c r="M4" s="17" t="str">
        <x:v>录屏未展示</x:v>
      </x:c>
      <x:c r="N4" s="17" t="str">
        <x:v>Ads Removal</x:v>
      </x:c>
      <x:c r="O4" s="17" t="str">
        <x:v>否</x:v>
      </x:c>
      <x:c r="P4" s="17" t="str">
        <x:v>无购买事件</x:v>
      </x:c>
      <x:c r="Q4" s="17" t="str">
        <x:v>无购买事件</x:v>
      </x:c>
      <x:c r="R4" s="18" t="str">
        <x:v>/Users/mac/Documents/智囊团/video_analysis/Top_Tycoon新号流程_20260804/frames/TT_NEW_03/TT_NEW_03_t000025.jpg</x:v>
      </x:c>
      <x:c r="S4" s="17" t="str">
        <x:v>已确认</x:v>
      </x:c>
      <x:c r="T4" s="17" t="str">
        <x:v>A</x:v>
      </x:c>
      <x:c r="U4" s="17" t="str">
        <x:v>只记录可见直给资源与权益，不折算总价值。</x:v>
      </x:c>
      <x:c r="V4" s="95" t="n">
        <x:f>IFERROR(G4/H4,"")</x:f>
        <x:v>0.3076923076923077</x:v>
      </x:c>
      <x:c r="W4" t="str">
        <x:f>IF(O4="是","可做购买前后窗","仅展示，不推断购买效果")</x:f>
        <x:v>仅展示，不推断购买效果</x:v>
      </x:c>
    </x:row>
    <x:row r="5">
      <x:c r="A5" s="17" t="str">
        <x:v>OFFER_004</x:v>
      </x:c>
      <x:c r="B5" s="17" t="str">
        <x:v>TT_NEW_03</x:v>
      </x:c>
      <x:c r="C5" s="17" t="str">
        <x:v>00:02:00</x:v>
      </x:c>
      <x:c r="D5" s="17" t="str">
        <x:v>offer_shown</x:v>
      </x:c>
      <x:c r="E5" s="17" t="str">
        <x:v>Champion's Pack</x:v>
      </x:c>
      <x:c r="F5" s="17" t="str">
        <x:v>HKD</x:v>
      </x:c>
      <x:c r="G5" s="94" t="n">
        <x:v>788</x:v>
      </x:c>
      <x:c r="H5" s="17" t="n">
        <x:v>3700</x:v>
      </x:c>
      <x:c r="I5" s="17" t="n">
        <x:v>1800000</x:v>
      </x:c>
      <x:c r="J5" s="17" t="str">
        <x:v>无其他可见内容</x:v>
      </x:c>
      <x:c r="K5" s="17" t="str">
        <x:v>录屏未展示</x:v>
      </x:c>
      <x:c r="L5" s="17" t="str">
        <x:v>无可见</x:v>
      </x:c>
      <x:c r="M5" s="17" t="str">
        <x:v>录屏未展示</x:v>
      </x:c>
      <x:c r="N5" s="17" t="str">
        <x:v>无可见</x:v>
      </x:c>
      <x:c r="O5" s="17" t="str">
        <x:v>否</x:v>
      </x:c>
      <x:c r="P5" s="17" t="str">
        <x:v>无购买事件</x:v>
      </x:c>
      <x:c r="Q5" s="17" t="str">
        <x:v>无购买事件</x:v>
      </x:c>
      <x:c r="R5" s="18" t="str">
        <x:v>/Users/mac/Documents/智囊团/video_analysis/Top_Tycoon新号流程_20260804/frames/TT_NEW_03/TT_NEW_03_t000120.jpg</x:v>
      </x:c>
      <x:c r="S5" s="17" t="str">
        <x:v>已确认</x:v>
      </x:c>
      <x:c r="T5" s="17" t="str">
        <x:v>A</x:v>
      </x:c>
      <x:c r="U5" s="17" t="str">
        <x:v>账号阶段/价格锚点与其他视频不可无条件合并。</x:v>
      </x:c>
      <x:c r="V5" s="95" t="n">
        <x:f>IFERROR(G5/H5,"")</x:f>
        <x:v>0.21297297297297296</x:v>
      </x:c>
      <x:c r="W5" t="str">
        <x:f>IF(O5="是","可做购买前后窗","仅展示，不推断购买效果")</x:f>
        <x:v>仅展示，不推断购买效果</x:v>
      </x:c>
    </x:row>
    <x:row r="6">
      <x:c r="A6" s="17" t="str">
        <x:v>OFFER_005</x:v>
      </x:c>
      <x:c r="B6" s="17" t="str">
        <x:v>TT_NEW_05</x:v>
      </x:c>
      <x:c r="C6" s="17" t="str">
        <x:v>00:02:04</x:v>
      </x:c>
      <x:c r="D6" s="17" t="str">
        <x:v>offer_shown</x:v>
      </x:c>
      <x:c r="E6" s="17" t="str">
        <x:v>Mission Pass</x:v>
      </x:c>
      <x:c r="F6" s="17" t="str">
        <x:v>HKD</x:v>
      </x:c>
      <x:c r="G6" s="94" t="n">
        <x:v>55.9</x:v>
      </x:c>
      <x:c r="H6" s="17" t="n">
        <x:v>7100</x:v>
      </x:c>
      <x:c r="I6" s="17" t="str">
        <x:v>录屏未展示</x:v>
      </x:c>
      <x:c r="J6" s="17" t="str">
        <x:v>通行证周期奖励</x:v>
      </x:c>
      <x:c r="K6" s="17" t="str">
        <x:v>是</x:v>
      </x:c>
      <x:c r="L6" s="17" t="str">
        <x:v>未知</x:v>
      </x:c>
      <x:c r="M6" s="17" t="str">
        <x:v>Beginner 权益页可见；购买因果未展示</x:v>
      </x:c>
      <x:c r="N6" s="17" t="str">
        <x:v>Mission Pass</x:v>
      </x:c>
      <x:c r="O6" s="17" t="str">
        <x:v>否</x:v>
      </x:c>
      <x:c r="P6" s="17" t="str">
        <x:v>无购买事件</x:v>
      </x:c>
      <x:c r="Q6" s="17" t="str">
        <x:v>无购买事件</x:v>
      </x:c>
      <x:c r="R6" s="18" t="str">
        <x:v>/Users/mac/Documents/智囊团/video_analysis/Top_Tycoon新号流程_20260804/frames/TT_NEW_05/TT_NEW_05_t000124.jpg</x:v>
      </x:c>
      <x:c r="S6" s="17" t="str">
        <x:v>已确认</x:v>
      </x:c>
      <x:c r="T6" s="17" t="str">
        <x:v>A</x:v>
      </x:c>
      <x:c r="U6" s="17" t="str">
        <x:v>同价标称能量高于 TT_NEW_03，疑似阶段/账号定价或奖励缩放；缺少匹配条件，只标样本差异。</x:v>
      </x:c>
      <x:c r="V6" s="95" t="n">
        <x:f>IFERROR(G6/H6,"")</x:f>
        <x:v>0.007873239436619718</x:v>
      </x:c>
      <x:c r="W6" t="str">
        <x:f>IF(O6="是","可做购买前后窗","仅展示，不推断购买效果")</x:f>
        <x:v>仅展示，不推断购买效果</x:v>
      </x:c>
    </x:row>
    <x:row r="7">
      <x:c r="A7" s="17" t="str">
        <x:v>OFFER_006</x:v>
      </x:c>
      <x:c r="B7" s="17" t="str">
        <x:v>TT_NEW_05</x:v>
      </x:c>
      <x:c r="C7" s="17" t="str">
        <x:v>00:02:04</x:v>
      </x:c>
      <x:c r="D7" s="17" t="str">
        <x:v>offer_shown</x:v>
      </x:c>
      <x:c r="E7" s="17" t="str">
        <x:v>Champion's Pack</x:v>
      </x:c>
      <x:c r="F7" s="17" t="str">
        <x:v>HKD</x:v>
      </x:c>
      <x:c r="G7" s="94" t="n">
        <x:v>788</x:v>
      </x:c>
      <x:c r="H7" s="17" t="n">
        <x:v>6600</x:v>
      </x:c>
      <x:c r="I7" s="17" t="n">
        <x:v>4100000</x:v>
      </x:c>
      <x:c r="J7" s="17" t="str">
        <x:v>100 票券</x:v>
      </x:c>
      <x:c r="K7" s="17" t="str">
        <x:v>录屏未展示</x:v>
      </x:c>
      <x:c r="L7" s="17" t="str">
        <x:v>无可见</x:v>
      </x:c>
      <x:c r="M7" s="17" t="str">
        <x:v>录屏未展示</x:v>
      </x:c>
      <x:c r="N7" s="17" t="str">
        <x:v>无可见</x:v>
      </x:c>
      <x:c r="O7" s="17" t="str">
        <x:v>否</x:v>
      </x:c>
      <x:c r="P7" s="17" t="str">
        <x:v>无购买事件</x:v>
      </x:c>
      <x:c r="Q7" s="17" t="str">
        <x:v>无购买事件</x:v>
      </x:c>
      <x:c r="R7" s="18" t="str">
        <x:v>/Users/mac/Documents/智囊团/video_analysis/Top_Tycoon新号流程_20260804/frames/TT_NEW_05/TT_NEW_05_t000124.jpg</x:v>
      </x:c>
      <x:c r="S7" s="17" t="str">
        <x:v>已确认</x:v>
      </x:c>
      <x:c r="T7" s="17" t="str">
        <x:v>A</x:v>
      </x:c>
      <x:c r="U7" s="17" t="str">
        <x:v>混合资源礼包，未建立金币/能量兑换锚点。</x:v>
      </x:c>
      <x:c r="V7" s="95" t="n">
        <x:f>IFERROR(G7/H7,"")</x:f>
        <x:v>0.1193939393939394</x:v>
      </x:c>
      <x:c r="W7" t="str">
        <x:f>IF(O7="是","可做购买前后窗","仅展示，不推断购买效果")</x:f>
        <x:v>仅展示，不推断购买效果</x:v>
      </x:c>
    </x:row>
    <x:row r="8">
      <x:c r="A8" s="17" t="str">
        <x:v>OFFER_007</x:v>
      </x:c>
      <x:c r="B8" s="17" t="str">
        <x:v>TT_NEW_03</x:v>
      </x:c>
      <x:c r="C8" s="17" t="str">
        <x:v>00:24:25</x:v>
      </x:c>
      <x:c r="D8" s="17" t="str">
        <x:v>offer_shown</x:v>
      </x:c>
      <x:c r="E8" s="17" t="str">
        <x:v>Boxing Pass</x:v>
      </x:c>
      <x:c r="F8" s="17" t="str">
        <x:v>HKD</x:v>
      </x:c>
      <x:c r="G8" s="94" t="n">
        <x:v>40</x:v>
      </x:c>
      <x:c r="H8" s="17" t="n">
        <x:v>940</x:v>
      </x:c>
      <x:c r="I8" s="17" t="str">
        <x:v>含分层金币奖励；总量录屏未完整展示</x:v>
      </x:c>
      <x:c r="J8" s="17" t="str">
        <x:v>解锁付费奖励轨</x:v>
      </x:c>
      <x:c r="K8" s="17" t="str">
        <x:v>2d12h</x:v>
      </x:c>
      <x:c r="L8" s="17" t="str">
        <x:v>无可见</x:v>
      </x:c>
      <x:c r="M8" s="17" t="str">
        <x:v>录屏未展示</x:v>
      </x:c>
      <x:c r="N8" s="17" t="str">
        <x:v>Boxing Pass 付费轨</x:v>
      </x:c>
      <x:c r="O8" s="17" t="str">
        <x:v>否</x:v>
      </x:c>
      <x:c r="P8" s="17" t="str">
        <x:v>无购买事件</x:v>
      </x:c>
      <x:c r="Q8" s="17" t="str">
        <x:v>无购买事件</x:v>
      </x:c>
      <x:c r="R8" s="18" t="str">
        <x:v>/Users/mac/Documents/智囊团/video_analysis/Top_Tycoon新号流程_20260804/frames/TT_NEW_03/TT_NEW_03_t001465.jpg</x:v>
      </x:c>
      <x:c r="S8" s="17" t="str">
        <x:v>已确认</x:v>
      </x:c>
      <x:c r="T8" s="17" t="str">
        <x:v>A</x:v>
      </x:c>
      <x:c r="U8" s="17" t="str">
        <x:v>940 为界面 TOTAL 标称；不等于即时直给。</x:v>
      </x:c>
      <x:c r="V8" s="95" t="n">
        <x:f>IFERROR(G8/H8,"")</x:f>
        <x:v>0.0425531914893617</x:v>
      </x:c>
      <x:c r="W8" t="str">
        <x:f>IF(O8="是","可做购买前后窗","仅展示，不推断购买效果")</x:f>
        <x:v>仅展示，不推断购买效果</x:v>
      </x:c>
    </x:row>
    <x:row r="9">
      <x:c r="A9" s="17" t="str">
        <x:v>OFFER_008</x:v>
      </x:c>
      <x:c r="B9" s="17" t="str">
        <x:v>TT_NEW_05</x:v>
      </x:c>
      <x:c r="C9" s="17" t="str">
        <x:v>00:24:05</x:v>
      </x:c>
      <x:c r="D9" s="17" t="str">
        <x:v>offer_shown</x:v>
      </x:c>
      <x:c r="E9" s="17" t="str">
        <x:v>Prize Carnival Step 1</x:v>
      </x:c>
      <x:c r="F9" s="17" t="str">
        <x:v>HKD</x:v>
      </x:c>
      <x:c r="G9" s="94" t="n">
        <x:v>40</x:v>
      </x:c>
      <x:c r="H9" s="17" t="n">
        <x:v>660</x:v>
      </x:c>
      <x:c r="I9" s="17" t="n">
        <x:v>1200000</x:v>
      </x:c>
      <x:c r="J9" s="17" t="str">
        <x:v>4 卡包</x:v>
      </x:c>
      <x:c r="K9" s="17" t="str">
        <x:v>15h49m</x:v>
      </x:c>
      <x:c r="L9" s="17" t="str">
        <x:v>无可见</x:v>
      </x:c>
      <x:c r="M9" s="17" t="str">
        <x:v>录屏未展示</x:v>
      </x:c>
      <x:c r="N9" s="17" t="str">
        <x:v>解锁后续 Step 2/3</x:v>
      </x:c>
      <x:c r="O9" s="17" t="str">
        <x:v>否</x:v>
      </x:c>
      <x:c r="P9" s="17" t="str">
        <x:v>无购买事件</x:v>
      </x:c>
      <x:c r="Q9" s="17" t="str">
        <x:v>无购买事件</x:v>
      </x:c>
      <x:c r="R9" s="18" t="str">
        <x:v>/Users/mac/Documents/智囊团/video_analysis/Top_Tycoon新号流程_20260804/frames/TT_NEW_05/TT_NEW_05_t001445.jpg</x:v>
      </x:c>
      <x:c r="S9" s="17" t="str">
        <x:v>已确认</x:v>
      </x:c>
      <x:c r="T9" s="17" t="str">
        <x:v>A</x:v>
      </x:c>
      <x:c r="U9" s="17" t="str">
        <x:v>后两档同价但需顺序解锁；未观察购买。</x:v>
      </x:c>
      <x:c r="V9" s="95" t="n">
        <x:f>IFERROR(G9/H9,"")</x:f>
        <x:v>0.06060606060606061</x:v>
      </x:c>
      <x:c r="W9" t="str">
        <x:f>IF(O9="是","可做购买前后窗","仅展示，不推断购买效果")</x:f>
        <x:v>仅展示，不推断购买效果</x:v>
      </x:c>
    </x:row>
    <x:row r="10">
      <x:c r="A10" s="17" t="str">
        <x:v>OFFER_009</x:v>
      </x:c>
      <x:c r="B10" s="17" t="str">
        <x:v>TT_NEW_05</x:v>
      </x:c>
      <x:c r="C10" s="17" t="str">
        <x:v>00:24:05</x:v>
      </x:c>
      <x:c r="D10" s="17" t="str">
        <x:v>locked_offer_shown</x:v>
      </x:c>
      <x:c r="E10" s="17" t="str">
        <x:v>Prize Carnival Step 2</x:v>
      </x:c>
      <x:c r="F10" s="17" t="str">
        <x:v>HKD</x:v>
      </x:c>
      <x:c r="G10" s="94" t="n">
        <x:v>40</x:v>
      </x:c>
      <x:c r="H10" s="17" t="n">
        <x:v>1400</x:v>
      </x:c>
      <x:c r="I10" s="17" t="n">
        <x:v>2600000</x:v>
      </x:c>
      <x:c r="J10" s="17" t="str">
        <x:v>6 卡包；标注 100% MORE</x:v>
      </x:c>
      <x:c r="K10" s="17" t="str">
        <x:v>15h49m</x:v>
      </x:c>
      <x:c r="L10" s="17" t="str">
        <x:v>无可见</x:v>
      </x:c>
      <x:c r="M10" s="17" t="str">
        <x:v>录屏未展示</x:v>
      </x:c>
      <x:c r="N10" s="17" t="str">
        <x:v>需先购买/解锁 Step 1</x:v>
      </x:c>
      <x:c r="O10" s="17" t="str">
        <x:v>否</x:v>
      </x:c>
      <x:c r="P10" s="17" t="str">
        <x:v>无购买事件</x:v>
      </x:c>
      <x:c r="Q10" s="17" t="str">
        <x:v>无购买事件</x:v>
      </x:c>
      <x:c r="R10" s="18" t="str">
        <x:v>/Users/mac/Documents/智囊团/video_analysis/Top_Tycoon新号流程_20260804/frames/TT_NEW_05/TT_NEW_05_t001445.jpg</x:v>
      </x:c>
      <x:c r="S10" s="17" t="str">
        <x:v>已确认</x:v>
      </x:c>
      <x:c r="T10" s="17" t="str">
        <x:v>A</x:v>
      </x:c>
      <x:c r="U10" s="17" t="str">
        <x:v>锁定态展示，不代表可直接购买。</x:v>
      </x:c>
      <x:c r="V10" s="95" t="n">
        <x:f>IFERROR(G10/H10,"")</x:f>
        <x:v>0.02857142857142857</x:v>
      </x:c>
      <x:c r="W10" t="str">
        <x:f>IF(O10="是","可做购买前后窗","仅展示，不推断购买效果")</x:f>
        <x:v>仅展示，不推断购买效果</x:v>
      </x:c>
    </x:row>
    <x:row r="11">
      <x:c r="A11" s="17" t="str">
        <x:v>OFFER_010</x:v>
      </x:c>
      <x:c r="B11" s="17" t="str">
        <x:v>TT_NEW_05</x:v>
      </x:c>
      <x:c r="C11" s="17" t="str">
        <x:v>00:24:05</x:v>
      </x:c>
      <x:c r="D11" s="17" t="str">
        <x:v>locked_offer_shown</x:v>
      </x:c>
      <x:c r="E11" s="17" t="str">
        <x:v>Prize Carnival Step 3</x:v>
      </x:c>
      <x:c r="F11" s="17" t="str">
        <x:v>HKD</x:v>
      </x:c>
      <x:c r="G11" s="94" t="n">
        <x:v>40</x:v>
      </x:c>
      <x:c r="H11" s="17" t="n">
        <x:v>1900</x:v>
      </x:c>
      <x:c r="I11" s="17" t="n">
        <x:v>3500000</x:v>
      </x:c>
      <x:c r="J11" s="17" t="str">
        <x:v>宝箱；标注 150% MORE</x:v>
      </x:c>
      <x:c r="K11" s="17" t="str">
        <x:v>15h49m</x:v>
      </x:c>
      <x:c r="L11" s="17" t="str">
        <x:v>无可见</x:v>
      </x:c>
      <x:c r="M11" s="17" t="str">
        <x:v>录屏未展示</x:v>
      </x:c>
      <x:c r="N11" s="17" t="str">
        <x:v>需先购买/解锁 Step 1/2</x:v>
      </x:c>
      <x:c r="O11" s="17" t="str">
        <x:v>否</x:v>
      </x:c>
      <x:c r="P11" s="17" t="str">
        <x:v>无购买事件</x:v>
      </x:c>
      <x:c r="Q11" s="17" t="str">
        <x:v>无购买事件</x:v>
      </x:c>
      <x:c r="R11" s="18" t="str">
        <x:v>/Users/mac/Documents/智囊团/video_analysis/Top_Tycoon新号流程_20260804/frames/TT_NEW_05/TT_NEW_05_t001445.jpg</x:v>
      </x:c>
      <x:c r="S11" s="17" t="str">
        <x:v>已确认</x:v>
      </x:c>
      <x:c r="T11" s="17" t="str">
        <x:v>A</x:v>
      </x:c>
      <x:c r="U11" s="17" t="str">
        <x:v>锁定态展示，不代表可直接购买。</x:v>
      </x:c>
      <x:c r="V11" s="95" t="n">
        <x:f>IFERROR(G11/H11,"")</x:f>
        <x:v>0.021052631578947368</x:v>
      </x:c>
      <x:c r="W11" t="str">
        <x:f>IF(O11="是","可做购买前后窗","仅展示，不推断购买效果")</x:f>
        <x:v>仅展示，不推断购买效果</x:v>
      </x:c>
    </x:row>
  </x:sheetData>
  <x:conditionalFormatting sqref="W2:W11">
    <x:cfRule type="containsText" dxfId="2" priority="1" operator="containsText" text="仅展示"/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24" hidden="0" customWidth="1"/>
    <x:col min="9" max="9" width="24" hidden="0" customWidth="1"/>
    <x:col min="10" max="10" width="68" hidden="0" customWidth="1"/>
  </x:cols>
  <x:sheetData>
    <x:row r="1" ht="36" customHeight="1">
      <x:c r="A1" s="24" t="str">
        <x:v>等价美金锚点｜输入待确认，公式先行</x:v>
      </x:c>
      <x:c r="B1" s="24" t="str">
        <x:v>等价美金锚点｜输入待确认，公式先行</x:v>
      </x:c>
      <x:c r="C1" s="24" t="str">
        <x:v>等价美金锚点｜输入待确认，公式先行</x:v>
      </x:c>
      <x:c r="D1" s="24" t="str">
        <x:v>等价美金锚点｜输入待确认，公式先行</x:v>
      </x:c>
      <x:c r="E1" s="24" t="str">
        <x:v>等价美金锚点｜输入待确认，公式先行</x:v>
      </x:c>
      <x:c r="F1" s="24" t="str">
        <x:v>等价美金锚点｜输入待确认，公式先行</x:v>
      </x:c>
      <x:c r="G1" s="24" t="str">
        <x:v>等价美金锚点｜输入待确认，公式先行</x:v>
      </x:c>
      <x:c r="H1" s="24" t="str">
        <x:v>等价美金锚点｜输入待确认，公式先行</x:v>
      </x:c>
      <x:c r="I1" s="24" t="str">
        <x:v>等价美金锚点｜输入待确认，公式先行</x:v>
      </x:c>
      <x:c r="J1" s="24" t="str">
        <x:v>等价美金锚点｜输入待确认，公式先行</x:v>
      </x:c>
    </x:row>
    <x:row r="3" ht="30" customHeight="1">
      <x:c r="A3" s="35" t="str">
        <x:v>输入</x:v>
      </x:c>
      <x:c r="B3" s="36" t="str">
        <x:v>值</x:v>
      </x:c>
      <x:c r="C3" s="37" t="str">
        <x:v>状态</x:v>
      </x:c>
    </x:row>
    <x:row r="4">
      <x:c r="A4" t="str">
        <x:v>HKD/USD</x:v>
      </x:c>
      <x:c r="B4" s="97" t="n">
        <x:v>7.8</x:v>
      </x:c>
      <x:c r="C4" t="str">
        <x:v>待业务确认</x:v>
      </x:c>
    </x:row>
    <x:row r="5">
      <x:c r="A5" t="str">
        <x:v>选定 USD/能量</x:v>
      </x:c>
      <x:c r="B5" s="97"/>
      <x:c r="C5" t="str">
        <x:v>待业务确认</x:v>
      </x:c>
    </x:row>
    <x:row r="6">
      <x:c r="A6" t="str">
        <x:v>选定 USD/金币</x:v>
      </x:c>
      <x:c r="B6" s="97"/>
      <x:c r="C6" t="str">
        <x:v>待业务确认</x:v>
      </x:c>
    </x:row>
    <x:row r="8" ht="30" customHeight="1">
      <x:c r="A8" s="35" t="str">
        <x:v>Offer</x:v>
      </x:c>
      <x:c r="B8" s="36" t="str">
        <x:v>价格 HKD</x:v>
      </x:c>
      <x:c r="C8" s="36" t="str">
        <x:v>价格 USD</x:v>
      </x:c>
      <x:c r="D8" s="36" t="str">
        <x:v>可见能量</x:v>
      </x:c>
      <x:c r="E8" s="36" t="str">
        <x:v>可见金币</x:v>
      </x:c>
      <x:c r="F8" s="36" t="str">
        <x:v>USD/能量</x:v>
      </x:c>
      <x:c r="G8" s="36" t="str">
        <x:v>USD/金币</x:v>
      </x:c>
      <x:c r="H8" s="36" t="str">
        <x:v>结构</x:v>
      </x:c>
      <x:c r="I8" s="36" t="str">
        <x:v>能否作直给锚点</x:v>
      </x:c>
      <x:c r="J8" s="37" t="str">
        <x:v>证据</x:v>
      </x:c>
    </x:row>
    <x:row r="9">
      <x:c r="A9" t="str">
        <x:f>'付费展示'!E2</x:f>
        <x:v>Chapter Prize</x:v>
      </x:c>
      <x:c r="B9" s="98" t="n">
        <x:f>'付费展示'!G2</x:f>
        <x:v>40</x:v>
      </x:c>
      <x:c r="C9" s="98" t="n">
        <x:f>IFERROR(B9/$B$4,"")</x:f>
        <x:v>5.128205128205129</x:v>
      </x:c>
      <x:c r="D9" s="99" t="n">
        <x:f>'付费展示'!H2</x:f>
        <x:v>2060</x:v>
      </x:c>
      <x:c r="E9" s="99" t="str">
        <x:f>IF(ISNUMBER('付费展示'!I2),'付费展示'!I2,"")</x:f>
      </x:c>
      <x:c r="F9" s="100" t="n">
        <x:f>IFERROR(C9/D9,"")</x:f>
        <x:v>0.002489419965148121</x:v>
      </x:c>
      <x:c r="G9" s="100" t="str">
        <x:f>IFERROR(C9/E9,"")</x:f>
      </x:c>
      <x:c r="H9" t="str">
        <x:v>Up to</x:v>
      </x:c>
      <x:c r="I9" t="str">
        <x:f>IF(OR(H9="Up to",H9="通行证 Up to",H9="TOTAL/付费轨"),"不可直接采纳","待业务确认")</x:f>
        <x:v>不可直接采纳</x:v>
      </x:c>
      <x:c r="J9" t="str">
        <x:f>'付费展示'!R2</x:f>
        <x:v>/Users/mac/Documents/智囊团/video_analysis/Top_Tycoon新号流程_20260804/frames/TT_NEW_03/TT_NEW_03_t000025.jpg</x:v>
      </x:c>
    </x:row>
    <x:row r="10">
      <x:c r="A10" t="str">
        <x:f>'付费展示'!E3</x:f>
        <x:v>Mission Pass</x:v>
      </x:c>
      <x:c r="B10" s="98" t="n">
        <x:f>'付费展示'!G3</x:f>
        <x:v>55.9</x:v>
      </x:c>
      <x:c r="C10" s="98" t="n">
        <x:f>IFERROR(B10/$B$4,"")</x:f>
        <x:v>7.166666666666667</x:v>
      </x:c>
      <x:c r="D10" s="99" t="n">
        <x:f>'付费展示'!H3</x:f>
        <x:v>4000</x:v>
      </x:c>
      <x:c r="E10" s="99" t="str">
        <x:f>IF(ISNUMBER('付费展示'!I3),'付费展示'!I3,"")</x:f>
      </x:c>
      <x:c r="F10" s="100" t="n">
        <x:f>IFERROR(C10/D10,"")</x:f>
        <x:v>0.0017916666666666667</x:v>
      </x:c>
      <x:c r="G10" s="100" t="str">
        <x:f>IFERROR(C10/E10,"")</x:f>
      </x:c>
      <x:c r="H10" t="str">
        <x:v>通行证 Up to</x:v>
      </x:c>
      <x:c r="I10" t="str">
        <x:f>IF(OR(H10="Up to",H10="通行证 Up to",H10="TOTAL/付费轨"),"不可直接采纳","待业务确认")</x:f>
        <x:v>不可直接采纳</x:v>
      </x:c>
      <x:c r="J10" t="str">
        <x:f>'付费展示'!R3</x:f>
        <x:v>/Users/mac/Documents/智囊团/video_analysis/Top_Tycoon新号流程_20260804/frames/TT_NEW_03/TT_NEW_03_t000025.jpg</x:v>
      </x:c>
    </x:row>
    <x:row r="11">
      <x:c r="A11" t="str">
        <x:f>'付费展示'!E4</x:f>
        <x:v>Ads Removal Pack</x:v>
      </x:c>
      <x:c r="B11" s="98" t="n">
        <x:f>'付费展示'!G4</x:f>
        <x:v>40</x:v>
      </x:c>
      <x:c r="C11" s="98" t="n">
        <x:f>IFERROR(B11/$B$4,"")</x:f>
        <x:v>5.128205128205129</x:v>
      </x:c>
      <x:c r="D11" s="99" t="n">
        <x:f>'付费展示'!H4</x:f>
        <x:v>130</x:v>
      </x:c>
      <x:c r="E11" s="99" t="n">
        <x:f>IF(ISNUMBER('付费展示'!I4),'付费展示'!I4,"")</x:f>
        <x:v>60000</x:v>
      </x:c>
      <x:c r="F11" s="100" t="n">
        <x:f>IFERROR(C11/D11,"")</x:f>
        <x:v>0.03944773175542406</x:v>
      </x:c>
      <x:c r="G11" s="100" t="n">
        <x:f>IFERROR(C11/E11,"")</x:f>
        <x:v>0.00008547008547008548</x:v>
      </x:c>
      <x:c r="H11" t="str">
        <x:v>权益+能量+金币</x:v>
      </x:c>
      <x:c r="I11" t="str">
        <x:f>IF(OR(H11="Up to",H11="通行证 Up to",H11="TOTAL/付费轨"),"不可直接采纳","待业务确认")</x:f>
        <x:v>待业务确认</x:v>
      </x:c>
      <x:c r="J11" t="str">
        <x:f>'付费展示'!R4</x:f>
        <x:v>/Users/mac/Documents/智囊团/video_analysis/Top_Tycoon新号流程_20260804/frames/TT_NEW_03/TT_NEW_03_t000025.jpg</x:v>
      </x:c>
    </x:row>
    <x:row r="12">
      <x:c r="A12" t="str">
        <x:f>'付费展示'!E5</x:f>
        <x:v>Champion's Pack</x:v>
      </x:c>
      <x:c r="B12" s="98" t="n">
        <x:f>'付费展示'!G5</x:f>
        <x:v>788</x:v>
      </x:c>
      <x:c r="C12" s="98" t="n">
        <x:f>IFERROR(B12/$B$4,"")</x:f>
        <x:v>101.02564102564102</x:v>
      </x:c>
      <x:c r="D12" s="99" t="n">
        <x:f>'付费展示'!H5</x:f>
        <x:v>3700</x:v>
      </x:c>
      <x:c r="E12" s="99" t="n">
        <x:f>IF(ISNUMBER('付费展示'!I5),'付费展示'!I5,"")</x:f>
        <x:v>1800000</x:v>
      </x:c>
      <x:c r="F12" s="100" t="n">
        <x:f>IFERROR(C12/D12,"")</x:f>
        <x:v>0.027304227304227303</x:v>
      </x:c>
      <x:c r="G12" s="100" t="n">
        <x:f>IFERROR(C12/E12,"")</x:f>
        <x:v>0.00005612535612535612</x:v>
      </x:c>
      <x:c r="H12" t="str">
        <x:v>能量+金币</x:v>
      </x:c>
      <x:c r="I12" t="str">
        <x:f>IF(OR(H12="Up to",H12="通行证 Up to",H12="TOTAL/付费轨"),"不可直接采纳","待业务确认")</x:f>
        <x:v>待业务确认</x:v>
      </x:c>
      <x:c r="J12" t="str">
        <x:f>'付费展示'!R5</x:f>
        <x:v>/Users/mac/Documents/智囊团/video_analysis/Top_Tycoon新号流程_20260804/frames/TT_NEW_03/TT_NEW_03_t000120.jpg</x:v>
      </x:c>
    </x:row>
    <x:row r="13">
      <x:c r="A13" t="str">
        <x:f>'付费展示'!E6</x:f>
        <x:v>Mission Pass</x:v>
      </x:c>
      <x:c r="B13" s="98" t="n">
        <x:f>'付费展示'!G6</x:f>
        <x:v>55.9</x:v>
      </x:c>
      <x:c r="C13" s="98" t="n">
        <x:f>IFERROR(B13/$B$4,"")</x:f>
        <x:v>7.166666666666667</x:v>
      </x:c>
      <x:c r="D13" s="99" t="n">
        <x:f>'付费展示'!H6</x:f>
        <x:v>7100</x:v>
      </x:c>
      <x:c r="E13" s="99" t="str">
        <x:f>IF(ISNUMBER('付费展示'!I6),'付费展示'!I6,"")</x:f>
      </x:c>
      <x:c r="F13" s="100" t="n">
        <x:f>IFERROR(C13/D13,"")</x:f>
        <x:v>0.0010093896713615025</x:v>
      </x:c>
      <x:c r="G13" s="100" t="str">
        <x:f>IFERROR(C13/E13,"")</x:f>
      </x:c>
      <x:c r="H13" t="str">
        <x:v>通行证 Up to</x:v>
      </x:c>
      <x:c r="I13" t="str">
        <x:f>IF(OR(H13="Up to",H13="通行证 Up to",H13="TOTAL/付费轨"),"不可直接采纳","待业务确认")</x:f>
        <x:v>不可直接采纳</x:v>
      </x:c>
      <x:c r="J13" t="str">
        <x:f>'付费展示'!R6</x:f>
        <x:v>/Users/mac/Documents/智囊团/video_analysis/Top_Tycoon新号流程_20260804/frames/TT_NEW_05/TT_NEW_05_t000124.jpg</x:v>
      </x:c>
    </x:row>
    <x:row r="14">
      <x:c r="A14" t="str">
        <x:f>'付费展示'!E7</x:f>
        <x:v>Champion's Pack</x:v>
      </x:c>
      <x:c r="B14" s="98" t="n">
        <x:f>'付费展示'!G7</x:f>
        <x:v>788</x:v>
      </x:c>
      <x:c r="C14" s="98" t="n">
        <x:f>IFERROR(B14/$B$4,"")</x:f>
        <x:v>101.02564102564102</x:v>
      </x:c>
      <x:c r="D14" s="99" t="n">
        <x:f>'付费展示'!H7</x:f>
        <x:v>6600</x:v>
      </x:c>
      <x:c r="E14" s="99" t="n">
        <x:f>IF(ISNUMBER('付费展示'!I7),'付费展示'!I7,"")</x:f>
        <x:v>4100000</x:v>
      </x:c>
      <x:c r="F14" s="100" t="n">
        <x:f>IFERROR(C14/D14,"")</x:f>
        <x:v>0.015306915306915306</x:v>
      </x:c>
      <x:c r="G14" s="100" t="n">
        <x:f>IFERROR(C14/E14,"")</x:f>
        <x:v>0.000024640400250156346</x:v>
      </x:c>
      <x:c r="H14" t="str">
        <x:v>能量+金币+票券</x:v>
      </x:c>
      <x:c r="I14" t="str">
        <x:f>IF(OR(H14="Up to",H14="通行证 Up to",H14="TOTAL/付费轨"),"不可直接采纳","待业务确认")</x:f>
        <x:v>待业务确认</x:v>
      </x:c>
      <x:c r="J14" t="str">
        <x:f>'付费展示'!R7</x:f>
        <x:v>/Users/mac/Documents/智囊团/video_analysis/Top_Tycoon新号流程_20260804/frames/TT_NEW_05/TT_NEW_05_t000124.jpg</x:v>
      </x:c>
    </x:row>
    <x:row r="15">
      <x:c r="A15" t="str">
        <x:f>'付费展示'!E8</x:f>
        <x:v>Boxing Pass</x:v>
      </x:c>
      <x:c r="B15" s="98" t="n">
        <x:f>'付费展示'!G8</x:f>
        <x:v>40</x:v>
      </x:c>
      <x:c r="C15" s="98" t="n">
        <x:f>IFERROR(B15/$B$4,"")</x:f>
        <x:v>5.128205128205129</x:v>
      </x:c>
      <x:c r="D15" s="99" t="n">
        <x:f>'付费展示'!H8</x:f>
        <x:v>940</x:v>
      </x:c>
      <x:c r="E15" s="99" t="str">
        <x:f>IF(ISNUMBER('付费展示'!I8),'付费展示'!I8,"")</x:f>
      </x:c>
      <x:c r="F15" s="100" t="n">
        <x:f>IFERROR(C15/D15,"")</x:f>
        <x:v>0.005455537370430988</x:v>
      </x:c>
      <x:c r="G15" s="100" t="str">
        <x:f>IFERROR(C15/E15,"")</x:f>
      </x:c>
      <x:c r="H15" t="str">
        <x:v>TOTAL/付费轨</x:v>
      </x:c>
      <x:c r="I15" t="str">
        <x:f>IF(OR(H15="Up to",H15="通行证 Up to",H15="TOTAL/付费轨"),"不可直接采纳","待业务确认")</x:f>
        <x:v>不可直接采纳</x:v>
      </x:c>
      <x:c r="J15" t="str">
        <x:f>'付费展示'!R8</x:f>
        <x:v>/Users/mac/Documents/智囊团/video_analysis/Top_Tycoon新号流程_20260804/frames/TT_NEW_03/TT_NEW_03_t001465.jpg</x:v>
      </x:c>
    </x:row>
    <x:row r="16">
      <x:c r="A16" t="str">
        <x:f>'付费展示'!E9</x:f>
        <x:v>Prize Carnival Step 1</x:v>
      </x:c>
      <x:c r="B16" s="98" t="n">
        <x:f>'付费展示'!G9</x:f>
        <x:v>40</x:v>
      </x:c>
      <x:c r="C16" s="98" t="n">
        <x:f>IFERROR(B16/$B$4,"")</x:f>
        <x:v>5.128205128205129</x:v>
      </x:c>
      <x:c r="D16" s="99" t="n">
        <x:f>'付费展示'!H9</x:f>
        <x:v>660</x:v>
      </x:c>
      <x:c r="E16" s="99" t="n">
        <x:f>IF(ISNUMBER('付费展示'!I9),'付费展示'!I9,"")</x:f>
        <x:v>1200000</x:v>
      </x:c>
      <x:c r="F16" s="100" t="n">
        <x:f>IFERROR(C16/D16,"")</x:f>
        <x:v>0.007770007770007771</x:v>
      </x:c>
      <x:c r="G16" s="100" t="n">
        <x:f>IFERROR(C16/E16,"")</x:f>
        <x:v>0.000004273504273504274</x:v>
      </x:c>
      <x:c r="H16" t="str">
        <x:v>混合资源</x:v>
      </x:c>
      <x:c r="I16" t="str">
        <x:f>IF(OR(H16="Up to",H16="通行证 Up to",H16="TOTAL/付费轨"),"不可直接采纳","待业务确认")</x:f>
        <x:v>待业务确认</x:v>
      </x:c>
      <x:c r="J16" t="str">
        <x:f>'付费展示'!R9</x:f>
        <x:v>/Users/mac/Documents/智囊团/video_analysis/Top_Tycoon新号流程_20260804/frames/TT_NEW_05/TT_NEW_05_t001445.jpg</x:v>
      </x:c>
    </x:row>
    <x:row r="17">
      <x:c r="A17" t="str">
        <x:f>'付费展示'!E10</x:f>
        <x:v>Prize Carnival Step 2</x:v>
      </x:c>
      <x:c r="B17" s="98" t="n">
        <x:f>'付费展示'!G10</x:f>
        <x:v>40</x:v>
      </x:c>
      <x:c r="C17" s="98" t="n">
        <x:f>IFERROR(B17/$B$4,"")</x:f>
        <x:v>5.128205128205129</x:v>
      </x:c>
      <x:c r="D17" s="99" t="n">
        <x:f>'付费展示'!H10</x:f>
        <x:v>1400</x:v>
      </x:c>
      <x:c r="E17" s="99" t="n">
        <x:f>IF(ISNUMBER('付费展示'!I10),'付费展示'!I10,"")</x:f>
        <x:v>2600000</x:v>
      </x:c>
      <x:c r="F17" s="100" t="n">
        <x:f>IFERROR(C17/D17,"")</x:f>
        <x:v>0.0036630036630036634</x:v>
      </x:c>
      <x:c r="G17" s="100" t="n">
        <x:f>IFERROR(C17/E17,"")</x:f>
        <x:v>0.0000019723865877712033</x:v>
      </x:c>
      <x:c r="H17" t="str">
        <x:v>锁定混合资源</x:v>
      </x:c>
      <x:c r="I17" t="str">
        <x:f>IF(OR(H17="Up to",H17="通行证 Up to",H17="TOTAL/付费轨"),"不可直接采纳","待业务确认")</x:f>
        <x:v>待业务确认</x:v>
      </x:c>
      <x:c r="J17" t="str">
        <x:f>'付费展示'!R10</x:f>
        <x:v>/Users/mac/Documents/智囊团/video_analysis/Top_Tycoon新号流程_20260804/frames/TT_NEW_05/TT_NEW_05_t001445.jpg</x:v>
      </x:c>
    </x:row>
    <x:row r="18">
      <x:c r="A18" t="str">
        <x:f>'付费展示'!E11</x:f>
        <x:v>Prize Carnival Step 3</x:v>
      </x:c>
      <x:c r="B18" s="98" t="n">
        <x:f>'付费展示'!G11</x:f>
        <x:v>40</x:v>
      </x:c>
      <x:c r="C18" s="98" t="n">
        <x:f>IFERROR(B18/$B$4,"")</x:f>
        <x:v>5.128205128205129</x:v>
      </x:c>
      <x:c r="D18" s="99" t="n">
        <x:f>'付费展示'!H11</x:f>
        <x:v>1900</x:v>
      </x:c>
      <x:c r="E18" s="99" t="n">
        <x:f>IF(ISNUMBER('付费展示'!I11),'付费展示'!I11,"")</x:f>
        <x:v>3500000</x:v>
      </x:c>
      <x:c r="F18" s="100" t="n">
        <x:f>IFERROR(C18/D18,"")</x:f>
        <x:v>0.0026990553306342783</x:v>
      </x:c>
      <x:c r="G18" s="100" t="n">
        <x:f>IFERROR(C18/E18,"")</x:f>
        <x:v>0.0000014652014652014654</x:v>
      </x:c>
      <x:c r="H18" t="str">
        <x:v>锁定混合资源</x:v>
      </x:c>
      <x:c r="I18" t="str">
        <x:f>IF(OR(H18="Up to",H18="通行证 Up to",H18="TOTAL/付费轨"),"不可直接采纳","待业务确认")</x:f>
        <x:v>待业务确认</x:v>
      </x:c>
      <x:c r="J18" t="str">
        <x:f>'付费展示'!R11</x:f>
        <x:v>/Users/mac/Documents/智囊团/video_analysis/Top_Tycoon新号流程_20260804/frames/TT_NEW_05/TT_NEW_05_t001445.jpg</x:v>
      </x:c>
    </x:row>
    <x:row r="20">
      <x:c r="A20" s="66" t="str">
        <x:v>等价美金返还 = USD 等价产出 ÷ USD 等价消耗。只有当能量与金币锚点均经业务确认后，跨资源返还率才会显示。</x:v>
      </x:c>
      <x:c r="B20" s="67"/>
      <x:c r="C20" s="67"/>
      <x:c r="D20" s="67"/>
      <x:c r="E20" s="67"/>
      <x:c r="F20" s="67"/>
      <x:c r="G20" s="67"/>
      <x:c r="H20" s="67"/>
      <x:c r="I20" s="67"/>
      <x:c r="J20" s="68"/>
    </x:row>
    <x:row r="21">
      <x:c r="A21" s="69" t="str">
        <x:v>HKD/USD=7.8 是工作假设；不是实时汇率，也不是确认的财务口径。</x:v>
      </x:c>
      <x:c r="B21" s="70"/>
      <x:c r="C21" s="70"/>
      <x:c r="D21" s="70"/>
      <x:c r="E21" s="70"/>
      <x:c r="F21" s="70"/>
      <x:c r="G21" s="70"/>
      <x:c r="H21" s="70"/>
      <x:c r="I21" s="70"/>
      <x:c r="J21" s="71"/>
    </x:row>
    <x:row r="22">
      <x:c r="A22" s="69" t="str">
        <x:v>Up to、TOTAL、锁定礼包和权益混合包不能直接当直给单价。候选列只用于暴露量级与锚点冲突。</x:v>
      </x:c>
      <x:c r="B22" s="70"/>
      <x:c r="C22" s="70"/>
      <x:c r="D22" s="70"/>
      <x:c r="E22" s="70"/>
      <x:c r="F22" s="70"/>
      <x:c r="G22" s="70"/>
      <x:c r="H22" s="70"/>
      <x:c r="I22" s="70"/>
      <x:c r="J22" s="71"/>
    </x:row>
    <x:row r="23">
      <x:c r="A23" s="72" t="str">
        <x:v>在锚点未确认前，正式结论只使用能量/能量、金币/能量、进度/金币等原生口径。</x:v>
      </x:c>
      <x:c r="B23" s="73"/>
      <x:c r="C23" s="73"/>
      <x:c r="D23" s="73"/>
      <x:c r="E23" s="73"/>
      <x:c r="F23" s="73"/>
      <x:c r="G23" s="73"/>
      <x:c r="H23" s="73"/>
      <x:c r="I23" s="73"/>
      <x:c r="J23" s="74"/>
    </x:row>
  </x:sheetData>
  <x:mergeCells>
    <x:mergeCell ref="A1:J1"/>
    <x:mergeCell ref="A20:J20"/>
    <x:mergeCell ref="A21:J21"/>
    <x:mergeCell ref="A22:J22"/>
    <x:mergeCell ref="A23:J23"/>
  </x:mergeCells>
  <x:conditionalFormatting sqref="I9:I18">
    <x:cfRule type="containsText" dxfId="3" priority="1" operator="containsText" text="不可"/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6" hidden="0" customWidth="1"/>
    <x:col min="3" max="3" width="16" hidden="0" customWidth="1"/>
    <x:col min="4" max="4" width="2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 ht="36" customHeight="1">
      <x:c r="A1" s="24" t="str">
        <x:v>模块返还｜原生单位保留，USD 口径受锚点门控</x:v>
      </x:c>
      <x:c r="B1" s="24" t="str">
        <x:v>模块返还｜原生单位保留，USD 口径受锚点门控</x:v>
      </x:c>
      <x:c r="C1" s="24" t="str">
        <x:v>模块返还｜原生单位保留，USD 口径受锚点门控</x:v>
      </x:c>
      <x:c r="D1" s="24" t="str">
        <x:v>模块返还｜原生单位保留，USD 口径受锚点门控</x:v>
      </x:c>
      <x:c r="E1" s="24" t="str">
        <x:v>模块返还｜原生单位保留，USD 口径受锚点门控</x:v>
      </x:c>
      <x:c r="F1" s="24" t="str">
        <x:v>模块返还｜原生单位保留，USD 口径受锚点门控</x:v>
      </x:c>
      <x:c r="G1" s="24" t="str">
        <x:v>模块返还｜原生单位保留，USD 口径受锚点门控</x:v>
      </x:c>
      <x:c r="H1" s="24" t="str">
        <x:v>模块返还｜原生单位保留，USD 口径受锚点门控</x:v>
      </x:c>
      <x:c r="I1" s="24" t="str">
        <x:v>模块返还｜原生单位保留，USD 口径受锚点门控</x:v>
      </x:c>
      <x:c r="J1" s="24" t="str">
        <x:v>模块返还｜原生单位保留，USD 口径受锚点门控</x:v>
      </x:c>
      <x:c r="K1" s="24" t="str">
        <x:v>模块返还｜原生单位保留，USD 口径受锚点门控</x:v>
      </x:c>
      <x:c r="L1" s="24" t="str">
        <x:v>模块返还｜原生单位保留，USD 口径受锚点门控</x:v>
      </x:c>
      <x:c r="M1" s="24" t="str">
        <x:v>模块返还｜原生单位保留，USD 口径受锚点门控</x:v>
      </x:c>
    </x:row>
    <x:row r="3" ht="30" customHeight="1">
      <x:c r="A3" s="35" t="str">
        <x:v>成长段</x:v>
      </x:c>
      <x:c r="B3" s="36" t="str">
        <x:v>累计付费档</x:v>
      </x:c>
      <x:c r="C3" s="36" t="str">
        <x:v>模块</x:v>
      </x:c>
      <x:c r="D3" s="36" t="str">
        <x:v>切片/区域</x:v>
      </x:c>
      <x:c r="E3" s="36" t="str">
        <x:v>消耗单位</x:v>
      </x:c>
      <x:c r="F3" s="36" t="str">
        <x:v>原生消耗</x:v>
      </x:c>
      <x:c r="G3" s="36" t="str">
        <x:v>返还单位</x:v>
      </x:c>
      <x:c r="H3" s="36" t="str">
        <x:v>原生返还</x:v>
      </x:c>
      <x:c r="I3" s="36" t="str">
        <x:v>原生返还率</x:v>
      </x:c>
      <x:c r="J3" s="36" t="str">
        <x:v>USD消耗</x:v>
      </x:c>
      <x:c r="K3" s="36" t="str">
        <x:v>USD返还</x:v>
      </x:c>
      <x:c r="L3" s="36" t="str">
        <x:v>USD等价返还率</x:v>
      </x:c>
      <x:c r="M3" s="37" t="str">
        <x:v>状态</x:v>
      </x:c>
    </x:row>
    <x:row r="4">
      <x:c r="A4" t="str">
        <x:v>新手/前期</x:v>
      </x:c>
      <x:c r="B4" t="str">
        <x:v>未知</x:v>
      </x:c>
      <x:c r="C4" t="str">
        <x:v>Slot</x:v>
      </x:c>
      <x:c r="D4" t="str">
        <x:v>TT_NEW_01 x1</x:v>
      </x:c>
      <x:c r="E4" t="str">
        <x:v>能量</x:v>
      </x:c>
      <x:c r="F4" s="84" t="n">
        <x:f>'奖励表'!D4</x:f>
        <x:v>1</x:v>
      </x:c>
      <x:c r="G4" t="str">
        <x:f>"能量+金币（分列）"</x:f>
        <x:v>能量+金币（分列）</x:v>
      </x:c>
      <x:c r="H4" s="84" t="n">
        <x:f>'奖励表'!H4</x:f>
        <x:v>0.7954545454545454</x:v>
      </x:c>
      <x:c r="I4" s="101" t="n">
        <x:f>'奖励表'!I4</x:f>
        <x:v>0.7954545454545454</x:v>
      </x:c>
      <x:c r="J4" s="84" t="str">
        <x:f>IF(ISNUMBER('等价美金锚点'!$B$5),F4*'等价美金锚点'!$B$5,"")</x:f>
      </x:c>
      <x:c r="K4" s="84" t="str">
        <x:f>IF(AND(ISNUMBER('等价美金锚点'!$B$5),ISNUMBER('等价美金锚点'!$B$6)),H4*'等价美金锚点'!$B$5+'奖励表'!F4*'等价美金锚点'!$B$6,"")</x:f>
      </x:c>
      <x:c r="L4" s="38" t="str">
        <x:f>IF(AND(ISNUMBER(J4),ISNUMBER(K4),J4&gt;0),K4/J4,"待确认")</x:f>
        <x:v>待确认</x:v>
      </x:c>
      <x:c r="M4" t="str">
        <x:f>IF(L4="待确认","待业务确认锚点","推算")</x:f>
        <x:v>待业务确认锚点</x:v>
      </x:c>
    </x:row>
    <x:row r="5">
      <x:c r="A5" t="str">
        <x:v>前期至中期</x:v>
      </x:c>
      <x:c r="B5" t="str">
        <x:v>未知</x:v>
      </x:c>
      <x:c r="C5" t="str">
        <x:v>Slot</x:v>
      </x:c>
      <x:c r="D5" t="str">
        <x:v>TT_NEW_03 x5</x:v>
      </x:c>
      <x:c r="E5" t="str">
        <x:v>能量</x:v>
      </x:c>
      <x:c r="F5" s="84" t="n">
        <x:f>'奖励表'!D5</x:f>
        <x:v>5</x:v>
      </x:c>
      <x:c r="G5" t="str">
        <x:f>"能量+金币（分列）"</x:f>
        <x:v>能量+金币（分列）</x:v>
      </x:c>
      <x:c r="H5" s="84" t="n">
        <x:f>'奖励表'!H5</x:f>
        <x:v>23.58823529411765</x:v>
      </x:c>
      <x:c r="I5" s="101" t="n">
        <x:f>'奖励表'!I5</x:f>
        <x:v>4.7176470588235295</x:v>
      </x:c>
      <x:c r="J5" s="84" t="str">
        <x:f>IF(ISNUMBER('等价美金锚点'!$B$5),F5*'等价美金锚点'!$B$5,"")</x:f>
      </x:c>
      <x:c r="K5" s="84" t="str">
        <x:f>IF(AND(ISNUMBER('等价美金锚点'!$B$5),ISNUMBER('等价美金锚点'!$B$6)),H5*'等价美金锚点'!$B$5+'奖励表'!F5*'等价美金锚点'!$B$6,"")</x:f>
      </x:c>
      <x:c r="L5" s="38" t="str">
        <x:f>IF(AND(ISNUMBER(J5),ISNUMBER(K5),J5&gt;0),K5/J5,"待确认")</x:f>
        <x:v>待确认</x:v>
      </x:c>
      <x:c r="M5" t="str">
        <x:f>IF(L5="待确认","待业务确认锚点","推算")</x:f>
        <x:v>待业务确认锚点</x:v>
      </x:c>
    </x:row>
    <x:row r="6">
      <x:c r="A6" t="str">
        <x:v>前期至中期</x:v>
      </x:c>
      <x:c r="B6" t="str">
        <x:v>未知</x:v>
      </x:c>
      <x:c r="C6" t="str">
        <x:v>Slot</x:v>
      </x:c>
      <x:c r="D6" t="str">
        <x:v>TT_NEW_03 x10</x:v>
      </x:c>
      <x:c r="E6" t="str">
        <x:v>能量</x:v>
      </x:c>
      <x:c r="F6" s="84" t="n">
        <x:f>'奖励表'!D6</x:f>
        <x:v>10</x:v>
      </x:c>
      <x:c r="G6" t="str">
        <x:f>"能量+金币（分列）"</x:f>
        <x:v>能量+金币（分列）</x:v>
      </x:c>
      <x:c r="H6" s="84" t="n">
        <x:f>'奖励表'!H6</x:f>
        <x:v>0.9583333333333334</x:v>
      </x:c>
      <x:c r="I6" s="101" t="n">
        <x:f>'奖励表'!I6</x:f>
        <x:v>0.09583333333333334</x:v>
      </x:c>
      <x:c r="J6" s="84" t="str">
        <x:f>IF(ISNUMBER('等价美金锚点'!$B$5),F6*'等价美金锚点'!$B$5,"")</x:f>
      </x:c>
      <x:c r="K6" s="84" t="str">
        <x:f>IF(AND(ISNUMBER('等价美金锚点'!$B$5),ISNUMBER('等价美金锚点'!$B$6)),H6*'等价美金锚点'!$B$5+'奖励表'!F6*'等价美金锚点'!$B$6,"")</x:f>
      </x:c>
      <x:c r="L6" s="38" t="str">
        <x:f>IF(AND(ISNUMBER(J6),ISNUMBER(K6),J6&gt;0),K6/J6,"待确认")</x:f>
        <x:v>待确认</x:v>
      </x:c>
      <x:c r="M6" t="str">
        <x:f>IF(L6="待确认","待业务确认锚点","推算")</x:f>
        <x:v>待业务确认锚点</x:v>
      </x:c>
    </x:row>
    <x:row r="7">
      <x:c r="A7" t="str">
        <x:v>前期至中期</x:v>
      </x:c>
      <x:c r="B7" t="str">
        <x:v>未知</x:v>
      </x:c>
      <x:c r="C7" t="str">
        <x:v>Slot</x:v>
      </x:c>
      <x:c r="D7" t="str">
        <x:v>TT_NEW_03 x20</x:v>
      </x:c>
      <x:c r="E7" t="str">
        <x:v>能量</x:v>
      </x:c>
      <x:c r="F7" s="84" t="n">
        <x:f>'奖励表'!D7</x:f>
        <x:v>20</x:v>
      </x:c>
      <x:c r="G7" t="str">
        <x:f>"能量+金币（分列）"</x:f>
        <x:v>能量+金币（分列）</x:v>
      </x:c>
      <x:c r="H7" s="84" t="n">
        <x:f>'奖励表'!H7</x:f>
        <x:v>13.333333333333334</x:v>
      </x:c>
      <x:c r="I7" s="101" t="n">
        <x:f>'奖励表'!I7</x:f>
        <x:v>0.6666666666666666</x:v>
      </x:c>
      <x:c r="J7" s="84" t="str">
        <x:f>IF(ISNUMBER('等价美金锚点'!$B$5),F7*'等价美金锚点'!$B$5,"")</x:f>
      </x:c>
      <x:c r="K7" s="84" t="str">
        <x:f>IF(AND(ISNUMBER('等价美金锚点'!$B$5),ISNUMBER('等价美金锚点'!$B$6)),H7*'等价美金锚点'!$B$5+'奖励表'!F7*'等价美金锚点'!$B$6,"")</x:f>
      </x:c>
      <x:c r="L7" s="38" t="str">
        <x:f>IF(AND(ISNUMBER(J7),ISNUMBER(K7),J7&gt;0),K7/J7,"待确认")</x:f>
        <x:v>待确认</x:v>
      </x:c>
      <x:c r="M7" t="str">
        <x:f>IF(L7="待确认","待业务确认锚点","推算")</x:f>
        <x:v>待业务确认锚点</x:v>
      </x:c>
    </x:row>
    <x:row r="8">
      <x:c r="A8" t="str">
        <x:v>前期</x:v>
      </x:c>
      <x:c r="B8" t="str">
        <x:v>未知</x:v>
      </x:c>
      <x:c r="C8" t="str">
        <x:v>Slot</x:v>
      </x:c>
      <x:c r="D8" t="str">
        <x:v>TT_NEW_06 x2</x:v>
      </x:c>
      <x:c r="E8" t="str">
        <x:v>能量</x:v>
      </x:c>
      <x:c r="F8" s="84" t="n">
        <x:f>'奖励表'!D8</x:f>
        <x:v>2</x:v>
      </x:c>
      <x:c r="G8" t="str">
        <x:f>"能量+金币（分列）"</x:f>
        <x:v>能量+金币（分列）</x:v>
      </x:c>
      <x:c r="H8" s="84" t="n">
        <x:f>'奖励表'!H8</x:f>
        <x:v>6.666666666666667</x:v>
      </x:c>
      <x:c r="I8" s="101" t="n">
        <x:f>'奖励表'!I8</x:f>
        <x:v>3.3333333333333335</x:v>
      </x:c>
      <x:c r="J8" s="84" t="str">
        <x:f>IF(ISNUMBER('等价美金锚点'!$B$5),F8*'等价美金锚点'!$B$5,"")</x:f>
      </x:c>
      <x:c r="K8" s="84" t="str">
        <x:f>IF(AND(ISNUMBER('等价美金锚点'!$B$5),ISNUMBER('等价美金锚点'!$B$6)),H8*'等价美金锚点'!$B$5+'奖励表'!F8*'等价美金锚点'!$B$6,"")</x:f>
      </x:c>
      <x:c r="L8" s="38" t="str">
        <x:f>IF(AND(ISNUMBER(J8),ISNUMBER(K8),J8&gt;0),K8/J8,"待确认")</x:f>
        <x:v>待确认</x:v>
      </x:c>
      <x:c r="M8" t="str">
        <x:f>IF(L8="待确认","待业务确认锚点","推算")</x:f>
        <x:v>待业务确认锚点</x:v>
      </x:c>
    </x:row>
    <x:row r="9">
      <x:c r="A9" t="str">
        <x:v>前期</x:v>
      </x:c>
      <x:c r="B9" t="str">
        <x:v>未知</x:v>
      </x:c>
      <x:c r="C9" t="str">
        <x:v>Slot</x:v>
      </x:c>
      <x:c r="D9" t="str">
        <x:v>TT_NEW_06 x5</x:v>
      </x:c>
      <x:c r="E9" t="str">
        <x:v>能量</x:v>
      </x:c>
      <x:c r="F9" s="84" t="n">
        <x:f>'奖励表'!D9</x:f>
        <x:v>5</x:v>
      </x:c>
      <x:c r="G9" t="str">
        <x:f>"能量+金币（分列）"</x:f>
        <x:v>能量+金币（分列）</x:v>
      </x:c>
      <x:c r="H9" s="84" t="n">
        <x:f>'奖励表'!H9</x:f>
        <x:v>25.333333333333332</x:v>
      </x:c>
      <x:c r="I9" s="101" t="n">
        <x:f>'奖励表'!I9</x:f>
        <x:v>5.066666666666666</x:v>
      </x:c>
      <x:c r="J9" s="84" t="str">
        <x:f>IF(ISNUMBER('等价美金锚点'!$B$5),F9*'等价美金锚点'!$B$5,"")</x:f>
      </x:c>
      <x:c r="K9" s="84" t="str">
        <x:f>IF(AND(ISNUMBER('等价美金锚点'!$B$5),ISNUMBER('等价美金锚点'!$B$6)),H9*'等价美金锚点'!$B$5+'奖励表'!F9*'等价美金锚点'!$B$6,"")</x:f>
      </x:c>
      <x:c r="L9" s="38" t="str">
        <x:f>IF(AND(ISNUMBER(J9),ISNUMBER(K9),J9&gt;0),K9/J9,"待确认")</x:f>
        <x:v>待确认</x:v>
      </x:c>
      <x:c r="M9" t="str">
        <x:f>IF(L9="待确认","待业务确认锚点","推算")</x:f>
        <x:v>待业务确认锚点</x:v>
      </x:c>
    </x:row>
    <x:row r="10">
      <x:c r="A10" t="str">
        <x:v>多阶段/见视频</x:v>
      </x:c>
      <x:c r="B10" t="str">
        <x:v>未知</x:v>
      </x:c>
      <x:c r="C10" t="str">
        <x:v>建造</x:v>
      </x:c>
      <x:c r="D10" t="str">
        <x:v>Apex Rush</x:v>
      </x:c>
      <x:c r="E10" t="str">
        <x:v>金币</x:v>
      </x:c>
      <x:c r="F10" s="84" t="n">
        <x:f>'建造曲线'!D4</x:f>
        <x:v>708149</x:v>
      </x:c>
      <x:c r="G10" t="str">
        <x:f>"区域进度"</x:f>
        <x:v>区域进度</x:v>
      </x:c>
      <x:c r="H10" s="84" t="n">
        <x:f>'建造曲线'!E4</x:f>
        <x:v>15000</x:v>
      </x:c>
      <x:c r="I10" s="101" t="n">
        <x:f>IFERROR(H10/F10,"")</x:f>
        <x:v>0.02118198288778209</x:v>
      </x:c>
      <x:c r="J10" s="84" t="str">
        <x:f>IF(ISNUMBER('等价美金锚点'!$B$6),F10*'等价美金锚点'!$B$6,"")</x:f>
      </x:c>
      <x:c r="K10" s="84" t="str">
        <x:f>""</x:f>
      </x:c>
      <x:c r="L10" s="38" t="str">
        <x:f>"待确认"</x:f>
        <x:v>待确认</x:v>
      </x:c>
      <x:c r="M10" t="str">
        <x:f>"进度缺USD锚点"</x:f>
        <x:v>进度缺USD锚点</x:v>
      </x:c>
    </x:row>
    <x:row r="11">
      <x:c r="A11" t="str">
        <x:v>多阶段/见视频</x:v>
      </x:c>
      <x:c r="B11" t="str">
        <x:v>未知</x:v>
      </x:c>
      <x:c r="C11" t="str">
        <x:v>建造</x:v>
      </x:c>
      <x:c r="D11" t="str">
        <x:v>Circus Mirage</x:v>
      </x:c>
      <x:c r="E11" t="str">
        <x:v>金币</x:v>
      </x:c>
      <x:c r="F11" s="84" t="n">
        <x:f>'建造曲线'!D5</x:f>
        <x:v>3140811</x:v>
      </x:c>
      <x:c r="G11" t="str">
        <x:f>"区域进度"</x:f>
        <x:v>区域进度</x:v>
      </x:c>
      <x:c r="H11" s="84" t="n">
        <x:f>'建造曲线'!E5</x:f>
        <x:v>38000</x:v>
      </x:c>
      <x:c r="I11" s="101" t="n">
        <x:f>IFERROR(H11/F11,"")</x:f>
        <x:v>0.012098785950507687</x:v>
      </x:c>
      <x:c r="J11" s="84" t="str">
        <x:f>IF(ISNUMBER('等价美金锚点'!$B$6),F11*'等价美金锚点'!$B$6,"")</x:f>
      </x:c>
      <x:c r="K11" s="84" t="str">
        <x:f>""</x:f>
      </x:c>
      <x:c r="L11" s="38" t="str">
        <x:f>"待确认"</x:f>
        <x:v>待确认</x:v>
      </x:c>
      <x:c r="M11" t="str">
        <x:f>"进度缺USD锚点"</x:f>
        <x:v>进度缺USD锚点</x:v>
      </x:c>
    </x:row>
    <x:row r="12">
      <x:c r="A12" t="str">
        <x:v>多阶段/见视频</x:v>
      </x:c>
      <x:c r="B12" t="str">
        <x:v>未知</x:v>
      </x:c>
      <x:c r="C12" t="str">
        <x:v>建造</x:v>
      </x:c>
      <x:c r="D12" t="str">
        <x:v>Emerald Trail</x:v>
      </x:c>
      <x:c r="E12" t="str">
        <x:v>金币</x:v>
      </x:c>
      <x:c r="F12" s="84" t="n">
        <x:f>'建造曲线'!D6</x:f>
        <x:v>8926385</x:v>
      </x:c>
      <x:c r="G12" t="str">
        <x:f>"区域进度"</x:f>
        <x:v>区域进度</x:v>
      </x:c>
      <x:c r="H12" s="84" t="n">
        <x:f>'建造曲线'!E6</x:f>
        <x:v>5000</x:v>
      </x:c>
      <x:c r="I12" s="101" t="n">
        <x:f>IFERROR(H12/F12,"")</x:f>
        <x:v>0.0005601371663893054</x:v>
      </x:c>
      <x:c r="J12" s="84" t="str">
        <x:f>IF(ISNUMBER('等价美金锚点'!$B$6),F12*'等价美金锚点'!$B$6,"")</x:f>
      </x:c>
      <x:c r="K12" s="84" t="str">
        <x:f>""</x:f>
      </x:c>
      <x:c r="L12" s="38" t="str">
        <x:f>"待确认"</x:f>
        <x:v>待确认</x:v>
      </x:c>
      <x:c r="M12" t="str">
        <x:f>"进度缺USD锚点"</x:f>
        <x:v>进度缺USD锚点</x:v>
      </x:c>
    </x:row>
    <x:row r="13">
      <x:c r="A13" t="str">
        <x:v>多阶段/见视频</x:v>
      </x:c>
      <x:c r="B13" t="str">
        <x:v>未知</x:v>
      </x:c>
      <x:c r="C13" t="str">
        <x:v>建造</x:v>
      </x:c>
      <x:c r="D13" t="str">
        <x:v>Epic Splash</x:v>
      </x:c>
      <x:c r="E13" t="str">
        <x:v>金币</x:v>
      </x:c>
      <x:c r="F13" s="84" t="n">
        <x:f>'建造曲线'!D7</x:f>
        <x:v>1102558</x:v>
      </x:c>
      <x:c r="G13" t="str">
        <x:f>"区域进度"</x:f>
        <x:v>区域进度</x:v>
      </x:c>
      <x:c r="H13" s="84" t="n">
        <x:f>'建造曲线'!E7</x:f>
        <x:v>18000</x:v>
      </x:c>
      <x:c r="I13" s="101" t="n">
        <x:f>IFERROR(H13/F13,"")</x:f>
        <x:v>0.016325671756043672</x:v>
      </x:c>
      <x:c r="J13" s="84" t="str">
        <x:f>IF(ISNUMBER('等价美金锚点'!$B$6),F13*'等价美金锚点'!$B$6,"")</x:f>
      </x:c>
      <x:c r="K13" s="84" t="str">
        <x:f>""</x:f>
      </x:c>
      <x:c r="L13" s="38" t="str">
        <x:f>"待确认"</x:f>
        <x:v>待确认</x:v>
      </x:c>
      <x:c r="M13" t="str">
        <x:f>"进度缺USD锚点"</x:f>
        <x:v>进度缺USD锚点</x:v>
      </x:c>
    </x:row>
    <x:row r="14">
      <x:c r="A14" t="str">
        <x:v>多阶段/见视频</x:v>
      </x:c>
      <x:c r="B14" t="str">
        <x:v>未知</x:v>
      </x:c>
      <x:c r="C14" t="str">
        <x:v>建造</x:v>
      </x:c>
      <x:c r="D14" t="str">
        <x:v>Fable Haven</x:v>
      </x:c>
      <x:c r="E14" t="str">
        <x:v>金币</x:v>
      </x:c>
      <x:c r="F14" s="84" t="n">
        <x:f>'建造曲线'!D8</x:f>
        <x:v>2704763</x:v>
      </x:c>
      <x:c r="G14" t="str">
        <x:f>"区域进度"</x:f>
        <x:v>区域进度</x:v>
      </x:c>
      <x:c r="H14" s="84" t="n">
        <x:f>'建造曲线'!E8</x:f>
        <x:v>28000</x:v>
      </x:c>
      <x:c r="I14" s="101" t="n">
        <x:f>IFERROR(H14/F14,"")</x:f>
        <x:v>0.010352108484181423</x:v>
      </x:c>
      <x:c r="J14" s="84" t="str">
        <x:f>IF(ISNUMBER('等价美金锚点'!$B$6),F14*'等价美金锚点'!$B$6,"")</x:f>
      </x:c>
      <x:c r="K14" s="84" t="str">
        <x:f>""</x:f>
      </x:c>
      <x:c r="L14" s="38" t="str">
        <x:f>"待确认"</x:f>
        <x:v>待确认</x:v>
      </x:c>
      <x:c r="M14" t="str">
        <x:f>"进度缺USD锚点"</x:f>
        <x:v>进度缺USD锚点</x:v>
      </x:c>
    </x:row>
    <x:row r="15">
      <x:c r="A15" t="str">
        <x:v>多阶段/见视频</x:v>
      </x:c>
      <x:c r="B15" t="str">
        <x:v>未知</x:v>
      </x:c>
      <x:c r="C15" t="str">
        <x:v>建造</x:v>
      </x:c>
      <x:c r="D15" t="str">
        <x:v>Freefall</x:v>
      </x:c>
      <x:c r="E15" t="str">
        <x:v>金币</x:v>
      </x:c>
      <x:c r="F15" s="84" t="n">
        <x:f>'建造曲线'!D9</x:f>
        <x:v>1261</x:v>
      </x:c>
      <x:c r="G15" t="str">
        <x:f>"区域进度"</x:f>
        <x:v>区域进度</x:v>
      </x:c>
      <x:c r="H15" s="84" t="n">
        <x:f>'建造曲线'!E9</x:f>
        <x:v>11000</x:v>
      </x:c>
      <x:c r="I15" s="101" t="n">
        <x:f>IFERROR(H15/F15,"")</x:f>
        <x:v>8.723235527359238</x:v>
      </x:c>
      <x:c r="J15" s="84" t="str">
        <x:f>IF(ISNUMBER('等价美金锚点'!$B$6),F15*'等价美金锚点'!$B$6,"")</x:f>
      </x:c>
      <x:c r="K15" s="84" t="str">
        <x:f>""</x:f>
      </x:c>
      <x:c r="L15" s="38" t="str">
        <x:f>"待确认"</x:f>
        <x:v>待确认</x:v>
      </x:c>
      <x:c r="M15" t="str">
        <x:f>"进度缺USD锚点"</x:f>
        <x:v>进度缺USD锚点</x:v>
      </x:c>
    </x:row>
    <x:row r="16">
      <x:c r="A16" t="str">
        <x:v>多阶段/见视频</x:v>
      </x:c>
      <x:c r="B16" t="str">
        <x:v>未知</x:v>
      </x:c>
      <x:c r="C16" t="str">
        <x:v>建造</x:v>
      </x:c>
      <x:c r="D16" t="str">
        <x:v>Natural Gas</x:v>
      </x:c>
      <x:c r="E16" t="str">
        <x:v>金币</x:v>
      </x:c>
      <x:c r="F16" s="84" t="n">
        <x:f>'建造曲线'!D10</x:f>
        <x:v>6088003</x:v>
      </x:c>
      <x:c r="G16" t="str">
        <x:f>"区域进度"</x:f>
        <x:v>区域进度</x:v>
      </x:c>
      <x:c r="H16" s="84" t="n">
        <x:f>'建造曲线'!E10</x:f>
        <x:v>22000</x:v>
      </x:c>
      <x:c r="I16" s="101" t="n">
        <x:f>IFERROR(H16/F16,"")</x:f>
        <x:v>0.003613664447931448</x:v>
      </x:c>
      <x:c r="J16" s="84" t="str">
        <x:f>IF(ISNUMBER('等价美金锚点'!$B$6),F16*'等价美金锚点'!$B$6,"")</x:f>
      </x:c>
      <x:c r="K16" s="84" t="str">
        <x:f>""</x:f>
      </x:c>
      <x:c r="L16" s="38" t="str">
        <x:f>"待确认"</x:f>
        <x:v>待确认</x:v>
      </x:c>
      <x:c r="M16" t="str">
        <x:f>"进度缺USD锚点"</x:f>
        <x:v>进度缺USD锚点</x:v>
      </x:c>
    </x:row>
    <x:row r="17">
      <x:c r="A17" t="str">
        <x:v>多阶段/见视频</x:v>
      </x:c>
      <x:c r="B17" t="str">
        <x:v>未知</x:v>
      </x:c>
      <x:c r="C17" t="str">
        <x:v>建造</x:v>
      </x:c>
      <x:c r="D17" t="str">
        <x:v>Pixie Hollow</x:v>
      </x:c>
      <x:c r="E17" t="str">
        <x:v>金币</x:v>
      </x:c>
      <x:c r="F17" s="84" t="n">
        <x:f>'建造曲线'!D11</x:f>
        <x:v>451793</x:v>
      </x:c>
      <x:c r="G17" t="str">
        <x:f>"区域进度"</x:f>
        <x:v>区域进度</x:v>
      </x:c>
      <x:c r="H17" s="84" t="n">
        <x:f>'建造曲线'!E11</x:f>
        <x:v>2000</x:v>
      </x:c>
      <x:c r="I17" s="101" t="n">
        <x:f>IFERROR(H17/F17,"")</x:f>
        <x:v>0.004426806081546194</x:v>
      </x:c>
      <x:c r="J17" s="84" t="str">
        <x:f>IF(ISNUMBER('等价美金锚点'!$B$6),F17*'等价美金锚点'!$B$6,"")</x:f>
      </x:c>
      <x:c r="K17" s="84" t="str">
        <x:f>""</x:f>
      </x:c>
      <x:c r="L17" s="38" t="str">
        <x:f>"待确认"</x:f>
        <x:v>待确认</x:v>
      </x:c>
      <x:c r="M17" t="str">
        <x:f>"进度缺USD锚点"</x:f>
        <x:v>进度缺USD锚点</x:v>
      </x:c>
    </x:row>
    <x:row r="18">
      <x:c r="A18" t="str">
        <x:v>多阶段/见视频</x:v>
      </x:c>
      <x:c r="B18" t="str">
        <x:v>未知</x:v>
      </x:c>
      <x:c r="C18" t="str">
        <x:v>建造</x:v>
      </x:c>
      <x:c r="D18" t="str">
        <x:v>Port</x:v>
      </x:c>
      <x:c r="E18" t="str">
        <x:v>金币</x:v>
      </x:c>
      <x:c r="F18" s="84" t="n">
        <x:f>'建造曲线'!D12</x:f>
        <x:v>21828485</x:v>
      </x:c>
      <x:c r="G18" t="str">
        <x:f>"区域进度"</x:f>
        <x:v>区域进度</x:v>
      </x:c>
      <x:c r="H18" s="84" t="n">
        <x:f>'建造曲线'!E12</x:f>
        <x:v>56000</x:v>
      </x:c>
      <x:c r="I18" s="101" t="n">
        <x:f>IFERROR(H18/F18,"")</x:f>
        <x:v>0.0025654551839030515</x:v>
      </x:c>
      <x:c r="J18" s="84" t="str">
        <x:f>IF(ISNUMBER('等价美金锚点'!$B$6),F18*'等价美金锚点'!$B$6,"")</x:f>
      </x:c>
      <x:c r="K18" s="84" t="str">
        <x:f>""</x:f>
      </x:c>
      <x:c r="L18" s="38" t="str">
        <x:f>"待确认"</x:f>
        <x:v>待确认</x:v>
      </x:c>
      <x:c r="M18" t="str">
        <x:f>"进度缺USD锚点"</x:f>
        <x:v>进度缺USD锚点</x:v>
      </x:c>
    </x:row>
    <x:row r="19">
      <x:c r="A19" t="str">
        <x:v>多阶段/见视频</x:v>
      </x:c>
      <x:c r="B19" t="str">
        <x:v>未知</x:v>
      </x:c>
      <x:c r="C19" t="str">
        <x:v>建造</x:v>
      </x:c>
      <x:c r="D19" t="str">
        <x:v>Sewage Treatment</x:v>
      </x:c>
      <x:c r="E19" t="str">
        <x:v>金币</x:v>
      </x:c>
      <x:c r="F19" s="84" t="n">
        <x:f>'建造曲线'!D13</x:f>
        <x:v>6223622</x:v>
      </x:c>
      <x:c r="G19" t="str">
        <x:f>"区域进度"</x:f>
        <x:v>区域进度</x:v>
      </x:c>
      <x:c r="H19" s="84" t="n">
        <x:f>'建造曲线'!E13</x:f>
        <x:v>26000</x:v>
      </x:c>
      <x:c r="I19" s="101" t="n">
        <x:f>IFERROR(H19/F19,"")</x:f>
        <x:v>0.004177631610660159</x:v>
      </x:c>
      <x:c r="J19" s="84" t="str">
        <x:f>IF(ISNUMBER('等价美金锚点'!$B$6),F19*'等价美金锚点'!$B$6,"")</x:f>
      </x:c>
      <x:c r="K19" s="84" t="str">
        <x:f>""</x:f>
      </x:c>
      <x:c r="L19" s="38" t="str">
        <x:f>"待确认"</x:f>
        <x:v>待确认</x:v>
      </x:c>
      <x:c r="M19" t="str">
        <x:f>"进度缺USD锚点"</x:f>
        <x:v>进度缺USD锚点</x:v>
      </x:c>
    </x:row>
    <x:row r="20">
      <x:c r="A20" t="str">
        <x:v>多阶段/见视频</x:v>
      </x:c>
      <x:c r="B20" t="str">
        <x:v>未知</x:v>
      </x:c>
      <x:c r="C20" t="str">
        <x:v>建造</x:v>
      </x:c>
      <x:c r="D20" t="str">
        <x:v>Sky Plunge</x:v>
      </x:c>
      <x:c r="E20" t="str">
        <x:v>金币</x:v>
      </x:c>
      <x:c r="F20" s="84" t="n">
        <x:f>'建造曲线'!D14</x:f>
        <x:v>1607649</x:v>
      </x:c>
      <x:c r="G20" t="str">
        <x:f>"区域进度"</x:f>
        <x:v>区域进度</x:v>
      </x:c>
      <x:c r="H20" s="84" t="n">
        <x:f>'建造曲线'!E14</x:f>
        <x:v>21800</x:v>
      </x:c>
      <x:c r="I20" s="101" t="n">
        <x:f>IFERROR(H20/F20,"")</x:f>
        <x:v>0.013560173893679528</x:v>
      </x:c>
      <x:c r="J20" s="84" t="str">
        <x:f>IF(ISNUMBER('等价美金锚点'!$B$6),F20*'等价美金锚点'!$B$6,"")</x:f>
      </x:c>
      <x:c r="K20" s="84" t="str">
        <x:f>""</x:f>
      </x:c>
      <x:c r="L20" s="38" t="str">
        <x:f>"待确认"</x:f>
        <x:v>待确认</x:v>
      </x:c>
      <x:c r="M20" t="str">
        <x:f>"进度缺USD锚点"</x:f>
        <x:v>进度缺USD锚点</x:v>
      </x:c>
    </x:row>
    <x:row r="21">
      <x:c r="A21" t="str">
        <x:v>多阶段/见视频</x:v>
      </x:c>
      <x:c r="B21" t="str">
        <x:v>未知</x:v>
      </x:c>
      <x:c r="C21" t="str">
        <x:v>建造</x:v>
      </x:c>
      <x:c r="D21" t="str">
        <x:v>Wind Farm</x:v>
      </x:c>
      <x:c r="E21" t="str">
        <x:v>金币</x:v>
      </x:c>
      <x:c r="F21" s="84" t="n">
        <x:f>'建造曲线'!D15</x:f>
        <x:v>22199727</x:v>
      </x:c>
      <x:c r="G21" t="str">
        <x:f>"区域进度"</x:f>
        <x:v>区域进度</x:v>
      </x:c>
      <x:c r="H21" s="84" t="n">
        <x:f>'建造曲线'!E15</x:f>
        <x:v>74000</x:v>
      </x:c>
      <x:c r="I21" s="101" t="n">
        <x:f>IFERROR(H21/F21,"")</x:f>
        <x:v>0.003333374324828409</x:v>
      </x:c>
      <x:c r="J21" s="84" t="str">
        <x:f>IF(ISNUMBER('等价美金锚点'!$B$6),F21*'等价美金锚点'!$B$6,"")</x:f>
      </x:c>
      <x:c r="K21" s="84" t="str">
        <x:f>""</x:f>
      </x:c>
      <x:c r="L21" s="38" t="str">
        <x:f>"待确认"</x:f>
        <x:v>待确认</x:v>
      </x:c>
      <x:c r="M21" t="str">
        <x:f>"进度缺USD锚点"</x:f>
        <x:v>进度缺USD锚点</x:v>
      </x:c>
    </x:row>
    <x:row r="22">
      <x:c r="A22" t="str">
        <x:v>较高成长段</x:v>
      </x:c>
      <x:c r="B22" t="str">
        <x:v>未知</x:v>
      </x:c>
      <x:c r="C22" t="str">
        <x:v>小游戏</x:v>
      </x:c>
      <x:c r="D22" t="str">
        <x:v>Strike Lucky</x:v>
      </x:c>
      <x:c r="E22" t="str">
        <x:v>1代币</x:v>
      </x:c>
      <x:c r="F22" s="84"/>
      <x:c r="G22" t="str">
        <x:v>可见奖励</x:v>
      </x:c>
      <x:c r="H22" s="84" t="str">
        <x:v>可见奖格</x:v>
      </x:c>
      <x:c r="I22" s="101"/>
      <x:c r="J22" s="84"/>
      <x:c r="K22" s="84"/>
      <x:c r="L22" s="38" t="str">
        <x:v>待确认</x:v>
      </x:c>
      <x:c r="M22" t="str">
        <x:v>完整局不足</x:v>
      </x:c>
    </x:row>
    <x:row r="23">
      <x:c r="A23" t="str">
        <x:v>较高成长段</x:v>
      </x:c>
      <x:c r="B23" t="str">
        <x:v>未知</x:v>
      </x:c>
      <x:c r="C23" t="str">
        <x:v>小游戏</x:v>
      </x:c>
      <x:c r="D23" t="str">
        <x:v>Whack a Pig</x:v>
      </x:c>
      <x:c r="E23" t="str">
        <x:v>1锤</x:v>
      </x:c>
      <x:c r="F23" s="84"/>
      <x:c r="G23" t="str">
        <x:v>可见奖励</x:v>
      </x:c>
      <x:c r="H23" s="84" t="str">
        <x:v>35/380/1500能量档</x:v>
      </x:c>
      <x:c r="I23" s="101"/>
      <x:c r="J23" s="84"/>
      <x:c r="K23" s="84"/>
      <x:c r="L23" s="38" t="str">
        <x:v>待确认</x:v>
      </x:c>
      <x:c r="M23" t="str">
        <x:v>成功率未知</x:v>
      </x:c>
    </x:row>
    <x:row r="24">
      <x:c r="A24" t="str">
        <x:v>前期至中期</x:v>
      </x:c>
      <x:c r="B24" t="str">
        <x:v>未知</x:v>
      </x:c>
      <x:c r="C24" t="str">
        <x:v>小游戏</x:v>
      </x:c>
      <x:c r="D24" t="str">
        <x:v>Jackpot三轨</x:v>
      </x:c>
      <x:c r="E24" t="str">
        <x:v>2/5/10门票</x:v>
      </x:c>
      <x:c r="F24" s="84"/>
      <x:c r="G24" t="str">
        <x:v>可见奖励</x:v>
      </x:c>
      <x:c r="H24" s="84" t="str">
        <x:v>60/360/1.3K能量</x:v>
      </x:c>
      <x:c r="I24" s="101"/>
      <x:c r="J24" s="84"/>
      <x:c r="K24" s="84"/>
      <x:c r="L24" s="38" t="str">
        <x:v>待确认</x:v>
      </x:c>
      <x:c r="M24" t="str">
        <x:v>命中率未知</x:v>
      </x:c>
    </x:row>
  </x:sheetData>
  <x:mergeCells>
    <x:mergeCell ref="A1:M1"/>
  </x:mergeCells>
  <x:conditionalFormatting sqref="M4:M24">
    <x:cfRule type="containsText" dxfId="4" priority="1" operator="containsText" text="待"/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48" hidden="0" customWidth="1"/>
  </x:cols>
  <x:sheetData>
    <x:row r="1" ht="36" customHeight="1">
      <x:c r="A1" s="24" t="str">
        <x:v>能量返还 ±10% 敏感性｜TT_NEW_01 x1 方向性示例</x:v>
      </x:c>
      <x:c r="B1" s="24" t="str">
        <x:v>能量返还 ±10% 敏感性｜TT_NEW_01 x1 方向性示例</x:v>
      </x:c>
      <x:c r="C1" s="24" t="str">
        <x:v>能量返还 ±10% 敏感性｜TT_NEW_01 x1 方向性示例</x:v>
      </x:c>
      <x:c r="D1" s="24" t="str">
        <x:v>能量返还 ±10% 敏感性｜TT_NEW_01 x1 方向性示例</x:v>
      </x:c>
      <x:c r="E1" s="24" t="str">
        <x:v>能量返还 ±10% 敏感性｜TT_NEW_01 x1 方向性示例</x:v>
      </x:c>
      <x:c r="F1" s="24" t="str">
        <x:v>能量返还 ±10% 敏感性｜TT_NEW_01 x1 方向性示例</x:v>
      </x:c>
      <x:c r="G1" s="24" t="str">
        <x:v>能量返还 ±10% 敏感性｜TT_NEW_01 x1 方向性示例</x:v>
      </x:c>
      <x:c r="H1" s="24" t="str">
        <x:v>能量返还 ±10% 敏感性｜TT_NEW_01 x1 方向性示例</x:v>
      </x:c>
    </x:row>
    <x:row r="3" ht="30" customHeight="1">
      <x:c r="A3" s="35" t="str">
        <x:v>能量返还调整</x:v>
      </x:c>
      <x:c r="B3" s="36" t="str">
        <x:v>均次返还</x:v>
      </x:c>
      <x:c r="C3" s="36" t="str">
        <x:v>观察 r</x:v>
      </x:c>
      <x:c r="D3" s="36" t="str">
        <x:v>理论 Spin 倍数</x:v>
      </x:c>
      <x:c r="E3" s="36" t="str">
        <x:v>公式方向性总 Spin</x:v>
      </x:c>
      <x:c r="F3" s="36" t="str">
        <x:v>蒙特卡洛均值</x:v>
      </x:c>
      <x:c r="G3" s="36" t="str">
        <x:v>触顶率</x:v>
      </x:c>
      <x:c r="H3" s="37" t="str">
        <x:v>解释</x:v>
      </x:c>
    </x:row>
    <x:row r="4">
      <x:c r="A4" s="102" t="n">
        <x:v>-0.1</x:v>
      </x:c>
      <x:c r="B4" s="84" t="n">
        <x:f>'循环模型'!$B$9*(1+A4)</x:f>
        <x:v>0.7159090909090909</x:v>
      </x:c>
      <x:c r="C4" s="84" t="n">
        <x:f>IFERROR(B4/'循环模型'!$B$8,0)</x:f>
        <x:v>0.7159090909090909</x:v>
      </x:c>
      <x:c r="D4" s="84" t="n">
        <x:f>IF(C4&lt;1,1/(1-C4),"不收敛")</x:f>
        <x:v>3.5200000000000005</x:v>
      </x:c>
      <x:c r="E4" s="84" t="n">
        <x:f>IF(ISNUMBER(D4),'循环模型'!$B$5/'循环模型'!$B$8*D4,"不收敛")</x:f>
        <x:v>176.00000000000003</x:v>
      </x:c>
      <x:c r="F4" s="84" t="n">
        <x:v>172.3471</x:v>
      </x:c>
      <x:c r="G4" s="38" t="n">
        <x:v>0</x:v>
      </x:c>
      <x:c r="H4" t="str">
        <x:v>小样本经验分布；仅作模型波动演示</x:v>
      </x:c>
    </x:row>
    <x:row r="5">
      <x:c r="A5" s="102" t="n">
        <x:v>0</x:v>
      </x:c>
      <x:c r="B5" s="84" t="n">
        <x:f>'循环模型'!$B$9*(1+A5)</x:f>
        <x:v>0.7954545454545454</x:v>
      </x:c>
      <x:c r="C5" s="84" t="n">
        <x:f>IFERROR(B5/'循环模型'!$B$8,0)</x:f>
        <x:v>0.7954545454545454</x:v>
      </x:c>
      <x:c r="D5" s="84" t="n">
        <x:f>IF(C5&lt;1,1/(1-C5),"不收敛")</x:f>
        <x:v>4.8888888888888875</x:v>
      </x:c>
      <x:c r="E5" s="84" t="n">
        <x:f>IF(ISNUMBER(D5),'循环模型'!$B$5/'循环模型'!$B$8*D5,"不收敛")</x:f>
        <x:v>244.44444444444437</x:v>
      </x:c>
      <x:c r="F5" s="84" t="n">
        <x:v>240.48</x:v>
      </x:c>
      <x:c r="G5" s="38" t="n">
        <x:v>0</x:v>
      </x:c>
      <x:c r="H5" t="str">
        <x:v>小样本经验分布；仅作模型波动演示</x:v>
      </x:c>
    </x:row>
    <x:row r="6">
      <x:c r="A6" s="102" t="n">
        <x:v>0.1</x:v>
      </x:c>
      <x:c r="B6" s="84" t="n">
        <x:f>'循环模型'!$B$9*(1+A6)</x:f>
        <x:v>0.875</x:v>
      </x:c>
      <x:c r="C6" s="84" t="n">
        <x:f>IFERROR(B6/'循环模型'!$B$8,0)</x:f>
        <x:v>0.875</x:v>
      </x:c>
      <x:c r="D6" s="84" t="n">
        <x:f>IF(C6&lt;1,1/(1-C6),"不收敛")</x:f>
        <x:v>8</x:v>
      </x:c>
      <x:c r="E6" s="84" t="n">
        <x:f>IF(ISNUMBER(D6),'循环模型'!$B$5/'循环模型'!$B$8*D6,"不收敛")</x:f>
        <x:v>400</x:v>
      </x:c>
      <x:c r="F6" s="84" t="n">
        <x:v>390.3715</x:v>
      </x:c>
      <x:c r="G6" s="38" t="n">
        <x:v>0.0012</x:v>
      </x:c>
      <x:c r="H6" t="str">
        <x:v>小样本经验分布；仅作模型波动演示</x:v>
      </x:c>
    </x:row>
    <x:row r="8">
      <x:c r="A8" s="66" t="str">
        <x:v>固定随机种子：20260804；10,000 次试验；初始能量 50；最大 5,000 Spin。</x:v>
      </x:c>
      <x:c r="B8" s="67"/>
      <x:c r="C8" s="67"/>
      <x:c r="D8" s="67"/>
      <x:c r="E8" s="67"/>
      <x:c r="F8" s="67"/>
      <x:c r="G8" s="67"/>
      <x:c r="H8" s="68"/>
    </x:row>
    <x:row r="9">
      <x:c r="A9" s="69" t="str">
        <x:v>基准模拟均值约 240.48 Spin，但这只是 44 个新手 x1 样本的经验重采样，不是总体续航预测。</x:v>
      </x:c>
      <x:c r="B9" s="70"/>
      <x:c r="C9" s="70"/>
      <x:c r="D9" s="70"/>
      <x:c r="E9" s="70"/>
      <x:c r="F9" s="70"/>
      <x:c r="G9" s="70"/>
      <x:c r="H9" s="71"/>
    </x:row>
    <x:row r="10">
      <x:c r="A10" s="69" t="str">
        <x:v>+10% 情景尾部明显拉长，说明续航对离散大额能量返还高度敏感。</x:v>
      </x:c>
      <x:c r="B10" s="70"/>
      <x:c r="C10" s="70"/>
      <x:c r="D10" s="70"/>
      <x:c r="E10" s="70"/>
      <x:c r="F10" s="70"/>
      <x:c r="G10" s="70"/>
      <x:c r="H10" s="71"/>
    </x:row>
    <x:row r="11">
      <x:c r="A11" s="72" t="str">
        <x:v>若观察 r≥100% 或触顶率上升，应改用有限活动上限/一次性奖励状态模型，不能套 1/(1-r)。</x:v>
      </x:c>
      <x:c r="B11" s="73"/>
      <x:c r="C11" s="73"/>
      <x:c r="D11" s="73"/>
      <x:c r="E11" s="73"/>
      <x:c r="F11" s="73"/>
      <x:c r="G11" s="73"/>
      <x:c r="H11" s="74"/>
    </x:row>
  </x:sheetData>
  <x:mergeCells>
    <x:mergeCell ref="A1:H1"/>
    <x:mergeCell ref="A8:H8"/>
    <x:mergeCell ref="A9:H9"/>
    <x:mergeCell ref="A10:H10"/>
    <x:mergeCell ref="A11:H1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4" hidden="0" customWidth="1"/>
    <x:col min="3" max="3" width="32" hidden="0" customWidth="1"/>
    <x:col min="4" max="4" width="32" hidden="0" customWidth="1"/>
    <x:col min="5" max="5" width="32" hidden="0" customWidth="1"/>
    <x:col min="6" max="6" width="32" hidden="0" customWidth="1"/>
    <x:col min="7" max="7" width="32" hidden="0" customWidth="1"/>
    <x:col min="8" max="8" width="12" hidden="0" customWidth="1"/>
  </x:cols>
  <x:sheetData>
    <x:row r="1" ht="36" customHeight="1">
      <x:c r="A1" s="24" t="str">
        <x:v>假设、缺口与下一轮采样设计</x:v>
      </x:c>
      <x:c r="B1" s="24" t="str">
        <x:v>假设、缺口与下一轮采样设计</x:v>
      </x:c>
      <x:c r="C1" s="24" t="str">
        <x:v>假设、缺口与下一轮采样设计</x:v>
      </x:c>
      <x:c r="D1" s="24" t="str">
        <x:v>假设、缺口与下一轮采样设计</x:v>
      </x:c>
      <x:c r="E1" s="24" t="str">
        <x:v>假设、缺口与下一轮采样设计</x:v>
      </x:c>
      <x:c r="F1" s="24" t="str">
        <x:v>假设、缺口与下一轮采样设计</x:v>
      </x:c>
      <x:c r="G1" s="24" t="str">
        <x:v>假设、缺口与下一轮采样设计</x:v>
      </x:c>
      <x:c r="H1" s="24" t="str">
        <x:v>假设、缺口与下一轮采样设计</x:v>
      </x:c>
    </x:row>
    <x:row r="3" ht="30" customHeight="1">
      <x:c r="A3" s="35" t="str">
        <x:v>项目</x:v>
      </x:c>
      <x:c r="B3" s="36" t="str">
        <x:v>当前状态</x:v>
      </x:c>
      <x:c r="C3" s="36" t="str">
        <x:v>证据</x:v>
      </x:c>
      <x:c r="D3" s="36" t="str">
        <x:v>影响</x:v>
      </x:c>
      <x:c r="E3" s="36" t="str">
        <x:v>当前处理</x:v>
      </x:c>
      <x:c r="F3" s="36" t="str">
        <x:v>补采内容</x:v>
      </x:c>
      <x:c r="G3" s="36" t="str">
        <x:v>停止/升级条件</x:v>
      </x:c>
      <x:c r="H3" s="36" t="str">
        <x:v>优先级</x:v>
      </x:c>
    </x:row>
    <x:row r="4">
      <x:c r="A4" s="103" t="str">
        <x:v>客户端版本</x:v>
      </x:c>
      <x:c r="B4" s="93" t="str">
        <x:v>录屏未展示</x:v>
      </x:c>
      <x:c r="C4" s="93" t="str">
        <x:v>6 段视频</x:v>
      </x:c>
      <x:c r="D4" s="93" t="str">
        <x:v>无法隔离版本差异</x:v>
      </x:c>
      <x:c r="E4" s="93" t="str">
        <x:v>保留未知，不跨版本外推</x:v>
      </x:c>
      <x:c r="F4" s="93" t="str">
        <x:v>设置页版本号</x:v>
      </x:c>
      <x:c r="G4" s="93" t="str">
        <x:v>拿到版本号后按版本切片</x:v>
      </x:c>
      <x:c r="H4" s="93" t="str">
        <x:v>P0</x:v>
      </x:c>
    </x:row>
    <x:row r="5">
      <x:c r="A5" s="103" t="str">
        <x:v>地区</x:v>
      </x:c>
      <x:c r="B5" s="93" t="str">
        <x:v>未知；只见 HK$</x:v>
      </x:c>
      <x:c r="C5" s="93" t="str">
        <x:v>Shop 截图</x:v>
      </x:c>
      <x:c r="D5" s="93" t="str">
        <x:v>不能把币种等同地区</x:v>
      </x:c>
      <x:c r="E5" s="93" t="str">
        <x:v>仅记录界面币种</x:v>
      </x:c>
      <x:c r="F5" s="93" t="str">
        <x:v>账号地区/商店地区</x:v>
      </x:c>
      <x:c r="G5" s="93" t="str">
        <x:v>确认地区后再合并价格</x:v>
      </x:c>
      <x:c r="H5" s="93" t="str">
        <x:v>P0</x:v>
      </x:c>
    </x:row>
    <x:row r="6">
      <x:c r="A6" s="103" t="str">
        <x:v>付费/VIP</x:v>
      </x:c>
      <x:c r="B6" s="93" t="str">
        <x:v>累计付费录屏未展示</x:v>
      </x:c>
      <x:c r="C6" s="93" t="str">
        <x:v>无购买前后窗</x:v>
      </x:c>
      <x:c r="D6" s="93" t="str">
        <x:v>P6 不可识别</x:v>
      </x:c>
      <x:c r="E6" s="93" t="str">
        <x:v>只登记 offer_shown</x:v>
      </x:c>
      <x:c r="F6" s="93" t="str">
        <x:v>同账号购买前后各 300 Spin</x:v>
      </x:c>
      <x:c r="G6" s="93" t="str">
        <x:v>形成匹配窗口后升级结论</x:v>
      </x:c>
      <x:c r="H6" s="93" t="str">
        <x:v>P0</x:v>
      </x:c>
    </x:row>
    <x:row r="7">
      <x:c r="A7" s="103" t="str">
        <x:v>Slot 概率</x:v>
      </x:c>
      <x:c r="B7" s="93" t="str">
        <x:v>每切片 3–45</x:v>
      </x:c>
      <x:c r="C7" s="93" t="str">
        <x:v>136 有效单 Spin</x:v>
      </x:c>
      <x:c r="D7" s="93" t="str">
        <x:v>Wilson 区间宽</x:v>
      </x:c>
      <x:c r="E7" s="93" t="str">
        <x:v>只报方向性</x:v>
      </x:c>
      <x:c r="F7" s="93" t="str">
        <x:v>每主要切片先补到 500</x:v>
      </x:c>
      <x:c r="G7" s="93" t="str">
        <x:v>≥500 初筛；总体 ≥2000</x:v>
      </x:c>
      <x:c r="H7" s="93" t="str">
        <x:v>P1</x:v>
      </x:c>
    </x:row>
    <x:row r="8">
      <x:c r="A8" s="103" t="str">
        <x:v>稀有结果</x:v>
      </x:c>
      <x:c r="B8" s="93" t="str">
        <x:v>大奖 1 次</x:v>
      </x:c>
      <x:c r="C8" s="93" t="str">
        <x:v>TT_NEW_01 个例</x:v>
      </x:c>
      <x:c r="D8" s="93" t="str">
        <x:v>无法估 1% 级概率</x:v>
      </x:c>
      <x:c r="E8" s="93" t="str">
        <x:v>仅机制存在</x:v>
      </x:c>
      <x:c r="F8" s="93" t="str">
        <x:v>同口径 ≥10000 Spin</x:v>
      </x:c>
      <x:c r="G8" s="93" t="str">
        <x:v>达到目标样本再估概率</x:v>
      </x:c>
      <x:c r="H8" s="93" t="str">
        <x:v>P2</x:v>
      </x:c>
    </x:row>
    <x:row r="9">
      <x:c r="A9" s="103" t="str">
        <x:v>动态调控</x:v>
      </x:c>
      <x:c r="B9" s="93" t="str">
        <x:v>未识别</x:v>
      </x:c>
      <x:c r="C9" s="93" t="str">
        <x:v>切片不平衡</x:v>
      </x:c>
      <x:c r="D9" s="93" t="str">
        <x:v>付费/枯竭效应可能混淆</x:v>
      </x:c>
      <x:c r="E9" s="93" t="str">
        <x:v>不标疑似调控</x:v>
      </x:c>
      <x:c r="F9" s="93" t="str">
        <x:v>会话首中尾、枯竭前后、进度临界</x:v>
      </x:c>
      <x:c r="G9" s="93" t="str">
        <x:v>多独立视频复现且效应稳定</x:v>
      </x:c>
      <x:c r="H9" s="93" t="str">
        <x:v>P1</x:v>
      </x:c>
    </x:row>
    <x:row r="10">
      <x:c r="A10" s="103" t="str">
        <x:v>小游戏期望</x:v>
      </x:c>
      <x:c r="B10" s="93" t="str">
        <x:v>完整局不足</x:v>
      </x:c>
      <x:c r="C10" s="93" t="str">
        <x:v>Strike/Whack/Jackpot 教程页</x:v>
      </x:c>
      <x:c r="D10" s="93" t="str">
        <x:v>不能算成功率/返还</x:v>
      </x:c>
      <x:c r="E10" s="93" t="str">
        <x:v>记录机制与可见奖档</x:v>
      </x:c>
      <x:c r="F10" s="93" t="str">
        <x:v>每难度段 ≥30 次；随机成败 ≥100</x:v>
      </x:c>
      <x:c r="G10" s="93" t="str">
        <x:v>覆盖 3 难度段后建模</x:v>
      </x:c>
      <x:c r="H10" s="93" t="str">
        <x:v>P1</x:v>
      </x:c>
    </x:row>
    <x:row r="11">
      <x:c r="A11" s="103" t="str">
        <x:v>等价美金锚点</x:v>
      </x:c>
      <x:c r="B11" s="93" t="str">
        <x:v>待业务确认</x:v>
      </x:c>
      <x:c r="C11" s="93" t="str">
        <x:v>HK$ 报价多为 Up to/TOTAL/混合包</x:v>
      </x:c>
      <x:c r="D11" s="93" t="str">
        <x:v>不能确认跨资源返还</x:v>
      </x:c>
      <x:c r="E11" s="93" t="str">
        <x:v>保留候选和门控公式</x:v>
      </x:c>
      <x:c r="F11" s="93" t="str">
        <x:v>直给能量包、直给金币包、确认汇率口径</x:v>
      </x:c>
      <x:c r="G11" s="93" t="str">
        <x:v>能量与金币锚点均确认后显示 USD 返还</x:v>
      </x:c>
      <x:c r="H11" s="93" t="str">
        <x:v>P0</x:v>
      </x:c>
    </x:row>
    <x:row r="12">
      <x:c r="A12" s="103" t="str">
        <x:v>全局 RTP</x:v>
      </x:c>
      <x:c r="B12" s="93" t="str">
        <x:v>不可识别</x:v>
      </x:c>
      <x:c r="C12" s="93" t="str">
        <x:v>无确认的金币/能量 USD 锚点</x:v>
      </x:c>
      <x:c r="D12" s="93" t="str">
        <x:v>不能跨资源相加</x:v>
      </x:c>
      <x:c r="E12" s="93" t="str">
        <x:v>保留原生口径和公式占位</x:v>
      </x:c>
      <x:c r="F12" s="93" t="str">
        <x:v>同档直给礼包或可逆兑换</x:v>
      </x:c>
      <x:c r="G12" s="93" t="str">
        <x:v>锚点稳定后再标准化</x:v>
      </x:c>
      <x:c r="H12" s="93" t="str">
        <x:v>P1</x:v>
      </x:c>
    </x:row>
    <x:row r="13">
      <x:c r="A13" s="103" t="str">
        <x:v>建造单击成本</x:v>
      </x:c>
      <x:c r="B13" s="93" t="str">
        <x:v>恢复 48 个10秒窗；33 个可用</x:v>
      </x:c>
      <x:c r="C13" s="93" t="str">
        <x:v>BuildLog/固定1fps</x:v>
      </x:c>
      <x:c r="D13" s="93" t="str">
        <x:v>可看阶段量级，不能还原每次点击价</x:v>
      </x:c>
      <x:c r="E13" s="93" t="str">
        <x:v>按区域汇总金币/进度</x:v>
      </x:c>
      <x:c r="F13" s="93" t="str">
        <x:v>无剪辑逐次点击、前后余额、任务增量</x:v>
      </x:c>
      <x:c r="G13" s="93" t="str">
        <x:v>覆盖2区域完整枯竭回流轮次后拟合</x:v>
      </x:c>
      <x:c r="H13" s="93" t="str">
        <x:v>P0</x:v>
      </x:c>
    </x:row>
    <x:row r="14">
      <x:c r="A14" s="103" t="str">
        <x:v>模块核账覆盖</x:v>
      </x:c>
      <x:c r="B14" s="93" t="str">
        <x:v>Slot/建造通过；其余缺口</x:v>
      </x:c>
      <x:c r="C14" s="93" t="str">
        <x:v>SegmentLog</x:v>
      </x:c>
      <x:c r="D14" s="93" t="str">
        <x:v>主进度/小游戏/礼包返还无法闭环</x:v>
      </x:c>
      <x:c r="E14" s="93" t="str">
        <x:v>分段定位全覆盖，缺口显式保留</x:v>
      </x:c>
      <x:c r="F14" s="93" t="str">
        <x:v>每模块至少1个完整起止资源窗</x:v>
      </x:c>
      <x:c r="G14" s="93" t="str">
        <x:v>覆盖表全绿后升级</x:v>
      </x:c>
      <x:c r="H14" s="93" t="str">
        <x:v>P0</x:v>
      </x:c>
    </x:row>
    <x:row r="15">
      <x:c r="A15" s="104" t="str">
        <x:v>VFR 时间轴</x:v>
      </x:c>
      <x:c r="B15" s="105" t="str">
        <x:v>浏览关键帧漂移约 4–7 秒</x:v>
      </x:c>
      <x:c r="C15" s="105" t="str">
        <x:v>固定帧交叉匹配</x:v>
      </x:c>
      <x:c r="D15" s="105" t="str">
        <x:v>截图时间可能错链</x:v>
      </x:c>
      <x:c r="E15" s="105" t="str">
        <x:v>以 FrameIndex 固定 1 fps 为主</x:v>
      </x:c>
      <x:c r="F15" s="105" t="str">
        <x:v>所有核心截图使用固定帧</x:v>
      </x:c>
      <x:c r="G15" s="105" t="str">
        <x:v>证据表无漂移标签后通过</x:v>
      </x:c>
      <x:c r="H15" s="105" t="str">
        <x:v>P0</x:v>
      </x:c>
    </x:row>
  </x:sheetData>
  <x:mergeCells>
    <x:mergeCell ref="A1:H1"/>
  </x:mergeCells>
  <x:conditionalFormatting sqref="B4:B15">
    <x:cfRule type="containsText" dxfId="5" priority="1" operator="containsText" text="未展示"/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9" hidden="0" customWidth="1"/>
    <x:col min="3" max="3" width="12" hidden="0" customWidth="1"/>
    <x:col min="4" max="4" width="13" hidden="0" customWidth="1"/>
    <x:col min="5" max="5" width="11" hidden="0" customWidth="1"/>
    <x:col min="6" max="6" width="12" hidden="0" customWidth="1"/>
    <x:col min="7" max="7" width="13" hidden="0" customWidth="1"/>
    <x:col min="8" max="8" width="16" hidden="0" customWidth="1"/>
    <x:col min="9" max="9" width="12" hidden="0" customWidth="1"/>
    <x:col min="10" max="10" width="18" hidden="0" customWidth="1"/>
    <x:col min="11" max="11" width="14" hidden="0" customWidth="1"/>
    <x:col min="12" max="12" width="14" hidden="0" customWidth="1"/>
    <x:col min="13" max="13" width="18" hidden="0" customWidth="1"/>
    <x:col min="14" max="14" width="15" hidden="0" customWidth="1"/>
    <x:col min="15" max="15" width="15" hidden="0" customWidth="1"/>
    <x:col min="16" max="16" width="18" hidden="0" customWidth="1"/>
    <x:col min="17" max="17" width="28" hidden="0" customWidth="1"/>
    <x:col min="18" max="18" width="64" hidden="0" customWidth="1"/>
    <x:col min="19" max="19" width="16" hidden="0" customWidth="1"/>
    <x:col min="20" max="20" width="13" hidden="0" customWidth="1"/>
    <x:col min="21" max="21" width="11" hidden="0" customWidth="1"/>
    <x:col min="22" max="22" width="46" hidden="0" customWidth="1"/>
    <x:col min="23" max="23" width="16" hidden="0" customWidth="1"/>
    <x:col min="24" max="24" width="15" hidden="0" customWidth="1"/>
    <x:col min="25" max="25" width="13" hidden="0" customWidth="1"/>
    <x:col min="26" max="26" width="13" hidden="0" customWidth="1"/>
    <x:col min="27" max="27" width="13" hidden="0" customWidth="1"/>
    <x:col min="28" max="28" width="15" hidden="0" customWidth="1"/>
  </x:cols>
  <x:sheetData>
    <x:row r="1" ht="30" customHeight="1">
      <x:c r="A1" s="14" t="str">
        <x:v>video_id</x:v>
      </x:c>
      <x:c r="B1" s="15" t="str">
        <x:v>spin_id</x:v>
      </x:c>
      <x:c r="C1" s="15" t="str">
        <x:v>timestamp</x:v>
      </x:c>
      <x:c r="D1" s="15" t="str">
        <x:v>timestamp_seconds</x:v>
      </x:c>
      <x:c r="E1" s="15" t="str">
        <x:v>spin_count</x:v>
      </x:c>
      <x:c r="F1" s="15" t="str">
        <x:v>bet_multiplier</x:v>
      </x:c>
      <x:c r="G1" s="15" t="str">
        <x:v>energy_before</x:v>
      </x:c>
      <x:c r="H1" s="15" t="str">
        <x:v>energy_after_spend</x:v>
      </x:c>
      <x:c r="I1" s="15" t="str">
        <x:v>energy_cost</x:v>
      </x:c>
      <x:c r="J1" s="15" t="str">
        <x:v>energy_return_observed</x:v>
      </x:c>
      <x:c r="K1" s="15" t="str">
        <x:v>coins_before</x:v>
      </x:c>
      <x:c r="L1" s="15" t="str">
        <x:v>coins_after</x:v>
      </x:c>
      <x:c r="M1" s="15" t="str">
        <x:v>coin_gain_observed</x:v>
      </x:c>
      <x:c r="N1" s="15" t="str">
        <x:v>progress_before</x:v>
      </x:c>
      <x:c r="O1" s="15" t="str">
        <x:v>progress_after</x:v>
      </x:c>
      <x:c r="P1" s="15" t="str">
        <x:v>progress_gain_observed</x:v>
      </x:c>
      <x:c r="Q1" s="15" t="str">
        <x:v>result_type</x:v>
      </x:c>
      <x:c r="R1" s="15" t="str">
        <x:v>evidence_frame</x:v>
      </x:c>
      <x:c r="S1" s="15" t="str">
        <x:v>evidence_window_end</x:v>
      </x:c>
      <x:c r="T1" s="15" t="str">
        <x:v>status</x:v>
      </x:c>
      <x:c r="U1" s="15" t="str">
        <x:v>confidence</x:v>
      </x:c>
      <x:c r="V1" s="15" t="str">
        <x:v>notes</x:v>
      </x:c>
      <x:c r="W1" s="15" t="str">
        <x:v>primary_category</x:v>
      </x:c>
      <x:c r="X1" s="15" t="str">
        <x:v>probability_sample</x:v>
      </x:c>
      <x:c r="Y1" s="15" t="str">
        <x:v>newbie_segment</x:v>
      </x:c>
      <x:c r="Z1" s="15" t="str">
        <x:v>payment_tier</x:v>
      </x:c>
      <x:c r="AA1" s="15" t="str">
        <x:v>vip_status</x:v>
      </x:c>
      <x:c r="AB1" s="16" t="str">
        <x:v>near_depletion</x:v>
      </x:c>
    </x:row>
    <x:row r="2">
      <x:c r="A2" s="17" t="str">
        <x:v>TT_NEW_01</x:v>
      </x:c>
      <x:c r="B2" s="17" t="str">
        <x:v>TT_NEW_01_S0001</x:v>
      </x:c>
      <x:c r="C2" s="17" t="str">
        <x:v>00:01:55</x:v>
      </x:c>
      <x:c r="D2" s="17" t="n">
        <x:v>115</x:v>
      </x:c>
      <x:c r="E2" s="17" t="n">
        <x:v>1</x:v>
      </x:c>
      <x:c r="F2" s="17" t="n">
        <x:v>1</x:v>
      </x:c>
      <x:c r="G2" s="17" t="n">
        <x:v>10</x:v>
      </x:c>
      <x:c r="H2" s="17" t="n">
        <x:v>9</x:v>
      </x:c>
      <x:c r="I2" s="17" t="n">
        <x:v>1</x:v>
      </x:c>
      <x:c r="J2" s="17" t="n">
        <x:v>0</x:v>
      </x:c>
      <x:c r="K2" s="17" t="n">
        <x:v>301</x:v>
      </x:c>
      <x:c r="L2" s="17" t="n">
        <x:v>1301</x:v>
      </x:c>
      <x:c r="M2" s="17" t="n">
        <x:v>1000</x:v>
      </x:c>
      <x:c r="N2" s="17"/>
      <x:c r="O2" s="17"/>
      <x:c r="P2" s="17"/>
      <x:c r="Q2" s="17" t="str">
        <x:v>Coin</x:v>
      </x:c>
      <x:c r="R2" s="18" t="str">
        <x:v>/Users/mac/Documents/智囊团/video_analysis/Top_Tycoon新号流程_20260804/evidence/event_supplements/TT_NEW_01_000113_4fps</x:v>
      </x:c>
      <x:c r="S2" s="17" t="str">
        <x:v>00:01:58</x:v>
      </x:c>
      <x:c r="T2" s="17" t="str">
        <x:v>已确认</x:v>
      </x:c>
      <x:c r="U2" s="17" t="str">
        <x:v>A</x:v>
      </x:c>
      <x:c r="V2" s="17" t="str">
        <x:v>4fps事件补核，画面与余额前后值已人工复核</x:v>
      </x:c>
      <x:c r="W2" s="17" t="str">
        <x:v>纯金币</x:v>
      </x:c>
      <x:c r="X2" s="17" t="str">
        <x:v>是</x:v>
      </x:c>
      <x:c r="Y2" s="17" t="str">
        <x:v>是</x:v>
      </x:c>
      <x:c r="Z2" s="17" t="str">
        <x:v>未知</x:v>
      </x:c>
      <x:c r="AA2" s="17" t="str">
        <x:v>未知</x:v>
      </x:c>
      <x:c r="AB2" s="17" t="str">
        <x:v>否</x:v>
      </x:c>
    </x:row>
    <x:row r="3">
      <x:c r="A3" s="17" t="str">
        <x:v>TT_NEW_01</x:v>
      </x:c>
      <x:c r="B3" s="17" t="str">
        <x:v>TT_NEW_01_S0002</x:v>
      </x:c>
      <x:c r="C3" s="17" t="str">
        <x:v>00:01:58</x:v>
      </x:c>
      <x:c r="D3" s="17" t="n">
        <x:v>118</x:v>
      </x:c>
      <x:c r="E3" s="17" t="n">
        <x:v>1</x:v>
      </x:c>
      <x:c r="F3" s="17" t="n">
        <x:v>1</x:v>
      </x:c>
      <x:c r="G3" s="17" t="n">
        <x:v>9</x:v>
      </x:c>
      <x:c r="H3" s="17" t="n">
        <x:v>8</x:v>
      </x:c>
      <x:c r="I3" s="17" t="n">
        <x:v>1</x:v>
      </x:c>
      <x:c r="J3" s="17" t="n">
        <x:v>0</x:v>
      </x:c>
      <x:c r="K3" s="17" t="n">
        <x:v>1301</x:v>
      </x:c>
      <x:c r="L3" s="17" t="n">
        <x:v>1801</x:v>
      </x:c>
      <x:c r="M3" s="17" t="n">
        <x:v>500</x:v>
      </x:c>
      <x:c r="N3" s="17"/>
      <x:c r="O3" s="17"/>
      <x:c r="P3" s="17"/>
      <x:c r="Q3" s="17" t="str">
        <x:v>Coin</x:v>
      </x:c>
      <x:c r="R3" s="18" t="str">
        <x:v>/Users/mac/Documents/智囊团/video_analysis/Top_Tycoon新号流程_20260804/evidence/event_supplements/TT_NEW_01_000113_4fps</x:v>
      </x:c>
      <x:c r="S3" s="17" t="str">
        <x:v>00:02:00</x:v>
      </x:c>
      <x:c r="T3" s="17" t="str">
        <x:v>已确认</x:v>
      </x:c>
      <x:c r="U3" s="17" t="str">
        <x:v>A</x:v>
      </x:c>
      <x:c r="V3" s="17" t="str">
        <x:v>4fps事件补核，画面与余额前后值已人工复核</x:v>
      </x:c>
      <x:c r="W3" s="17" t="str">
        <x:v>纯金币</x:v>
      </x:c>
      <x:c r="X3" s="17" t="str">
        <x:v>是</x:v>
      </x:c>
      <x:c r="Y3" s="17" t="str">
        <x:v>是</x:v>
      </x:c>
      <x:c r="Z3" s="17" t="str">
        <x:v>未知</x:v>
      </x:c>
      <x:c r="AA3" s="17" t="str">
        <x:v>未知</x:v>
      </x:c>
      <x:c r="AB3" s="17" t="str">
        <x:v>否</x:v>
      </x:c>
    </x:row>
    <x:row r="4">
      <x:c r="A4" s="17" t="str">
        <x:v>TT_NEW_01</x:v>
      </x:c>
      <x:c r="B4" s="17" t="str">
        <x:v>TT_NEW_01_S0003</x:v>
      </x:c>
      <x:c r="C4" s="17" t="str">
        <x:v>00:02:00</x:v>
      </x:c>
      <x:c r="D4" s="17" t="n">
        <x:v>120</x:v>
      </x:c>
      <x:c r="E4" s="17" t="n">
        <x:v>1</x:v>
      </x:c>
      <x:c r="F4" s="17" t="n">
        <x:v>1</x:v>
      </x:c>
      <x:c r="G4" s="17" t="n">
        <x:v>8</x:v>
      </x:c>
      <x:c r="H4" s="17" t="n">
        <x:v>7</x:v>
      </x:c>
      <x:c r="I4" s="17" t="n">
        <x:v>1</x:v>
      </x:c>
      <x:c r="J4" s="17" t="n">
        <x:v>0</x:v>
      </x:c>
      <x:c r="K4" s="17" t="n">
        <x:v>1801</x:v>
      </x:c>
      <x:c r="L4" s="17" t="n">
        <x:v>11801</x:v>
      </x:c>
      <x:c r="M4" s="17" t="n">
        <x:v>10000</x:v>
      </x:c>
      <x:c r="N4" s="17"/>
      <x:c r="O4" s="17"/>
      <x:c r="P4" s="17"/>
      <x:c r="Q4" s="17" t="str">
        <x:v>Big Win</x:v>
      </x:c>
      <x:c r="R4" s="18" t="str">
        <x:v>/Users/mac/Documents/智囊团/video_analysis/Top_Tycoon新号流程_20260804/evidence/event_supplements/TT_NEW_01_000113_4fps</x:v>
      </x:c>
      <x:c r="S4" s="17" t="str">
        <x:v>00:02:05</x:v>
      </x:c>
      <x:c r="T4" s="17" t="str">
        <x:v>已确认</x:v>
      </x:c>
      <x:c r="U4" s="17" t="str">
        <x:v>A</x:v>
      </x:c>
      <x:c r="V4" s="17" t="str">
        <x:v>4fps事件补核，画面与余额前后值已人工复核</x:v>
      </x:c>
      <x:c r="W4" s="17" t="str">
        <x:v>大奖</x:v>
      </x:c>
      <x:c r="X4" s="17" t="str">
        <x:v>是</x:v>
      </x:c>
      <x:c r="Y4" s="17" t="str">
        <x:v>是</x:v>
      </x:c>
      <x:c r="Z4" s="17" t="str">
        <x:v>未知</x:v>
      </x:c>
      <x:c r="AA4" s="17" t="str">
        <x:v>未知</x:v>
      </x:c>
      <x:c r="AB4" s="17" t="str">
        <x:v>否</x:v>
      </x:c>
    </x:row>
    <x:row r="5">
      <x:c r="A5" s="17" t="str">
        <x:v>TT_NEW_01</x:v>
      </x:c>
      <x:c r="B5" s="17" t="str">
        <x:v>TT_NEW_01_S0004</x:v>
      </x:c>
      <x:c r="C5" s="17" t="str">
        <x:v>00:02:05</x:v>
      </x:c>
      <x:c r="D5" s="17" t="n">
        <x:v>125</x:v>
      </x:c>
      <x:c r="E5" s="17" t="n">
        <x:v>1</x:v>
      </x:c>
      <x:c r="F5" s="17" t="n">
        <x:v>1</x:v>
      </x:c>
      <x:c r="G5" s="17" t="n">
        <x:v>7</x:v>
      </x:c>
      <x:c r="H5" s="17" t="n">
        <x:v>6</x:v>
      </x:c>
      <x:c r="I5" s="17" t="n">
        <x:v>1</x:v>
      </x:c>
      <x:c r="J5" s="17" t="n">
        <x:v>0</x:v>
      </x:c>
      <x:c r="K5" s="17" t="n">
        <x:v>11801</x:v>
      </x:c>
      <x:c r="L5" s="17" t="n">
        <x:v>11801</x:v>
      </x:c>
      <x:c r="M5" s="17" t="n">
        <x:v>0</x:v>
      </x:c>
      <x:c r="N5" s="17"/>
      <x:c r="O5" s="17"/>
      <x:c r="P5" s="17"/>
      <x:c r="Q5" s="17" t="str">
        <x:v>Empty / no visible reward</x:v>
      </x:c>
      <x:c r="R5" s="18" t="str">
        <x:v>/Users/mac/Documents/智囊团/video_analysis/Top_Tycoon新号流程_20260804/evidence/event_supplements/TT_NEW_01_000113_4fps</x:v>
      </x:c>
      <x:c r="S5" s="17" t="str">
        <x:v>00:02:06</x:v>
      </x:c>
      <x:c r="T5" s="17" t="str">
        <x:v>已确认</x:v>
      </x:c>
      <x:c r="U5" s="17" t="str">
        <x:v>A</x:v>
      </x:c>
      <x:c r="V5" s="17" t="str">
        <x:v>4fps事件补核，画面与余额前后值已人工复核</x:v>
      </x:c>
      <x:c r="W5" s="17" t="str">
        <x:v>空奖</x:v>
      </x:c>
      <x:c r="X5" s="17" t="str">
        <x:v>是</x:v>
      </x:c>
      <x:c r="Y5" s="17" t="str">
        <x:v>是</x:v>
      </x:c>
      <x:c r="Z5" s="17" t="str">
        <x:v>未知</x:v>
      </x:c>
      <x:c r="AA5" s="17" t="str">
        <x:v>未知</x:v>
      </x:c>
      <x:c r="AB5" s="17" t="str">
        <x:v>否</x:v>
      </x:c>
    </x:row>
    <x:row r="6">
      <x:c r="A6" s="17" t="str">
        <x:v>TT_NEW_01</x:v>
      </x:c>
      <x:c r="B6" s="17" t="str">
        <x:v>TT_NEW_01_S0005</x:v>
      </x:c>
      <x:c r="C6" s="17" t="str">
        <x:v>00:02:06</x:v>
      </x:c>
      <x:c r="D6" s="17" t="n">
        <x:v>126</x:v>
      </x:c>
      <x:c r="E6" s="17" t="n">
        <x:v>1</x:v>
      </x:c>
      <x:c r="F6" s="17" t="n">
        <x:v>1</x:v>
      </x:c>
      <x:c r="G6" s="17" t="n">
        <x:v>6</x:v>
      </x:c>
      <x:c r="H6" s="17" t="n">
        <x:v>5</x:v>
      </x:c>
      <x:c r="I6" s="17" t="n">
        <x:v>1</x:v>
      </x:c>
      <x:c r="J6" s="17" t="n">
        <x:v>0</x:v>
      </x:c>
      <x:c r="K6" s="17" t="n">
        <x:v>11801</x:v>
      </x:c>
      <x:c r="L6" s="17" t="n">
        <x:v>12801</x:v>
      </x:c>
      <x:c r="M6" s="17" t="n">
        <x:v>1000</x:v>
      </x:c>
      <x:c r="N6" s="17"/>
      <x:c r="O6" s="17"/>
      <x:c r="P6" s="17"/>
      <x:c r="Q6" s="17" t="str">
        <x:v>Coin</x:v>
      </x:c>
      <x:c r="R6" s="18" t="str">
        <x:v>/Users/mac/Documents/智囊团/video_analysis/Top_Tycoon新号流程_20260804/evidence/event_supplements/TT_NEW_01_000113_4fps</x:v>
      </x:c>
      <x:c r="S6" s="17" t="str">
        <x:v>00:02:09</x:v>
      </x:c>
      <x:c r="T6" s="17" t="str">
        <x:v>已确认</x:v>
      </x:c>
      <x:c r="U6" s="17" t="str">
        <x:v>A</x:v>
      </x:c>
      <x:c r="V6" s="17" t="str">
        <x:v>4fps事件补核，画面与余额前后值已人工复核</x:v>
      </x:c>
      <x:c r="W6" s="17" t="str">
        <x:v>纯金币</x:v>
      </x:c>
      <x:c r="X6" s="17" t="str">
        <x:v>是</x:v>
      </x:c>
      <x:c r="Y6" s="17" t="str">
        <x:v>是</x:v>
      </x:c>
      <x:c r="Z6" s="17" t="str">
        <x:v>未知</x:v>
      </x:c>
      <x:c r="AA6" s="17" t="str">
        <x:v>未知</x:v>
      </x:c>
      <x:c r="AB6" s="17" t="str">
        <x:v>否</x:v>
      </x:c>
    </x:row>
    <x:row r="7">
      <x:c r="A7" s="17" t="str">
        <x:v>TT_NEW_01</x:v>
      </x:c>
      <x:c r="B7" s="17" t="str">
        <x:v>TT_NEW_01_S0006</x:v>
      </x:c>
      <x:c r="C7" s="17" t="str">
        <x:v>00:02:09</x:v>
      </x:c>
      <x:c r="D7" s="17" t="n">
        <x:v>129</x:v>
      </x:c>
      <x:c r="E7" s="17" t="n">
        <x:v>1</x:v>
      </x:c>
      <x:c r="F7" s="17" t="n">
        <x:v>1</x:v>
      </x:c>
      <x:c r="G7" s="17" t="n">
        <x:v>5</x:v>
      </x:c>
      <x:c r="H7" s="17" t="n">
        <x:v>4</x:v>
      </x:c>
      <x:c r="I7" s="17" t="n">
        <x:v>1</x:v>
      </x:c>
      <x:c r="J7" s="17" t="n">
        <x:v>0</x:v>
      </x:c>
      <x:c r="K7" s="17" t="n">
        <x:v>12801</x:v>
      </x:c>
      <x:c r="L7" s="17" t="n">
        <x:v>13401</x:v>
      </x:c>
      <x:c r="M7" s="17" t="n">
        <x:v>600</x:v>
      </x:c>
      <x:c r="N7" s="17"/>
      <x:c r="O7" s="17"/>
      <x:c r="P7" s="17"/>
      <x:c r="Q7" s="17" t="str">
        <x:v>Coin</x:v>
      </x:c>
      <x:c r="R7" s="18" t="str">
        <x:v>/Users/mac/Documents/智囊团/video_analysis/Top_Tycoon新号流程_20260804/evidence/event_supplements/TT_NEW_01_000113_4fps</x:v>
      </x:c>
      <x:c r="S7" s="17" t="str">
        <x:v>00:02:11</x:v>
      </x:c>
      <x:c r="T7" s="17" t="str">
        <x:v>已确认</x:v>
      </x:c>
      <x:c r="U7" s="17" t="str">
        <x:v>A</x:v>
      </x:c>
      <x:c r="V7" s="17" t="str">
        <x:v>4fps事件补核，画面与余额前后值已人工复核</x:v>
      </x:c>
      <x:c r="W7" s="17" t="str">
        <x:v>纯金币</x:v>
      </x:c>
      <x:c r="X7" s="17" t="str">
        <x:v>是</x:v>
      </x:c>
      <x:c r="Y7" s="17" t="str">
        <x:v>是</x:v>
      </x:c>
      <x:c r="Z7" s="17" t="str">
        <x:v>未知</x:v>
      </x:c>
      <x:c r="AA7" s="17" t="str">
        <x:v>未知</x:v>
      </x:c>
      <x:c r="AB7" s="17" t="str">
        <x:v>否</x:v>
      </x:c>
    </x:row>
    <x:row r="8">
      <x:c r="A8" s="17" t="str">
        <x:v>TT_NEW_01</x:v>
      </x:c>
      <x:c r="B8" s="17" t="str">
        <x:v>TT_NEW_01_S0007</x:v>
      </x:c>
      <x:c r="C8" s="17" t="str">
        <x:v>00:02:11</x:v>
      </x:c>
      <x:c r="D8" s="17" t="n">
        <x:v>131</x:v>
      </x:c>
      <x:c r="E8" s="17" t="n">
        <x:v>1</x:v>
      </x:c>
      <x:c r="F8" s="17" t="n">
        <x:v>1</x:v>
      </x:c>
      <x:c r="G8" s="17" t="n">
        <x:v>4</x:v>
      </x:c>
      <x:c r="H8" s="17" t="n">
        <x:v>3</x:v>
      </x:c>
      <x:c r="I8" s="17" t="n">
        <x:v>1</x:v>
      </x:c>
      <x:c r="J8" s="17" t="n">
        <x:v>0</x:v>
      </x:c>
      <x:c r="K8" s="17" t="n">
        <x:v>13401</x:v>
      </x:c>
      <x:c r="L8" s="17" t="n">
        <x:v>13401</x:v>
      </x:c>
      <x:c r="M8" s="17" t="n">
        <x:v>0</x:v>
      </x:c>
      <x:c r="N8" s="17"/>
      <x:c r="O8" s="17"/>
      <x:c r="P8" s="17"/>
      <x:c r="Q8" s="17" t="str">
        <x:v>Empty / no visible reward</x:v>
      </x:c>
      <x:c r="R8" s="18" t="str">
        <x:v>/Users/mac/Documents/智囊团/video_analysis/Top_Tycoon新号流程_20260804/evidence/event_supplements/TT_NEW_01_000113_4fps</x:v>
      </x:c>
      <x:c r="S8" s="17" t="str">
        <x:v>00:02:13</x:v>
      </x:c>
      <x:c r="T8" s="17" t="str">
        <x:v>已确认</x:v>
      </x:c>
      <x:c r="U8" s="17" t="str">
        <x:v>A</x:v>
      </x:c>
      <x:c r="V8" s="17" t="str">
        <x:v>4fps事件补核，画面与余额前后值已人工复核</x:v>
      </x:c>
      <x:c r="W8" s="17" t="str">
        <x:v>空奖</x:v>
      </x:c>
      <x:c r="X8" s="17" t="str">
        <x:v>是</x:v>
      </x:c>
      <x:c r="Y8" s="17" t="str">
        <x:v>是</x:v>
      </x:c>
      <x:c r="Z8" s="17" t="str">
        <x:v>未知</x:v>
      </x:c>
      <x:c r="AA8" s="17" t="str">
        <x:v>未知</x:v>
      </x:c>
      <x:c r="AB8" s="17" t="str">
        <x:v>否</x:v>
      </x:c>
    </x:row>
    <x:row r="9">
      <x:c r="A9" s="17" t="str">
        <x:v>TT_NEW_01</x:v>
      </x:c>
      <x:c r="B9" s="17" t="str">
        <x:v>TT_NEW_01_S0008</x:v>
      </x:c>
      <x:c r="C9" s="17" t="str">
        <x:v>00:02:13</x:v>
      </x:c>
      <x:c r="D9" s="17" t="n">
        <x:v>133</x:v>
      </x:c>
      <x:c r="E9" s="17" t="n">
        <x:v>1</x:v>
      </x:c>
      <x:c r="F9" s="17" t="n">
        <x:v>1</x:v>
      </x:c>
      <x:c r="G9" s="17" t="n">
        <x:v>3</x:v>
      </x:c>
      <x:c r="H9" s="17" t="n">
        <x:v>2</x:v>
      </x:c>
      <x:c r="I9" s="17" t="n">
        <x:v>1</x:v>
      </x:c>
      <x:c r="J9" s="17" t="n">
        <x:v>0</x:v>
      </x:c>
      <x:c r="K9" s="17" t="n">
        <x:v>13401</x:v>
      </x:c>
      <x:c r="L9" s="17" t="n">
        <x:v>14401</x:v>
      </x:c>
      <x:c r="M9" s="17" t="n">
        <x:v>1000</x:v>
      </x:c>
      <x:c r="N9" s="17"/>
      <x:c r="O9" s="17"/>
      <x:c r="P9" s="17"/>
      <x:c r="Q9" s="17" t="str">
        <x:v>Coin</x:v>
      </x:c>
      <x:c r="R9" s="18" t="str">
        <x:v>/Users/mac/Documents/智囊团/video_analysis/Top_Tycoon新号流程_20260804/evidence/event_supplements/TT_NEW_01_000113_4fps</x:v>
      </x:c>
      <x:c r="S9" s="17" t="str">
        <x:v>00:02:15</x:v>
      </x:c>
      <x:c r="T9" s="17" t="str">
        <x:v>已确认</x:v>
      </x:c>
      <x:c r="U9" s="17" t="str">
        <x:v>A</x:v>
      </x:c>
      <x:c r="V9" s="17" t="str">
        <x:v>4fps事件补核，画面与余额前后值已人工复核</x:v>
      </x:c>
      <x:c r="W9" s="17" t="str">
        <x:v>纯金币</x:v>
      </x:c>
      <x:c r="X9" s="17" t="str">
        <x:v>是</x:v>
      </x:c>
      <x:c r="Y9" s="17" t="str">
        <x:v>是</x:v>
      </x:c>
      <x:c r="Z9" s="17" t="str">
        <x:v>未知</x:v>
      </x:c>
      <x:c r="AA9" s="17" t="str">
        <x:v>未知</x:v>
      </x:c>
      <x:c r="AB9" s="17" t="str">
        <x:v>是</x:v>
      </x:c>
    </x:row>
    <x:row r="10">
      <x:c r="A10" s="17" t="str">
        <x:v>TT_NEW_01</x:v>
      </x:c>
      <x:c r="B10" s="17" t="str">
        <x:v>TT_NEW_01_S0009</x:v>
      </x:c>
      <x:c r="C10" s="17" t="str">
        <x:v>00:02:15</x:v>
      </x:c>
      <x:c r="D10" s="17" t="n">
        <x:v>135</x:v>
      </x:c>
      <x:c r="E10" s="17" t="n">
        <x:v>1</x:v>
      </x:c>
      <x:c r="F10" s="17" t="n">
        <x:v>1</x:v>
      </x:c>
      <x:c r="G10" s="17" t="n">
        <x:v>2</x:v>
      </x:c>
      <x:c r="H10" s="17" t="n">
        <x:v>1</x:v>
      </x:c>
      <x:c r="I10" s="17" t="n">
        <x:v>1</x:v>
      </x:c>
      <x:c r="J10" s="17" t="n">
        <x:v>0</x:v>
      </x:c>
      <x:c r="K10" s="17" t="n">
        <x:v>14401</x:v>
      </x:c>
      <x:c r="L10" s="17" t="n">
        <x:v>14901</x:v>
      </x:c>
      <x:c r="M10" s="17" t="n">
        <x:v>500</x:v>
      </x:c>
      <x:c r="N10" s="17"/>
      <x:c r="O10" s="17"/>
      <x:c r="P10" s="17"/>
      <x:c r="Q10" s="17" t="str">
        <x:v>Coin</x:v>
      </x:c>
      <x:c r="R10" s="18" t="str">
        <x:v>/Users/mac/Documents/智囊团/video_analysis/Top_Tycoon新号流程_20260804/evidence/event_supplements/TT_NEW_01_000113_4fps</x:v>
      </x:c>
      <x:c r="S10" s="17" t="str">
        <x:v>00:02:17</x:v>
      </x:c>
      <x:c r="T10" s="17" t="str">
        <x:v>已确认</x:v>
      </x:c>
      <x:c r="U10" s="17" t="str">
        <x:v>A</x:v>
      </x:c>
      <x:c r="V10" s="17" t="str">
        <x:v>4fps事件补核，画面与余额前后值已人工复核</x:v>
      </x:c>
      <x:c r="W10" s="17" t="str">
        <x:v>纯金币</x:v>
      </x:c>
      <x:c r="X10" s="17" t="str">
        <x:v>是</x:v>
      </x:c>
      <x:c r="Y10" s="17" t="str">
        <x:v>是</x:v>
      </x:c>
      <x:c r="Z10" s="17" t="str">
        <x:v>未知</x:v>
      </x:c>
      <x:c r="AA10" s="17" t="str">
        <x:v>未知</x:v>
      </x:c>
      <x:c r="AB10" s="17" t="str">
        <x:v>是</x:v>
      </x:c>
    </x:row>
    <x:row r="11">
      <x:c r="A11" s="17" t="str">
        <x:v>TT_NEW_01</x:v>
      </x:c>
      <x:c r="B11" s="17" t="str">
        <x:v>TT_NEW_01_S0010</x:v>
      </x:c>
      <x:c r="C11" s="17" t="str">
        <x:v>00:02:17</x:v>
      </x:c>
      <x:c r="D11" s="17" t="n">
        <x:v>137</x:v>
      </x:c>
      <x:c r="E11" s="17" t="n">
        <x:v>1</x:v>
      </x:c>
      <x:c r="F11" s="17" t="n">
        <x:v>1</x:v>
      </x:c>
      <x:c r="G11" s="17" t="n">
        <x:v>1</x:v>
      </x:c>
      <x:c r="H11" s="17" t="n">
        <x:v>0</x:v>
      </x:c>
      <x:c r="I11" s="17" t="n">
        <x:v>1</x:v>
      </x:c>
      <x:c r="J11" s="17" t="n">
        <x:v>5</x:v>
      </x:c>
      <x:c r="K11" s="17"/>
      <x:c r="L11" s="17"/>
      <x:c r="M11" s="17"/>
      <x:c r="N11" s="17"/>
      <x:c r="O11" s="17"/>
      <x:c r="P11" s="17"/>
      <x:c r="Q11" s="17" t="str">
        <x:v>Energy</x:v>
      </x:c>
      <x:c r="R11" s="18" t="str">
        <x:v>/Users/mac/Documents/智囊团/video_analysis/Top_Tycoon新号流程_20260804/frames/TT_NEW_01/TT_NEW_01_t000137.jpg</x:v>
      </x:c>
      <x:c r="S11" s="17" t="str">
        <x:v>00:02:21</x:v>
      </x:c>
      <x:c r="T11" s="17" t="str">
        <x:v>待复核</x:v>
      </x:c>
      <x:c r="U11" s="17" t="str">
        <x:v>C</x:v>
      </x:c>
      <x:c r="V11" s="17" t="str">
        <x:v>由逐秒能量变化推断；快速自动Spin可能需4fps补核</x:v>
      </x:c>
      <x:c r="W11" s="17" t="str">
        <x:v>纯能量</x:v>
      </x:c>
      <x:c r="X11" s="17" t="str">
        <x:v>否</x:v>
      </x:c>
      <x:c r="Y11" s="17" t="str">
        <x:v>是</x:v>
      </x:c>
      <x:c r="Z11" s="17" t="str">
        <x:v>未知</x:v>
      </x:c>
      <x:c r="AA11" s="17" t="str">
        <x:v>未知</x:v>
      </x:c>
      <x:c r="AB11" s="17" t="str">
        <x:v>是</x:v>
      </x:c>
    </x:row>
    <x:row r="12">
      <x:c r="A12" s="17" t="str">
        <x:v>TT_NEW_01</x:v>
      </x:c>
      <x:c r="B12" s="17" t="str">
        <x:v>TT_NEW_01_S0011</x:v>
      </x:c>
      <x:c r="C12" s="17" t="str">
        <x:v>00:02:21</x:v>
      </x:c>
      <x:c r="D12" s="17" t="n">
        <x:v>141</x:v>
      </x:c>
      <x:c r="E12" s="17" t="n">
        <x:v>1</x:v>
      </x:c>
      <x:c r="F12" s="17" t="n">
        <x:v>1</x:v>
      </x:c>
      <x:c r="G12" s="17" t="n">
        <x:v>5</x:v>
      </x:c>
      <x:c r="H12" s="17" t="n">
        <x:v>4</x:v>
      </x:c>
      <x:c r="I12" s="17" t="n">
        <x:v>1</x:v>
      </x:c>
      <x:c r="J12" s="17" t="n">
        <x:v>0</x:v>
      </x:c>
      <x:c r="K12" s="17" t="n">
        <x:v>14901</x:v>
      </x:c>
      <x:c r="L12" s="17" t="n">
        <x:v>15001</x:v>
      </x:c>
      <x:c r="M12" s="17" t="n">
        <x:v>100</x:v>
      </x:c>
      <x:c r="N12" s="17"/>
      <x:c r="O12" s="17"/>
      <x:c r="P12" s="17"/>
      <x:c r="Q12" s="17" t="str">
        <x:v>Coin</x:v>
      </x:c>
      <x:c r="R12" s="18" t="str">
        <x:v>/Users/mac/Documents/智囊团/video_analysis/Top_Tycoon新号流程_20260804/evidence/event_supplements/TT_NEW_01_000113_4fps</x:v>
      </x:c>
      <x:c r="S12" s="17" t="str">
        <x:v>00:02:24</x:v>
      </x:c>
      <x:c r="T12" s="17" t="str">
        <x:v>已确认</x:v>
      </x:c>
      <x:c r="U12" s="17" t="str">
        <x:v>A</x:v>
      </x:c>
      <x:c r="V12" s="17" t="str">
        <x:v>4fps事件补核，画面与余额前后值已人工复核</x:v>
      </x:c>
      <x:c r="W12" s="17" t="str">
        <x:v>纯金币</x:v>
      </x:c>
      <x:c r="X12" s="17" t="str">
        <x:v>是</x:v>
      </x:c>
      <x:c r="Y12" s="17" t="str">
        <x:v>是</x:v>
      </x:c>
      <x:c r="Z12" s="17" t="str">
        <x:v>未知</x:v>
      </x:c>
      <x:c r="AA12" s="17" t="str">
        <x:v>未知</x:v>
      </x:c>
      <x:c r="AB12" s="17" t="str">
        <x:v>否</x:v>
      </x:c>
    </x:row>
    <x:row r="13">
      <x:c r="A13" s="17" t="str">
        <x:v>TT_NEW_01</x:v>
      </x:c>
      <x:c r="B13" s="17" t="str">
        <x:v>TT_NEW_01_S0012</x:v>
      </x:c>
      <x:c r="C13" s="17" t="str">
        <x:v>00:02:24</x:v>
      </x:c>
      <x:c r="D13" s="17" t="n">
        <x:v>144</x:v>
      </x:c>
      <x:c r="E13" s="17" t="n">
        <x:v>1</x:v>
      </x:c>
      <x:c r="F13" s="17" t="n">
        <x:v>1</x:v>
      </x:c>
      <x:c r="G13" s="17" t="n">
        <x:v>4</x:v>
      </x:c>
      <x:c r="H13" s="17" t="n">
        <x:v>3</x:v>
      </x:c>
      <x:c r="I13" s="17" t="n">
        <x:v>1</x:v>
      </x:c>
      <x:c r="J13" s="17" t="n">
        <x:v>0</x:v>
      </x:c>
      <x:c r="K13" s="17" t="n">
        <x:v>15001</x:v>
      </x:c>
      <x:c r="L13" s="17" t="n">
        <x:v>20001</x:v>
      </x:c>
      <x:c r="M13" s="17" t="n">
        <x:v>5000</x:v>
      </x:c>
      <x:c r="N13" s="17"/>
      <x:c r="O13" s="17"/>
      <x:c r="P13" s="17"/>
      <x:c r="Q13" s="17" t="str">
        <x:v>Coin</x:v>
      </x:c>
      <x:c r="R13" s="18" t="str">
        <x:v>/Users/mac/Documents/智囊团/video_analysis/Top_Tycoon新号流程_20260804/evidence/event_supplements/TT_NEW_01_000113_4fps</x:v>
      </x:c>
      <x:c r="S13" s="17" t="str">
        <x:v>00:02:26</x:v>
      </x:c>
      <x:c r="T13" s="17" t="str">
        <x:v>已确认</x:v>
      </x:c>
      <x:c r="U13" s="17" t="str">
        <x:v>A</x:v>
      </x:c>
      <x:c r="V13" s="17" t="str">
        <x:v>4fps事件补核，画面与余额前后值已人工复核</x:v>
      </x:c>
      <x:c r="W13" s="17" t="str">
        <x:v>纯金币</x:v>
      </x:c>
      <x:c r="X13" s="17" t="str">
        <x:v>是</x:v>
      </x:c>
      <x:c r="Y13" s="17" t="str">
        <x:v>是</x:v>
      </x:c>
      <x:c r="Z13" s="17" t="str">
        <x:v>未知</x:v>
      </x:c>
      <x:c r="AA13" s="17" t="str">
        <x:v>未知</x:v>
      </x:c>
      <x:c r="AB13" s="17" t="str">
        <x:v>否</x:v>
      </x:c>
    </x:row>
    <x:row r="14">
      <x:c r="A14" s="17" t="str">
        <x:v>TT_NEW_01</x:v>
      </x:c>
      <x:c r="B14" s="17" t="str">
        <x:v>TT_NEW_01_S0013</x:v>
      </x:c>
      <x:c r="C14" s="17" t="str">
        <x:v>00:02:26</x:v>
      </x:c>
      <x:c r="D14" s="17" t="n">
        <x:v>146</x:v>
      </x:c>
      <x:c r="E14" s="17" t="n">
        <x:v>1</x:v>
      </x:c>
      <x:c r="F14" s="17" t="n">
        <x:v>1</x:v>
      </x:c>
      <x:c r="G14" s="17" t="n">
        <x:v>3</x:v>
      </x:c>
      <x:c r="H14" s="17" t="n">
        <x:v>2</x:v>
      </x:c>
      <x:c r="I14" s="17" t="n">
        <x:v>1</x:v>
      </x:c>
      <x:c r="J14" s="17" t="n">
        <x:v>0</x:v>
      </x:c>
      <x:c r="K14" s="17" t="n">
        <x:v>20001</x:v>
      </x:c>
      <x:c r="L14" s="17" t="n">
        <x:v>20501</x:v>
      </x:c>
      <x:c r="M14" s="17" t="n">
        <x:v>500</x:v>
      </x:c>
      <x:c r="N14" s="17"/>
      <x:c r="O14" s="17"/>
      <x:c r="P14" s="17"/>
      <x:c r="Q14" s="17" t="str">
        <x:v>Coin</x:v>
      </x:c>
      <x:c r="R14" s="18" t="str">
        <x:v>/Users/mac/Documents/智囊团/video_analysis/Top_Tycoon新号流程_20260804/evidence/event_supplements/TT_NEW_01_000113_4fps</x:v>
      </x:c>
      <x:c r="S14" s="17" t="str">
        <x:v>00:02:29</x:v>
      </x:c>
      <x:c r="T14" s="17" t="str">
        <x:v>已确认</x:v>
      </x:c>
      <x:c r="U14" s="17" t="str">
        <x:v>A</x:v>
      </x:c>
      <x:c r="V14" s="17" t="str">
        <x:v>4fps事件补核，画面与余额前后值已人工复核</x:v>
      </x:c>
      <x:c r="W14" s="17" t="str">
        <x:v>纯金币</x:v>
      </x:c>
      <x:c r="X14" s="17" t="str">
        <x:v>是</x:v>
      </x:c>
      <x:c r="Y14" s="17" t="str">
        <x:v>是</x:v>
      </x:c>
      <x:c r="Z14" s="17" t="str">
        <x:v>未知</x:v>
      </x:c>
      <x:c r="AA14" s="17" t="str">
        <x:v>未知</x:v>
      </x:c>
      <x:c r="AB14" s="17" t="str">
        <x:v>是</x:v>
      </x:c>
    </x:row>
    <x:row r="15">
      <x:c r="A15" s="17" t="str">
        <x:v>TT_NEW_01</x:v>
      </x:c>
      <x:c r="B15" s="17" t="str">
        <x:v>TT_NEW_01_S0014</x:v>
      </x:c>
      <x:c r="C15" s="17" t="str">
        <x:v>00:02:29</x:v>
      </x:c>
      <x:c r="D15" s="17" t="n">
        <x:v>149</x:v>
      </x:c>
      <x:c r="E15" s="17" t="n">
        <x:v>1</x:v>
      </x:c>
      <x:c r="F15" s="17" t="n">
        <x:v>1</x:v>
      </x:c>
      <x:c r="G15" s="17" t="n">
        <x:v>2</x:v>
      </x:c>
      <x:c r="H15" s="17" t="n">
        <x:v>1</x:v>
      </x:c>
      <x:c r="I15" s="17" t="n">
        <x:v>1</x:v>
      </x:c>
      <x:c r="J15" s="17" t="n">
        <x:v>23</x:v>
      </x:c>
      <x:c r="K15" s="17"/>
      <x:c r="L15" s="17" t="n">
        <x:v>3302</x:v>
      </x:c>
      <x:c r="M15" s="17"/>
      <x:c r="N15" s="17"/>
      <x:c r="O15" s="17"/>
      <x:c r="P15" s="17"/>
      <x:c r="Q15" s="17" t="str">
        <x:v>Energy</x:v>
      </x:c>
      <x:c r="R15" s="18" t="str">
        <x:v>/Users/mac/Documents/智囊团/video_analysis/Top_Tycoon新号流程_20260804/frames/TT_NEW_01/TT_NEW_01_t000149.jpg</x:v>
      </x:c>
      <x:c r="S15" s="17" t="str">
        <x:v>00:06:15</x:v>
      </x:c>
      <x:c r="T15" s="17" t="str">
        <x:v>待复核</x:v>
      </x:c>
      <x:c r="U15" s="17" t="str">
        <x:v>C</x:v>
      </x:c>
      <x:c r="V15" s="17" t="str">
        <x:v>由逐秒能量变化推断；快速自动Spin可能需4fps补核</x:v>
      </x:c>
      <x:c r="W15" s="17" t="str">
        <x:v>纯能量</x:v>
      </x:c>
      <x:c r="X15" s="17" t="str">
        <x:v>否</x:v>
      </x:c>
      <x:c r="Y15" s="17" t="str">
        <x:v>是</x:v>
      </x:c>
      <x:c r="Z15" s="17" t="str">
        <x:v>未知</x:v>
      </x:c>
      <x:c r="AA15" s="17" t="str">
        <x:v>未知</x:v>
      </x:c>
      <x:c r="AB15" s="17" t="str">
        <x:v>是</x:v>
      </x:c>
    </x:row>
    <x:row r="16">
      <x:c r="A16" s="17" t="str">
        <x:v>TT_NEW_01</x:v>
      </x:c>
      <x:c r="B16" s="17" t="str">
        <x:v>TT_NEW_01_S0015</x:v>
      </x:c>
      <x:c r="C16" s="17" t="str">
        <x:v>00:06:15</x:v>
      </x:c>
      <x:c r="D16" s="17" t="n">
        <x:v>375</x:v>
      </x:c>
      <x:c r="E16" s="17" t="n">
        <x:v>1</x:v>
      </x:c>
      <x:c r="F16" s="17" t="n">
        <x:v>1</x:v>
      </x:c>
      <x:c r="G16" s="17" t="n">
        <x:v>24</x:v>
      </x:c>
      <x:c r="H16" s="17" t="n">
        <x:v>23</x:v>
      </x:c>
      <x:c r="I16" s="17" t="n">
        <x:v>1</x:v>
      </x:c>
      <x:c r="J16" s="17" t="n">
        <x:v>0</x:v>
      </x:c>
      <x:c r="K16" s="17" t="n">
        <x:v>3302</x:v>
      </x:c>
      <x:c r="L16" s="17" t="n">
        <x:v>3302</x:v>
      </x:c>
      <x:c r="M16" s="17" t="n">
        <x:v>0</x:v>
      </x:c>
      <x:c r="N16" s="17" t="n">
        <x:v>0</x:v>
      </x:c>
      <x:c r="O16" s="17" t="n">
        <x:v>2</x:v>
      </x:c>
      <x:c r="P16" s="17" t="n">
        <x:v>2</x:v>
      </x:c>
      <x:c r="Q16" s="17" t="str">
        <x:v>Progress</x:v>
      </x:c>
      <x:c r="R16" s="18" t="str">
        <x:v>/Users/mac/Documents/智囊团/video_analysis/Top_Tycoon新号流程_20260804/frames/TT_NEW_01/TT_NEW_01_t000375.jpg</x:v>
      </x:c>
      <x:c r="S16" s="17" t="str">
        <x:v>00:06:18</x:v>
      </x:c>
      <x:c r="T16" s="17" t="str">
        <x:v>待复核</x:v>
      </x:c>
      <x:c r="U16" s="17" t="str">
        <x:v>B</x:v>
      </x:c>
      <x:c r="V16" s="17" t="str">
        <x:v>由逐秒能量变化推断；快速自动Spin可能需4fps补核</x:v>
      </x:c>
      <x:c r="W16" s="17" t="str">
        <x:v>纯进度</x:v>
      </x:c>
      <x:c r="X16" s="17" t="str">
        <x:v>是</x:v>
      </x:c>
      <x:c r="Y16" s="17" t="str">
        <x:v>是</x:v>
      </x:c>
      <x:c r="Z16" s="17" t="str">
        <x:v>未知</x:v>
      </x:c>
      <x:c r="AA16" s="17" t="str">
        <x:v>未知</x:v>
      </x:c>
      <x:c r="AB16" s="17" t="str">
        <x:v>否</x:v>
      </x:c>
    </x:row>
    <x:row r="17">
      <x:c r="A17" s="17" t="str">
        <x:v>TT_NEW_01</x:v>
      </x:c>
      <x:c r="B17" s="17" t="str">
        <x:v>TT_NEW_01_S0016</x:v>
      </x:c>
      <x:c r="C17" s="17" t="str">
        <x:v>00:06:18</x:v>
      </x:c>
      <x:c r="D17" s="17" t="n">
        <x:v>378</x:v>
      </x:c>
      <x:c r="E17" s="17" t="n">
        <x:v>1</x:v>
      </x:c>
      <x:c r="F17" s="17" t="n">
        <x:v>1</x:v>
      </x:c>
      <x:c r="G17" s="17" t="n">
        <x:v>23</x:v>
      </x:c>
      <x:c r="H17" s="17" t="n">
        <x:v>22</x:v>
      </x:c>
      <x:c r="I17" s="17" t="n">
        <x:v>1</x:v>
      </x:c>
      <x:c r="J17" s="17" t="n">
        <x:v>0</x:v>
      </x:c>
      <x:c r="K17" s="17" t="n">
        <x:v>3302</x:v>
      </x:c>
      <x:c r="L17" s="17" t="n">
        <x:v>4402</x:v>
      </x:c>
      <x:c r="M17" s="17" t="n">
        <x:v>1100</x:v>
      </x:c>
      <x:c r="N17" s="17" t="n">
        <x:v>0</x:v>
      </x:c>
      <x:c r="O17" s="17" t="n">
        <x:v>2</x:v>
      </x:c>
      <x:c r="P17" s="17" t="n">
        <x:v>2</x:v>
      </x:c>
      <x:c r="Q17" s="17" t="str">
        <x:v>Coin + Progress</x:v>
      </x:c>
      <x:c r="R17" s="18" t="str">
        <x:v>/Users/mac/Documents/智囊团/video_analysis/Top_Tycoon新号流程_20260804/frames/TT_NEW_01/TT_NEW_01_t000378.jpg</x:v>
      </x:c>
      <x:c r="S17" s="17" t="str">
        <x:v>00:06:21</x:v>
      </x:c>
      <x:c r="T17" s="17" t="str">
        <x:v>待复核</x:v>
      </x:c>
      <x:c r="U17" s="17" t="str">
        <x:v>B</x:v>
      </x:c>
      <x:c r="V17" s="17" t="str">
        <x:v>由逐秒能量变化推断；快速自动Spin可能需4fps补核</x:v>
      </x:c>
      <x:c r="W17" s="17" t="str">
        <x:v>混合奖励</x:v>
      </x:c>
      <x:c r="X17" s="17" t="str">
        <x:v>是</x:v>
      </x:c>
      <x:c r="Y17" s="17" t="str">
        <x:v>是</x:v>
      </x:c>
      <x:c r="Z17" s="17" t="str">
        <x:v>未知</x:v>
      </x:c>
      <x:c r="AA17" s="17" t="str">
        <x:v>未知</x:v>
      </x:c>
      <x:c r="AB17" s="17" t="str">
        <x:v>否</x:v>
      </x:c>
    </x:row>
    <x:row r="18">
      <x:c r="A18" s="17" t="str">
        <x:v>TT_NEW_01</x:v>
      </x:c>
      <x:c r="B18" s="17" t="str">
        <x:v>TT_NEW_01_S0017</x:v>
      </x:c>
      <x:c r="C18" s="17" t="str">
        <x:v>00:06:21</x:v>
      </x:c>
      <x:c r="D18" s="17" t="n">
        <x:v>381</x:v>
      </x:c>
      <x:c r="E18" s="17" t="n">
        <x:v>1</x:v>
      </x:c>
      <x:c r="F18" s="17" t="n">
        <x:v>1</x:v>
      </x:c>
      <x:c r="G18" s="17" t="n">
        <x:v>22</x:v>
      </x:c>
      <x:c r="H18" s="17" t="n">
        <x:v>21</x:v>
      </x:c>
      <x:c r="I18" s="17" t="n">
        <x:v>1</x:v>
      </x:c>
      <x:c r="J18" s="17" t="n">
        <x:v>0</x:v>
      </x:c>
      <x:c r="K18" s="17" t="n">
        <x:v>3777</x:v>
      </x:c>
      <x:c r="L18" s="17" t="n">
        <x:v>27902</x:v>
      </x:c>
      <x:c r="M18" s="17" t="n">
        <x:v>24125</x:v>
      </x:c>
      <x:c r="N18" s="17" t="n">
        <x:v>2</x:v>
      </x:c>
      <x:c r="O18" s="17" t="n">
        <x:v>4</x:v>
      </x:c>
      <x:c r="P18" s="17" t="n">
        <x:v>2</x:v>
      </x:c>
      <x:c r="Q18" s="17" t="str">
        <x:v>Coin + Progress</x:v>
      </x:c>
      <x:c r="R18" s="18" t="str">
        <x:v>/Users/mac/Documents/智囊团/video_analysis/Top_Tycoon新号流程_20260804/frames/TT_NEW_01/TT_NEW_01_t000381.jpg</x:v>
      </x:c>
      <x:c r="S18" s="17" t="str">
        <x:v>00:06:33</x:v>
      </x:c>
      <x:c r="T18" s="17" t="str">
        <x:v>待复核</x:v>
      </x:c>
      <x:c r="U18" s="17" t="str">
        <x:v>B</x:v>
      </x:c>
      <x:c r="V18" s="17" t="str">
        <x:v>由逐秒能量变化推断；快速自动Spin可能需4fps补核</x:v>
      </x:c>
      <x:c r="W18" s="17" t="str">
        <x:v>混合奖励</x:v>
      </x:c>
      <x:c r="X18" s="17" t="str">
        <x:v>是</x:v>
      </x:c>
      <x:c r="Y18" s="17" t="str">
        <x:v>是</x:v>
      </x:c>
      <x:c r="Z18" s="17" t="str">
        <x:v>未知</x:v>
      </x:c>
      <x:c r="AA18" s="17" t="str">
        <x:v>未知</x:v>
      </x:c>
      <x:c r="AB18" s="17" t="str">
        <x:v>否</x:v>
      </x:c>
    </x:row>
    <x:row r="19">
      <x:c r="A19" s="17" t="str">
        <x:v>TT_NEW_01</x:v>
      </x:c>
      <x:c r="B19" s="17" t="str">
        <x:v>TT_NEW_01_S0018</x:v>
      </x:c>
      <x:c r="C19" s="17" t="str">
        <x:v>00:06:33</x:v>
      </x:c>
      <x:c r="D19" s="17" t="n">
        <x:v>393</x:v>
      </x:c>
      <x:c r="E19" s="17" t="n">
        <x:v>1</x:v>
      </x:c>
      <x:c r="F19" s="17" t="n">
        <x:v>1</x:v>
      </x:c>
      <x:c r="G19" s="17" t="n">
        <x:v>21</x:v>
      </x:c>
      <x:c r="H19" s="17" t="n">
        <x:v>20</x:v>
      </x:c>
      <x:c r="I19" s="17" t="n">
        <x:v>1</x:v>
      </x:c>
      <x:c r="J19" s="17" t="n">
        <x:v>0</x:v>
      </x:c>
      <x:c r="K19" s="17" t="n">
        <x:v>27902</x:v>
      </x:c>
      <x:c r="L19" s="17" t="n">
        <x:v>28102</x:v>
      </x:c>
      <x:c r="M19" s="17" t="n">
        <x:v>200</x:v>
      </x:c>
      <x:c r="N19" s="17" t="n">
        <x:v>4</x:v>
      </x:c>
      <x:c r="O19" s="17" t="n">
        <x:v>4</x:v>
      </x:c>
      <x:c r="P19" s="17" t="n">
        <x:v>0</x:v>
      </x:c>
      <x:c r="Q19" s="17" t="str">
        <x:v>Coin</x:v>
      </x:c>
      <x:c r="R19" s="18" t="str">
        <x:v>/Users/mac/Documents/智囊团/video_analysis/Top_Tycoon新号流程_20260804/frames/TT_NEW_01/TT_NEW_01_t000393.jpg</x:v>
      </x:c>
      <x:c r="S19" s="17" t="str">
        <x:v>00:06:35</x:v>
      </x:c>
      <x:c r="T19" s="17" t="str">
        <x:v>待复核</x:v>
      </x:c>
      <x:c r="U19" s="17" t="str">
        <x:v>B</x:v>
      </x:c>
      <x:c r="V19" s="17" t="str">
        <x:v>由逐秒能量变化推断；快速自动Spin可能需4fps补核</x:v>
      </x:c>
      <x:c r="W19" s="17" t="str">
        <x:v>纯金币</x:v>
      </x:c>
      <x:c r="X19" s="17" t="str">
        <x:v>是</x:v>
      </x:c>
      <x:c r="Y19" s="17" t="str">
        <x:v>是</x:v>
      </x:c>
      <x:c r="Z19" s="17" t="str">
        <x:v>未知</x:v>
      </x:c>
      <x:c r="AA19" s="17" t="str">
        <x:v>未知</x:v>
      </x:c>
      <x:c r="AB19" s="17" t="str">
        <x:v>否</x:v>
      </x:c>
    </x:row>
    <x:row r="20">
      <x:c r="A20" s="17" t="str">
        <x:v>TT_NEW_01</x:v>
      </x:c>
      <x:c r="B20" s="17" t="str">
        <x:v>TT_NEW_01_S0019</x:v>
      </x:c>
      <x:c r="C20" s="17" t="str">
        <x:v>00:06:35</x:v>
      </x:c>
      <x:c r="D20" s="17" t="n">
        <x:v>395</x:v>
      </x:c>
      <x:c r="E20" s="17" t="n">
        <x:v>1</x:v>
      </x:c>
      <x:c r="F20" s="17" t="n">
        <x:v>1</x:v>
      </x:c>
      <x:c r="G20" s="17" t="n">
        <x:v>20</x:v>
      </x:c>
      <x:c r="H20" s="17" t="n">
        <x:v>19</x:v>
      </x:c>
      <x:c r="I20" s="17" t="n">
        <x:v>1</x:v>
      </x:c>
      <x:c r="J20" s="17" t="n">
        <x:v>0</x:v>
      </x:c>
      <x:c r="K20" s="17" t="n">
        <x:v>27902</x:v>
      </x:c>
      <x:c r="L20" s="17" t="n">
        <x:v>28602</x:v>
      </x:c>
      <x:c r="M20" s="17" t="n">
        <x:v>700</x:v>
      </x:c>
      <x:c r="N20" s="17" t="n">
        <x:v>4</x:v>
      </x:c>
      <x:c r="O20" s="17" t="n">
        <x:v>4</x:v>
      </x:c>
      <x:c r="P20" s="17" t="n">
        <x:v>0</x:v>
      </x:c>
      <x:c r="Q20" s="17" t="str">
        <x:v>Coin</x:v>
      </x:c>
      <x:c r="R20" s="18" t="str">
        <x:v>/Users/mac/Documents/智囊团/video_analysis/Top_Tycoon新号流程_20260804/frames/TT_NEW_01/TT_NEW_01_t000395.jpg</x:v>
      </x:c>
      <x:c r="S20" s="17" t="str">
        <x:v>00:06:38</x:v>
      </x:c>
      <x:c r="T20" s="17" t="str">
        <x:v>待复核</x:v>
      </x:c>
      <x:c r="U20" s="17" t="str">
        <x:v>B</x:v>
      </x:c>
      <x:c r="V20" s="17" t="str">
        <x:v>由逐秒能量变化推断；快速自动Spin可能需4fps补核</x:v>
      </x:c>
      <x:c r="W20" s="17" t="str">
        <x:v>纯金币</x:v>
      </x:c>
      <x:c r="X20" s="17" t="str">
        <x:v>是</x:v>
      </x:c>
      <x:c r="Y20" s="17" t="str">
        <x:v>是</x:v>
      </x:c>
      <x:c r="Z20" s="17" t="str">
        <x:v>未知</x:v>
      </x:c>
      <x:c r="AA20" s="17" t="str">
        <x:v>未知</x:v>
      </x:c>
      <x:c r="AB20" s="17" t="str">
        <x:v>否</x:v>
      </x:c>
    </x:row>
    <x:row r="21">
      <x:c r="A21" s="17" t="str">
        <x:v>TT_NEW_01</x:v>
      </x:c>
      <x:c r="B21" s="17" t="str">
        <x:v>TT_NEW_01_S0020</x:v>
      </x:c>
      <x:c r="C21" s="17" t="str">
        <x:v>00:06:38</x:v>
      </x:c>
      <x:c r="D21" s="17" t="n">
        <x:v>398</x:v>
      </x:c>
      <x:c r="E21" s="17" t="n">
        <x:v>1</x:v>
      </x:c>
      <x:c r="F21" s="17" t="n">
        <x:v>1</x:v>
      </x:c>
      <x:c r="G21" s="17" t="n">
        <x:v>19</x:v>
      </x:c>
      <x:c r="H21" s="17" t="n">
        <x:v>18</x:v>
      </x:c>
      <x:c r="I21" s="17" t="n">
        <x:v>1</x:v>
      </x:c>
      <x:c r="J21" s="17" t="n">
        <x:v>10</x:v>
      </x:c>
      <x:c r="K21" s="17" t="n">
        <x:v>28102</x:v>
      </x:c>
      <x:c r="L21" s="17" t="n">
        <x:v>28602</x:v>
      </x:c>
      <x:c r="M21" s="17" t="n">
        <x:v>500</x:v>
      </x:c>
      <x:c r="N21" s="17" t="n">
        <x:v>4</x:v>
      </x:c>
      <x:c r="O21" s="17" t="n">
        <x:v>4</x:v>
      </x:c>
      <x:c r="P21" s="17" t="n">
        <x:v>0</x:v>
      </x:c>
      <x:c r="Q21" s="17" t="str">
        <x:v>Coin + Energy</x:v>
      </x:c>
      <x:c r="R21" s="18" t="str">
        <x:v>/Users/mac/Documents/智囊团/video_analysis/Top_Tycoon新号流程_20260804/frames/TT_NEW_01/TT_NEW_01_t000398.jpg</x:v>
      </x:c>
      <x:c r="S21" s="17" t="str">
        <x:v>00:06:48</x:v>
      </x:c>
      <x:c r="T21" s="17" t="str">
        <x:v>待复核</x:v>
      </x:c>
      <x:c r="U21" s="17" t="str">
        <x:v>B</x:v>
      </x:c>
      <x:c r="V21" s="17" t="str">
        <x:v>由逐秒能量变化推断；快速自动Spin可能需4fps补核</x:v>
      </x:c>
      <x:c r="W21" s="17" t="str">
        <x:v>混合奖励</x:v>
      </x:c>
      <x:c r="X21" s="17" t="str">
        <x:v>是</x:v>
      </x:c>
      <x:c r="Y21" s="17" t="str">
        <x:v>是</x:v>
      </x:c>
      <x:c r="Z21" s="17" t="str">
        <x:v>未知</x:v>
      </x:c>
      <x:c r="AA21" s="17" t="str">
        <x:v>未知</x:v>
      </x:c>
      <x:c r="AB21" s="17" t="str">
        <x:v>否</x:v>
      </x:c>
    </x:row>
    <x:row r="22">
      <x:c r="A22" s="17" t="str">
        <x:v>TT_NEW_01</x:v>
      </x:c>
      <x:c r="B22" s="17" t="str">
        <x:v>TT_NEW_01_S0021</x:v>
      </x:c>
      <x:c r="C22" s="17" t="str">
        <x:v>00:06:48</x:v>
      </x:c>
      <x:c r="D22" s="17" t="n">
        <x:v>408</x:v>
      </x:c>
      <x:c r="E22" s="17" t="n">
        <x:v>1</x:v>
      </x:c>
      <x:c r="F22" s="17" t="n">
        <x:v>1</x:v>
      </x:c>
      <x:c r="G22" s="17" t="n">
        <x:v>28</x:v>
      </x:c>
      <x:c r="H22" s="17" t="n">
        <x:v>27</x:v>
      </x:c>
      <x:c r="I22" s="17" t="n">
        <x:v>1</x:v>
      </x:c>
      <x:c r="J22" s="17" t="n">
        <x:v>0</x:v>
      </x:c>
      <x:c r="K22" s="17" t="n">
        <x:v>28602</x:v>
      </x:c>
      <x:c r="L22" s="17" t="n">
        <x:v>28802</x:v>
      </x:c>
      <x:c r="M22" s="17" t="n">
        <x:v>200</x:v>
      </x:c>
      <x:c r="N22" s="17" t="n">
        <x:v>3</x:v>
      </x:c>
      <x:c r="O22" s="17" t="n">
        <x:v>3</x:v>
      </x:c>
      <x:c r="P22" s="17" t="n">
        <x:v>0</x:v>
      </x:c>
      <x:c r="Q22" s="17" t="str">
        <x:v>Coin</x:v>
      </x:c>
      <x:c r="R22" s="18" t="str">
        <x:v>/Users/mac/Documents/智囊团/video_analysis/Top_Tycoon新号流程_20260804/frames/TT_NEW_01/TT_NEW_01_t000408.jpg</x:v>
      </x:c>
      <x:c r="S22" s="17" t="str">
        <x:v>00:06:50</x:v>
      </x:c>
      <x:c r="T22" s="17" t="str">
        <x:v>待复核</x:v>
      </x:c>
      <x:c r="U22" s="17" t="str">
        <x:v>B</x:v>
      </x:c>
      <x:c r="V22" s="17" t="str">
        <x:v>由逐秒能量变化推断；快速自动Spin可能需4fps补核</x:v>
      </x:c>
      <x:c r="W22" s="17" t="str">
        <x:v>纯金币</x:v>
      </x:c>
      <x:c r="X22" s="17" t="str">
        <x:v>是</x:v>
      </x:c>
      <x:c r="Y22" s="17" t="str">
        <x:v>是</x:v>
      </x:c>
      <x:c r="Z22" s="17" t="str">
        <x:v>未知</x:v>
      </x:c>
      <x:c r="AA22" s="17" t="str">
        <x:v>未知</x:v>
      </x:c>
      <x:c r="AB22" s="17" t="str">
        <x:v>否</x:v>
      </x:c>
    </x:row>
    <x:row r="23">
      <x:c r="A23" s="17" t="str">
        <x:v>TT_NEW_01</x:v>
      </x:c>
      <x:c r="B23" s="17" t="str">
        <x:v>TT_NEW_01_S0022</x:v>
      </x:c>
      <x:c r="C23" s="17" t="str">
        <x:v>00:06:50</x:v>
      </x:c>
      <x:c r="D23" s="17" t="n">
        <x:v>410</x:v>
      </x:c>
      <x:c r="E23" s="17" t="n">
        <x:v>1</x:v>
      </x:c>
      <x:c r="F23" s="17" t="n">
        <x:v>1</x:v>
      </x:c>
      <x:c r="G23" s="17" t="n">
        <x:v>27</x:v>
      </x:c>
      <x:c r="H23" s="17" t="n">
        <x:v>26</x:v>
      </x:c>
      <x:c r="I23" s="17" t="n">
        <x:v>1</x:v>
      </x:c>
      <x:c r="J23" s="17" t="n">
        <x:v>0</x:v>
      </x:c>
      <x:c r="K23" s="17" t="n">
        <x:v>28602</x:v>
      </x:c>
      <x:c r="L23" s="17" t="n">
        <x:v>38802</x:v>
      </x:c>
      <x:c r="M23" s="17" t="n">
        <x:v>10200</x:v>
      </x:c>
      <x:c r="N23" s="17" t="n">
        <x:v>3</x:v>
      </x:c>
      <x:c r="O23" s="17" t="n">
        <x:v>3</x:v>
      </x:c>
      <x:c r="P23" s="17" t="n">
        <x:v>0</x:v>
      </x:c>
      <x:c r="Q23" s="17" t="str">
        <x:v>Coin</x:v>
      </x:c>
      <x:c r="R23" s="18" t="str">
        <x:v>/Users/mac/Documents/智囊团/video_analysis/Top_Tycoon新号流程_20260804/frames/TT_NEW_01/TT_NEW_01_t000410.jpg</x:v>
      </x:c>
      <x:c r="S23" s="17" t="str">
        <x:v>00:06:53</x:v>
      </x:c>
      <x:c r="T23" s="17" t="str">
        <x:v>待复核</x:v>
      </x:c>
      <x:c r="U23" s="17" t="str">
        <x:v>B</x:v>
      </x:c>
      <x:c r="V23" s="17" t="str">
        <x:v>由逐秒能量变化推断；快速自动Spin可能需4fps补核</x:v>
      </x:c>
      <x:c r="W23" s="17" t="str">
        <x:v>纯金币</x:v>
      </x:c>
      <x:c r="X23" s="17" t="str">
        <x:v>是</x:v>
      </x:c>
      <x:c r="Y23" s="17" t="str">
        <x:v>是</x:v>
      </x:c>
      <x:c r="Z23" s="17" t="str">
        <x:v>未知</x:v>
      </x:c>
      <x:c r="AA23" s="17" t="str">
        <x:v>未知</x:v>
      </x:c>
      <x:c r="AB23" s="17" t="str">
        <x:v>否</x:v>
      </x:c>
    </x:row>
    <x:row r="24">
      <x:c r="A24" s="17" t="str">
        <x:v>TT_NEW_01</x:v>
      </x:c>
      <x:c r="B24" s="17" t="str">
        <x:v>TT_NEW_01_S0023</x:v>
      </x:c>
      <x:c r="C24" s="17" t="str">
        <x:v>00:06:53</x:v>
      </x:c>
      <x:c r="D24" s="17" t="n">
        <x:v>413</x:v>
      </x:c>
      <x:c r="E24" s="17" t="n">
        <x:v>1</x:v>
      </x:c>
      <x:c r="F24" s="17" t="n">
        <x:v>1</x:v>
      </x:c>
      <x:c r="G24" s="17" t="n">
        <x:v>26</x:v>
      </x:c>
      <x:c r="H24" s="17" t="n">
        <x:v>25</x:v>
      </x:c>
      <x:c r="I24" s="17" t="n">
        <x:v>1</x:v>
      </x:c>
      <x:c r="J24" s="17" t="n">
        <x:v>0</x:v>
      </x:c>
      <x:c r="K24" s="17" t="n">
        <x:v>28802</x:v>
      </x:c>
      <x:c r="L24" s="17" t="n">
        <x:v>70802</x:v>
      </x:c>
      <x:c r="M24" s="17" t="n">
        <x:v>42000</x:v>
      </x:c>
      <x:c r="N24" s="17" t="n">
        <x:v>3</x:v>
      </x:c>
      <x:c r="O24" s="17" t="n">
        <x:v>3</x:v>
      </x:c>
      <x:c r="P24" s="17" t="n">
        <x:v>0</x:v>
      </x:c>
      <x:c r="Q24" s="17" t="str">
        <x:v>Attack</x:v>
      </x:c>
      <x:c r="R24" s="18" t="str">
        <x:v>/Users/mac/Documents/智囊团/video_analysis/Top_Tycoon新号流程_20260804/frames/TT_NEW_01/TT_NEW_01_t000413.jpg</x:v>
      </x:c>
      <x:c r="S24" s="17" t="str">
        <x:v>00:07:21</x:v>
      </x:c>
      <x:c r="T24" s="17" t="str">
        <x:v>待复核</x:v>
      </x:c>
      <x:c r="U24" s="17" t="str">
        <x:v>B</x:v>
      </x:c>
      <x:c r="V24" s="17" t="str">
        <x:v>由逐秒能量变化推断；快速自动Spin可能需4fps补核</x:v>
      </x:c>
      <x:c r="W24" s="17" t="str">
        <x:v>Attack</x:v>
      </x:c>
      <x:c r="X24" s="17" t="str">
        <x:v>是</x:v>
      </x:c>
      <x:c r="Y24" s="17" t="str">
        <x:v>是</x:v>
      </x:c>
      <x:c r="Z24" s="17" t="str">
        <x:v>未知</x:v>
      </x:c>
      <x:c r="AA24" s="17" t="str">
        <x:v>未知</x:v>
      </x:c>
      <x:c r="AB24" s="17" t="str">
        <x:v>否</x:v>
      </x:c>
    </x:row>
    <x:row r="25">
      <x:c r="A25" s="17" t="str">
        <x:v>TT_NEW_01</x:v>
      </x:c>
      <x:c r="B25" s="17" t="str">
        <x:v>TT_NEW_01_S0024</x:v>
      </x:c>
      <x:c r="C25" s="17" t="str">
        <x:v>00:07:21</x:v>
      </x:c>
      <x:c r="D25" s="17" t="n">
        <x:v>441</x:v>
      </x:c>
      <x:c r="E25" s="17" t="n">
        <x:v>1</x:v>
      </x:c>
      <x:c r="F25" s="17" t="n">
        <x:v>1</x:v>
      </x:c>
      <x:c r="G25" s="17" t="n">
        <x:v>25</x:v>
      </x:c>
      <x:c r="H25" s="17" t="n">
        <x:v>24</x:v>
      </x:c>
      <x:c r="I25" s="17" t="n">
        <x:v>1</x:v>
      </x:c>
      <x:c r="J25" s="17" t="n">
        <x:v>5</x:v>
      </x:c>
      <x:c r="K25" s="17" t="n">
        <x:v>68802</x:v>
      </x:c>
      <x:c r="L25" s="17" t="n">
        <x:v>70802</x:v>
      </x:c>
      <x:c r="M25" s="17" t="n">
        <x:v>2000</x:v>
      </x:c>
      <x:c r="N25" s="17" t="n">
        <x:v>3</x:v>
      </x:c>
      <x:c r="O25" s="17" t="n">
        <x:v>3</x:v>
      </x:c>
      <x:c r="P25" s="17" t="n">
        <x:v>0</x:v>
      </x:c>
      <x:c r="Q25" s="17" t="str">
        <x:v>Coin + Energy</x:v>
      </x:c>
      <x:c r="R25" s="18" t="str">
        <x:v>/Users/mac/Documents/智囊团/video_analysis/Top_Tycoon新号流程_20260804/frames/TT_NEW_01/TT_NEW_01_t000441.jpg</x:v>
      </x:c>
      <x:c r="S25" s="17" t="str">
        <x:v>00:07:27</x:v>
      </x:c>
      <x:c r="T25" s="17" t="str">
        <x:v>待复核</x:v>
      </x:c>
      <x:c r="U25" s="17" t="str">
        <x:v>B</x:v>
      </x:c>
      <x:c r="V25" s="17" t="str">
        <x:v>由逐秒能量变化推断；快速自动Spin可能需4fps补核</x:v>
      </x:c>
      <x:c r="W25" s="17" t="str">
        <x:v>混合奖励</x:v>
      </x:c>
      <x:c r="X25" s="17" t="str">
        <x:v>是</x:v>
      </x:c>
      <x:c r="Y25" s="17" t="str">
        <x:v>是</x:v>
      </x:c>
      <x:c r="Z25" s="17" t="str">
        <x:v>未知</x:v>
      </x:c>
      <x:c r="AA25" s="17" t="str">
        <x:v>未知</x:v>
      </x:c>
      <x:c r="AB25" s="17" t="str">
        <x:v>否</x:v>
      </x:c>
    </x:row>
    <x:row r="26">
      <x:c r="A26" s="17" t="str">
        <x:v>TT_NEW_01</x:v>
      </x:c>
      <x:c r="B26" s="17" t="str">
        <x:v>TT_NEW_01_S0025</x:v>
      </x:c>
      <x:c r="C26" s="17" t="str">
        <x:v>00:07:27</x:v>
      </x:c>
      <x:c r="D26" s="17" t="n">
        <x:v>447</x:v>
      </x:c>
      <x:c r="E26" s="17" t="n">
        <x:v>1</x:v>
      </x:c>
      <x:c r="F26" s="17" t="n">
        <x:v>1</x:v>
      </x:c>
      <x:c r="G26" s="17" t="n">
        <x:v>29</x:v>
      </x:c>
      <x:c r="H26" s="17" t="n">
        <x:v>28</x:v>
      </x:c>
      <x:c r="I26" s="17" t="n">
        <x:v>1</x:v>
      </x:c>
      <x:c r="J26" s="17" t="n">
        <x:v>0</x:v>
      </x:c>
      <x:c r="K26" s="17" t="n">
        <x:v>70802</x:v>
      </x:c>
      <x:c r="L26" s="17" t="n">
        <x:v>71402</x:v>
      </x:c>
      <x:c r="M26" s="17" t="n">
        <x:v>600</x:v>
      </x:c>
      <x:c r="N26" s="17" t="n">
        <x:v>3</x:v>
      </x:c>
      <x:c r="O26" s="17" t="n">
        <x:v>3</x:v>
      </x:c>
      <x:c r="P26" s="17" t="n">
        <x:v>0</x:v>
      </x:c>
      <x:c r="Q26" s="17" t="str">
        <x:v>Coin</x:v>
      </x:c>
      <x:c r="R26" s="18" t="str">
        <x:v>/Users/mac/Documents/智囊团/video_analysis/Top_Tycoon新号流程_20260804/frames/TT_NEW_01/TT_NEW_01_t000447.jpg</x:v>
      </x:c>
      <x:c r="S26" s="17" t="str">
        <x:v>00:07:30</x:v>
      </x:c>
      <x:c r="T26" s="17" t="str">
        <x:v>待复核</x:v>
      </x:c>
      <x:c r="U26" s="17" t="str">
        <x:v>B</x:v>
      </x:c>
      <x:c r="V26" s="17" t="str">
        <x:v>由逐秒能量变化推断；快速自动Spin可能需4fps补核</x:v>
      </x:c>
      <x:c r="W26" s="17" t="str">
        <x:v>纯金币</x:v>
      </x:c>
      <x:c r="X26" s="17" t="str">
        <x:v>是</x:v>
      </x:c>
      <x:c r="Y26" s="17" t="str">
        <x:v>是</x:v>
      </x:c>
      <x:c r="Z26" s="17" t="str">
        <x:v>未知</x:v>
      </x:c>
      <x:c r="AA26" s="17" t="str">
        <x:v>未知</x:v>
      </x:c>
      <x:c r="AB26" s="17" t="str">
        <x:v>否</x:v>
      </x:c>
    </x:row>
    <x:row r="27">
      <x:c r="A27" s="17" t="str">
        <x:v>TT_NEW_01</x:v>
      </x:c>
      <x:c r="B27" s="17" t="str">
        <x:v>TT_NEW_01_S0026</x:v>
      </x:c>
      <x:c r="C27" s="17" t="str">
        <x:v>00:07:30</x:v>
      </x:c>
      <x:c r="D27" s="17" t="n">
        <x:v>450</x:v>
      </x:c>
      <x:c r="E27" s="17" t="n">
        <x:v>1</x:v>
      </x:c>
      <x:c r="F27" s="17" t="n">
        <x:v>1</x:v>
      </x:c>
      <x:c r="G27" s="17" t="n">
        <x:v>28</x:v>
      </x:c>
      <x:c r="H27" s="17" t="n">
        <x:v>27</x:v>
      </x:c>
      <x:c r="I27" s="17" t="n">
        <x:v>1</x:v>
      </x:c>
      <x:c r="J27" s="17" t="n">
        <x:v>0</x:v>
      </x:c>
      <x:c r="K27" s="17" t="n">
        <x:v>70802</x:v>
      </x:c>
      <x:c r="L27" s="17" t="n">
        <x:v>71602</x:v>
      </x:c>
      <x:c r="M27" s="17" t="n">
        <x:v>800</x:v>
      </x:c>
      <x:c r="N27" s="17" t="n">
        <x:v>3</x:v>
      </x:c>
      <x:c r="O27" s="17" t="n">
        <x:v>3</x:v>
      </x:c>
      <x:c r="P27" s="17" t="n">
        <x:v>0</x:v>
      </x:c>
      <x:c r="Q27" s="17" t="str">
        <x:v>Coin</x:v>
      </x:c>
      <x:c r="R27" s="18" t="str">
        <x:v>/Users/mac/Documents/智囊团/video_analysis/Top_Tycoon新号流程_20260804/frames/TT_NEW_01/TT_NEW_01_t000450.jpg</x:v>
      </x:c>
      <x:c r="S27" s="17" t="str">
        <x:v>00:07:33</x:v>
      </x:c>
      <x:c r="T27" s="17" t="str">
        <x:v>待复核</x:v>
      </x:c>
      <x:c r="U27" s="17" t="str">
        <x:v>B</x:v>
      </x:c>
      <x:c r="V27" s="17" t="str">
        <x:v>由逐秒能量变化推断；快速自动Spin可能需4fps补核</x:v>
      </x:c>
      <x:c r="W27" s="17" t="str">
        <x:v>纯金币</x:v>
      </x:c>
      <x:c r="X27" s="17" t="str">
        <x:v>是</x:v>
      </x:c>
      <x:c r="Y27" s="17" t="str">
        <x:v>是</x:v>
      </x:c>
      <x:c r="Z27" s="17" t="str">
        <x:v>未知</x:v>
      </x:c>
      <x:c r="AA27" s="17" t="str">
        <x:v>未知</x:v>
      </x:c>
      <x:c r="AB27" s="17" t="str">
        <x:v>否</x:v>
      </x:c>
    </x:row>
    <x:row r="28">
      <x:c r="A28" s="17" t="str">
        <x:v>TT_NEW_01</x:v>
      </x:c>
      <x:c r="B28" s="17" t="str">
        <x:v>TT_NEW_01_S0027</x:v>
      </x:c>
      <x:c r="C28" s="17" t="str">
        <x:v>00:07:33</x:v>
      </x:c>
      <x:c r="D28" s="17" t="n">
        <x:v>453</x:v>
      </x:c>
      <x:c r="E28" s="17" t="n">
        <x:v>1</x:v>
      </x:c>
      <x:c r="F28" s="17" t="n">
        <x:v>1</x:v>
      </x:c>
      <x:c r="G28" s="17" t="n">
        <x:v>27</x:v>
      </x:c>
      <x:c r="H28" s="17" t="n">
        <x:v>26</x:v>
      </x:c>
      <x:c r="I28" s="17" t="n">
        <x:v>1</x:v>
      </x:c>
      <x:c r="J28" s="17" t="n">
        <x:v>0</x:v>
      </x:c>
      <x:c r="K28" s="17" t="n">
        <x:v>71588</x:v>
      </x:c>
      <x:c r="L28" s="17" t="n">
        <x:v>81602</x:v>
      </x:c>
      <x:c r="M28" s="17" t="n">
        <x:v>10014</x:v>
      </x:c>
      <x:c r="N28" s="17" t="n">
        <x:v>3</x:v>
      </x:c>
      <x:c r="O28" s="17" t="n">
        <x:v>3</x:v>
      </x:c>
      <x:c r="P28" s="17" t="n">
        <x:v>0</x:v>
      </x:c>
      <x:c r="Q28" s="17" t="str">
        <x:v>Coin</x:v>
      </x:c>
      <x:c r="R28" s="18" t="str">
        <x:v>/Users/mac/Documents/智囊团/video_analysis/Top_Tycoon新号流程_20260804/frames/TT_NEW_01/TT_NEW_01_t000453.jpg</x:v>
      </x:c>
      <x:c r="S28" s="17" t="str">
        <x:v>00:07:36</x:v>
      </x:c>
      <x:c r="T28" s="17" t="str">
        <x:v>待复核</x:v>
      </x:c>
      <x:c r="U28" s="17" t="str">
        <x:v>B</x:v>
      </x:c>
      <x:c r="V28" s="17" t="str">
        <x:v>由逐秒能量变化推断；快速自动Spin可能需4fps补核</x:v>
      </x:c>
      <x:c r="W28" s="17" t="str">
        <x:v>纯金币</x:v>
      </x:c>
      <x:c r="X28" s="17" t="str">
        <x:v>是</x:v>
      </x:c>
      <x:c r="Y28" s="17" t="str">
        <x:v>是</x:v>
      </x:c>
      <x:c r="Z28" s="17" t="str">
        <x:v>未知</x:v>
      </x:c>
      <x:c r="AA28" s="17" t="str">
        <x:v>未知</x:v>
      </x:c>
      <x:c r="AB28" s="17" t="str">
        <x:v>否</x:v>
      </x:c>
    </x:row>
    <x:row r="29">
      <x:c r="A29" s="17" t="str">
        <x:v>TT_NEW_01</x:v>
      </x:c>
      <x:c r="B29" s="17" t="str">
        <x:v>TT_NEW_01_S0028</x:v>
      </x:c>
      <x:c r="C29" s="17" t="str">
        <x:v>00:07:36</x:v>
      </x:c>
      <x:c r="D29" s="17" t="n">
        <x:v>456</x:v>
      </x:c>
      <x:c r="E29" s="17" t="n">
        <x:v>3</x:v>
      </x:c>
      <x:c r="F29" s="17" t="n">
        <x:v>1</x:v>
      </x:c>
      <x:c r="G29" s="17" t="n">
        <x:v>26</x:v>
      </x:c>
      <x:c r="H29" s="17" t="n">
        <x:v>23</x:v>
      </x:c>
      <x:c r="I29" s="17" t="n">
        <x:v>3</x:v>
      </x:c>
      <x:c r="J29" s="17" t="n">
        <x:v>2</x:v>
      </x:c>
      <x:c r="K29" s="17" t="n">
        <x:v>72268</x:v>
      </x:c>
      <x:c r="L29" s="17" t="n">
        <x:v>82102</x:v>
      </x:c>
      <x:c r="M29" s="17" t="n">
        <x:v>9834</x:v>
      </x:c>
      <x:c r="N29" s="17" t="n">
        <x:v>3</x:v>
      </x:c>
      <x:c r="O29" s="17" t="n">
        <x:v>5</x:v>
      </x:c>
      <x:c r="P29" s="17" t="n">
        <x:v>2</x:v>
      </x:c>
      <x:c r="Q29" s="17" t="str">
        <x:v>Coin + Energy + Progress</x:v>
      </x:c>
      <x:c r="R29" s="18" t="str">
        <x:v>/Users/mac/Documents/智囊团/video_analysis/Top_Tycoon新号流程_20260804/frames/TT_NEW_01/TT_NEW_01_t000456.jpg</x:v>
      </x:c>
      <x:c r="S29" s="17" t="str">
        <x:v>00:07:40</x:v>
      </x:c>
      <x:c r="T29" s="17" t="str">
        <x:v>待复核</x:v>
      </x:c>
      <x:c r="U29" s="17" t="str">
        <x:v>C</x:v>
      </x:c>
      <x:c r="V29" s="17" t="str">
        <x:v>由逐秒能量变化推断；快速自动Spin可能需4fps补核</x:v>
      </x:c>
      <x:c r="W29" s="17" t="str">
        <x:v>混合奖励</x:v>
      </x:c>
      <x:c r="X29" s="17" t="str">
        <x:v>否</x:v>
      </x:c>
      <x:c r="Y29" s="17" t="str">
        <x:v>是</x:v>
      </x:c>
      <x:c r="Z29" s="17" t="str">
        <x:v>未知</x:v>
      </x:c>
      <x:c r="AA29" s="17" t="str">
        <x:v>未知</x:v>
      </x:c>
      <x:c r="AB29" s="17" t="str">
        <x:v>否</x:v>
      </x:c>
    </x:row>
    <x:row r="30">
      <x:c r="A30" s="17" t="str">
        <x:v>TT_NEW_01</x:v>
      </x:c>
      <x:c r="B30" s="17" t="str">
        <x:v>TT_NEW_01_S0029</x:v>
      </x:c>
      <x:c r="C30" s="17" t="str">
        <x:v>00:07:40</x:v>
      </x:c>
      <x:c r="D30" s="17" t="n">
        <x:v>460</x:v>
      </x:c>
      <x:c r="E30" s="17" t="n">
        <x:v>1</x:v>
      </x:c>
      <x:c r="F30" s="17" t="n">
        <x:v>1</x:v>
      </x:c>
      <x:c r="G30" s="17" t="n">
        <x:v>25</x:v>
      </x:c>
      <x:c r="H30" s="17" t="n">
        <x:v>24</x:v>
      </x:c>
      <x:c r="I30" s="17" t="n">
        <x:v>1</x:v>
      </x:c>
      <x:c r="J30" s="17" t="n">
        <x:v>0</x:v>
      </x:c>
      <x:c r="K30" s="17" t="n">
        <x:v>81602</x:v>
      </x:c>
      <x:c r="L30" s="17" t="n">
        <x:v>82102</x:v>
      </x:c>
      <x:c r="M30" s="17" t="n">
        <x:v>500</x:v>
      </x:c>
      <x:c r="N30" s="17" t="n">
        <x:v>3</x:v>
      </x:c>
      <x:c r="O30" s="17" t="n">
        <x:v>5</x:v>
      </x:c>
      <x:c r="P30" s="17" t="n">
        <x:v>2</x:v>
      </x:c>
      <x:c r="Q30" s="17" t="str">
        <x:v>Shield + Coin + Progress</x:v>
      </x:c>
      <x:c r="R30" s="18" t="str">
        <x:v>/Users/mac/Documents/智囊团/video_analysis/Top_Tycoon新号流程_20260804/frames/TT_NEW_01/TT_NEW_01_t000460.jpg</x:v>
      </x:c>
      <x:c r="S30" s="17" t="str">
        <x:v>00:07:46</x:v>
      </x:c>
      <x:c r="T30" s="17" t="str">
        <x:v>待复核</x:v>
      </x:c>
      <x:c r="U30" s="17" t="str">
        <x:v>B</x:v>
      </x:c>
      <x:c r="V30" s="17" t="str">
        <x:v>由逐秒能量变化推断；快速自动Spin可能需4fps补核</x:v>
      </x:c>
      <x:c r="W30" s="17" t="str">
        <x:v>Shield</x:v>
      </x:c>
      <x:c r="X30" s="17" t="str">
        <x:v>是</x:v>
      </x:c>
      <x:c r="Y30" s="17" t="str">
        <x:v>是</x:v>
      </x:c>
      <x:c r="Z30" s="17" t="str">
        <x:v>未知</x:v>
      </x:c>
      <x:c r="AA30" s="17" t="str">
        <x:v>未知</x:v>
      </x:c>
      <x:c r="AB30" s="17" t="str">
        <x:v>否</x:v>
      </x:c>
    </x:row>
    <x:row r="31">
      <x:c r="A31" s="17" t="str">
        <x:v>TT_NEW_01</x:v>
      </x:c>
      <x:c r="B31" s="17" t="str">
        <x:v>TT_NEW_01_S0030</x:v>
      </x:c>
      <x:c r="C31" s="17" t="str">
        <x:v>00:07:46</x:v>
      </x:c>
      <x:c r="D31" s="17" t="n">
        <x:v>466</x:v>
      </x:c>
      <x:c r="E31" s="17" t="n">
        <x:v>1</x:v>
      </x:c>
      <x:c r="F31" s="17" t="n">
        <x:v>1</x:v>
      </x:c>
      <x:c r="G31" s="17" t="n">
        <x:v>24</x:v>
      </x:c>
      <x:c r="H31" s="17" t="n">
        <x:v>23</x:v>
      </x:c>
      <x:c r="I31" s="17" t="n">
        <x:v>1</x:v>
      </x:c>
      <x:c r="J31" s="17" t="n">
        <x:v>0</x:v>
      </x:c>
      <x:c r="K31" s="17" t="n">
        <x:v>82102</x:v>
      </x:c>
      <x:c r="L31" s="17" t="n">
        <x:v>82202</x:v>
      </x:c>
      <x:c r="M31" s="17" t="n">
        <x:v>100</x:v>
      </x:c>
      <x:c r="N31" s="17" t="n">
        <x:v>5</x:v>
      </x:c>
      <x:c r="O31" s="17" t="n">
        <x:v>5</x:v>
      </x:c>
      <x:c r="P31" s="17" t="n">
        <x:v>0</x:v>
      </x:c>
      <x:c r="Q31" s="17" t="str">
        <x:v>Coin</x:v>
      </x:c>
      <x:c r="R31" s="18" t="str">
        <x:v>/Users/mac/Documents/智囊团/video_analysis/Top_Tycoon新号流程_20260804/frames/TT_NEW_01/TT_NEW_01_t000466.jpg</x:v>
      </x:c>
      <x:c r="S31" s="17" t="str">
        <x:v>00:08:19</x:v>
      </x:c>
      <x:c r="T31" s="17" t="str">
        <x:v>待复核</x:v>
      </x:c>
      <x:c r="U31" s="17" t="str">
        <x:v>B</x:v>
      </x:c>
      <x:c r="V31" s="17" t="str">
        <x:v>由逐秒能量变化推断；快速自动Spin可能需4fps补核</x:v>
      </x:c>
      <x:c r="W31" s="17" t="str">
        <x:v>纯金币</x:v>
      </x:c>
      <x:c r="X31" s="17" t="str">
        <x:v>是</x:v>
      </x:c>
      <x:c r="Y31" s="17" t="str">
        <x:v>是</x:v>
      </x:c>
      <x:c r="Z31" s="17" t="str">
        <x:v>未知</x:v>
      </x:c>
      <x:c r="AA31" s="17" t="str">
        <x:v>未知</x:v>
      </x:c>
      <x:c r="AB31" s="17" t="str">
        <x:v>否</x:v>
      </x:c>
    </x:row>
    <x:row r="32">
      <x:c r="A32" s="17" t="str">
        <x:v>TT_NEW_01</x:v>
      </x:c>
      <x:c r="B32" s="17" t="str">
        <x:v>TT_NEW_01_S0031</x:v>
      </x:c>
      <x:c r="C32" s="17" t="str">
        <x:v>00:08:19</x:v>
      </x:c>
      <x:c r="D32" s="17" t="n">
        <x:v>499</x:v>
      </x:c>
      <x:c r="E32" s="17" t="n">
        <x:v>1</x:v>
      </x:c>
      <x:c r="F32" s="17" t="n">
        <x:v>1</x:v>
      </x:c>
      <x:c r="G32" s="17" t="n">
        <x:v>22</x:v>
      </x:c>
      <x:c r="H32" s="17" t="n">
        <x:v>21</x:v>
      </x:c>
      <x:c r="I32" s="17" t="n">
        <x:v>1</x:v>
      </x:c>
      <x:c r="J32" s="17" t="n">
        <x:v>0</x:v>
      </x:c>
      <x:c r="K32" s="17" t="n">
        <x:v>82202</x:v>
      </x:c>
      <x:c r="L32" s="17" t="n">
        <x:v>92202</x:v>
      </x:c>
      <x:c r="M32" s="17" t="n">
        <x:v>10000</x:v>
      </x:c>
      <x:c r="N32" s="17" t="n">
        <x:v>5</x:v>
      </x:c>
      <x:c r="O32" s="17" t="n">
        <x:v>5</x:v>
      </x:c>
      <x:c r="P32" s="17" t="n">
        <x:v>0</x:v>
      </x:c>
      <x:c r="Q32" s="17" t="str">
        <x:v>Coin</x:v>
      </x:c>
      <x:c r="R32" s="18" t="str">
        <x:v>/Users/mac/Documents/智囊团/video_analysis/Top_Tycoon新号流程_20260804/frames/TT_NEW_01/TT_NEW_01_t000499.jpg</x:v>
      </x:c>
      <x:c r="S32" s="17" t="str">
        <x:v>00:08:23</x:v>
      </x:c>
      <x:c r="T32" s="17" t="str">
        <x:v>待复核</x:v>
      </x:c>
      <x:c r="U32" s="17" t="str">
        <x:v>B</x:v>
      </x:c>
      <x:c r="V32" s="17" t="str">
        <x:v>由逐秒能量变化推断；快速自动Spin可能需4fps补核</x:v>
      </x:c>
      <x:c r="W32" s="17" t="str">
        <x:v>纯金币</x:v>
      </x:c>
      <x:c r="X32" s="17" t="str">
        <x:v>是</x:v>
      </x:c>
      <x:c r="Y32" s="17" t="str">
        <x:v>是</x:v>
      </x:c>
      <x:c r="Z32" s="17" t="str">
        <x:v>未知</x:v>
      </x:c>
      <x:c r="AA32" s="17" t="str">
        <x:v>未知</x:v>
      </x:c>
      <x:c r="AB32" s="17" t="str">
        <x:v>否</x:v>
      </x:c>
    </x:row>
    <x:row r="33">
      <x:c r="A33" s="17" t="str">
        <x:v>TT_NEW_01</x:v>
      </x:c>
      <x:c r="B33" s="17" t="str">
        <x:v>TT_NEW_01_S0032</x:v>
      </x:c>
      <x:c r="C33" s="17" t="str">
        <x:v>00:08:23</x:v>
      </x:c>
      <x:c r="D33" s="17" t="n">
        <x:v>503</x:v>
      </x:c>
      <x:c r="E33" s="17" t="n">
        <x:v>1</x:v>
      </x:c>
      <x:c r="F33" s="17" t="n">
        <x:v>1</x:v>
      </x:c>
      <x:c r="G33" s="17" t="n">
        <x:v>21</x:v>
      </x:c>
      <x:c r="H33" s="17" t="n">
        <x:v>20</x:v>
      </x:c>
      <x:c r="I33" s="17" t="n">
        <x:v>1</x:v>
      </x:c>
      <x:c r="J33" s="17" t="n">
        <x:v>0</x:v>
      </x:c>
      <x:c r="K33" s="17" t="n">
        <x:v>82535</x:v>
      </x:c>
      <x:c r="L33" s="17" t="n">
        <x:v>92702</x:v>
      </x:c>
      <x:c r="M33" s="17" t="n">
        <x:v>10167</x:v>
      </x:c>
      <x:c r="N33" s="17" t="n">
        <x:v>5</x:v>
      </x:c>
      <x:c r="O33" s="17" t="n">
        <x:v>5</x:v>
      </x:c>
      <x:c r="P33" s="17" t="n">
        <x:v>0</x:v>
      </x:c>
      <x:c r="Q33" s="17" t="str">
        <x:v>Coin</x:v>
      </x:c>
      <x:c r="R33" s="18" t="str">
        <x:v>/Users/mac/Documents/智囊团/video_analysis/Top_Tycoon新号流程_20260804/frames/TT_NEW_01/TT_NEW_01_t000503.jpg</x:v>
      </x:c>
      <x:c r="S33" s="17" t="str">
        <x:v>00:08:26</x:v>
      </x:c>
      <x:c r="T33" s="17" t="str">
        <x:v>待复核</x:v>
      </x:c>
      <x:c r="U33" s="17" t="str">
        <x:v>B</x:v>
      </x:c>
      <x:c r="V33" s="17" t="str">
        <x:v>由逐秒能量变化推断；快速自动Spin可能需4fps补核</x:v>
      </x:c>
      <x:c r="W33" s="17" t="str">
        <x:v>纯金币</x:v>
      </x:c>
      <x:c r="X33" s="17" t="str">
        <x:v>是</x:v>
      </x:c>
      <x:c r="Y33" s="17" t="str">
        <x:v>是</x:v>
      </x:c>
      <x:c r="Z33" s="17" t="str">
        <x:v>未知</x:v>
      </x:c>
      <x:c r="AA33" s="17" t="str">
        <x:v>未知</x:v>
      </x:c>
      <x:c r="AB33" s="17" t="str">
        <x:v>否</x:v>
      </x:c>
    </x:row>
    <x:row r="34">
      <x:c r="A34" s="17" t="str">
        <x:v>TT_NEW_01</x:v>
      </x:c>
      <x:c r="B34" s="17" t="str">
        <x:v>TT_NEW_01_S0033</x:v>
      </x:c>
      <x:c r="C34" s="17" t="str">
        <x:v>00:08:26</x:v>
      </x:c>
      <x:c r="D34" s="17" t="n">
        <x:v>506</x:v>
      </x:c>
      <x:c r="E34" s="17" t="n">
        <x:v>1</x:v>
      </x:c>
      <x:c r="F34" s="17" t="n">
        <x:v>1</x:v>
      </x:c>
      <x:c r="G34" s="17" t="n">
        <x:v>20</x:v>
      </x:c>
      <x:c r="H34" s="17" t="n">
        <x:v>19</x:v>
      </x:c>
      <x:c r="I34" s="17" t="n">
        <x:v>1</x:v>
      </x:c>
      <x:c r="J34" s="17" t="n">
        <x:v>0</x:v>
      </x:c>
      <x:c r="K34" s="17" t="n">
        <x:v>92202</x:v>
      </x:c>
      <x:c r="L34" s="17" t="n">
        <x:v>97702</x:v>
      </x:c>
      <x:c r="M34" s="17" t="n">
        <x:v>5500</x:v>
      </x:c>
      <x:c r="N34" s="17" t="n">
        <x:v>5</x:v>
      </x:c>
      <x:c r="O34" s="17" t="n">
        <x:v>5</x:v>
      </x:c>
      <x:c r="P34" s="17" t="n">
        <x:v>0</x:v>
      </x:c>
      <x:c r="Q34" s="17" t="str">
        <x:v>Coin</x:v>
      </x:c>
      <x:c r="R34" s="18" t="str">
        <x:v>/Users/mac/Documents/智囊团/video_analysis/Top_Tycoon新号流程_20260804/frames/TT_NEW_01/TT_NEW_01_t000506.jpg</x:v>
      </x:c>
      <x:c r="S34" s="17" t="str">
        <x:v>00:08:29</x:v>
      </x:c>
      <x:c r="T34" s="17" t="str">
        <x:v>待复核</x:v>
      </x:c>
      <x:c r="U34" s="17" t="str">
        <x:v>B</x:v>
      </x:c>
      <x:c r="V34" s="17" t="str">
        <x:v>由逐秒能量变化推断；快速自动Spin可能需4fps补核</x:v>
      </x:c>
      <x:c r="W34" s="17" t="str">
        <x:v>纯金币</x:v>
      </x:c>
      <x:c r="X34" s="17" t="str">
        <x:v>是</x:v>
      </x:c>
      <x:c r="Y34" s="17" t="str">
        <x:v>是</x:v>
      </x:c>
      <x:c r="Z34" s="17" t="str">
        <x:v>未知</x:v>
      </x:c>
      <x:c r="AA34" s="17" t="str">
        <x:v>未知</x:v>
      </x:c>
      <x:c r="AB34" s="17" t="str">
        <x:v>否</x:v>
      </x:c>
    </x:row>
    <x:row r="35">
      <x:c r="A35" s="17" t="str">
        <x:v>TT_NEW_01</x:v>
      </x:c>
      <x:c r="B35" s="17" t="str">
        <x:v>TT_NEW_01_S0034</x:v>
      </x:c>
      <x:c r="C35" s="17" t="str">
        <x:v>00:08:29</x:v>
      </x:c>
      <x:c r="D35" s="17" t="n">
        <x:v>509</x:v>
      </x:c>
      <x:c r="E35" s="17" t="n">
        <x:v>1</x:v>
      </x:c>
      <x:c r="F35" s="17" t="n">
        <x:v>1</x:v>
      </x:c>
      <x:c r="G35" s="17" t="n">
        <x:v>19</x:v>
      </x:c>
      <x:c r="H35" s="17" t="n">
        <x:v>18</x:v>
      </x:c>
      <x:c r="I35" s="17" t="n">
        <x:v>1</x:v>
      </x:c>
      <x:c r="J35" s="17" t="n">
        <x:v>0</x:v>
      </x:c>
      <x:c r="K35" s="17" t="n">
        <x:v>94868</x:v>
      </x:c>
      <x:c r="L35" s="17" t="n">
        <x:v>97802</x:v>
      </x:c>
      <x:c r="M35" s="17" t="n">
        <x:v>2934</x:v>
      </x:c>
      <x:c r="N35" s="17"/>
      <x:c r="O35" s="17" t="n">
        <x:v>5</x:v>
      </x:c>
      <x:c r="P35" s="17"/>
      <x:c r="Q35" s="17" t="str">
        <x:v>Coin</x:v>
      </x:c>
      <x:c r="R35" s="18" t="str">
        <x:v>/Users/mac/Documents/智囊团/video_analysis/Top_Tycoon新号流程_20260804/frames/TT_NEW_01/TT_NEW_01_t000509.jpg</x:v>
      </x:c>
      <x:c r="S35" s="17" t="str">
        <x:v>00:08:31</x:v>
      </x:c>
      <x:c r="T35" s="17" t="str">
        <x:v>待复核</x:v>
      </x:c>
      <x:c r="U35" s="17" t="str">
        <x:v>B</x:v>
      </x:c>
      <x:c r="V35" s="17" t="str">
        <x:v>由逐秒能量变化推断；快速自动Spin可能需4fps补核</x:v>
      </x:c>
      <x:c r="W35" s="17" t="str">
        <x:v>纯金币</x:v>
      </x:c>
      <x:c r="X35" s="17" t="str">
        <x:v>是</x:v>
      </x:c>
      <x:c r="Y35" s="17" t="str">
        <x:v>是</x:v>
      </x:c>
      <x:c r="Z35" s="17" t="str">
        <x:v>未知</x:v>
      </x:c>
      <x:c r="AA35" s="17" t="str">
        <x:v>未知</x:v>
      </x:c>
      <x:c r="AB35" s="17" t="str">
        <x:v>否</x:v>
      </x:c>
    </x:row>
    <x:row r="36">
      <x:c r="A36" s="17" t="str">
        <x:v>TT_NEW_01</x:v>
      </x:c>
      <x:c r="B36" s="17" t="str">
        <x:v>TT_NEW_01_S0035</x:v>
      </x:c>
      <x:c r="C36" s="17" t="str">
        <x:v>00:08:31</x:v>
      </x:c>
      <x:c r="D36" s="17" t="n">
        <x:v>511</x:v>
      </x:c>
      <x:c r="E36" s="17" t="n">
        <x:v>1</x:v>
      </x:c>
      <x:c r="F36" s="17" t="n">
        <x:v>1</x:v>
      </x:c>
      <x:c r="G36" s="17" t="n">
        <x:v>18</x:v>
      </x:c>
      <x:c r="H36" s="17" t="n">
        <x:v>17</x:v>
      </x:c>
      <x:c r="I36" s="17" t="n">
        <x:v>1</x:v>
      </x:c>
      <x:c r="J36" s="17" t="n">
        <x:v>20</x:v>
      </x:c>
      <x:c r="K36" s="17" t="n">
        <x:v>97702</x:v>
      </x:c>
      <x:c r="L36" s="17" t="n">
        <x:v>97802</x:v>
      </x:c>
      <x:c r="M36" s="17" t="n">
        <x:v>100</x:v>
      </x:c>
      <x:c r="N36" s="17" t="n">
        <x:v>5</x:v>
      </x:c>
      <x:c r="O36" s="17" t="n">
        <x:v>5</x:v>
      </x:c>
      <x:c r="P36" s="17" t="n">
        <x:v>0</x:v>
      </x:c>
      <x:c r="Q36" s="17" t="str">
        <x:v>Coin + Energy</x:v>
      </x:c>
      <x:c r="R36" s="18" t="str">
        <x:v>/Users/mac/Documents/智囊团/video_analysis/Top_Tycoon新号流程_20260804/frames/TT_NEW_01/TT_NEW_01_t000511.jpg</x:v>
      </x:c>
      <x:c r="S36" s="17" t="str">
        <x:v>00:08:40</x:v>
      </x:c>
      <x:c r="T36" s="17" t="str">
        <x:v>待复核</x:v>
      </x:c>
      <x:c r="U36" s="17" t="str">
        <x:v>B</x:v>
      </x:c>
      <x:c r="V36" s="17" t="str">
        <x:v>由逐秒能量变化推断；快速自动Spin可能需4fps补核</x:v>
      </x:c>
      <x:c r="W36" s="17" t="str">
        <x:v>混合奖励</x:v>
      </x:c>
      <x:c r="X36" s="17" t="str">
        <x:v>是</x:v>
      </x:c>
      <x:c r="Y36" s="17" t="str">
        <x:v>是</x:v>
      </x:c>
      <x:c r="Z36" s="17" t="str">
        <x:v>未知</x:v>
      </x:c>
      <x:c r="AA36" s="17" t="str">
        <x:v>未知</x:v>
      </x:c>
      <x:c r="AB36" s="17" t="str">
        <x:v>否</x:v>
      </x:c>
    </x:row>
    <x:row r="37">
      <x:c r="A37" s="17" t="str">
        <x:v>TT_NEW_01</x:v>
      </x:c>
      <x:c r="B37" s="17" t="str">
        <x:v>TT_NEW_01_S0036</x:v>
      </x:c>
      <x:c r="C37" s="17" t="str">
        <x:v>00:08:40</x:v>
      </x:c>
      <x:c r="D37" s="17" t="n">
        <x:v>520</x:v>
      </x:c>
      <x:c r="E37" s="17" t="n">
        <x:v>1</x:v>
      </x:c>
      <x:c r="F37" s="17" t="n">
        <x:v>1</x:v>
      </x:c>
      <x:c r="G37" s="17" t="n">
        <x:v>37</x:v>
      </x:c>
      <x:c r="H37" s="17" t="n">
        <x:v>36</x:v>
      </x:c>
      <x:c r="I37" s="17" t="n">
        <x:v>1</x:v>
      </x:c>
      <x:c r="J37" s="17" t="n">
        <x:v>0</x:v>
      </x:c>
      <x:c r="K37" s="17" t="n">
        <x:v>97802</x:v>
      </x:c>
      <x:c r="L37" s="17" t="n">
        <x:v>98302</x:v>
      </x:c>
      <x:c r="M37" s="17" t="n">
        <x:v>500</x:v>
      </x:c>
      <x:c r="N37" s="17" t="n">
        <x:v>5</x:v>
      </x:c>
      <x:c r="O37" s="17" t="n">
        <x:v>5</x:v>
      </x:c>
      <x:c r="P37" s="17" t="n">
        <x:v>0</x:v>
      </x:c>
      <x:c r="Q37" s="17" t="str">
        <x:v>Coin</x:v>
      </x:c>
      <x:c r="R37" s="18" t="str">
        <x:v>/Users/mac/Documents/智囊团/video_analysis/Top_Tycoon新号流程_20260804/frames/TT_NEW_01/TT_NEW_01_t000520.jpg</x:v>
      </x:c>
      <x:c r="S37" s="17" t="str">
        <x:v>00:08:56</x:v>
      </x:c>
      <x:c r="T37" s="17" t="str">
        <x:v>待复核</x:v>
      </x:c>
      <x:c r="U37" s="17" t="str">
        <x:v>B</x:v>
      </x:c>
      <x:c r="V37" s="17" t="str">
        <x:v>由逐秒能量变化推断；快速自动Spin可能需4fps补核</x:v>
      </x:c>
      <x:c r="W37" s="17" t="str">
        <x:v>纯金币</x:v>
      </x:c>
      <x:c r="X37" s="17" t="str">
        <x:v>是</x:v>
      </x:c>
      <x:c r="Y37" s="17" t="str">
        <x:v>是</x:v>
      </x:c>
      <x:c r="Z37" s="17" t="str">
        <x:v>未知</x:v>
      </x:c>
      <x:c r="AA37" s="17" t="str">
        <x:v>未知</x:v>
      </x:c>
      <x:c r="AB37" s="17" t="str">
        <x:v>否</x:v>
      </x:c>
    </x:row>
    <x:row r="38">
      <x:c r="A38" s="17" t="str">
        <x:v>TT_NEW_01</x:v>
      </x:c>
      <x:c r="B38" s="17" t="str">
        <x:v>TT_NEW_01_S0037</x:v>
      </x:c>
      <x:c r="C38" s="17" t="str">
        <x:v>00:08:56</x:v>
      </x:c>
      <x:c r="D38" s="17" t="n">
        <x:v>536</x:v>
      </x:c>
      <x:c r="E38" s="17" t="n">
        <x:v>1</x:v>
      </x:c>
      <x:c r="F38" s="17" t="n">
        <x:v>1</x:v>
      </x:c>
      <x:c r="G38" s="17" t="n">
        <x:v>35</x:v>
      </x:c>
      <x:c r="H38" s="17" t="n">
        <x:v>34</x:v>
      </x:c>
      <x:c r="I38" s="17" t="n">
        <x:v>1</x:v>
      </x:c>
      <x:c r="J38" s="17" t="n">
        <x:v>0</x:v>
      </x:c>
      <x:c r="K38" s="17" t="n">
        <x:v>98302</x:v>
      </x:c>
      <x:c r="L38" s="17" t="n">
        <x:v>98488</x:v>
      </x:c>
      <x:c r="M38" s="17" t="n">
        <x:v>186</x:v>
      </x:c>
      <x:c r="N38" s="17" t="n">
        <x:v>5</x:v>
      </x:c>
      <x:c r="O38" s="17" t="n">
        <x:v>5</x:v>
      </x:c>
      <x:c r="P38" s="17" t="n">
        <x:v>0</x:v>
      </x:c>
      <x:c r="Q38" s="17" t="str">
        <x:v>Coin</x:v>
      </x:c>
      <x:c r="R38" s="18" t="str">
        <x:v>/Users/mac/Documents/智囊团/video_analysis/Top_Tycoon新号流程_20260804/frames/TT_NEW_01/TT_NEW_01_t000536.jpg</x:v>
      </x:c>
      <x:c r="S38" s="17" t="str">
        <x:v>00:08:58</x:v>
      </x:c>
      <x:c r="T38" s="17" t="str">
        <x:v>待复核</x:v>
      </x:c>
      <x:c r="U38" s="17" t="str">
        <x:v>B</x:v>
      </x:c>
      <x:c r="V38" s="17" t="str">
        <x:v>由逐秒能量变化推断；快速自动Spin可能需4fps补核</x:v>
      </x:c>
      <x:c r="W38" s="17" t="str">
        <x:v>纯金币</x:v>
      </x:c>
      <x:c r="X38" s="17" t="str">
        <x:v>是</x:v>
      </x:c>
      <x:c r="Y38" s="17" t="str">
        <x:v>是</x:v>
      </x:c>
      <x:c r="Z38" s="17" t="str">
        <x:v>未知</x:v>
      </x:c>
      <x:c r="AA38" s="17" t="str">
        <x:v>未知</x:v>
      </x:c>
      <x:c r="AB38" s="17" t="str">
        <x:v>否</x:v>
      </x:c>
    </x:row>
    <x:row r="39">
      <x:c r="A39" s="17" t="str">
        <x:v>TT_NEW_01</x:v>
      </x:c>
      <x:c r="B39" s="17" t="str">
        <x:v>TT_NEW_01_S0038</x:v>
      </x:c>
      <x:c r="C39" s="17" t="str">
        <x:v>00:08:58</x:v>
      </x:c>
      <x:c r="D39" s="17" t="n">
        <x:v>538</x:v>
      </x:c>
      <x:c r="E39" s="17" t="n">
        <x:v>1</x:v>
      </x:c>
      <x:c r="F39" s="17" t="n">
        <x:v>1</x:v>
      </x:c>
      <x:c r="G39" s="17" t="n">
        <x:v>34</x:v>
      </x:c>
      <x:c r="H39" s="17" t="n">
        <x:v>33</x:v>
      </x:c>
      <x:c r="I39" s="17" t="n">
        <x:v>1</x:v>
      </x:c>
      <x:c r="J39" s="17" t="n">
        <x:v>0</x:v>
      </x:c>
      <x:c r="K39" s="17" t="n">
        <x:v>98302</x:v>
      </x:c>
      <x:c r="L39" s="17" t="n">
        <x:v>108502</x:v>
      </x:c>
      <x:c r="M39" s="17" t="n">
        <x:v>10200</x:v>
      </x:c>
      <x:c r="N39" s="17" t="n">
        <x:v>5</x:v>
      </x:c>
      <x:c r="O39" s="17" t="n">
        <x:v>5</x:v>
      </x:c>
      <x:c r="P39" s="17" t="n">
        <x:v>0</x:v>
      </x:c>
      <x:c r="Q39" s="17" t="str">
        <x:v>Coin</x:v>
      </x:c>
      <x:c r="R39" s="18" t="str">
        <x:v>/Users/mac/Documents/智囊团/video_analysis/Top_Tycoon新号流程_20260804/frames/TT_NEW_01/TT_NEW_01_t000538.jpg</x:v>
      </x:c>
      <x:c r="S39" s="17" t="str">
        <x:v>00:09:03</x:v>
      </x:c>
      <x:c r="T39" s="17" t="str">
        <x:v>待复核</x:v>
      </x:c>
      <x:c r="U39" s="17" t="str">
        <x:v>B</x:v>
      </x:c>
      <x:c r="V39" s="17" t="str">
        <x:v>由逐秒能量变化推断；快速自动Spin可能需4fps补核</x:v>
      </x:c>
      <x:c r="W39" s="17" t="str">
        <x:v>纯金币</x:v>
      </x:c>
      <x:c r="X39" s="17" t="str">
        <x:v>是</x:v>
      </x:c>
      <x:c r="Y39" s="17" t="str">
        <x:v>是</x:v>
      </x:c>
      <x:c r="Z39" s="17" t="str">
        <x:v>未知</x:v>
      </x:c>
      <x:c r="AA39" s="17" t="str">
        <x:v>未知</x:v>
      </x:c>
      <x:c r="AB39" s="17" t="str">
        <x:v>否</x:v>
      </x:c>
    </x:row>
    <x:row r="40">
      <x:c r="A40" s="17" t="str">
        <x:v>TT_NEW_01</x:v>
      </x:c>
      <x:c r="B40" s="17" t="str">
        <x:v>TT_NEW_01_S0039</x:v>
      </x:c>
      <x:c r="C40" s="17" t="str">
        <x:v>00:09:03</x:v>
      </x:c>
      <x:c r="D40" s="17" t="n">
        <x:v>543</x:v>
      </x:c>
      <x:c r="E40" s="17" t="n">
        <x:v>1</x:v>
      </x:c>
      <x:c r="F40" s="17" t="n">
        <x:v>1</x:v>
      </x:c>
      <x:c r="G40" s="17" t="n">
        <x:v>33</x:v>
      </x:c>
      <x:c r="H40" s="17" t="n">
        <x:v>32</x:v>
      </x:c>
      <x:c r="I40" s="17" t="n">
        <x:v>1</x:v>
      </x:c>
      <x:c r="J40" s="17" t="n">
        <x:v>0</x:v>
      </x:c>
      <x:c r="K40" s="17" t="n">
        <x:v>106334</x:v>
      </x:c>
      <x:c r="L40" s="17" t="n">
        <x:v>109002</x:v>
      </x:c>
      <x:c r="M40" s="17" t="n">
        <x:v>2668</x:v>
      </x:c>
      <x:c r="N40" s="17" t="n">
        <x:v>5</x:v>
      </x:c>
      <x:c r="O40" s="17" t="n">
        <x:v>5</x:v>
      </x:c>
      <x:c r="P40" s="17" t="n">
        <x:v>0</x:v>
      </x:c>
      <x:c r="Q40" s="17" t="str">
        <x:v>Coin</x:v>
      </x:c>
      <x:c r="R40" s="18" t="str">
        <x:v>/Users/mac/Documents/智囊团/video_analysis/Top_Tycoon新号流程_20260804/frames/TT_NEW_01/TT_NEW_01_t000543.jpg</x:v>
      </x:c>
      <x:c r="S40" s="17" t="str">
        <x:v>00:09:05</x:v>
      </x:c>
      <x:c r="T40" s="17" t="str">
        <x:v>待复核</x:v>
      </x:c>
      <x:c r="U40" s="17" t="str">
        <x:v>B</x:v>
      </x:c>
      <x:c r="V40" s="17" t="str">
        <x:v>由逐秒能量变化推断；快速自动Spin可能需4fps补核</x:v>
      </x:c>
      <x:c r="W40" s="17" t="str">
        <x:v>纯金币</x:v>
      </x:c>
      <x:c r="X40" s="17" t="str">
        <x:v>是</x:v>
      </x:c>
      <x:c r="Y40" s="17" t="str">
        <x:v>是</x:v>
      </x:c>
      <x:c r="Z40" s="17" t="str">
        <x:v>未知</x:v>
      </x:c>
      <x:c r="AA40" s="17" t="str">
        <x:v>未知</x:v>
      </x:c>
      <x:c r="AB40" s="17" t="str">
        <x:v>否</x:v>
      </x:c>
    </x:row>
    <x:row r="41">
      <x:c r="A41" s="17" t="str">
        <x:v>TT_NEW_01</x:v>
      </x:c>
      <x:c r="B41" s="17" t="str">
        <x:v>TT_NEW_01_S0040</x:v>
      </x:c>
      <x:c r="C41" s="17" t="str">
        <x:v>00:09:05</x:v>
      </x:c>
      <x:c r="D41" s="17" t="n">
        <x:v>545</x:v>
      </x:c>
      <x:c r="E41" s="17" t="n">
        <x:v>1</x:v>
      </x:c>
      <x:c r="F41" s="17" t="n">
        <x:v>1</x:v>
      </x:c>
      <x:c r="G41" s="17" t="n">
        <x:v>32</x:v>
      </x:c>
      <x:c r="H41" s="17" t="n">
        <x:v>31</x:v>
      </x:c>
      <x:c r="I41" s="17" t="n">
        <x:v>1</x:v>
      </x:c>
      <x:c r="J41" s="17" t="n">
        <x:v>0</x:v>
      </x:c>
      <x:c r="K41" s="17" t="n">
        <x:v>108502</x:v>
      </x:c>
      <x:c r="L41" s="17" t="n">
        <x:v>117602</x:v>
      </x:c>
      <x:c r="M41" s="17" t="n">
        <x:v>9100</x:v>
      </x:c>
      <x:c r="N41" s="17" t="n">
        <x:v>5</x:v>
      </x:c>
      <x:c r="O41" s="17" t="n">
        <x:v>7</x:v>
      </x:c>
      <x:c r="P41" s="17" t="n">
        <x:v>2</x:v>
      </x:c>
      <x:c r="Q41" s="17" t="str">
        <x:v>Coin + Progress</x:v>
      </x:c>
      <x:c r="R41" s="18" t="str">
        <x:v>/Users/mac/Documents/智囊团/video_analysis/Top_Tycoon新号流程_20260804/frames/TT_NEW_01/TT_NEW_01_t000545.jpg</x:v>
      </x:c>
      <x:c r="S41" s="17" t="str">
        <x:v>00:09:14</x:v>
      </x:c>
      <x:c r="T41" s="17" t="str">
        <x:v>待复核</x:v>
      </x:c>
      <x:c r="U41" s="17" t="str">
        <x:v>B</x:v>
      </x:c>
      <x:c r="V41" s="17" t="str">
        <x:v>由逐秒能量变化推断；快速自动Spin可能需4fps补核</x:v>
      </x:c>
      <x:c r="W41" s="17" t="str">
        <x:v>混合奖励</x:v>
      </x:c>
      <x:c r="X41" s="17" t="str">
        <x:v>是</x:v>
      </x:c>
      <x:c r="Y41" s="17" t="str">
        <x:v>是</x:v>
      </x:c>
      <x:c r="Z41" s="17" t="str">
        <x:v>未知</x:v>
      </x:c>
      <x:c r="AA41" s="17" t="str">
        <x:v>未知</x:v>
      </x:c>
      <x:c r="AB41" s="17" t="str">
        <x:v>否</x:v>
      </x:c>
    </x:row>
    <x:row r="42">
      <x:c r="A42" s="17" t="str">
        <x:v>TT_NEW_01</x:v>
      </x:c>
      <x:c r="B42" s="17" t="str">
        <x:v>TT_NEW_01_S0041</x:v>
      </x:c>
      <x:c r="C42" s="17" t="str">
        <x:v>00:09:14</x:v>
      </x:c>
      <x:c r="D42" s="17" t="n">
        <x:v>554</x:v>
      </x:c>
      <x:c r="E42" s="17" t="n">
        <x:v>1</x:v>
      </x:c>
      <x:c r="F42" s="17" t="n">
        <x:v>1</x:v>
      </x:c>
      <x:c r="G42" s="17" t="n">
        <x:v>30</x:v>
      </x:c>
      <x:c r="H42" s="17" t="n">
        <x:v>29</x:v>
      </x:c>
      <x:c r="I42" s="17" t="n">
        <x:v>1</x:v>
      </x:c>
      <x:c r="J42" s="17" t="n">
        <x:v>0</x:v>
      </x:c>
      <x:c r="K42" s="17" t="n">
        <x:v>117602</x:v>
      </x:c>
      <x:c r="L42" s="17" t="n">
        <x:v>118602</x:v>
      </x:c>
      <x:c r="M42" s="17" t="n">
        <x:v>1000</x:v>
      </x:c>
      <x:c r="N42" s="17" t="n">
        <x:v>7</x:v>
      </x:c>
      <x:c r="O42" s="17" t="n">
        <x:v>7</x:v>
      </x:c>
      <x:c r="P42" s="17" t="n">
        <x:v>0</x:v>
      </x:c>
      <x:c r="Q42" s="17" t="str">
        <x:v>Coin</x:v>
      </x:c>
      <x:c r="R42" s="18" t="str">
        <x:v>/Users/mac/Documents/智囊团/video_analysis/Top_Tycoon新号流程_20260804/frames/TT_NEW_01/TT_NEW_01_t000554.jpg</x:v>
      </x:c>
      <x:c r="S42" s="17" t="str">
        <x:v>00:09:17</x:v>
      </x:c>
      <x:c r="T42" s="17" t="str">
        <x:v>待复核</x:v>
      </x:c>
      <x:c r="U42" s="17" t="str">
        <x:v>B</x:v>
      </x:c>
      <x:c r="V42" s="17" t="str">
        <x:v>由逐秒能量变化推断；快速自动Spin可能需4fps补核</x:v>
      </x:c>
      <x:c r="W42" s="17" t="str">
        <x:v>纯金币</x:v>
      </x:c>
      <x:c r="X42" s="17" t="str">
        <x:v>是</x:v>
      </x:c>
      <x:c r="Y42" s="17" t="str">
        <x:v>是</x:v>
      </x:c>
      <x:c r="Z42" s="17" t="str">
        <x:v>未知</x:v>
      </x:c>
      <x:c r="AA42" s="17" t="str">
        <x:v>未知</x:v>
      </x:c>
      <x:c r="AB42" s="17" t="str">
        <x:v>否</x:v>
      </x:c>
    </x:row>
    <x:row r="43">
      <x:c r="A43" s="17" t="str">
        <x:v>TT_NEW_01</x:v>
      </x:c>
      <x:c r="B43" s="17" t="str">
        <x:v>TT_NEW_01_S0042</x:v>
      </x:c>
      <x:c r="C43" s="17" t="str">
        <x:v>00:09:17</x:v>
      </x:c>
      <x:c r="D43" s="17" t="n">
        <x:v>557</x:v>
      </x:c>
      <x:c r="E43" s="17" t="n">
        <x:v>1</x:v>
      </x:c>
      <x:c r="F43" s="17" t="n">
        <x:v>1</x:v>
      </x:c>
      <x:c r="G43" s="17" t="n">
        <x:v>29</x:v>
      </x:c>
      <x:c r="H43" s="17" t="n">
        <x:v>28</x:v>
      </x:c>
      <x:c r="I43" s="17" t="n">
        <x:v>1</x:v>
      </x:c>
      <x:c r="J43" s="17" t="n">
        <x:v>0</x:v>
      </x:c>
      <x:c r="K43" s="17" t="n">
        <x:v>117602</x:v>
      </x:c>
      <x:c r="L43" s="17" t="n">
        <x:v>118602</x:v>
      </x:c>
      <x:c r="M43" s="17" t="n">
        <x:v>1000</x:v>
      </x:c>
      <x:c r="N43" s="17" t="n">
        <x:v>7</x:v>
      </x:c>
      <x:c r="O43" s="17" t="n">
        <x:v>9</x:v>
      </x:c>
      <x:c r="P43" s="17" t="n">
        <x:v>2</x:v>
      </x:c>
      <x:c r="Q43" s="17" t="str">
        <x:v>Coin + Progress</x:v>
      </x:c>
      <x:c r="R43" s="18" t="str">
        <x:v>/Users/mac/Documents/智囊团/video_analysis/Top_Tycoon新号流程_20260804/frames/TT_NEW_01/TT_NEW_01_t000557.jpg</x:v>
      </x:c>
      <x:c r="S43" s="17" t="str">
        <x:v>00:09:20</x:v>
      </x:c>
      <x:c r="T43" s="17" t="str">
        <x:v>待复核</x:v>
      </x:c>
      <x:c r="U43" s="17" t="str">
        <x:v>B</x:v>
      </x:c>
      <x:c r="V43" s="17" t="str">
        <x:v>由逐秒能量变化推断；快速自动Spin可能需4fps补核</x:v>
      </x:c>
      <x:c r="W43" s="17" t="str">
        <x:v>混合奖励</x:v>
      </x:c>
      <x:c r="X43" s="17" t="str">
        <x:v>是</x:v>
      </x:c>
      <x:c r="Y43" s="17" t="str">
        <x:v>是</x:v>
      </x:c>
      <x:c r="Z43" s="17" t="str">
        <x:v>未知</x:v>
      </x:c>
      <x:c r="AA43" s="17" t="str">
        <x:v>未知</x:v>
      </x:c>
      <x:c r="AB43" s="17" t="str">
        <x:v>否</x:v>
      </x:c>
    </x:row>
    <x:row r="44">
      <x:c r="A44" s="17" t="str">
        <x:v>TT_NEW_01</x:v>
      </x:c>
      <x:c r="B44" s="17" t="str">
        <x:v>TT_NEW_01_S0043</x:v>
      </x:c>
      <x:c r="C44" s="17" t="str">
        <x:v>00:09:20</x:v>
      </x:c>
      <x:c r="D44" s="17" t="n">
        <x:v>560</x:v>
      </x:c>
      <x:c r="E44" s="17" t="n">
        <x:v>1</x:v>
      </x:c>
      <x:c r="F44" s="17" t="n">
        <x:v>1</x:v>
      </x:c>
      <x:c r="G44" s="17" t="n">
        <x:v>28</x:v>
      </x:c>
      <x:c r="H44" s="17" t="n">
        <x:v>27</x:v>
      </x:c>
      <x:c r="I44" s="17" t="n">
        <x:v>1</x:v>
      </x:c>
      <x:c r="J44" s="17" t="n">
        <x:v>0</x:v>
      </x:c>
      <x:c r="K44" s="17" t="n">
        <x:v>118602</x:v>
      </x:c>
      <x:c r="L44" s="17" t="n">
        <x:v>118602</x:v>
      </x:c>
      <x:c r="M44" s="17" t="n">
        <x:v>0</x:v>
      </x:c>
      <x:c r="N44" s="17" t="n">
        <x:v>7</x:v>
      </x:c>
      <x:c r="O44" s="17" t="n">
        <x:v>9</x:v>
      </x:c>
      <x:c r="P44" s="17" t="n">
        <x:v>2</x:v>
      </x:c>
      <x:c r="Q44" s="17" t="str">
        <x:v>Shield + Progress</x:v>
      </x:c>
      <x:c r="R44" s="18" t="str">
        <x:v>/Users/mac/Documents/智囊团/video_analysis/Top_Tycoon新号流程_20260804/frames/TT_NEW_01/TT_NEW_01_t000560.jpg</x:v>
      </x:c>
      <x:c r="S44" s="17" t="str">
        <x:v>00:09:24</x:v>
      </x:c>
      <x:c r="T44" s="17" t="str">
        <x:v>待复核</x:v>
      </x:c>
      <x:c r="U44" s="17" t="str">
        <x:v>B</x:v>
      </x:c>
      <x:c r="V44" s="17" t="str">
        <x:v>由逐秒能量变化推断；快速自动Spin可能需4fps补核</x:v>
      </x:c>
      <x:c r="W44" s="17" t="str">
        <x:v>Shield</x:v>
      </x:c>
      <x:c r="X44" s="17" t="str">
        <x:v>是</x:v>
      </x:c>
      <x:c r="Y44" s="17" t="str">
        <x:v>是</x:v>
      </x:c>
      <x:c r="Z44" s="17" t="str">
        <x:v>未知</x:v>
      </x:c>
      <x:c r="AA44" s="17" t="str">
        <x:v>未知</x:v>
      </x:c>
      <x:c r="AB44" s="17" t="str">
        <x:v>否</x:v>
      </x:c>
    </x:row>
    <x:row r="45">
      <x:c r="A45" s="17" t="str">
        <x:v>TT_NEW_01</x:v>
      </x:c>
      <x:c r="B45" s="17" t="str">
        <x:v>TT_NEW_01_S0044</x:v>
      </x:c>
      <x:c r="C45" s="17" t="str">
        <x:v>00:09:24</x:v>
      </x:c>
      <x:c r="D45" s="17" t="n">
        <x:v>564</x:v>
      </x:c>
      <x:c r="E45" s="17" t="n">
        <x:v>1</x:v>
      </x:c>
      <x:c r="F45" s="17" t="n">
        <x:v>1</x:v>
      </x:c>
      <x:c r="G45" s="17" t="n">
        <x:v>27</x:v>
      </x:c>
      <x:c r="H45" s="17" t="n">
        <x:v>26</x:v>
      </x:c>
      <x:c r="I45" s="17" t="n">
        <x:v>1</x:v>
      </x:c>
      <x:c r="J45" s="17" t="n">
        <x:v>0</x:v>
      </x:c>
      <x:c r="K45" s="17" t="n">
        <x:v>118602</x:v>
      </x:c>
      <x:c r="L45" s="17" t="n">
        <x:v>121602</x:v>
      </x:c>
      <x:c r="M45" s="17" t="n">
        <x:v>3000</x:v>
      </x:c>
      <x:c r="N45" s="17" t="n">
        <x:v>9</x:v>
      </x:c>
      <x:c r="O45" s="17" t="n">
        <x:v>9</x:v>
      </x:c>
      <x:c r="P45" s="17" t="n">
        <x:v>0</x:v>
      </x:c>
      <x:c r="Q45" s="17" t="str">
        <x:v>Attack</x:v>
      </x:c>
      <x:c r="R45" s="18" t="str">
        <x:v>/Users/mac/Documents/智囊团/video_analysis/Top_Tycoon新号流程_20260804/frames/TT_NEW_01/TT_NEW_01_t000564.jpg</x:v>
      </x:c>
      <x:c r="S45" s="17" t="str">
        <x:v>00:09:46</x:v>
      </x:c>
      <x:c r="T45" s="17" t="str">
        <x:v>待复核</x:v>
      </x:c>
      <x:c r="U45" s="17" t="str">
        <x:v>B</x:v>
      </x:c>
      <x:c r="V45" s="17" t="str">
        <x:v>由逐秒能量变化推断；快速自动Spin可能需4fps补核</x:v>
      </x:c>
      <x:c r="W45" s="17" t="str">
        <x:v>Attack</x:v>
      </x:c>
      <x:c r="X45" s="17" t="str">
        <x:v>是</x:v>
      </x:c>
      <x:c r="Y45" s="17" t="str">
        <x:v>是</x:v>
      </x:c>
      <x:c r="Z45" s="17" t="str">
        <x:v>未知</x:v>
      </x:c>
      <x:c r="AA45" s="17" t="str">
        <x:v>未知</x:v>
      </x:c>
      <x:c r="AB45" s="17" t="str">
        <x:v>否</x:v>
      </x:c>
    </x:row>
    <x:row r="46">
      <x:c r="A46" s="17" t="str">
        <x:v>TT_NEW_01</x:v>
      </x:c>
      <x:c r="B46" s="17" t="str">
        <x:v>TT_NEW_01_S0045</x:v>
      </x:c>
      <x:c r="C46" s="17" t="str">
        <x:v>00:09:46</x:v>
      </x:c>
      <x:c r="D46" s="17" t="n">
        <x:v>586</x:v>
      </x:c>
      <x:c r="E46" s="17" t="n">
        <x:v>1</x:v>
      </x:c>
      <x:c r="F46" s="17" t="n">
        <x:v>1</x:v>
      </x:c>
      <x:c r="G46" s="17" t="n">
        <x:v>26</x:v>
      </x:c>
      <x:c r="H46" s="17" t="n">
        <x:v>25</x:v>
      </x:c>
      <x:c r="I46" s="17" t="n">
        <x:v>1</x:v>
      </x:c>
      <x:c r="J46" s="17" t="n">
        <x:v>0</x:v>
      </x:c>
      <x:c r="K46" s="17" t="n">
        <x:v>118602</x:v>
      </x:c>
      <x:c r="L46" s="17" t="n">
        <x:v>125002</x:v>
      </x:c>
      <x:c r="M46" s="17" t="n">
        <x:v>6400</x:v>
      </x:c>
      <x:c r="N46" s="17" t="n">
        <x:v>9</x:v>
      </x:c>
      <x:c r="O46" s="17" t="n">
        <x:v>19</x:v>
      </x:c>
      <x:c r="P46" s="17" t="n">
        <x:v>10</x:v>
      </x:c>
      <x:c r="Q46" s="17" t="str">
        <x:v>Attack + Progress</x:v>
      </x:c>
      <x:c r="R46" s="18" t="str">
        <x:v>/Users/mac/Documents/智囊团/video_analysis/Top_Tycoon新号流程_20260804/frames/TT_NEW_01/TT_NEW_01_t000586.jpg</x:v>
      </x:c>
      <x:c r="S46" s="17" t="str">
        <x:v>00:09:53</x:v>
      </x:c>
      <x:c r="T46" s="17" t="str">
        <x:v>待复核</x:v>
      </x:c>
      <x:c r="U46" s="17" t="str">
        <x:v>B</x:v>
      </x:c>
      <x:c r="V46" s="17" t="str">
        <x:v>由逐秒能量变化推断；快速自动Spin可能需4fps补核</x:v>
      </x:c>
      <x:c r="W46" s="17" t="str">
        <x:v>Attack</x:v>
      </x:c>
      <x:c r="X46" s="17" t="str">
        <x:v>是</x:v>
      </x:c>
      <x:c r="Y46" s="17" t="str">
        <x:v>是</x:v>
      </x:c>
      <x:c r="Z46" s="17" t="str">
        <x:v>未知</x:v>
      </x:c>
      <x:c r="AA46" s="17" t="str">
        <x:v>未知</x:v>
      </x:c>
      <x:c r="AB46" s="17" t="str">
        <x:v>否</x:v>
      </x:c>
    </x:row>
    <x:row r="47">
      <x:c r="A47" s="17" t="str">
        <x:v>TT_NEW_01</x:v>
      </x:c>
      <x:c r="B47" s="17" t="str">
        <x:v>TT_NEW_01_S0046</x:v>
      </x:c>
      <x:c r="C47" s="17" t="str">
        <x:v>00:09:53</x:v>
      </x:c>
      <x:c r="D47" s="17" t="n">
        <x:v>593</x:v>
      </x:c>
      <x:c r="E47" s="17" t="n">
        <x:v>1</x:v>
      </x:c>
      <x:c r="F47" s="17" t="n">
        <x:v>1</x:v>
      </x:c>
      <x:c r="G47" s="17" t="n">
        <x:v>24</x:v>
      </x:c>
      <x:c r="H47" s="17" t="n">
        <x:v>23</x:v>
      </x:c>
      <x:c r="I47" s="17" t="n">
        <x:v>1</x:v>
      </x:c>
      <x:c r="J47" s="17" t="n">
        <x:v>0</x:v>
      </x:c>
      <x:c r="K47" s="17" t="n">
        <x:v>124941</x:v>
      </x:c>
      <x:c r="L47" s="17" t="n">
        <x:v>126002</x:v>
      </x:c>
      <x:c r="M47" s="17" t="n">
        <x:v>1061</x:v>
      </x:c>
      <x:c r="N47" s="17" t="n">
        <x:v>19</x:v>
      </x:c>
      <x:c r="O47" s="17" t="n">
        <x:v>19</x:v>
      </x:c>
      <x:c r="P47" s="17" t="n">
        <x:v>0</x:v>
      </x:c>
      <x:c r="Q47" s="17" t="str">
        <x:v>Coin</x:v>
      </x:c>
      <x:c r="R47" s="18" t="str">
        <x:v>/Users/mac/Documents/智囊团/video_analysis/Top_Tycoon新号流程_20260804/frames/TT_NEW_01/TT_NEW_01_t000593.jpg</x:v>
      </x:c>
      <x:c r="S47" s="17" t="str">
        <x:v>00:09:56</x:v>
      </x:c>
      <x:c r="T47" s="17" t="str">
        <x:v>待复核</x:v>
      </x:c>
      <x:c r="U47" s="17" t="str">
        <x:v>B</x:v>
      </x:c>
      <x:c r="V47" s="17" t="str">
        <x:v>由逐秒能量变化推断；快速自动Spin可能需4fps补核</x:v>
      </x:c>
      <x:c r="W47" s="17" t="str">
        <x:v>纯金币</x:v>
      </x:c>
      <x:c r="X47" s="17" t="str">
        <x:v>是</x:v>
      </x:c>
      <x:c r="Y47" s="17" t="str">
        <x:v>是</x:v>
      </x:c>
      <x:c r="Z47" s="17" t="str">
        <x:v>未知</x:v>
      </x:c>
      <x:c r="AA47" s="17" t="str">
        <x:v>未知</x:v>
      </x:c>
      <x:c r="AB47" s="17" t="str">
        <x:v>否</x:v>
      </x:c>
    </x:row>
    <x:row r="48">
      <x:c r="A48" s="17" t="str">
        <x:v>TT_NEW_01</x:v>
      </x:c>
      <x:c r="B48" s="17" t="str">
        <x:v>TT_NEW_01_S0047</x:v>
      </x:c>
      <x:c r="C48" s="17" t="str">
        <x:v>00:09:56</x:v>
      </x:c>
      <x:c r="D48" s="17" t="n">
        <x:v>596</x:v>
      </x:c>
      <x:c r="E48" s="17" t="n">
        <x:v>1</x:v>
      </x:c>
      <x:c r="F48" s="17" t="n">
        <x:v>1</x:v>
      </x:c>
      <x:c r="G48" s="17" t="n">
        <x:v>23</x:v>
      </x:c>
      <x:c r="H48" s="17" t="n">
        <x:v>22</x:v>
      </x:c>
      <x:c r="I48" s="17" t="n">
        <x:v>1</x:v>
      </x:c>
      <x:c r="J48" s="17" t="n">
        <x:v>0</x:v>
      </x:c>
      <x:c r="K48" s="17" t="n">
        <x:v>125168</x:v>
      </x:c>
      <x:c r="L48" s="17" t="n">
        <x:v>126002</x:v>
      </x:c>
      <x:c r="M48" s="17" t="n">
        <x:v>834</x:v>
      </x:c>
      <x:c r="N48" s="17" t="n">
        <x:v>19</x:v>
      </x:c>
      <x:c r="O48" s="17" t="n">
        <x:v>19</x:v>
      </x:c>
      <x:c r="P48" s="17" t="n">
        <x:v>0</x:v>
      </x:c>
      <x:c r="Q48" s="17" t="str">
        <x:v>Credit Grab</x:v>
      </x:c>
      <x:c r="R48" s="18" t="str">
        <x:v>/Users/mac/Documents/智囊团/video_analysis/Top_Tycoon新号流程_20260804/frames/TT_NEW_01/TT_NEW_01_t000596.jpg</x:v>
      </x:c>
      <x:c r="S48" s="17" t="str">
        <x:v>00:09:58</x:v>
      </x:c>
      <x:c r="T48" s="17" t="str">
        <x:v>待复核</x:v>
      </x:c>
      <x:c r="U48" s="17" t="str">
        <x:v>B</x:v>
      </x:c>
      <x:c r="V48" s="17" t="str">
        <x:v>由逐秒能量变化推断；快速自动Spin可能需4fps补核</x:v>
      </x:c>
      <x:c r="W48" s="17" t="str">
        <x:v>Credit Grab</x:v>
      </x:c>
      <x:c r="X48" s="17" t="str">
        <x:v>是</x:v>
      </x:c>
      <x:c r="Y48" s="17" t="str">
        <x:v>是</x:v>
      </x:c>
      <x:c r="Z48" s="17" t="str">
        <x:v>未知</x:v>
      </x:c>
      <x:c r="AA48" s="17" t="str">
        <x:v>未知</x:v>
      </x:c>
      <x:c r="AB48" s="17" t="str">
        <x:v>否</x:v>
      </x:c>
    </x:row>
    <x:row r="49">
      <x:c r="A49" s="17" t="str">
        <x:v>TT_NEW_03</x:v>
      </x:c>
      <x:c r="B49" s="17" t="str">
        <x:v>TT_NEW_03_S0001</x:v>
      </x:c>
      <x:c r="C49" s="17" t="str">
        <x:v>00:00:28</x:v>
      </x:c>
      <x:c r="D49" s="17" t="n">
        <x:v>28</x:v>
      </x:c>
      <x:c r="E49" s="17" t="n">
        <x:v>1</x:v>
      </x:c>
      <x:c r="F49" s="17" t="n">
        <x:v>5</x:v>
      </x:c>
      <x:c r="G49" s="17" t="n">
        <x:v>58</x:v>
      </x:c>
      <x:c r="H49" s="17" t="n">
        <x:v>53</x:v>
      </x:c>
      <x:c r="I49" s="17" t="n">
        <x:v>5</x:v>
      </x:c>
      <x:c r="J49" s="17" t="n">
        <x:v>0</x:v>
      </x:c>
      <x:c r="K49" s="17" t="n">
        <x:v>85724</x:v>
      </x:c>
      <x:c r="L49" s="17" t="n">
        <x:v>85724</x:v>
      </x:c>
      <x:c r="M49" s="17" t="n">
        <x:v>0</x:v>
      </x:c>
      <x:c r="N49" s="17" t="n">
        <x:v>165</x:v>
      </x:c>
      <x:c r="O49" s="17" t="n">
        <x:v>165</x:v>
      </x:c>
      <x:c r="P49" s="17" t="n">
        <x:v>0</x:v>
      </x:c>
      <x:c r="Q49" s="17" t="str">
        <x:v>Empty / no visible reward</x:v>
      </x:c>
      <x:c r="R49" s="18" t="str">
        <x:v>/Users/mac/Documents/智囊团/video_analysis/Top_Tycoon新号流程_20260804/evidence/event_supplements/TT_NEW_03_000027_4fps_contact.jpg</x:v>
      </x:c>
      <x:c r="S49" s="17" t="str">
        <x:v>00:00:29</x:v>
      </x:c>
      <x:c r="T49" s="17" t="str">
        <x:v>已确认</x:v>
      </x:c>
      <x:c r="U49" s="17" t="str">
        <x:v>A</x:v>
      </x:c>
      <x:c r="V49" s="17" t="str">
        <x:v>4fps事件补核，画面与余额前后值已人工复核</x:v>
      </x:c>
      <x:c r="W49" s="17" t="str">
        <x:v>空奖</x:v>
      </x:c>
      <x:c r="X49" s="17" t="str">
        <x:v>是</x:v>
      </x:c>
      <x:c r="Y49" s="17" t="str">
        <x:v>否</x:v>
      </x:c>
      <x:c r="Z49" s="17" t="str">
        <x:v>未知</x:v>
      </x:c>
      <x:c r="AA49" s="17" t="str">
        <x:v>未知</x:v>
      </x:c>
      <x:c r="AB49" s="17" t="str">
        <x:v>否</x:v>
      </x:c>
    </x:row>
    <x:row r="50">
      <x:c r="A50" s="17" t="str">
        <x:v>TT_NEW_03</x:v>
      </x:c>
      <x:c r="B50" s="17" t="str">
        <x:v>TT_NEW_03_S0002</x:v>
      </x:c>
      <x:c r="C50" s="17" t="str">
        <x:v>00:00:29</x:v>
      </x:c>
      <x:c r="D50" s="17" t="n">
        <x:v>29</x:v>
      </x:c>
      <x:c r="E50" s="17" t="n">
        <x:v>1</x:v>
      </x:c>
      <x:c r="F50" s="17" t="n">
        <x:v>5</x:v>
      </x:c>
      <x:c r="G50" s="17" t="n">
        <x:v>53</x:v>
      </x:c>
      <x:c r="H50" s="17" t="n">
        <x:v>48</x:v>
      </x:c>
      <x:c r="I50" s="17" t="n">
        <x:v>5</x:v>
      </x:c>
      <x:c r="J50" s="17" t="n">
        <x:v>0</x:v>
      </x:c>
      <x:c r="K50" s="17" t="n">
        <x:v>85724</x:v>
      </x:c>
      <x:c r="L50" s="17" t="n">
        <x:v>135724</x:v>
      </x:c>
      <x:c r="M50" s="17" t="n">
        <x:v>50000</x:v>
      </x:c>
      <x:c r="N50" s="17" t="n">
        <x:v>165</x:v>
      </x:c>
      <x:c r="O50" s="17" t="n">
        <x:v>165</x:v>
      </x:c>
      <x:c r="P50" s="17" t="n">
        <x:v>0</x:v>
      </x:c>
      <x:c r="Q50" s="17" t="str">
        <x:v>Coin</x:v>
      </x:c>
      <x:c r="R50" s="18" t="str">
        <x:v>/Users/mac/Documents/智囊团/video_analysis/Top_Tycoon新号流程_20260804/frames/TT_NEW_03/TT_NEW_03_t000029.jpg</x:v>
      </x:c>
      <x:c r="S50" s="17" t="str">
        <x:v>00:00:33</x:v>
      </x:c>
      <x:c r="T50" s="17" t="str">
        <x:v>待复核</x:v>
      </x:c>
      <x:c r="U50" s="17" t="str">
        <x:v>B</x:v>
      </x:c>
      <x:c r="V50" s="17" t="str">
        <x:v>由逐秒能量变化推断；快速自动Spin可能需4fps补核</x:v>
      </x:c>
      <x:c r="W50" s="17" t="str">
        <x:v>纯金币</x:v>
      </x:c>
      <x:c r="X50" s="17" t="str">
        <x:v>是</x:v>
      </x:c>
      <x:c r="Y50" s="17" t="str">
        <x:v>否</x:v>
      </x:c>
      <x:c r="Z50" s="17" t="str">
        <x:v>未知</x:v>
      </x:c>
      <x:c r="AA50" s="17" t="str">
        <x:v>未知</x:v>
      </x:c>
      <x:c r="AB50" s="17" t="str">
        <x:v>否</x:v>
      </x:c>
    </x:row>
    <x:row r="51">
      <x:c r="A51" s="17" t="str">
        <x:v>TT_NEW_03</x:v>
      </x:c>
      <x:c r="B51" s="17" t="str">
        <x:v>TT_NEW_03_S0003</x:v>
      </x:c>
      <x:c r="C51" s="17" t="str">
        <x:v>00:00:33</x:v>
      </x:c>
      <x:c r="D51" s="17" t="n">
        <x:v>33</x:v>
      </x:c>
      <x:c r="E51" s="17" t="n">
        <x:v>1</x:v>
      </x:c>
      <x:c r="F51" s="17" t="n">
        <x:v>5</x:v>
      </x:c>
      <x:c r="G51" s="17" t="n">
        <x:v>48</x:v>
      </x:c>
      <x:c r="H51" s="17" t="n">
        <x:v>43</x:v>
      </x:c>
      <x:c r="I51" s="17" t="n">
        <x:v>5</x:v>
      </x:c>
      <x:c r="J51" s="17" t="n">
        <x:v>1</x:v>
      </x:c>
      <x:c r="K51" s="17" t="n">
        <x:v>89048</x:v>
      </x:c>
      <x:c r="L51" s="17" t="n">
        <x:v>142724</x:v>
      </x:c>
      <x:c r="M51" s="17" t="n">
        <x:v>53676</x:v>
      </x:c>
      <x:c r="N51" s="17" t="n">
        <x:v>165</x:v>
      </x:c>
      <x:c r="O51" s="17" t="n">
        <x:v>165</x:v>
      </x:c>
      <x:c r="P51" s="17" t="n">
        <x:v>0</x:v>
      </x:c>
      <x:c r="Q51" s="17" t="str">
        <x:v>Coin + Energy</x:v>
      </x:c>
      <x:c r="R51" s="18" t="str">
        <x:v>/Users/mac/Documents/智囊团/video_analysis/Top_Tycoon新号流程_20260804/frames/TT_NEW_03/TT_NEW_03_t000033.jpg</x:v>
      </x:c>
      <x:c r="S51" s="17" t="str">
        <x:v>00:00:40</x:v>
      </x:c>
      <x:c r="T51" s="17" t="str">
        <x:v>待复核</x:v>
      </x:c>
      <x:c r="U51" s="17" t="str">
        <x:v>B</x:v>
      </x:c>
      <x:c r="V51" s="17" t="str">
        <x:v>由逐秒能量变化推断；快速自动Spin可能需4fps补核</x:v>
      </x:c>
      <x:c r="W51" s="17" t="str">
        <x:v>混合奖励</x:v>
      </x:c>
      <x:c r="X51" s="17" t="str">
        <x:v>是</x:v>
      </x:c>
      <x:c r="Y51" s="17" t="str">
        <x:v>否</x:v>
      </x:c>
      <x:c r="Z51" s="17" t="str">
        <x:v>未知</x:v>
      </x:c>
      <x:c r="AA51" s="17" t="str">
        <x:v>未知</x:v>
      </x:c>
      <x:c r="AB51" s="17" t="str">
        <x:v>否</x:v>
      </x:c>
    </x:row>
    <x:row r="52">
      <x:c r="A52" s="17" t="str">
        <x:v>TT_NEW_03</x:v>
      </x:c>
      <x:c r="B52" s="17" t="str">
        <x:v>TT_NEW_03_S0004</x:v>
      </x:c>
      <x:c r="C52" s="17" t="str">
        <x:v>00:00:40</x:v>
      </x:c>
      <x:c r="D52" s="17" t="n">
        <x:v>40</x:v>
      </x:c>
      <x:c r="E52" s="17" t="n">
        <x:v>1</x:v>
      </x:c>
      <x:c r="F52" s="17" t="n">
        <x:v>5</x:v>
      </x:c>
      <x:c r="G52" s="17" t="n">
        <x:v>44</x:v>
      </x:c>
      <x:c r="H52" s="17" t="n">
        <x:v>39</x:v>
      </x:c>
      <x:c r="I52" s="17" t="n">
        <x:v>5</x:v>
      </x:c>
      <x:c r="J52" s="17" t="n">
        <x:v>0</x:v>
      </x:c>
      <x:c r="K52" s="17" t="n">
        <x:v>142724</x:v>
      </x:c>
      <x:c r="L52" s="17" t="n">
        <x:v>144224</x:v>
      </x:c>
      <x:c r="M52" s="17" t="n">
        <x:v>1500</x:v>
      </x:c>
      <x:c r="N52" s="17" t="n">
        <x:v>165</x:v>
      </x:c>
      <x:c r="O52" s="17" t="n">
        <x:v>165</x:v>
      </x:c>
      <x:c r="P52" s="17" t="n">
        <x:v>0</x:v>
      </x:c>
      <x:c r="Q52" s="17" t="str">
        <x:v>Coin</x:v>
      </x:c>
      <x:c r="R52" s="18" t="str">
        <x:v>/Users/mac/Documents/智囊团/video_analysis/Top_Tycoon新号流程_20260804/frames/TT_NEW_03/TT_NEW_03_t000040.jpg</x:v>
      </x:c>
      <x:c r="S52" s="17" t="str">
        <x:v>00:00:44</x:v>
      </x:c>
      <x:c r="T52" s="17" t="str">
        <x:v>待复核</x:v>
      </x:c>
      <x:c r="U52" s="17" t="str">
        <x:v>B</x:v>
      </x:c>
      <x:c r="V52" s="17" t="str">
        <x:v>由逐秒能量变化推断；快速自动Spin可能需4fps补核</x:v>
      </x:c>
      <x:c r="W52" s="17" t="str">
        <x:v>纯金币</x:v>
      </x:c>
      <x:c r="X52" s="17" t="str">
        <x:v>是</x:v>
      </x:c>
      <x:c r="Y52" s="17" t="str">
        <x:v>否</x:v>
      </x:c>
      <x:c r="Z52" s="17" t="str">
        <x:v>未知</x:v>
      </x:c>
      <x:c r="AA52" s="17" t="str">
        <x:v>未知</x:v>
      </x:c>
      <x:c r="AB52" s="17" t="str">
        <x:v>否</x:v>
      </x:c>
    </x:row>
    <x:row r="53">
      <x:c r="A53" s="17" t="str">
        <x:v>TT_NEW_03</x:v>
      </x:c>
      <x:c r="B53" s="17" t="str">
        <x:v>TT_NEW_03_S0005</x:v>
      </x:c>
      <x:c r="C53" s="17" t="str">
        <x:v>00:00:44</x:v>
      </x:c>
      <x:c r="D53" s="17" t="n">
        <x:v>44</x:v>
      </x:c>
      <x:c r="E53" s="17" t="n">
        <x:v>1</x:v>
      </x:c>
      <x:c r="F53" s="17" t="n">
        <x:v>5</x:v>
      </x:c>
      <x:c r="G53" s="17" t="n">
        <x:v>39</x:v>
      </x:c>
      <x:c r="H53" s="17" t="n">
        <x:v>34</x:v>
      </x:c>
      <x:c r="I53" s="17" t="n">
        <x:v>5</x:v>
      </x:c>
      <x:c r="J53" s="17" t="n">
        <x:v>0</x:v>
      </x:c>
      <x:c r="K53" s="17" t="n">
        <x:v>144224</x:v>
      </x:c>
      <x:c r="L53" s="17" t="n">
        <x:v>146724</x:v>
      </x:c>
      <x:c r="M53" s="17" t="n">
        <x:v>2500</x:v>
      </x:c>
      <x:c r="N53" s="17" t="n">
        <x:v>165</x:v>
      </x:c>
      <x:c r="O53" s="17" t="n">
        <x:v>175</x:v>
      </x:c>
      <x:c r="P53" s="17" t="n">
        <x:v>10</x:v>
      </x:c>
      <x:c r="Q53" s="17" t="str">
        <x:v>Coin + Progress</x:v>
      </x:c>
      <x:c r="R53" s="18" t="str">
        <x:v>/Users/mac/Documents/智囊团/video_analysis/Top_Tycoon新号流程_20260804/frames/TT_NEW_03/TT_NEW_03_t000044.jpg</x:v>
      </x:c>
      <x:c r="S53" s="17" t="str">
        <x:v>00:00:49</x:v>
      </x:c>
      <x:c r="T53" s="17" t="str">
        <x:v>待复核</x:v>
      </x:c>
      <x:c r="U53" s="17" t="str">
        <x:v>B</x:v>
      </x:c>
      <x:c r="V53" s="17" t="str">
        <x:v>由逐秒能量变化推断；快速自动Spin可能需4fps补核</x:v>
      </x:c>
      <x:c r="W53" s="17" t="str">
        <x:v>混合奖励</x:v>
      </x:c>
      <x:c r="X53" s="17" t="str">
        <x:v>是</x:v>
      </x:c>
      <x:c r="Y53" s="17" t="str">
        <x:v>否</x:v>
      </x:c>
      <x:c r="Z53" s="17" t="str">
        <x:v>未知</x:v>
      </x:c>
      <x:c r="AA53" s="17" t="str">
        <x:v>未知</x:v>
      </x:c>
      <x:c r="AB53" s="17" t="str">
        <x:v>否</x:v>
      </x:c>
    </x:row>
    <x:row r="54">
      <x:c r="A54" s="17" t="str">
        <x:v>TT_NEW_03</x:v>
      </x:c>
      <x:c r="B54" s="17" t="str">
        <x:v>TT_NEW_03_S0006</x:v>
      </x:c>
      <x:c r="C54" s="17" t="str">
        <x:v>00:00:49</x:v>
      </x:c>
      <x:c r="D54" s="17" t="n">
        <x:v>49</x:v>
      </x:c>
      <x:c r="E54" s="17" t="n">
        <x:v>1</x:v>
      </x:c>
      <x:c r="F54" s="17" t="n">
        <x:v>5</x:v>
      </x:c>
      <x:c r="G54" s="17" t="n">
        <x:v>34</x:v>
      </x:c>
      <x:c r="H54" s="17" t="n">
        <x:v>29</x:v>
      </x:c>
      <x:c r="I54" s="17" t="n">
        <x:v>5</x:v>
      </x:c>
      <x:c r="J54" s="17" t="n">
        <x:v>0</x:v>
      </x:c>
      <x:c r="K54" s="17" t="n">
        <x:v>146724</x:v>
      </x:c>
      <x:c r="L54" s="17" t="n">
        <x:v>161724</x:v>
      </x:c>
      <x:c r="M54" s="17" t="n">
        <x:v>15000</x:v>
      </x:c>
      <x:c r="N54" s="17" t="n">
        <x:v>175</x:v>
      </x:c>
      <x:c r="O54" s="17" t="n">
        <x:v>175</x:v>
      </x:c>
      <x:c r="P54" s="17" t="n">
        <x:v>0</x:v>
      </x:c>
      <x:c r="Q54" s="17" t="str">
        <x:v>Attack</x:v>
      </x:c>
      <x:c r="R54" s="18" t="str">
        <x:v>/Users/mac/Documents/智囊团/video_analysis/Top_Tycoon新号流程_20260804/frames/TT_NEW_03/TT_NEW_03_t000049.jpg</x:v>
      </x:c>
      <x:c r="S54" s="17" t="str">
        <x:v>00:01:16</x:v>
      </x:c>
      <x:c r="T54" s="17" t="str">
        <x:v>待复核</x:v>
      </x:c>
      <x:c r="U54" s="17" t="str">
        <x:v>B</x:v>
      </x:c>
      <x:c r="V54" s="17" t="str">
        <x:v>由逐秒能量变化推断；快速自动Spin可能需4fps补核</x:v>
      </x:c>
      <x:c r="W54" s="17" t="str">
        <x:v>Attack</x:v>
      </x:c>
      <x:c r="X54" s="17" t="str">
        <x:v>是</x:v>
      </x:c>
      <x:c r="Y54" s="17" t="str">
        <x:v>否</x:v>
      </x:c>
      <x:c r="Z54" s="17" t="str">
        <x:v>未知</x:v>
      </x:c>
      <x:c r="AA54" s="17" t="str">
        <x:v>未知</x:v>
      </x:c>
      <x:c r="AB54" s="17" t="str">
        <x:v>否</x:v>
      </x:c>
    </x:row>
    <x:row r="55">
      <x:c r="A55" s="17" t="str">
        <x:v>TT_NEW_03</x:v>
      </x:c>
      <x:c r="B55" s="17" t="str">
        <x:v>TT_NEW_03_S0007</x:v>
      </x:c>
      <x:c r="C55" s="17" t="str">
        <x:v>00:01:16</x:v>
      </x:c>
      <x:c r="D55" s="17" t="n">
        <x:v>76</x:v>
      </x:c>
      <x:c r="E55" s="17" t="n">
        <x:v>1</x:v>
      </x:c>
      <x:c r="F55" s="17" t="n">
        <x:v>5</x:v>
      </x:c>
      <x:c r="G55" s="17" t="n">
        <x:v>29</x:v>
      </x:c>
      <x:c r="H55" s="17" t="n">
        <x:v>24</x:v>
      </x:c>
      <x:c r="I55" s="17" t="n">
        <x:v>5</x:v>
      </x:c>
      <x:c r="J55" s="17" t="n">
        <x:v>0</x:v>
      </x:c>
      <x:c r="K55" s="17" t="n">
        <x:v>161724</x:v>
      </x:c>
      <x:c r="L55" s="17" t="n">
        <x:v>186724</x:v>
      </x:c>
      <x:c r="M55" s="17" t="n">
        <x:v>25000</x:v>
      </x:c>
      <x:c r="N55" s="17" t="n">
        <x:v>175</x:v>
      </x:c>
      <x:c r="O55" s="17" t="n">
        <x:v>175</x:v>
      </x:c>
      <x:c r="P55" s="17" t="n">
        <x:v>0</x:v>
      </x:c>
      <x:c r="Q55" s="17" t="str">
        <x:v>Coin</x:v>
      </x:c>
      <x:c r="R55" s="18" t="str">
        <x:v>/Users/mac/Documents/智囊团/video_analysis/Top_Tycoon新号流程_20260804/frames/TT_NEW_03/TT_NEW_03_t000076.jpg</x:v>
      </x:c>
      <x:c r="S55" s="17" t="str">
        <x:v>00:01:18</x:v>
      </x:c>
      <x:c r="T55" s="17" t="str">
        <x:v>待复核</x:v>
      </x:c>
      <x:c r="U55" s="17" t="str">
        <x:v>B</x:v>
      </x:c>
      <x:c r="V55" s="17" t="str">
        <x:v>由逐秒能量变化推断；快速自动Spin可能需4fps补核</x:v>
      </x:c>
      <x:c r="W55" s="17" t="str">
        <x:v>纯金币</x:v>
      </x:c>
      <x:c r="X55" s="17" t="str">
        <x:v>是</x:v>
      </x:c>
      <x:c r="Y55" s="17" t="str">
        <x:v>否</x:v>
      </x:c>
      <x:c r="Z55" s="17" t="str">
        <x:v>未知</x:v>
      </x:c>
      <x:c r="AA55" s="17" t="str">
        <x:v>未知</x:v>
      </x:c>
      <x:c r="AB55" s="17" t="str">
        <x:v>否</x:v>
      </x:c>
    </x:row>
    <x:row r="56">
      <x:c r="A56" s="17" t="str">
        <x:v>TT_NEW_03</x:v>
      </x:c>
      <x:c r="B56" s="17" t="str">
        <x:v>TT_NEW_03_S0008</x:v>
      </x:c>
      <x:c r="C56" s="17" t="str">
        <x:v>00:01:18</x:v>
      </x:c>
      <x:c r="D56" s="17" t="n">
        <x:v>78</x:v>
      </x:c>
      <x:c r="E56" s="17" t="n">
        <x:v>1</x:v>
      </x:c>
      <x:c r="F56" s="17" t="n">
        <x:v>5</x:v>
      </x:c>
      <x:c r="G56" s="17" t="n">
        <x:v>24</x:v>
      </x:c>
      <x:c r="H56" s="17" t="n">
        <x:v>19</x:v>
      </x:c>
      <x:c r="I56" s="17" t="n">
        <x:v>5</x:v>
      </x:c>
      <x:c r="J56" s="17" t="n">
        <x:v>0</x:v>
      </x:c>
      <x:c r="K56" s="17" t="n">
        <x:v>161724</x:v>
      </x:c>
      <x:c r="L56" s="17" t="n">
        <x:v>189224</x:v>
      </x:c>
      <x:c r="M56" s="17" t="n">
        <x:v>27500</x:v>
      </x:c>
      <x:c r="N56" s="17" t="n">
        <x:v>175</x:v>
      </x:c>
      <x:c r="O56" s="17" t="n">
        <x:v>175</x:v>
      </x:c>
      <x:c r="P56" s="17" t="n">
        <x:v>0</x:v>
      </x:c>
      <x:c r="Q56" s="17" t="str">
        <x:v>Coin</x:v>
      </x:c>
      <x:c r="R56" s="18" t="str">
        <x:v>/Users/mac/Documents/智囊团/video_analysis/Top_Tycoon新号流程_20260804/frames/TT_NEW_03/TT_NEW_03_t000078.jpg</x:v>
      </x:c>
      <x:c r="S56" s="17" t="str">
        <x:v>00:01:21</x:v>
      </x:c>
      <x:c r="T56" s="17" t="str">
        <x:v>待复核</x:v>
      </x:c>
      <x:c r="U56" s="17" t="str">
        <x:v>B</x:v>
      </x:c>
      <x:c r="V56" s="17" t="str">
        <x:v>由逐秒能量变化推断；快速自动Spin可能需4fps补核</x:v>
      </x:c>
      <x:c r="W56" s="17" t="str">
        <x:v>纯金币</x:v>
      </x:c>
      <x:c r="X56" s="17" t="str">
        <x:v>是</x:v>
      </x:c>
      <x:c r="Y56" s="17" t="str">
        <x:v>否</x:v>
      </x:c>
      <x:c r="Z56" s="17" t="str">
        <x:v>未知</x:v>
      </x:c>
      <x:c r="AA56" s="17" t="str">
        <x:v>未知</x:v>
      </x:c>
      <x:c r="AB56" s="17" t="str">
        <x:v>否</x:v>
      </x:c>
    </x:row>
    <x:row r="57">
      <x:c r="A57" s="17" t="str">
        <x:v>TT_NEW_03</x:v>
      </x:c>
      <x:c r="B57" s="17" t="str">
        <x:v>TT_NEW_03_S0009</x:v>
      </x:c>
      <x:c r="C57" s="17" t="str">
        <x:v>00:01:21</x:v>
      </x:c>
      <x:c r="D57" s="17" t="n">
        <x:v>81</x:v>
      </x:c>
      <x:c r="E57" s="17" t="n">
        <x:v>1</x:v>
      </x:c>
      <x:c r="F57" s="17" t="n">
        <x:v>5</x:v>
      </x:c>
      <x:c r="G57" s="17" t="n">
        <x:v>19</x:v>
      </x:c>
      <x:c r="H57" s="17" t="n">
        <x:v>14</x:v>
      </x:c>
      <x:c r="I57" s="17" t="n">
        <x:v>5</x:v>
      </x:c>
      <x:c r="J57" s="17" t="n">
        <x:v>0</x:v>
      </x:c>
      <x:c r="K57" s="17" t="n">
        <x:v>187638</x:v>
      </x:c>
      <x:c r="L57" s="17" t="n">
        <x:v>194224</x:v>
      </x:c>
      <x:c r="M57" s="17" t="n">
        <x:v>6586</x:v>
      </x:c>
      <x:c r="N57" s="17" t="n">
        <x:v>175</x:v>
      </x:c>
      <x:c r="O57" s="17" t="n">
        <x:v>175</x:v>
      </x:c>
      <x:c r="P57" s="17" t="n">
        <x:v>0</x:v>
      </x:c>
      <x:c r="Q57" s="17" t="str">
        <x:v>Coin</x:v>
      </x:c>
      <x:c r="R57" s="18" t="str">
        <x:v>/Users/mac/Documents/智囊团/video_analysis/Top_Tycoon新号流程_20260804/frames/TT_NEW_03/TT_NEW_03_t000081.jpg</x:v>
      </x:c>
      <x:c r="S57" s="17" t="str">
        <x:v>00:01:24</x:v>
      </x:c>
      <x:c r="T57" s="17" t="str">
        <x:v>待复核</x:v>
      </x:c>
      <x:c r="U57" s="17" t="str">
        <x:v>B</x:v>
      </x:c>
      <x:c r="V57" s="17" t="str">
        <x:v>由逐秒能量变化推断；快速自动Spin可能需4fps补核</x:v>
      </x:c>
      <x:c r="W57" s="17" t="str">
        <x:v>纯金币</x:v>
      </x:c>
      <x:c r="X57" s="17" t="str">
        <x:v>是</x:v>
      </x:c>
      <x:c r="Y57" s="17" t="str">
        <x:v>否</x:v>
      </x:c>
      <x:c r="Z57" s="17" t="str">
        <x:v>未知</x:v>
      </x:c>
      <x:c r="AA57" s="17" t="str">
        <x:v>未知</x:v>
      </x:c>
      <x:c r="AB57" s="17" t="str">
        <x:v>否</x:v>
      </x:c>
    </x:row>
    <x:row r="58">
      <x:c r="A58" s="17" t="str">
        <x:v>TT_NEW_03</x:v>
      </x:c>
      <x:c r="B58" s="17" t="str">
        <x:v>TT_NEW_03_S0010</x:v>
      </x:c>
      <x:c r="C58" s="17" t="str">
        <x:v>00:01:24</x:v>
      </x:c>
      <x:c r="D58" s="17" t="n">
        <x:v>84</x:v>
      </x:c>
      <x:c r="E58" s="17" t="n">
        <x:v>1</x:v>
      </x:c>
      <x:c r="F58" s="17" t="n">
        <x:v>5</x:v>
      </x:c>
      <x:c r="G58" s="17" t="n">
        <x:v>14</x:v>
      </x:c>
      <x:c r="H58" s="17" t="n">
        <x:v>9</x:v>
      </x:c>
      <x:c r="I58" s="17" t="n">
        <x:v>5</x:v>
      </x:c>
      <x:c r="J58" s="17" t="n">
        <x:v>0</x:v>
      </x:c>
      <x:c r="K58" s="17" t="n">
        <x:v>194224</x:v>
      </x:c>
      <x:c r="L58" s="17" t="n">
        <x:v>221524</x:v>
      </x:c>
      <x:c r="M58" s="17" t="n">
        <x:v>27300</x:v>
      </x:c>
      <x:c r="N58" s="17" t="n">
        <x:v>175</x:v>
      </x:c>
      <x:c r="O58" s="17" t="n">
        <x:v>175</x:v>
      </x:c>
      <x:c r="P58" s="17" t="n">
        <x:v>0</x:v>
      </x:c>
      <x:c r="Q58" s="17" t="str">
        <x:v>Shield + Coin</x:v>
      </x:c>
      <x:c r="R58" s="18" t="str">
        <x:v>/Users/mac/Documents/智囊团/video_analysis/Top_Tycoon新号流程_20260804/frames/TT_NEW_03/TT_NEW_03_t000084.jpg</x:v>
      </x:c>
      <x:c r="S58" s="17" t="str">
        <x:v>00:01:32</x:v>
      </x:c>
      <x:c r="T58" s="17" t="str">
        <x:v>待复核</x:v>
      </x:c>
      <x:c r="U58" s="17" t="str">
        <x:v>B</x:v>
      </x:c>
      <x:c r="V58" s="17" t="str">
        <x:v>由逐秒能量变化推断；快速自动Spin可能需4fps补核</x:v>
      </x:c>
      <x:c r="W58" s="17" t="str">
        <x:v>Shield</x:v>
      </x:c>
      <x:c r="X58" s="17" t="str">
        <x:v>是</x:v>
      </x:c>
      <x:c r="Y58" s="17" t="str">
        <x:v>否</x:v>
      </x:c>
      <x:c r="Z58" s="17" t="str">
        <x:v>未知</x:v>
      </x:c>
      <x:c r="AA58" s="17" t="str">
        <x:v>未知</x:v>
      </x:c>
      <x:c r="AB58" s="17" t="str">
        <x:v>是</x:v>
      </x:c>
    </x:row>
    <x:row r="59">
      <x:c r="A59" s="17" t="str">
        <x:v>TT_NEW_03</x:v>
      </x:c>
      <x:c r="B59" s="17" t="str">
        <x:v>TT_NEW_03_S0011</x:v>
      </x:c>
      <x:c r="C59" s="17" t="str">
        <x:v>00:01:32</x:v>
      </x:c>
      <x:c r="D59" s="17" t="n">
        <x:v>92</x:v>
      </x:c>
      <x:c r="E59" s="17" t="n">
        <x:v>1</x:v>
      </x:c>
      <x:c r="F59" s="17" t="n">
        <x:v>5</x:v>
      </x:c>
      <x:c r="G59" s="17" t="n">
        <x:v>9</x:v>
      </x:c>
      <x:c r="H59" s="17" t="n">
        <x:v>4</x:v>
      </x:c>
      <x:c r="I59" s="17" t="n">
        <x:v>5</x:v>
      </x:c>
      <x:c r="J59" s="17" t="n">
        <x:v>0</x:v>
      </x:c>
      <x:c r="K59" s="17" t="n">
        <x:v>218146</x:v>
      </x:c>
      <x:c r="L59" s="17" t="n">
        <x:v>228424</x:v>
      </x:c>
      <x:c r="M59" s="17" t="n">
        <x:v>10278</x:v>
      </x:c>
      <x:c r="N59" s="17" t="n">
        <x:v>175</x:v>
      </x:c>
      <x:c r="O59" s="17" t="n">
        <x:v>175</x:v>
      </x:c>
      <x:c r="P59" s="17" t="n">
        <x:v>0</x:v>
      </x:c>
      <x:c r="Q59" s="17" t="str">
        <x:v>Coin</x:v>
      </x:c>
      <x:c r="R59" s="18" t="str">
        <x:v>/Users/mac/Documents/智囊团/video_analysis/Top_Tycoon新号流程_20260804/frames/TT_NEW_03/TT_NEW_03_t000092.jpg</x:v>
      </x:c>
      <x:c r="S59" s="17" t="str">
        <x:v>00:02:32</x:v>
      </x:c>
      <x:c r="T59" s="17" t="str">
        <x:v>待复核</x:v>
      </x:c>
      <x:c r="U59" s="17" t="str">
        <x:v>B</x:v>
      </x:c>
      <x:c r="V59" s="17" t="str">
        <x:v>由逐秒能量变化推断；快速自动Spin可能需4fps补核</x:v>
      </x:c>
      <x:c r="W59" s="17" t="str">
        <x:v>纯金币</x:v>
      </x:c>
      <x:c r="X59" s="17" t="str">
        <x:v>是</x:v>
      </x:c>
      <x:c r="Y59" s="17" t="str">
        <x:v>否</x:v>
      </x:c>
      <x:c r="Z59" s="17" t="str">
        <x:v>未知</x:v>
      </x:c>
      <x:c r="AA59" s="17" t="str">
        <x:v>未知</x:v>
      </x:c>
      <x:c r="AB59" s="17" t="str">
        <x:v>是</x:v>
      </x:c>
    </x:row>
    <x:row r="60">
      <x:c r="A60" s="17" t="str">
        <x:v>TT_NEW_03</x:v>
      </x:c>
      <x:c r="B60" s="17" t="str">
        <x:v>TT_NEW_03_S0012</x:v>
      </x:c>
      <x:c r="C60" s="17" t="str">
        <x:v>00:04:58</x:v>
      </x:c>
      <x:c r="D60" s="17" t="n">
        <x:v>298</x:v>
      </x:c>
      <x:c r="E60" s="17" t="n">
        <x:v>1</x:v>
      </x:c>
      <x:c r="F60" s="17" t="n">
        <x:v>5</x:v>
      </x:c>
      <x:c r="G60" s="17" t="n">
        <x:v>104</x:v>
      </x:c>
      <x:c r="H60" s="17" t="n">
        <x:v>99</x:v>
      </x:c>
      <x:c r="I60" s="17" t="n">
        <x:v>5</x:v>
      </x:c>
      <x:c r="J60" s="17" t="n">
        <x:v>0</x:v>
      </x:c>
      <x:c r="K60" s="17" t="n">
        <x:v>488424</x:v>
      </x:c>
      <x:c r="L60" s="17" t="n">
        <x:v>488424</x:v>
      </x:c>
      <x:c r="M60" s="17" t="n">
        <x:v>0</x:v>
      </x:c>
      <x:c r="N60" s="17" t="n">
        <x:v>175</x:v>
      </x:c>
      <x:c r="O60" s="17" t="n">
        <x:v>195</x:v>
      </x:c>
      <x:c r="P60" s="17" t="n">
        <x:v>20</x:v>
      </x:c>
      <x:c r="Q60" s="17" t="str">
        <x:v>Progress</x:v>
      </x:c>
      <x:c r="R60" s="18" t="str">
        <x:v>/Users/mac/Documents/智囊团/video_analysis/Top_Tycoon新号流程_20260804/frames/TT_NEW_03/TT_NEW_03_t000298.jpg</x:v>
      </x:c>
      <x:c r="S60" s="17" t="str">
        <x:v>00:05:02</x:v>
      </x:c>
      <x:c r="T60" s="17" t="str">
        <x:v>待复核</x:v>
      </x:c>
      <x:c r="U60" s="17" t="str">
        <x:v>B</x:v>
      </x:c>
      <x:c r="V60" s="17" t="str">
        <x:v>由逐秒能量变化推断；快速自动Spin可能需4fps补核</x:v>
      </x:c>
      <x:c r="W60" s="17" t="str">
        <x:v>纯进度</x:v>
      </x:c>
      <x:c r="X60" s="17" t="str">
        <x:v>是</x:v>
      </x:c>
      <x:c r="Y60" s="17" t="str">
        <x:v>否</x:v>
      </x:c>
      <x:c r="Z60" s="17" t="str">
        <x:v>未知</x:v>
      </x:c>
      <x:c r="AA60" s="17" t="str">
        <x:v>未知</x:v>
      </x:c>
      <x:c r="AB60" s="17" t="str">
        <x:v>否</x:v>
      </x:c>
    </x:row>
    <x:row r="61">
      <x:c r="A61" s="17" t="str">
        <x:v>TT_NEW_03</x:v>
      </x:c>
      <x:c r="B61" s="17" t="str">
        <x:v>TT_NEW_03_S0013</x:v>
      </x:c>
      <x:c r="C61" s="17" t="str">
        <x:v>00:05:02</x:v>
      </x:c>
      <x:c r="D61" s="17" t="n">
        <x:v>302</x:v>
      </x:c>
      <x:c r="E61" s="17" t="n">
        <x:v>1</x:v>
      </x:c>
      <x:c r="F61" s="17" t="n">
        <x:v>5</x:v>
      </x:c>
      <x:c r="G61" s="17" t="n">
        <x:v>99</x:v>
      </x:c>
      <x:c r="H61" s="17" t="n">
        <x:v>94</x:v>
      </x:c>
      <x:c r="I61" s="17" t="n">
        <x:v>5</x:v>
      </x:c>
      <x:c r="J61" s="17" t="n">
        <x:v>0</x:v>
      </x:c>
      <x:c r="K61" s="17" t="n">
        <x:v>488424</x:v>
      </x:c>
      <x:c r="L61" s="17" t="n">
        <x:v>488424</x:v>
      </x:c>
      <x:c r="M61" s="17" t="n">
        <x:v>0</x:v>
      </x:c>
      <x:c r="N61" s="17" t="n">
        <x:v>195</x:v>
      </x:c>
      <x:c r="O61" s="17" t="n">
        <x:v>195</x:v>
      </x:c>
      <x:c r="P61" s="17" t="n">
        <x:v>0</x:v>
      </x:c>
      <x:c r="Q61" s="17" t="str">
        <x:v>Empty / no visible reward</x:v>
      </x:c>
      <x:c r="R61" s="18" t="str">
        <x:v>/Users/mac/Documents/智囊团/video_analysis/Top_Tycoon新号流程_20260804/evidence/event_supplements/TT_NEW_03_000300_4fps_contact.jpg</x:v>
      </x:c>
      <x:c r="S61" s="17" t="str">
        <x:v>00:05:04</x:v>
      </x:c>
      <x:c r="T61" s="17" t="str">
        <x:v>已确认</x:v>
      </x:c>
      <x:c r="U61" s="17" t="str">
        <x:v>A</x:v>
      </x:c>
      <x:c r="V61" s="17" t="str">
        <x:v>4fps事件补核，画面与余额前后值已人工复核</x:v>
      </x:c>
      <x:c r="W61" s="17" t="str">
        <x:v>空奖</x:v>
      </x:c>
      <x:c r="X61" s="17" t="str">
        <x:v>是</x:v>
      </x:c>
      <x:c r="Y61" s="17" t="str">
        <x:v>否</x:v>
      </x:c>
      <x:c r="Z61" s="17" t="str">
        <x:v>未知</x:v>
      </x:c>
      <x:c r="AA61" s="17" t="str">
        <x:v>未知</x:v>
      </x:c>
      <x:c r="AB61" s="17" t="str">
        <x:v>否</x:v>
      </x:c>
    </x:row>
    <x:row r="62">
      <x:c r="A62" s="17" t="str">
        <x:v>TT_NEW_03</x:v>
      </x:c>
      <x:c r="B62" s="17" t="str">
        <x:v>TT_NEW_03_S0014</x:v>
      </x:c>
      <x:c r="C62" s="17" t="str">
        <x:v>00:05:04</x:v>
      </x:c>
      <x:c r="D62" s="17" t="n">
        <x:v>304</x:v>
      </x:c>
      <x:c r="E62" s="17" t="n">
        <x:v>1</x:v>
      </x:c>
      <x:c r="F62" s="17" t="n">
        <x:v>5</x:v>
      </x:c>
      <x:c r="G62" s="17" t="n">
        <x:v>94</x:v>
      </x:c>
      <x:c r="H62" s="17" t="n">
        <x:v>89</x:v>
      </x:c>
      <x:c r="I62" s="17" t="n">
        <x:v>5</x:v>
      </x:c>
      <x:c r="J62" s="17" t="n">
        <x:v>0</x:v>
      </x:c>
      <x:c r="K62" s="17" t="n">
        <x:v>488424</x:v>
      </x:c>
      <x:c r="L62" s="17" t="n">
        <x:v>515924</x:v>
      </x:c>
      <x:c r="M62" s="17" t="n">
        <x:v>27500</x:v>
      </x:c>
      <x:c r="N62" s="17" t="n">
        <x:v>195</x:v>
      </x:c>
      <x:c r="O62" s="17" t="n">
        <x:v>195</x:v>
      </x:c>
      <x:c r="P62" s="17" t="n">
        <x:v>0</x:v>
      </x:c>
      <x:c r="Q62" s="17" t="str">
        <x:v>Coin</x:v>
      </x:c>
      <x:c r="R62" s="18" t="str">
        <x:v>/Users/mac/Documents/智囊团/video_analysis/Top_Tycoon新号流程_20260804/frames/TT_NEW_03/TT_NEW_03_t000304.jpg</x:v>
      </x:c>
      <x:c r="S62" s="17" t="str">
        <x:v>00:05:10</x:v>
      </x:c>
      <x:c r="T62" s="17" t="str">
        <x:v>待复核</x:v>
      </x:c>
      <x:c r="U62" s="17" t="str">
        <x:v>B</x:v>
      </x:c>
      <x:c r="V62" s="17" t="str">
        <x:v>由逐秒能量变化推断；快速自动Spin可能需4fps补核</x:v>
      </x:c>
      <x:c r="W62" s="17" t="str">
        <x:v>纯金币</x:v>
      </x:c>
      <x:c r="X62" s="17" t="str">
        <x:v>是</x:v>
      </x:c>
      <x:c r="Y62" s="17" t="str">
        <x:v>否</x:v>
      </x:c>
      <x:c r="Z62" s="17" t="str">
        <x:v>未知</x:v>
      </x:c>
      <x:c r="AA62" s="17" t="str">
        <x:v>未知</x:v>
      </x:c>
      <x:c r="AB62" s="17" t="str">
        <x:v>否</x:v>
      </x:c>
    </x:row>
    <x:row r="63">
      <x:c r="A63" s="17" t="str">
        <x:v>TT_NEW_03</x:v>
      </x:c>
      <x:c r="B63" s="17" t="str">
        <x:v>TT_NEW_03_S0015</x:v>
      </x:c>
      <x:c r="C63" s="17" t="str">
        <x:v>00:05:10</x:v>
      </x:c>
      <x:c r="D63" s="17" t="n">
        <x:v>310</x:v>
      </x:c>
      <x:c r="E63" s="17" t="n">
        <x:v>1</x:v>
      </x:c>
      <x:c r="F63" s="17" t="n">
        <x:v>5</x:v>
      </x:c>
      <x:c r="G63" s="17" t="n">
        <x:v>84</x:v>
      </x:c>
      <x:c r="H63" s="17" t="n">
        <x:v>79</x:v>
      </x:c>
      <x:c r="I63" s="17" t="n">
        <x:v>5</x:v>
      </x:c>
      <x:c r="J63" s="17" t="n">
        <x:v>400</x:v>
      </x:c>
      <x:c r="K63" s="17" t="n">
        <x:v>513757</x:v>
      </x:c>
      <x:c r="L63" s="17" t="n">
        <x:v>518424</x:v>
      </x:c>
      <x:c r="M63" s="17" t="n">
        <x:v>4667</x:v>
      </x:c>
      <x:c r="N63" s="17" t="n">
        <x:v>195</x:v>
      </x:c>
      <x:c r="O63" s="17" t="n">
        <x:v>200</x:v>
      </x:c>
      <x:c r="P63" s="17" t="n">
        <x:v>5</x:v>
      </x:c>
      <x:c r="Q63" s="17" t="str">
        <x:v>Coin + Energy + Progress</x:v>
      </x:c>
      <x:c r="R63" s="18" t="str">
        <x:v>/Users/mac/Documents/智囊团/video_analysis/Top_Tycoon新号流程_20260804/frames/TT_NEW_03/TT_NEW_03_t000310.jpg</x:v>
      </x:c>
      <x:c r="S63" s="17" t="str">
        <x:v>00:05:19</x:v>
      </x:c>
      <x:c r="T63" s="17" t="str">
        <x:v>待复核</x:v>
      </x:c>
      <x:c r="U63" s="17" t="str">
        <x:v>B</x:v>
      </x:c>
      <x:c r="V63" s="17" t="str">
        <x:v>由逐秒能量变化推断；快速自动Spin可能需4fps补核</x:v>
      </x:c>
      <x:c r="W63" s="17" t="str">
        <x:v>混合奖励</x:v>
      </x:c>
      <x:c r="X63" s="17" t="str">
        <x:v>是</x:v>
      </x:c>
      <x:c r="Y63" s="17" t="str">
        <x:v>否</x:v>
      </x:c>
      <x:c r="Z63" s="17" t="str">
        <x:v>未知</x:v>
      </x:c>
      <x:c r="AA63" s="17" t="str">
        <x:v>未知</x:v>
      </x:c>
      <x:c r="AB63" s="17" t="str">
        <x:v>否</x:v>
      </x:c>
    </x:row>
    <x:row r="64">
      <x:c r="A64" s="17" t="str">
        <x:v>TT_NEW_03</x:v>
      </x:c>
      <x:c r="B64" s="17" t="str">
        <x:v>TT_NEW_03_S0016</x:v>
      </x:c>
      <x:c r="C64" s="17" t="str">
        <x:v>00:05:19</x:v>
      </x:c>
      <x:c r="D64" s="17" t="n">
        <x:v>319</x:v>
      </x:c>
      <x:c r="E64" s="17" t="n">
        <x:v>1</x:v>
      </x:c>
      <x:c r="F64" s="17" t="n">
        <x:v>20</x:v>
      </x:c>
      <x:c r="G64" s="17" t="n">
        <x:v>479</x:v>
      </x:c>
      <x:c r="H64" s="17" t="n">
        <x:v>474</x:v>
      </x:c>
      <x:c r="I64" s="17" t="n">
        <x:v>20</x:v>
      </x:c>
      <x:c r="J64" s="17" t="n">
        <x:v>15</x:v>
      </x:c>
      <x:c r="K64" s="17" t="n">
        <x:v>516173</x:v>
      </x:c>
      <x:c r="L64" s="17" t="n">
        <x:v>518773</x:v>
      </x:c>
      <x:c r="M64" s="17" t="n">
        <x:v>2600</x:v>
      </x:c>
      <x:c r="N64" s="17" t="n">
        <x:v>5</x:v>
      </x:c>
      <x:c r="O64" s="17" t="n">
        <x:v>5</x:v>
      </x:c>
      <x:c r="P64" s="17" t="n">
        <x:v>0</x:v>
      </x:c>
      <x:c r="Q64" s="17" t="str">
        <x:v>Coin</x:v>
      </x:c>
      <x:c r="R64" s="18" t="str">
        <x:v>/Users/mac/Documents/智囊团/video_analysis/Top_Tycoon新号流程_20260804/frames/TT_NEW_03/TT_NEW_03_t000319.jpg</x:v>
      </x:c>
      <x:c r="S64" s="17" t="str">
        <x:v>00:05:21</x:v>
      </x:c>
      <x:c r="T64" s="17" t="str">
        <x:v>待复核</x:v>
      </x:c>
      <x:c r="U64" s="17" t="str">
        <x:v>B</x:v>
      </x:c>
      <x:c r="V64" s="17" t="str">
        <x:v>由逐秒能量变化推断；快速自动Spin可能需4fps补核</x:v>
      </x:c>
      <x:c r="W64" s="17" t="str">
        <x:v>纯金币</x:v>
      </x:c>
      <x:c r="X64" s="17" t="str">
        <x:v>是</x:v>
      </x:c>
      <x:c r="Y64" s="17" t="str">
        <x:v>否</x:v>
      </x:c>
      <x:c r="Z64" s="17" t="str">
        <x:v>未知</x:v>
      </x:c>
      <x:c r="AA64" s="17" t="str">
        <x:v>未知</x:v>
      </x:c>
      <x:c r="AB64" s="17" t="str">
        <x:v>否</x:v>
      </x:c>
    </x:row>
    <x:row r="65">
      <x:c r="A65" s="17" t="str">
        <x:v>TT_NEW_03</x:v>
      </x:c>
      <x:c r="B65" s="17" t="str">
        <x:v>TT_NEW_03_S0017</x:v>
      </x:c>
      <x:c r="C65" s="17" t="str">
        <x:v>00:05:21</x:v>
      </x:c>
      <x:c r="D65" s="17" t="n">
        <x:v>321</x:v>
      </x:c>
      <x:c r="E65" s="17" t="n">
        <x:v>1</x:v>
      </x:c>
      <x:c r="F65" s="17" t="n">
        <x:v>20</x:v>
      </x:c>
      <x:c r="G65" s="17" t="n">
        <x:v>474</x:v>
      </x:c>
      <x:c r="H65" s="17" t="n">
        <x:v>469</x:v>
      </x:c>
      <x:c r="I65" s="17" t="n">
        <x:v>20</x:v>
      </x:c>
      <x:c r="J65" s="17" t="n">
        <x:v>15</x:v>
      </x:c>
      <x:c r="K65" s="17" t="n">
        <x:v>518424</x:v>
      </x:c>
      <x:c r="L65" s="17" t="n">
        <x:v>853924</x:v>
      </x:c>
      <x:c r="M65" s="17" t="n">
        <x:v>335500</x:v>
      </x:c>
      <x:c r="N65" s="17"/>
      <x:c r="O65" s="17" t="n">
        <x:v>15</x:v>
      </x:c>
      <x:c r="P65" s="17"/>
      <x:c r="Q65" s="17" t="str">
        <x:v>Credit Grab</x:v>
      </x:c>
      <x:c r="R65" s="18" t="str">
        <x:v>/Users/mac/Documents/智囊团/video_analysis/Top_Tycoon新号流程_20260804/frames/TT_NEW_03/TT_NEW_03_t000321.jpg</x:v>
      </x:c>
      <x:c r="S65" s="17" t="str">
        <x:v>00:06:01</x:v>
      </x:c>
      <x:c r="T65" s="17" t="str">
        <x:v>待复核</x:v>
      </x:c>
      <x:c r="U65" s="17" t="str">
        <x:v>B</x:v>
      </x:c>
      <x:c r="V65" s="17" t="str">
        <x:v>由逐秒能量变化推断；快速自动Spin可能需4fps补核</x:v>
      </x:c>
      <x:c r="W65" s="17" t="str">
        <x:v>Credit Grab</x:v>
      </x:c>
      <x:c r="X65" s="17" t="str">
        <x:v>是</x:v>
      </x:c>
      <x:c r="Y65" s="17" t="str">
        <x:v>否</x:v>
      </x:c>
      <x:c r="Z65" s="17" t="str">
        <x:v>未知</x:v>
      </x:c>
      <x:c r="AA65" s="17" t="str">
        <x:v>未知</x:v>
      </x:c>
      <x:c r="AB65" s="17" t="str">
        <x:v>否</x:v>
      </x:c>
    </x:row>
    <x:row r="66">
      <x:c r="A66" s="17" t="str">
        <x:v>TT_NEW_03</x:v>
      </x:c>
      <x:c r="B66" s="17" t="str">
        <x:v>TT_NEW_03_S0018</x:v>
      </x:c>
      <x:c r="C66" s="17" t="str">
        <x:v>00:06:01</x:v>
      </x:c>
      <x:c r="D66" s="17" t="n">
        <x:v>361</x:v>
      </x:c>
      <x:c r="E66" s="17" t="n">
        <x:v>1</x:v>
      </x:c>
      <x:c r="F66" s="17" t="n">
        <x:v>5</x:v>
      </x:c>
      <x:c r="G66" s="17" t="n">
        <x:v>464</x:v>
      </x:c>
      <x:c r="H66" s="17" t="n">
        <x:v>459</x:v>
      </x:c>
      <x:c r="I66" s="17" t="n">
        <x:v>5</x:v>
      </x:c>
      <x:c r="J66" s="17" t="n">
        <x:v>0</x:v>
      </x:c>
      <x:c r="K66" s="17" t="n">
        <x:v>853924</x:v>
      </x:c>
      <x:c r="L66" s="17" t="n">
        <x:v>869731</x:v>
      </x:c>
      <x:c r="M66" s="17" t="n">
        <x:v>15807</x:v>
      </x:c>
      <x:c r="N66" s="17" t="n">
        <x:v>15</x:v>
      </x:c>
      <x:c r="O66" s="17" t="n">
        <x:v>15</x:v>
      </x:c>
      <x:c r="P66" s="17" t="n">
        <x:v>0</x:v>
      </x:c>
      <x:c r="Q66" s="17" t="str">
        <x:v>Coin</x:v>
      </x:c>
      <x:c r="R66" s="18" t="str">
        <x:v>/Users/mac/Documents/智囊团/video_analysis/Top_Tycoon新号流程_20260804/frames/TT_NEW_03/TT_NEW_03_t000361.jpg</x:v>
      </x:c>
      <x:c r="S66" s="17" t="str">
        <x:v>00:06:03</x:v>
      </x:c>
      <x:c r="T66" s="17" t="str">
        <x:v>待复核</x:v>
      </x:c>
      <x:c r="U66" s="17" t="str">
        <x:v>B</x:v>
      </x:c>
      <x:c r="V66" s="17" t="str">
        <x:v>由逐秒能量变化推断；快速自动Spin可能需4fps补核</x:v>
      </x:c>
      <x:c r="W66" s="17" t="str">
        <x:v>纯金币</x:v>
      </x:c>
      <x:c r="X66" s="17" t="str">
        <x:v>是</x:v>
      </x:c>
      <x:c r="Y66" s="17" t="str">
        <x:v>否</x:v>
      </x:c>
      <x:c r="Z66" s="17" t="str">
        <x:v>未知</x:v>
      </x:c>
      <x:c r="AA66" s="17" t="str">
        <x:v>未知</x:v>
      </x:c>
      <x:c r="AB66" s="17" t="str">
        <x:v>否</x:v>
      </x:c>
    </x:row>
    <x:row r="67">
      <x:c r="A67" s="17" t="str">
        <x:v>TT_NEW_03</x:v>
      </x:c>
      <x:c r="B67" s="17" t="str">
        <x:v>TT_NEW_03_S0019</x:v>
      </x:c>
      <x:c r="C67" s="17" t="str">
        <x:v>00:06:03</x:v>
      </x:c>
      <x:c r="D67" s="17" t="n">
        <x:v>363</x:v>
      </x:c>
      <x:c r="E67" s="17" t="n">
        <x:v>1</x:v>
      </x:c>
      <x:c r="F67" s="17" t="n">
        <x:v>5</x:v>
      </x:c>
      <x:c r="G67" s="17" t="n">
        <x:v>459</x:v>
      </x:c>
      <x:c r="H67" s="17" t="n">
        <x:v>454</x:v>
      </x:c>
      <x:c r="I67" s="17" t="n">
        <x:v>5</x:v>
      </x:c>
      <x:c r="J67" s="17" t="n">
        <x:v>0</x:v>
      </x:c>
      <x:c r="K67" s="17" t="n">
        <x:v>853924</x:v>
      </x:c>
      <x:c r="L67" s="17" t="n">
        <x:v>895824</x:v>
      </x:c>
      <x:c r="M67" s="17" t="n">
        <x:v>41900</x:v>
      </x:c>
      <x:c r="N67" s="17"/>
      <x:c r="O67" s="17" t="n">
        <x:v>15</x:v>
      </x:c>
      <x:c r="P67" s="17"/>
      <x:c r="Q67" s="17" t="str">
        <x:v>Attack</x:v>
      </x:c>
      <x:c r="R67" s="18" t="str">
        <x:v>/Users/mac/Documents/智囊团/video_analysis/Top_Tycoon新号流程_20260804/frames/TT_NEW_03/TT_NEW_03_t000363.jpg</x:v>
      </x:c>
      <x:c r="S67" s="17" t="str">
        <x:v>00:06:33</x:v>
      </x:c>
      <x:c r="T67" s="17" t="str">
        <x:v>待复核</x:v>
      </x:c>
      <x:c r="U67" s="17" t="str">
        <x:v>B</x:v>
      </x:c>
      <x:c r="V67" s="17" t="str">
        <x:v>由逐秒能量变化推断；快速自动Spin可能需4fps补核</x:v>
      </x:c>
      <x:c r="W67" s="17" t="str">
        <x:v>Attack</x:v>
      </x:c>
      <x:c r="X67" s="17" t="str">
        <x:v>是</x:v>
      </x:c>
      <x:c r="Y67" s="17" t="str">
        <x:v>否</x:v>
      </x:c>
      <x:c r="Z67" s="17" t="str">
        <x:v>未知</x:v>
      </x:c>
      <x:c r="AA67" s="17" t="str">
        <x:v>未知</x:v>
      </x:c>
      <x:c r="AB67" s="17" t="str">
        <x:v>否</x:v>
      </x:c>
    </x:row>
    <x:row r="68">
      <x:c r="A68" s="17" t="str">
        <x:v>TT_NEW_03</x:v>
      </x:c>
      <x:c r="B68" s="17" t="str">
        <x:v>TT_NEW_03_S0020</x:v>
      </x:c>
      <x:c r="C68" s="17" t="str">
        <x:v>00:06:33</x:v>
      </x:c>
      <x:c r="D68" s="17" t="n">
        <x:v>393</x:v>
      </x:c>
      <x:c r="E68" s="17" t="n">
        <x:v>1</x:v>
      </x:c>
      <x:c r="F68" s="17" t="n">
        <x:v>10</x:v>
      </x:c>
      <x:c r="G68" s="17" t="n">
        <x:v>454</x:v>
      </x:c>
      <x:c r="H68" s="17" t="n">
        <x:v>444</x:v>
      </x:c>
      <x:c r="I68" s="17" t="n">
        <x:v>10</x:v>
      </x:c>
      <x:c r="J68" s="17" t="n">
        <x:v>0</x:v>
      </x:c>
      <x:c r="K68" s="17" t="n">
        <x:v>895824</x:v>
      </x:c>
      <x:c r="L68" s="17" t="n">
        <x:v>907424</x:v>
      </x:c>
      <x:c r="M68" s="17" t="n">
        <x:v>11600</x:v>
      </x:c>
      <x:c r="N68" s="17" t="n">
        <x:v>15</x:v>
      </x:c>
      <x:c r="O68" s="17" t="n">
        <x:v>15</x:v>
      </x:c>
      <x:c r="P68" s="17" t="n">
        <x:v>0</x:v>
      </x:c>
      <x:c r="Q68" s="17" t="str">
        <x:v>Coin</x:v>
      </x:c>
      <x:c r="R68" s="18" t="str">
        <x:v>/Users/mac/Documents/智囊团/video_analysis/Top_Tycoon新号流程_20260804/frames/TT_NEW_03/TT_NEW_03_t000393.jpg</x:v>
      </x:c>
      <x:c r="S68" s="17" t="str">
        <x:v>00:06:35</x:v>
      </x:c>
      <x:c r="T68" s="17" t="str">
        <x:v>待复核</x:v>
      </x:c>
      <x:c r="U68" s="17" t="str">
        <x:v>B</x:v>
      </x:c>
      <x:c r="V68" s="17" t="str">
        <x:v>由逐秒能量变化推断；快速自动Spin可能需4fps补核</x:v>
      </x:c>
      <x:c r="W68" s="17" t="str">
        <x:v>纯金币</x:v>
      </x:c>
      <x:c r="X68" s="17" t="str">
        <x:v>是</x:v>
      </x:c>
      <x:c r="Y68" s="17" t="str">
        <x:v>否</x:v>
      </x:c>
      <x:c r="Z68" s="17" t="str">
        <x:v>未知</x:v>
      </x:c>
      <x:c r="AA68" s="17" t="str">
        <x:v>未知</x:v>
      </x:c>
      <x:c r="AB68" s="17" t="str">
        <x:v>否</x:v>
      </x:c>
    </x:row>
    <x:row r="69">
      <x:c r="A69" s="17" t="str">
        <x:v>TT_NEW_03</x:v>
      </x:c>
      <x:c r="B69" s="17" t="str">
        <x:v>TT_NEW_03_S0021</x:v>
      </x:c>
      <x:c r="C69" s="17" t="str">
        <x:v>00:06:35</x:v>
      </x:c>
      <x:c r="D69" s="17" t="n">
        <x:v>395</x:v>
      </x:c>
      <x:c r="E69" s="17" t="n">
        <x:v>1</x:v>
      </x:c>
      <x:c r="F69" s="17" t="n">
        <x:v>10</x:v>
      </x:c>
      <x:c r="G69" s="17" t="n">
        <x:v>444</x:v>
      </x:c>
      <x:c r="H69" s="17" t="n">
        <x:v>434</x:v>
      </x:c>
      <x:c r="I69" s="17" t="n">
        <x:v>10</x:v>
      </x:c>
      <x:c r="J69" s="17" t="n">
        <x:v>10</x:v>
      </x:c>
      <x:c r="K69" s="17" t="n">
        <x:v>896836</x:v>
      </x:c>
      <x:c r="L69" s="17" t="n">
        <x:v>907424</x:v>
      </x:c>
      <x:c r="M69" s="17" t="n">
        <x:v>10588</x:v>
      </x:c>
      <x:c r="N69" s="17" t="n">
        <x:v>15</x:v>
      </x:c>
      <x:c r="O69" s="17" t="n">
        <x:v>15</x:v>
      </x:c>
      <x:c r="P69" s="17" t="n">
        <x:v>0</x:v>
      </x:c>
      <x:c r="Q69" s="17" t="str">
        <x:v>Shield + Coin + Energy</x:v>
      </x:c>
      <x:c r="R69" s="18" t="str">
        <x:v>/Users/mac/Documents/智囊团/video_analysis/Top_Tycoon新号流程_20260804/frames/TT_NEW_03/TT_NEW_03_t000395.jpg</x:v>
      </x:c>
      <x:c r="S69" s="17" t="str">
        <x:v>00:06:40</x:v>
      </x:c>
      <x:c r="T69" s="17" t="str">
        <x:v>待复核</x:v>
      </x:c>
      <x:c r="U69" s="17" t="str">
        <x:v>B</x:v>
      </x:c>
      <x:c r="V69" s="17" t="str">
        <x:v>由逐秒能量变化推断；快速自动Spin可能需4fps补核</x:v>
      </x:c>
      <x:c r="W69" s="17" t="str">
        <x:v>Shield</x:v>
      </x:c>
      <x:c r="X69" s="17" t="str">
        <x:v>是</x:v>
      </x:c>
      <x:c r="Y69" s="17" t="str">
        <x:v>否</x:v>
      </x:c>
      <x:c r="Z69" s="17" t="str">
        <x:v>未知</x:v>
      </x:c>
      <x:c r="AA69" s="17" t="str">
        <x:v>未知</x:v>
      </x:c>
      <x:c r="AB69" s="17" t="str">
        <x:v>否</x:v>
      </x:c>
    </x:row>
    <x:row r="70">
      <x:c r="A70" s="17" t="str">
        <x:v>TT_NEW_03</x:v>
      </x:c>
      <x:c r="B70" s="17" t="str">
        <x:v>TT_NEW_03_S0022</x:v>
      </x:c>
      <x:c r="C70" s="17" t="str">
        <x:v>00:06:40</x:v>
      </x:c>
      <x:c r="D70" s="17" t="n">
        <x:v>400</x:v>
      </x:c>
      <x:c r="E70" s="17" t="n">
        <x:v>1</x:v>
      </x:c>
      <x:c r="F70" s="17" t="n">
        <x:v>10</x:v>
      </x:c>
      <x:c r="G70" s="17" t="n">
        <x:v>444</x:v>
      </x:c>
      <x:c r="H70" s="17" t="n">
        <x:v>434</x:v>
      </x:c>
      <x:c r="I70" s="17" t="n">
        <x:v>10</x:v>
      </x:c>
      <x:c r="J70" s="17" t="n">
        <x:v>0</x:v>
      </x:c>
      <x:c r="K70" s="17" t="n">
        <x:v>907424</x:v>
      </x:c>
      <x:c r="L70" s="17" t="n">
        <x:v>917424</x:v>
      </x:c>
      <x:c r="M70" s="17" t="n">
        <x:v>10000</x:v>
      </x:c>
      <x:c r="N70" s="17" t="n">
        <x:v>15</x:v>
      </x:c>
      <x:c r="O70" s="17" t="n">
        <x:v>15</x:v>
      </x:c>
      <x:c r="P70" s="17" t="n">
        <x:v>0</x:v>
      </x:c>
      <x:c r="Q70" s="17" t="str">
        <x:v>Coin</x:v>
      </x:c>
      <x:c r="R70" s="18" t="str">
        <x:v>/Users/mac/Documents/智囊团/video_analysis/Top_Tycoon新号流程_20260804/frames/TT_NEW_03/TT_NEW_03_t000400.jpg</x:v>
      </x:c>
      <x:c r="S70" s="17" t="str">
        <x:v>00:06:42</x:v>
      </x:c>
      <x:c r="T70" s="17" t="str">
        <x:v>待复核</x:v>
      </x:c>
      <x:c r="U70" s="17" t="str">
        <x:v>B</x:v>
      </x:c>
      <x:c r="V70" s="17" t="str">
        <x:v>由逐秒能量变化推断；快速自动Spin可能需4fps补核</x:v>
      </x:c>
      <x:c r="W70" s="17" t="str">
        <x:v>纯金币</x:v>
      </x:c>
      <x:c r="X70" s="17" t="str">
        <x:v>是</x:v>
      </x:c>
      <x:c r="Y70" s="17" t="str">
        <x:v>否</x:v>
      </x:c>
      <x:c r="Z70" s="17" t="str">
        <x:v>未知</x:v>
      </x:c>
      <x:c r="AA70" s="17" t="str">
        <x:v>未知</x:v>
      </x:c>
      <x:c r="AB70" s="17" t="str">
        <x:v>否</x:v>
      </x:c>
    </x:row>
    <x:row r="71">
      <x:c r="A71" s="17" t="str">
        <x:v>TT_NEW_03</x:v>
      </x:c>
      <x:c r="B71" s="17" t="str">
        <x:v>TT_NEW_03_S0023</x:v>
      </x:c>
      <x:c r="C71" s="17" t="str">
        <x:v>00:06:42</x:v>
      </x:c>
      <x:c r="D71" s="17" t="n">
        <x:v>402</x:v>
      </x:c>
      <x:c r="E71" s="17" t="n">
        <x:v>1</x:v>
      </x:c>
      <x:c r="F71" s="17" t="n">
        <x:v>10</x:v>
      </x:c>
      <x:c r="G71" s="17" t="n">
        <x:v>434</x:v>
      </x:c>
      <x:c r="H71" s="17" t="n">
        <x:v>424</x:v>
      </x:c>
      <x:c r="I71" s="17" t="n">
        <x:v>10</x:v>
      </x:c>
      <x:c r="J71" s="17" t="n">
        <x:v>13</x:v>
      </x:c>
      <x:c r="K71" s="17" t="n">
        <x:v>907424</x:v>
      </x:c>
      <x:c r="L71" s="17" t="n">
        <x:v>918424</x:v>
      </x:c>
      <x:c r="M71" s="17" t="n">
        <x:v>11000</x:v>
      </x:c>
      <x:c r="N71" s="17"/>
      <x:c r="O71" s="17" t="n">
        <x:v>15</x:v>
      </x:c>
      <x:c r="P71" s="17"/>
      <x:c r="Q71" s="17" t="str">
        <x:v>Coin + Energy</x:v>
      </x:c>
      <x:c r="R71" s="18" t="str">
        <x:v>/Users/mac/Documents/智囊团/video_analysis/Top_Tycoon新号流程_20260804/frames/TT_NEW_03/TT_NEW_03_t000402.jpg</x:v>
      </x:c>
      <x:c r="S71" s="17" t="str">
        <x:v>00:07:01</x:v>
      </x:c>
      <x:c r="T71" s="17" t="str">
        <x:v>待复核</x:v>
      </x:c>
      <x:c r="U71" s="17" t="str">
        <x:v>B</x:v>
      </x:c>
      <x:c r="V71" s="17" t="str">
        <x:v>由逐秒能量变化推断；快速自动Spin可能需4fps补核</x:v>
      </x:c>
      <x:c r="W71" s="17" t="str">
        <x:v>混合奖励</x:v>
      </x:c>
      <x:c r="X71" s="17" t="str">
        <x:v>是</x:v>
      </x:c>
      <x:c r="Y71" s="17" t="str">
        <x:v>否</x:v>
      </x:c>
      <x:c r="Z71" s="17" t="str">
        <x:v>未知</x:v>
      </x:c>
      <x:c r="AA71" s="17" t="str">
        <x:v>未知</x:v>
      </x:c>
      <x:c r="AB71" s="17" t="str">
        <x:v>否</x:v>
      </x:c>
    </x:row>
    <x:row r="72">
      <x:c r="A72" s="17" t="str">
        <x:v>TT_NEW_03</x:v>
      </x:c>
      <x:c r="B72" s="17" t="str">
        <x:v>TT_NEW_03_S0024</x:v>
      </x:c>
      <x:c r="C72" s="17" t="str">
        <x:v>00:07:01</x:v>
      </x:c>
      <x:c r="D72" s="17" t="n">
        <x:v>421</x:v>
      </x:c>
      <x:c r="E72" s="17" t="n">
        <x:v>1</x:v>
      </x:c>
      <x:c r="F72" s="17" t="n">
        <x:v>20</x:v>
      </x:c>
      <x:c r="G72" s="17" t="n">
        <x:v>437</x:v>
      </x:c>
      <x:c r="H72" s="17" t="n">
        <x:v>427</x:v>
      </x:c>
      <x:c r="I72" s="17" t="n">
        <x:v>20</x:v>
      </x:c>
      <x:c r="J72" s="17" t="n">
        <x:v>10</x:v>
      </x:c>
      <x:c r="K72" s="17" t="n">
        <x:v>918424</x:v>
      </x:c>
      <x:c r="L72" s="17" t="n">
        <x:v>920424</x:v>
      </x:c>
      <x:c r="M72" s="17" t="n">
        <x:v>2000</x:v>
      </x:c>
      <x:c r="N72" s="17" t="n">
        <x:v>15</x:v>
      </x:c>
      <x:c r="O72" s="17" t="n">
        <x:v>35</x:v>
      </x:c>
      <x:c r="P72" s="17" t="n">
        <x:v>20</x:v>
      </x:c>
      <x:c r="Q72" s="17" t="str">
        <x:v>Coin + Progress</x:v>
      </x:c>
      <x:c r="R72" s="18" t="str">
        <x:v>/Users/mac/Documents/智囊团/video_analysis/Top_Tycoon新号流程_20260804/frames/TT_NEW_03/TT_NEW_03_t000421.jpg</x:v>
      </x:c>
      <x:c r="S72" s="17" t="str">
        <x:v>00:07:06</x:v>
      </x:c>
      <x:c r="T72" s="17" t="str">
        <x:v>待复核</x:v>
      </x:c>
      <x:c r="U72" s="17" t="str">
        <x:v>B</x:v>
      </x:c>
      <x:c r="V72" s="17" t="str">
        <x:v>由逐秒能量变化推断；快速自动Spin可能需4fps补核</x:v>
      </x:c>
      <x:c r="W72" s="17" t="str">
        <x:v>混合奖励</x:v>
      </x:c>
      <x:c r="X72" s="17" t="str">
        <x:v>是</x:v>
      </x:c>
      <x:c r="Y72" s="17" t="str">
        <x:v>否</x:v>
      </x:c>
      <x:c r="Z72" s="17" t="str">
        <x:v>未知</x:v>
      </x:c>
      <x:c r="AA72" s="17" t="str">
        <x:v>未知</x:v>
      </x:c>
      <x:c r="AB72" s="17" t="str">
        <x:v>否</x:v>
      </x:c>
    </x:row>
    <x:row r="73">
      <x:c r="A73" s="17" t="str">
        <x:v>TT_NEW_03</x:v>
      </x:c>
      <x:c r="B73" s="17" t="str">
        <x:v>TT_NEW_03_S0025</x:v>
      </x:c>
      <x:c r="C73" s="17" t="str">
        <x:v>00:07:06</x:v>
      </x:c>
      <x:c r="D73" s="17" t="n">
        <x:v>426</x:v>
      </x:c>
      <x:c r="E73" s="17" t="n">
        <x:v>1</x:v>
      </x:c>
      <x:c r="F73" s="17" t="n">
        <x:v>10</x:v>
      </x:c>
      <x:c r="G73" s="17" t="n">
        <x:v>427</x:v>
      </x:c>
      <x:c r="H73" s="17" t="n">
        <x:v>417</x:v>
      </x:c>
      <x:c r="I73" s="17" t="n">
        <x:v>10</x:v>
      </x:c>
      <x:c r="J73" s="17" t="n">
        <x:v>0</x:v>
      </x:c>
      <x:c r="K73" s="17" t="n">
        <x:v>920424</x:v>
      </x:c>
      <x:c r="L73" s="17" t="n">
        <x:v>1220424</x:v>
      </x:c>
      <x:c r="M73" s="17" t="n">
        <x:v>300000</x:v>
      </x:c>
      <x:c r="N73" s="17" t="n">
        <x:v>35</x:v>
      </x:c>
      <x:c r="O73" s="17" t="n">
        <x:v>35</x:v>
      </x:c>
      <x:c r="P73" s="17" t="n">
        <x:v>0</x:v>
      </x:c>
      <x:c r="Q73" s="17" t="str">
        <x:v>Attack</x:v>
      </x:c>
      <x:c r="R73" s="18" t="str">
        <x:v>/Users/mac/Documents/智囊团/video_analysis/Top_Tycoon新号流程_20260804/frames/TT_NEW_03/TT_NEW_03_t000426.jpg</x:v>
      </x:c>
      <x:c r="S73" s="17" t="str">
        <x:v>00:07:31</x:v>
      </x:c>
      <x:c r="T73" s="17" t="str">
        <x:v>待复核</x:v>
      </x:c>
      <x:c r="U73" s="17" t="str">
        <x:v>B</x:v>
      </x:c>
      <x:c r="V73" s="17" t="str">
        <x:v>由逐秒能量变化推断；快速自动Spin可能需4fps补核</x:v>
      </x:c>
      <x:c r="W73" s="17" t="str">
        <x:v>Attack</x:v>
      </x:c>
      <x:c r="X73" s="17" t="str">
        <x:v>是</x:v>
      </x:c>
      <x:c r="Y73" s="17" t="str">
        <x:v>否</x:v>
      </x:c>
      <x:c r="Z73" s="17" t="str">
        <x:v>未知</x:v>
      </x:c>
      <x:c r="AA73" s="17" t="str">
        <x:v>未知</x:v>
      </x:c>
      <x:c r="AB73" s="17" t="str">
        <x:v>否</x:v>
      </x:c>
    </x:row>
    <x:row r="74">
      <x:c r="A74" s="17" t="str">
        <x:v>TT_NEW_03</x:v>
      </x:c>
      <x:c r="B74" s="17" t="str">
        <x:v>TT_NEW_03_S0026</x:v>
      </x:c>
      <x:c r="C74" s="17" t="str">
        <x:v>00:07:31</x:v>
      </x:c>
      <x:c r="D74" s="17" t="n">
        <x:v>451</x:v>
      </x:c>
      <x:c r="E74" s="17" t="n">
        <x:v>1</x:v>
      </x:c>
      <x:c r="F74" s="17" t="n">
        <x:v>10</x:v>
      </x:c>
      <x:c r="G74" s="17" t="n">
        <x:v>417</x:v>
      </x:c>
      <x:c r="H74" s="17" t="n">
        <x:v>407</x:v>
      </x:c>
      <x:c r="I74" s="17" t="n">
        <x:v>10</x:v>
      </x:c>
      <x:c r="J74" s="17" t="n">
        <x:v>0</x:v>
      </x:c>
      <x:c r="K74" s="17" t="n">
        <x:v>1220424</x:v>
      </x:c>
      <x:c r="L74" s="17" t="n">
        <x:v>1225424</x:v>
      </x:c>
      <x:c r="M74" s="17" t="n">
        <x:v>5000</x:v>
      </x:c>
      <x:c r="N74" s="17" t="n">
        <x:v>35</x:v>
      </x:c>
      <x:c r="O74" s="17" t="n">
        <x:v>35</x:v>
      </x:c>
      <x:c r="P74" s="17" t="n">
        <x:v>0</x:v>
      </x:c>
      <x:c r="Q74" s="17" t="str">
        <x:v>Coin</x:v>
      </x:c>
      <x:c r="R74" s="18" t="str">
        <x:v>/Users/mac/Documents/智囊团/video_analysis/Top_Tycoon新号流程_20260804/frames/TT_NEW_03/TT_NEW_03_t000451.jpg</x:v>
      </x:c>
      <x:c r="S74" s="17" t="str">
        <x:v>00:07:34</x:v>
      </x:c>
      <x:c r="T74" s="17" t="str">
        <x:v>待复核</x:v>
      </x:c>
      <x:c r="U74" s="17" t="str">
        <x:v>B</x:v>
      </x:c>
      <x:c r="V74" s="17" t="str">
        <x:v>由逐秒能量变化推断；快速自动Spin可能需4fps补核</x:v>
      </x:c>
      <x:c r="W74" s="17" t="str">
        <x:v>纯金币</x:v>
      </x:c>
      <x:c r="X74" s="17" t="str">
        <x:v>是</x:v>
      </x:c>
      <x:c r="Y74" s="17" t="str">
        <x:v>否</x:v>
      </x:c>
      <x:c r="Z74" s="17" t="str">
        <x:v>未知</x:v>
      </x:c>
      <x:c r="AA74" s="17" t="str">
        <x:v>未知</x:v>
      </x:c>
      <x:c r="AB74" s="17" t="str">
        <x:v>否</x:v>
      </x:c>
    </x:row>
    <x:row r="75">
      <x:c r="A75" s="17" t="str">
        <x:v>TT_NEW_03</x:v>
      </x:c>
      <x:c r="B75" s="17" t="str">
        <x:v>TT_NEW_03_S0027</x:v>
      </x:c>
      <x:c r="C75" s="17" t="str">
        <x:v>00:07:34</x:v>
      </x:c>
      <x:c r="D75" s="17" t="n">
        <x:v>454</x:v>
      </x:c>
      <x:c r="E75" s="17" t="n">
        <x:v>1</x:v>
      </x:c>
      <x:c r="F75" s="17" t="n">
        <x:v>10</x:v>
      </x:c>
      <x:c r="G75" s="17" t="n">
        <x:v>407</x:v>
      </x:c>
      <x:c r="H75" s="17" t="n">
        <x:v>397</x:v>
      </x:c>
      <x:c r="I75" s="17" t="n">
        <x:v>10</x:v>
      </x:c>
      <x:c r="J75" s="17" t="n">
        <x:v>0</x:v>
      </x:c>
      <x:c r="K75" s="17" t="n">
        <x:v>1223586</x:v>
      </x:c>
      <x:c r="L75" s="17" t="n">
        <x:v>1225424</x:v>
      </x:c>
      <x:c r="M75" s="17" t="n">
        <x:v>1838</x:v>
      </x:c>
      <x:c r="N75" s="17" t="n">
        <x:v>35</x:v>
      </x:c>
      <x:c r="O75" s="17" t="n">
        <x:v>55</x:v>
      </x:c>
      <x:c r="P75" s="17" t="n">
        <x:v>20</x:v>
      </x:c>
      <x:c r="Q75" s="17" t="str">
        <x:v>Coin + Progress</x:v>
      </x:c>
      <x:c r="R75" s="18" t="str">
        <x:v>/Users/mac/Documents/智囊团/video_analysis/Top_Tycoon新号流程_20260804/frames/TT_NEW_03/TT_NEW_03_t000454.jpg</x:v>
      </x:c>
      <x:c r="S75" s="17" t="str">
        <x:v>00:07:38</x:v>
      </x:c>
      <x:c r="T75" s="17" t="str">
        <x:v>待复核</x:v>
      </x:c>
      <x:c r="U75" s="17" t="str">
        <x:v>B</x:v>
      </x:c>
      <x:c r="V75" s="17" t="str">
        <x:v>由逐秒能量变化推断；快速自动Spin可能需4fps补核</x:v>
      </x:c>
      <x:c r="W75" s="17" t="str">
        <x:v>混合奖励</x:v>
      </x:c>
      <x:c r="X75" s="17" t="str">
        <x:v>是</x:v>
      </x:c>
      <x:c r="Y75" s="17" t="str">
        <x:v>否</x:v>
      </x:c>
      <x:c r="Z75" s="17" t="str">
        <x:v>未知</x:v>
      </x:c>
      <x:c r="AA75" s="17" t="str">
        <x:v>未知</x:v>
      </x:c>
      <x:c r="AB75" s="17" t="str">
        <x:v>否</x:v>
      </x:c>
    </x:row>
    <x:row r="76">
      <x:c r="A76" s="17" t="str">
        <x:v>TT_NEW_03</x:v>
      </x:c>
      <x:c r="B76" s="17" t="str">
        <x:v>TT_NEW_03_S0028</x:v>
      </x:c>
      <x:c r="C76" s="17" t="str">
        <x:v>00:07:38</x:v>
      </x:c>
      <x:c r="D76" s="17" t="n">
        <x:v>458</x:v>
      </x:c>
      <x:c r="E76" s="17" t="n">
        <x:v>1</x:v>
      </x:c>
      <x:c r="F76" s="17" t="n">
        <x:v>10</x:v>
      </x:c>
      <x:c r="G76" s="17" t="n">
        <x:v>397</x:v>
      </x:c>
      <x:c r="H76" s="17" t="n">
        <x:v>387</x:v>
      </x:c>
      <x:c r="I76" s="17" t="n">
        <x:v>10</x:v>
      </x:c>
      <x:c r="J76" s="17" t="n">
        <x:v>0</x:v>
      </x:c>
      <x:c r="K76" s="17" t="n">
        <x:v>1225424</x:v>
      </x:c>
      <x:c r="L76" s="17" t="n">
        <x:v>1226424</x:v>
      </x:c>
      <x:c r="M76" s="17" t="n">
        <x:v>1000</x:v>
      </x:c>
      <x:c r="N76" s="17" t="n">
        <x:v>55</x:v>
      </x:c>
      <x:c r="O76" s="17" t="n">
        <x:v>55</x:v>
      </x:c>
      <x:c r="P76" s="17" t="n">
        <x:v>0</x:v>
      </x:c>
      <x:c r="Q76" s="17" t="str">
        <x:v>Coin</x:v>
      </x:c>
      <x:c r="R76" s="18" t="str">
        <x:v>/Users/mac/Documents/智囊团/video_analysis/Top_Tycoon新号流程_20260804/frames/TT_NEW_03/TT_NEW_03_t000458.jpg</x:v>
      </x:c>
      <x:c r="S76" s="17" t="str">
        <x:v>00:07:40</x:v>
      </x:c>
      <x:c r="T76" s="17" t="str">
        <x:v>待复核</x:v>
      </x:c>
      <x:c r="U76" s="17" t="str">
        <x:v>B</x:v>
      </x:c>
      <x:c r="V76" s="17" t="str">
        <x:v>由逐秒能量变化推断；快速自动Spin可能需4fps补核</x:v>
      </x:c>
      <x:c r="W76" s="17" t="str">
        <x:v>纯金币</x:v>
      </x:c>
      <x:c r="X76" s="17" t="str">
        <x:v>是</x:v>
      </x:c>
      <x:c r="Y76" s="17" t="str">
        <x:v>否</x:v>
      </x:c>
      <x:c r="Z76" s="17" t="str">
        <x:v>未知</x:v>
      </x:c>
      <x:c r="AA76" s="17" t="str">
        <x:v>未知</x:v>
      </x:c>
      <x:c r="AB76" s="17" t="str">
        <x:v>否</x:v>
      </x:c>
    </x:row>
    <x:row r="77">
      <x:c r="A77" s="17" t="str">
        <x:v>TT_NEW_03</x:v>
      </x:c>
      <x:c r="B77" s="17" t="str">
        <x:v>TT_NEW_03_S0029</x:v>
      </x:c>
      <x:c r="C77" s="17" t="str">
        <x:v>00:07:40</x:v>
      </x:c>
      <x:c r="D77" s="17" t="n">
        <x:v>460</x:v>
      </x:c>
      <x:c r="E77" s="17" t="n">
        <x:v>1</x:v>
      </x:c>
      <x:c r="F77" s="17" t="n">
        <x:v>10</x:v>
      </x:c>
      <x:c r="G77" s="17" t="n">
        <x:v>387</x:v>
      </x:c>
      <x:c r="H77" s="17" t="n">
        <x:v>377</x:v>
      </x:c>
      <x:c r="I77" s="17" t="n">
        <x:v>10</x:v>
      </x:c>
      <x:c r="J77" s="17" t="n">
        <x:v>0</x:v>
      </x:c>
      <x:c r="K77" s="17" t="n">
        <x:v>1225424</x:v>
      </x:c>
      <x:c r="L77" s="17" t="n">
        <x:v>1496424</x:v>
      </x:c>
      <x:c r="M77" s="17" t="n">
        <x:v>271000</x:v>
      </x:c>
      <x:c r="N77" s="17" t="n">
        <x:v>55</x:v>
      </x:c>
      <x:c r="O77" s="17" t="n">
        <x:v>55</x:v>
      </x:c>
      <x:c r="P77" s="17" t="n">
        <x:v>0</x:v>
      </x:c>
      <x:c r="Q77" s="17" t="str">
        <x:v>Coin</x:v>
      </x:c>
      <x:c r="R77" s="18" t="str">
        <x:v>/Users/mac/Documents/智囊团/video_analysis/Top_Tycoon新号流程_20260804/frames/TT_NEW_03/TT_NEW_03_t000460.jpg</x:v>
      </x:c>
      <x:c r="S77" s="17" t="str">
        <x:v>00:08:15</x:v>
      </x:c>
      <x:c r="T77" s="17" t="str">
        <x:v>待复核</x:v>
      </x:c>
      <x:c r="U77" s="17" t="str">
        <x:v>B</x:v>
      </x:c>
      <x:c r="V77" s="17" t="str">
        <x:v>由逐秒能量变化推断；快速自动Spin可能需4fps补核</x:v>
      </x:c>
      <x:c r="W77" s="17" t="str">
        <x:v>纯金币</x:v>
      </x:c>
      <x:c r="X77" s="17" t="str">
        <x:v>是</x:v>
      </x:c>
      <x:c r="Y77" s="17" t="str">
        <x:v>否</x:v>
      </x:c>
      <x:c r="Z77" s="17" t="str">
        <x:v>未知</x:v>
      </x:c>
      <x:c r="AA77" s="17" t="str">
        <x:v>未知</x:v>
      </x:c>
      <x:c r="AB77" s="17" t="str">
        <x:v>否</x:v>
      </x:c>
    </x:row>
    <x:row r="78">
      <x:c r="A78" s="17" t="str">
        <x:v>TT_NEW_03</x:v>
      </x:c>
      <x:c r="B78" s="17" t="str">
        <x:v>TT_NEW_03_S0030</x:v>
      </x:c>
      <x:c r="C78" s="17" t="str">
        <x:v>00:08:15</x:v>
      </x:c>
      <x:c r="D78" s="17" t="n">
        <x:v>495</x:v>
      </x:c>
      <x:c r="E78" s="17" t="n">
        <x:v>1</x:v>
      </x:c>
      <x:c r="F78" s="17" t="n">
        <x:v>10</x:v>
      </x:c>
      <x:c r="G78" s="17" t="n">
        <x:v>377</x:v>
      </x:c>
      <x:c r="H78" s="17" t="n">
        <x:v>367</x:v>
      </x:c>
      <x:c r="I78" s="17" t="n">
        <x:v>10</x:v>
      </x:c>
      <x:c r="J78" s="17" t="n">
        <x:v>0</x:v>
      </x:c>
      <x:c r="K78" s="17" t="n">
        <x:v>1496424</x:v>
      </x:c>
      <x:c r="L78" s="17" t="n">
        <x:v>1596424</x:v>
      </x:c>
      <x:c r="M78" s="17" t="n">
        <x:v>100000</x:v>
      </x:c>
      <x:c r="N78" s="17" t="n">
        <x:v>55</x:v>
      </x:c>
      <x:c r="O78" s="17" t="n">
        <x:v>55</x:v>
      </x:c>
      <x:c r="P78" s="17" t="n">
        <x:v>0</x:v>
      </x:c>
      <x:c r="Q78" s="17" t="str">
        <x:v>Coin</x:v>
      </x:c>
      <x:c r="R78" s="18" t="str">
        <x:v>/Users/mac/Documents/智囊团/video_analysis/Top_Tycoon新号流程_20260804/frames/TT_NEW_03/TT_NEW_03_t000495.jpg</x:v>
      </x:c>
      <x:c r="S78" s="17" t="str">
        <x:v>00:08:19</x:v>
      </x:c>
      <x:c r="T78" s="17" t="str">
        <x:v>待复核</x:v>
      </x:c>
      <x:c r="U78" s="17" t="str">
        <x:v>B</x:v>
      </x:c>
      <x:c r="V78" s="17" t="str">
        <x:v>由逐秒能量变化推断；快速自动Spin可能需4fps补核</x:v>
      </x:c>
      <x:c r="W78" s="17" t="str">
        <x:v>纯金币</x:v>
      </x:c>
      <x:c r="X78" s="17" t="str">
        <x:v>是</x:v>
      </x:c>
      <x:c r="Y78" s="17" t="str">
        <x:v>否</x:v>
      </x:c>
      <x:c r="Z78" s="17" t="str">
        <x:v>未知</x:v>
      </x:c>
      <x:c r="AA78" s="17" t="str">
        <x:v>未知</x:v>
      </x:c>
      <x:c r="AB78" s="17" t="str">
        <x:v>否</x:v>
      </x:c>
    </x:row>
    <x:row r="79">
      <x:c r="A79" s="17" t="str">
        <x:v>TT_NEW_03</x:v>
      </x:c>
      <x:c r="B79" s="17" t="str">
        <x:v>TT_NEW_03_S0031</x:v>
      </x:c>
      <x:c r="C79" s="17" t="str">
        <x:v>00:08:19</x:v>
      </x:c>
      <x:c r="D79" s="17" t="n">
        <x:v>499</x:v>
      </x:c>
      <x:c r="E79" s="17" t="n">
        <x:v>1</x:v>
      </x:c>
      <x:c r="F79" s="17" t="n">
        <x:v>10</x:v>
      </x:c>
      <x:c r="G79" s="17" t="n">
        <x:v>367</x:v>
      </x:c>
      <x:c r="H79" s="17" t="n">
        <x:v>357</x:v>
      </x:c>
      <x:c r="I79" s="17" t="n">
        <x:v>10</x:v>
      </x:c>
      <x:c r="J79" s="17" t="n">
        <x:v>0</x:v>
      </x:c>
      <x:c r="K79" s="17" t="n">
        <x:v>1496424</x:v>
      </x:c>
      <x:c r="L79" s="17" t="n">
        <x:v>1596424</x:v>
      </x:c>
      <x:c r="M79" s="17" t="n">
        <x:v>100000</x:v>
      </x:c>
      <x:c r="N79" s="17" t="n">
        <x:v>55</x:v>
      </x:c>
      <x:c r="O79" s="17" t="n">
        <x:v>55</x:v>
      </x:c>
      <x:c r="P79" s="17" t="n">
        <x:v>0</x:v>
      </x:c>
      <x:c r="Q79" s="17" t="str">
        <x:v>Coin</x:v>
      </x:c>
      <x:c r="R79" s="18" t="str">
        <x:v>/Users/mac/Documents/智囊团/video_analysis/Top_Tycoon新号流程_20260804/frames/TT_NEW_03/TT_NEW_03_t000499.jpg</x:v>
      </x:c>
      <x:c r="S79" s="17" t="str">
        <x:v>00:08:21</x:v>
      </x:c>
      <x:c r="T79" s="17" t="str">
        <x:v>待复核</x:v>
      </x:c>
      <x:c r="U79" s="17" t="str">
        <x:v>B</x:v>
      </x:c>
      <x:c r="V79" s="17" t="str">
        <x:v>由逐秒能量变化推断；快速自动Spin可能需4fps补核</x:v>
      </x:c>
      <x:c r="W79" s="17" t="str">
        <x:v>纯金币</x:v>
      </x:c>
      <x:c r="X79" s="17" t="str">
        <x:v>是</x:v>
      </x:c>
      <x:c r="Y79" s="17" t="str">
        <x:v>否</x:v>
      </x:c>
      <x:c r="Z79" s="17" t="str">
        <x:v>未知</x:v>
      </x:c>
      <x:c r="AA79" s="17" t="str">
        <x:v>未知</x:v>
      </x:c>
      <x:c r="AB79" s="17" t="str">
        <x:v>否</x:v>
      </x:c>
    </x:row>
    <x:row r="80">
      <x:c r="A80" s="17" t="str">
        <x:v>TT_NEW_03</x:v>
      </x:c>
      <x:c r="B80" s="17" t="str">
        <x:v>TT_NEW_03_S0032</x:v>
      </x:c>
      <x:c r="C80" s="17" t="str">
        <x:v>00:08:21</x:v>
      </x:c>
      <x:c r="D80" s="17" t="n">
        <x:v>501</x:v>
      </x:c>
      <x:c r="E80" s="17" t="n">
        <x:v>1</x:v>
      </x:c>
      <x:c r="F80" s="17" t="n">
        <x:v>10</x:v>
      </x:c>
      <x:c r="G80" s="17" t="n">
        <x:v>357</x:v>
      </x:c>
      <x:c r="H80" s="17" t="n">
        <x:v>347</x:v>
      </x:c>
      <x:c r="I80" s="17" t="n">
        <x:v>10</x:v>
      </x:c>
      <x:c r="J80" s="17" t="n">
        <x:v>0</x:v>
      </x:c>
      <x:c r="K80" s="17" t="n">
        <x:v>1596424</x:v>
      </x:c>
      <x:c r="L80" s="17" t="n">
        <x:v>1597424</x:v>
      </x:c>
      <x:c r="M80" s="17" t="n">
        <x:v>1000</x:v>
      </x:c>
      <x:c r="N80" s="17" t="n">
        <x:v>55</x:v>
      </x:c>
      <x:c r="O80" s="17" t="n">
        <x:v>55</x:v>
      </x:c>
      <x:c r="P80" s="17" t="n">
        <x:v>0</x:v>
      </x:c>
      <x:c r="Q80" s="17" t="str">
        <x:v>Coin</x:v>
      </x:c>
      <x:c r="R80" s="18" t="str">
        <x:v>/Users/mac/Documents/智囊团/video_analysis/Top_Tycoon新号流程_20260804/frames/TT_NEW_03/TT_NEW_03_t000501.jpg</x:v>
      </x:c>
      <x:c r="S80" s="17" t="str">
        <x:v>00:08:24</x:v>
      </x:c>
      <x:c r="T80" s="17" t="str">
        <x:v>待复核</x:v>
      </x:c>
      <x:c r="U80" s="17" t="str">
        <x:v>B</x:v>
      </x:c>
      <x:c r="V80" s="17" t="str">
        <x:v>由逐秒能量变化推断；快速自动Spin可能需4fps补核</x:v>
      </x:c>
      <x:c r="W80" s="17" t="str">
        <x:v>纯金币</x:v>
      </x:c>
      <x:c r="X80" s="17" t="str">
        <x:v>是</x:v>
      </x:c>
      <x:c r="Y80" s="17" t="str">
        <x:v>否</x:v>
      </x:c>
      <x:c r="Z80" s="17" t="str">
        <x:v>未知</x:v>
      </x:c>
      <x:c r="AA80" s="17" t="str">
        <x:v>未知</x:v>
      </x:c>
      <x:c r="AB80" s="17" t="str">
        <x:v>否</x:v>
      </x:c>
    </x:row>
    <x:row r="81">
      <x:c r="A81" s="17" t="str">
        <x:v>TT_NEW_03</x:v>
      </x:c>
      <x:c r="B81" s="17" t="str">
        <x:v>TT_NEW_03_S0033</x:v>
      </x:c>
      <x:c r="C81" s="17" t="str">
        <x:v>00:08:24</x:v>
      </x:c>
      <x:c r="D81" s="17" t="n">
        <x:v>504</x:v>
      </x:c>
      <x:c r="E81" s="17" t="n">
        <x:v>1</x:v>
      </x:c>
      <x:c r="F81" s="17" t="n">
        <x:v>10</x:v>
      </x:c>
      <x:c r="G81" s="17" t="n">
        <x:v>347</x:v>
      </x:c>
      <x:c r="H81" s="17" t="n">
        <x:v>337</x:v>
      </x:c>
      <x:c r="I81" s="17" t="n">
        <x:v>10</x:v>
      </x:c>
      <x:c r="J81" s="17" t="n">
        <x:v>0</x:v>
      </x:c>
      <x:c r="K81" s="17" t="n">
        <x:v>1597424</x:v>
      </x:c>
      <x:c r="L81" s="17" t="n">
        <x:v>1599424</x:v>
      </x:c>
      <x:c r="M81" s="17" t="n">
        <x:v>2000</x:v>
      </x:c>
      <x:c r="N81" s="17" t="n">
        <x:v>55</x:v>
      </x:c>
      <x:c r="O81" s="17" t="n">
        <x:v>55</x:v>
      </x:c>
      <x:c r="P81" s="17" t="n">
        <x:v>0</x:v>
      </x:c>
      <x:c r="Q81" s="17" t="str">
        <x:v>Coin</x:v>
      </x:c>
      <x:c r="R81" s="18" t="str">
        <x:v>/Users/mac/Documents/智囊团/video_analysis/Top_Tycoon新号流程_20260804/frames/TT_NEW_03/TT_NEW_03_t000504.jpg</x:v>
      </x:c>
      <x:c r="S81" s="17" t="str">
        <x:v>00:08:26</x:v>
      </x:c>
      <x:c r="T81" s="17" t="str">
        <x:v>待复核</x:v>
      </x:c>
      <x:c r="U81" s="17" t="str">
        <x:v>B</x:v>
      </x:c>
      <x:c r="V81" s="17" t="str">
        <x:v>由逐秒能量变化推断；快速自动Spin可能需4fps补核</x:v>
      </x:c>
      <x:c r="W81" s="17" t="str">
        <x:v>纯金币</x:v>
      </x:c>
      <x:c r="X81" s="17" t="str">
        <x:v>是</x:v>
      </x:c>
      <x:c r="Y81" s="17" t="str">
        <x:v>否</x:v>
      </x:c>
      <x:c r="Z81" s="17" t="str">
        <x:v>未知</x:v>
      </x:c>
      <x:c r="AA81" s="17" t="str">
        <x:v>未知</x:v>
      </x:c>
      <x:c r="AB81" s="17" t="str">
        <x:v>否</x:v>
      </x:c>
    </x:row>
    <x:row r="82">
      <x:c r="A82" s="17" t="str">
        <x:v>TT_NEW_03</x:v>
      </x:c>
      <x:c r="B82" s="17" t="str">
        <x:v>TT_NEW_03_S0034</x:v>
      </x:c>
      <x:c r="C82" s="17" t="str">
        <x:v>00:08:26</x:v>
      </x:c>
      <x:c r="D82" s="17" t="n">
        <x:v>506</x:v>
      </x:c>
      <x:c r="E82" s="17" t="n">
        <x:v>1</x:v>
      </x:c>
      <x:c r="F82" s="17" t="n">
        <x:v>10</x:v>
      </x:c>
      <x:c r="G82" s="17" t="n">
        <x:v>337</x:v>
      </x:c>
      <x:c r="H82" s="17" t="n">
        <x:v>327</x:v>
      </x:c>
      <x:c r="I82" s="17" t="n">
        <x:v>10</x:v>
      </x:c>
      <x:c r="J82" s="17" t="n">
        <x:v>0</x:v>
      </x:c>
      <x:c r="K82" s="17" t="n">
        <x:v>1597424</x:v>
      </x:c>
      <x:c r="L82" s="17" t="n">
        <x:v>1653524</x:v>
      </x:c>
      <x:c r="M82" s="17" t="n">
        <x:v>56100</x:v>
      </x:c>
      <x:c r="N82" s="17" t="n">
        <x:v>55</x:v>
      </x:c>
      <x:c r="O82" s="17" t="n">
        <x:v>55</x:v>
      </x:c>
      <x:c r="P82" s="17" t="n">
        <x:v>0</x:v>
      </x:c>
      <x:c r="Q82" s="17" t="str">
        <x:v>Coin</x:v>
      </x:c>
      <x:c r="R82" s="18" t="str">
        <x:v>/Users/mac/Documents/智囊团/video_analysis/Top_Tycoon新号流程_20260804/frames/TT_NEW_03/TT_NEW_03_t000506.jpg</x:v>
      </x:c>
      <x:c r="S82" s="17" t="str">
        <x:v>00:08:32</x:v>
      </x:c>
      <x:c r="T82" s="17" t="str">
        <x:v>待复核</x:v>
      </x:c>
      <x:c r="U82" s="17" t="str">
        <x:v>B</x:v>
      </x:c>
      <x:c r="V82" s="17" t="str">
        <x:v>由逐秒能量变化推断；快速自动Spin可能需4fps补核</x:v>
      </x:c>
      <x:c r="W82" s="17" t="str">
        <x:v>纯金币</x:v>
      </x:c>
      <x:c r="X82" s="17" t="str">
        <x:v>是</x:v>
      </x:c>
      <x:c r="Y82" s="17" t="str">
        <x:v>否</x:v>
      </x:c>
      <x:c r="Z82" s="17" t="str">
        <x:v>未知</x:v>
      </x:c>
      <x:c r="AA82" s="17" t="str">
        <x:v>未知</x:v>
      </x:c>
      <x:c r="AB82" s="17" t="str">
        <x:v>否</x:v>
      </x:c>
    </x:row>
    <x:row r="83">
      <x:c r="A83" s="17" t="str">
        <x:v>TT_NEW_03</x:v>
      </x:c>
      <x:c r="B83" s="17" t="str">
        <x:v>TT_NEW_03_S0035</x:v>
      </x:c>
      <x:c r="C83" s="17" t="str">
        <x:v>00:08:32</x:v>
      </x:c>
      <x:c r="D83" s="17" t="n">
        <x:v>512</x:v>
      </x:c>
      <x:c r="E83" s="17" t="n">
        <x:v>1</x:v>
      </x:c>
      <x:c r="F83" s="17" t="n">
        <x:v>10</x:v>
      </x:c>
      <x:c r="G83" s="17" t="n">
        <x:v>327</x:v>
      </x:c>
      <x:c r="H83" s="17" t="n">
        <x:v>317</x:v>
      </x:c>
      <x:c r="I83" s="17" t="n">
        <x:v>10</x:v>
      </x:c>
      <x:c r="J83" s="17" t="n">
        <x:v>0</x:v>
      </x:c>
      <x:c r="K83" s="17" t="n">
        <x:v>1653103</x:v>
      </x:c>
      <x:c r="L83" s="17" t="n">
        <x:v>1703524</x:v>
      </x:c>
      <x:c r="M83" s="17" t="n">
        <x:v>50421</x:v>
      </x:c>
      <x:c r="N83" s="17" t="n">
        <x:v>55</x:v>
      </x:c>
      <x:c r="O83" s="17" t="n">
        <x:v>55</x:v>
      </x:c>
      <x:c r="P83" s="17" t="n">
        <x:v>0</x:v>
      </x:c>
      <x:c r="Q83" s="17" t="str">
        <x:v>Coin</x:v>
      </x:c>
      <x:c r="R83" s="18" t="str">
        <x:v>/Users/mac/Documents/智囊团/video_analysis/Top_Tycoon新号流程_20260804/frames/TT_NEW_03/TT_NEW_03_t000512.jpg</x:v>
      </x:c>
      <x:c r="S83" s="17" t="str">
        <x:v>00:08:36</x:v>
      </x:c>
      <x:c r="T83" s="17" t="str">
        <x:v>待复核</x:v>
      </x:c>
      <x:c r="U83" s="17" t="str">
        <x:v>B</x:v>
      </x:c>
      <x:c r="V83" s="17" t="str">
        <x:v>由逐秒能量变化推断；快速自动Spin可能需4fps补核</x:v>
      </x:c>
      <x:c r="W83" s="17" t="str">
        <x:v>纯金币</x:v>
      </x:c>
      <x:c r="X83" s="17" t="str">
        <x:v>是</x:v>
      </x:c>
      <x:c r="Y83" s="17" t="str">
        <x:v>否</x:v>
      </x:c>
      <x:c r="Z83" s="17" t="str">
        <x:v>未知</x:v>
      </x:c>
      <x:c r="AA83" s="17" t="str">
        <x:v>未知</x:v>
      </x:c>
      <x:c r="AB83" s="17" t="str">
        <x:v>否</x:v>
      </x:c>
    </x:row>
    <x:row r="84">
      <x:c r="A84" s="17" t="str">
        <x:v>TT_NEW_03</x:v>
      </x:c>
      <x:c r="B84" s="17" t="str">
        <x:v>TT_NEW_03_S0036</x:v>
      </x:c>
      <x:c r="C84" s="17" t="str">
        <x:v>00:08:36</x:v>
      </x:c>
      <x:c r="D84" s="17" t="n">
        <x:v>516</x:v>
      </x:c>
      <x:c r="E84" s="17" t="n">
        <x:v>1</x:v>
      </x:c>
      <x:c r="F84" s="17" t="n">
        <x:v>10</x:v>
      </x:c>
      <x:c r="G84" s="17" t="n">
        <x:v>317</x:v>
      </x:c>
      <x:c r="H84" s="17" t="n">
        <x:v>307</x:v>
      </x:c>
      <x:c r="I84" s="17" t="n">
        <x:v>10</x:v>
      </x:c>
      <x:c r="J84" s="17" t="n">
        <x:v>0</x:v>
      </x:c>
      <x:c r="K84" s="17" t="n">
        <x:v>1703524</x:v>
      </x:c>
      <x:c r="L84" s="17" t="n">
        <x:v>1703524</x:v>
      </x:c>
      <x:c r="M84" s="17" t="n">
        <x:v>0</x:v>
      </x:c>
      <x:c r="N84" s="17" t="n">
        <x:v>55</x:v>
      </x:c>
      <x:c r="O84" s="17" t="n">
        <x:v>55</x:v>
      </x:c>
      <x:c r="P84" s="17" t="n">
        <x:v>0</x:v>
      </x:c>
      <x:c r="Q84" s="17" t="str">
        <x:v>Empty / no visible reward</x:v>
      </x:c>
      <x:c r="R84" s="18" t="str">
        <x:v>/Users/mac/Documents/智囊团/video_analysis/Top_Tycoon新号流程_20260804/evidence/event_supplements/TT_NEW_03_000514_4fps_contact.jpg</x:v>
      </x:c>
      <x:c r="S84" s="17" t="str">
        <x:v>00:08:38</x:v>
      </x:c>
      <x:c r="T84" s="17" t="str">
        <x:v>已确认</x:v>
      </x:c>
      <x:c r="U84" s="17" t="str">
        <x:v>A</x:v>
      </x:c>
      <x:c r="V84" s="17" t="str">
        <x:v>4fps事件补核，画面与余额前后值已人工复核</x:v>
      </x:c>
      <x:c r="W84" s="17" t="str">
        <x:v>空奖</x:v>
      </x:c>
      <x:c r="X84" s="17" t="str">
        <x:v>是</x:v>
      </x:c>
      <x:c r="Y84" s="17" t="str">
        <x:v>否</x:v>
      </x:c>
      <x:c r="Z84" s="17" t="str">
        <x:v>未知</x:v>
      </x:c>
      <x:c r="AA84" s="17" t="str">
        <x:v>未知</x:v>
      </x:c>
      <x:c r="AB84" s="17" t="str">
        <x:v>否</x:v>
      </x:c>
    </x:row>
    <x:row r="85">
      <x:c r="A85" s="17" t="str">
        <x:v>TT_NEW_03</x:v>
      </x:c>
      <x:c r="B85" s="17" t="str">
        <x:v>TT_NEW_03_S0037</x:v>
      </x:c>
      <x:c r="C85" s="17" t="str">
        <x:v>00:08:38</x:v>
      </x:c>
      <x:c r="D85" s="17" t="n">
        <x:v>518</x:v>
      </x:c>
      <x:c r="E85" s="17" t="n">
        <x:v>1</x:v>
      </x:c>
      <x:c r="F85" s="17" t="n">
        <x:v>10</x:v>
      </x:c>
      <x:c r="G85" s="17" t="n">
        <x:v>307</x:v>
      </x:c>
      <x:c r="H85" s="17" t="n">
        <x:v>297</x:v>
      </x:c>
      <x:c r="I85" s="17" t="n">
        <x:v>10</x:v>
      </x:c>
      <x:c r="J85" s="17" t="n">
        <x:v>0</x:v>
      </x:c>
      <x:c r="K85" s="17" t="n">
        <x:v>1703524</x:v>
      </x:c>
      <x:c r="L85" s="17" t="n">
        <x:v>1704489</x:v>
      </x:c>
      <x:c r="M85" s="17" t="n">
        <x:v>965</x:v>
      </x:c>
      <x:c r="N85" s="17" t="n">
        <x:v>55</x:v>
      </x:c>
      <x:c r="O85" s="17" t="n">
        <x:v>55</x:v>
      </x:c>
      <x:c r="P85" s="17" t="n">
        <x:v>0</x:v>
      </x:c>
      <x:c r="Q85" s="17" t="str">
        <x:v>Coin</x:v>
      </x:c>
      <x:c r="R85" s="18" t="str">
        <x:v>/Users/mac/Documents/智囊团/video_analysis/Top_Tycoon新号流程_20260804/frames/TT_NEW_03/TT_NEW_03_t000518.jpg</x:v>
      </x:c>
      <x:c r="S85" s="17" t="str">
        <x:v>00:08:40</x:v>
      </x:c>
      <x:c r="T85" s="17" t="str">
        <x:v>待复核</x:v>
      </x:c>
      <x:c r="U85" s="17" t="str">
        <x:v>B</x:v>
      </x:c>
      <x:c r="V85" s="17" t="str">
        <x:v>由逐秒能量变化推断；快速自动Spin可能需4fps补核</x:v>
      </x:c>
      <x:c r="W85" s="17" t="str">
        <x:v>纯金币</x:v>
      </x:c>
      <x:c r="X85" s="17" t="str">
        <x:v>是</x:v>
      </x:c>
      <x:c r="Y85" s="17" t="str">
        <x:v>否</x:v>
      </x:c>
      <x:c r="Z85" s="17" t="str">
        <x:v>未知</x:v>
      </x:c>
      <x:c r="AA85" s="17" t="str">
        <x:v>未知</x:v>
      </x:c>
      <x:c r="AB85" s="17" t="str">
        <x:v>否</x:v>
      </x:c>
    </x:row>
    <x:row r="86">
      <x:c r="A86" s="17" t="str">
        <x:v>TT_NEW_03</x:v>
      </x:c>
      <x:c r="B86" s="17" t="str">
        <x:v>TT_NEW_03_S0038</x:v>
      </x:c>
      <x:c r="C86" s="17" t="str">
        <x:v>00:08:40</x:v>
      </x:c>
      <x:c r="D86" s="17" t="n">
        <x:v>520</x:v>
      </x:c>
      <x:c r="E86" s="17" t="n">
        <x:v>1</x:v>
      </x:c>
      <x:c r="F86" s="17" t="n">
        <x:v>10</x:v>
      </x:c>
      <x:c r="G86" s="17" t="n">
        <x:v>297</x:v>
      </x:c>
      <x:c r="H86" s="17" t="n">
        <x:v>287</x:v>
      </x:c>
      <x:c r="I86" s="17" t="n">
        <x:v>10</x:v>
      </x:c>
      <x:c r="J86" s="17" t="n">
        <x:v>0</x:v>
      </x:c>
      <x:c r="K86" s="17" t="n">
        <x:v>1703524</x:v>
      </x:c>
      <x:c r="L86" s="17" t="n">
        <x:v>1719724</x:v>
      </x:c>
      <x:c r="M86" s="17" t="n">
        <x:v>16200</x:v>
      </x:c>
      <x:c r="N86" s="17" t="n">
        <x:v>55</x:v>
      </x:c>
      <x:c r="O86" s="17" t="n">
        <x:v>55</x:v>
      </x:c>
      <x:c r="P86" s="17" t="n">
        <x:v>0</x:v>
      </x:c>
      <x:c r="Q86" s="17" t="str">
        <x:v>Coin</x:v>
      </x:c>
      <x:c r="R86" s="18" t="str">
        <x:v>/Users/mac/Documents/智囊团/video_analysis/Top_Tycoon新号流程_20260804/frames/TT_NEW_03/TT_NEW_03_t000520.jpg</x:v>
      </x:c>
      <x:c r="S86" s="17" t="str">
        <x:v>00:08:46</x:v>
      </x:c>
      <x:c r="T86" s="17" t="str">
        <x:v>待复核</x:v>
      </x:c>
      <x:c r="U86" s="17" t="str">
        <x:v>B</x:v>
      </x:c>
      <x:c r="V86" s="17" t="str">
        <x:v>由逐秒能量变化推断；快速自动Spin可能需4fps补核</x:v>
      </x:c>
      <x:c r="W86" s="17" t="str">
        <x:v>纯金币</x:v>
      </x:c>
      <x:c r="X86" s="17" t="str">
        <x:v>是</x:v>
      </x:c>
      <x:c r="Y86" s="17" t="str">
        <x:v>否</x:v>
      </x:c>
      <x:c r="Z86" s="17" t="str">
        <x:v>未知</x:v>
      </x:c>
      <x:c r="AA86" s="17" t="str">
        <x:v>未知</x:v>
      </x:c>
      <x:c r="AB86" s="17" t="str">
        <x:v>否</x:v>
      </x:c>
    </x:row>
    <x:row r="87">
      <x:c r="A87" s="17" t="str">
        <x:v>TT_NEW_03</x:v>
      </x:c>
      <x:c r="B87" s="17" t="str">
        <x:v>TT_NEW_03_S0039</x:v>
      </x:c>
      <x:c r="C87" s="17" t="str">
        <x:v>00:08:46</x:v>
      </x:c>
      <x:c r="D87" s="17" t="n">
        <x:v>526</x:v>
      </x:c>
      <x:c r="E87" s="17" t="n">
        <x:v>1</x:v>
      </x:c>
      <x:c r="F87" s="17" t="n">
        <x:v>10</x:v>
      </x:c>
      <x:c r="G87" s="17" t="n">
        <x:v>287</x:v>
      </x:c>
      <x:c r="H87" s="17" t="n">
        <x:v>277</x:v>
      </x:c>
      <x:c r="I87" s="17" t="n">
        <x:v>10</x:v>
      </x:c>
      <x:c r="J87" s="17" t="n">
        <x:v>0</x:v>
      </x:c>
      <x:c r="K87" s="17" t="n">
        <x:v>1717029</x:v>
      </x:c>
      <x:c r="L87" s="17" t="n">
        <x:v>1751624</x:v>
      </x:c>
      <x:c r="M87" s="17" t="n">
        <x:v>34595</x:v>
      </x:c>
      <x:c r="N87" s="17" t="n">
        <x:v>55</x:v>
      </x:c>
      <x:c r="O87" s="17" t="n">
        <x:v>55</x:v>
      </x:c>
      <x:c r="P87" s="17" t="n">
        <x:v>0</x:v>
      </x:c>
      <x:c r="Q87" s="17" t="str">
        <x:v>Attack</x:v>
      </x:c>
      <x:c r="R87" s="18" t="str">
        <x:v>/Users/mac/Documents/智囊团/video_analysis/Top_Tycoon新号流程_20260804/frames/TT_NEW_03/TT_NEW_03_t000526.jpg</x:v>
      </x:c>
      <x:c r="S87" s="17" t="str">
        <x:v>00:09:11</x:v>
      </x:c>
      <x:c r="T87" s="17" t="str">
        <x:v>待复核</x:v>
      </x:c>
      <x:c r="U87" s="17" t="str">
        <x:v>B</x:v>
      </x:c>
      <x:c r="V87" s="17" t="str">
        <x:v>由逐秒能量变化推断；快速自动Spin可能需4fps补核</x:v>
      </x:c>
      <x:c r="W87" s="17" t="str">
        <x:v>Attack</x:v>
      </x:c>
      <x:c r="X87" s="17" t="str">
        <x:v>是</x:v>
      </x:c>
      <x:c r="Y87" s="17" t="str">
        <x:v>否</x:v>
      </x:c>
      <x:c r="Z87" s="17" t="str">
        <x:v>未知</x:v>
      </x:c>
      <x:c r="AA87" s="17" t="str">
        <x:v>未知</x:v>
      </x:c>
      <x:c r="AB87" s="17" t="str">
        <x:v>否</x:v>
      </x:c>
    </x:row>
    <x:row r="88">
      <x:c r="A88" s="17" t="str">
        <x:v>TT_NEW_03</x:v>
      </x:c>
      <x:c r="B88" s="17" t="str">
        <x:v>TT_NEW_03_S0040</x:v>
      </x:c>
      <x:c r="C88" s="17" t="str">
        <x:v>00:09:11</x:v>
      </x:c>
      <x:c r="D88" s="17" t="n">
        <x:v>551</x:v>
      </x:c>
      <x:c r="E88" s="17" t="n">
        <x:v>1</x:v>
      </x:c>
      <x:c r="F88" s="17" t="n">
        <x:v>10</x:v>
      </x:c>
      <x:c r="G88" s="17" t="n">
        <x:v>277</x:v>
      </x:c>
      <x:c r="H88" s="17" t="n">
        <x:v>267</x:v>
      </x:c>
      <x:c r="I88" s="17" t="n">
        <x:v>10</x:v>
      </x:c>
      <x:c r="J88" s="17" t="n">
        <x:v>0</x:v>
      </x:c>
      <x:c r="K88" s="17" t="n">
        <x:v>1751624</x:v>
      </x:c>
      <x:c r="L88" s="17" t="n">
        <x:v>1752624</x:v>
      </x:c>
      <x:c r="M88" s="17" t="n">
        <x:v>1000</x:v>
      </x:c>
      <x:c r="N88" s="17" t="n">
        <x:v>55</x:v>
      </x:c>
      <x:c r="O88" s="17" t="n">
        <x:v>55</x:v>
      </x:c>
      <x:c r="P88" s="17" t="n">
        <x:v>0</x:v>
      </x:c>
      <x:c r="Q88" s="17" t="str">
        <x:v>Coin</x:v>
      </x:c>
      <x:c r="R88" s="18" t="str">
        <x:v>/Users/mac/Documents/智囊团/video_analysis/Top_Tycoon新号流程_20260804/frames/TT_NEW_03/TT_NEW_03_t000551.jpg</x:v>
      </x:c>
      <x:c r="S88" s="17" t="str">
        <x:v>00:09:13</x:v>
      </x:c>
      <x:c r="T88" s="17" t="str">
        <x:v>待复核</x:v>
      </x:c>
      <x:c r="U88" s="17" t="str">
        <x:v>B</x:v>
      </x:c>
      <x:c r="V88" s="17" t="str">
        <x:v>由逐秒能量变化推断；快速自动Spin可能需4fps补核</x:v>
      </x:c>
      <x:c r="W88" s="17" t="str">
        <x:v>纯金币</x:v>
      </x:c>
      <x:c r="X88" s="17" t="str">
        <x:v>是</x:v>
      </x:c>
      <x:c r="Y88" s="17" t="str">
        <x:v>否</x:v>
      </x:c>
      <x:c r="Z88" s="17" t="str">
        <x:v>未知</x:v>
      </x:c>
      <x:c r="AA88" s="17" t="str">
        <x:v>未知</x:v>
      </x:c>
      <x:c r="AB88" s="17" t="str">
        <x:v>否</x:v>
      </x:c>
    </x:row>
    <x:row r="89">
      <x:c r="A89" s="17" t="str">
        <x:v>TT_NEW_03</x:v>
      </x:c>
      <x:c r="B89" s="17" t="str">
        <x:v>TT_NEW_03_S0041</x:v>
      </x:c>
      <x:c r="C89" s="17" t="str">
        <x:v>00:09:13</x:v>
      </x:c>
      <x:c r="D89" s="17" t="n">
        <x:v>553</x:v>
      </x:c>
      <x:c r="E89" s="17" t="n">
        <x:v>1</x:v>
      </x:c>
      <x:c r="F89" s="17" t="n">
        <x:v>10</x:v>
      </x:c>
      <x:c r="G89" s="17" t="n">
        <x:v>267</x:v>
      </x:c>
      <x:c r="H89" s="17" t="n">
        <x:v>257</x:v>
      </x:c>
      <x:c r="I89" s="17" t="n">
        <x:v>10</x:v>
      </x:c>
      <x:c r="J89" s="17" t="n">
        <x:v>0</x:v>
      </x:c>
      <x:c r="K89" s="17" t="n">
        <x:v>1751624</x:v>
      </x:c>
      <x:c r="L89" s="17" t="n">
        <x:v>2062624</x:v>
      </x:c>
      <x:c r="M89" s="17" t="n">
        <x:v>311000</x:v>
      </x:c>
      <x:c r="N89" s="17" t="n">
        <x:v>55</x:v>
      </x:c>
      <x:c r="O89" s="17" t="n">
        <x:v>55</x:v>
      </x:c>
      <x:c r="P89" s="17" t="n">
        <x:v>0</x:v>
      </x:c>
      <x:c r="Q89" s="17" t="str">
        <x:v>Coin</x:v>
      </x:c>
      <x:c r="R89" s="18" t="str">
        <x:v>/Users/mac/Documents/智囊团/video_analysis/Top_Tycoon新号流程_20260804/frames/TT_NEW_03/TT_NEW_03_t000553.jpg</x:v>
      </x:c>
      <x:c r="S89" s="17" t="str">
        <x:v>00:09:52</x:v>
      </x:c>
      <x:c r="T89" s="17" t="str">
        <x:v>待复核</x:v>
      </x:c>
      <x:c r="U89" s="17" t="str">
        <x:v>B</x:v>
      </x:c>
      <x:c r="V89" s="17" t="str">
        <x:v>由逐秒能量变化推断；快速自动Spin可能需4fps补核</x:v>
      </x:c>
      <x:c r="W89" s="17" t="str">
        <x:v>纯金币</x:v>
      </x:c>
      <x:c r="X89" s="17" t="str">
        <x:v>是</x:v>
      </x:c>
      <x:c r="Y89" s="17" t="str">
        <x:v>否</x:v>
      </x:c>
      <x:c r="Z89" s="17" t="str">
        <x:v>未知</x:v>
      </x:c>
      <x:c r="AA89" s="17" t="str">
        <x:v>未知</x:v>
      </x:c>
      <x:c r="AB89" s="17" t="str">
        <x:v>否</x:v>
      </x:c>
    </x:row>
    <x:row r="90">
      <x:c r="A90" s="17" t="str">
        <x:v>TT_NEW_03</x:v>
      </x:c>
      <x:c r="B90" s="17" t="str">
        <x:v>TT_NEW_03_S0042</x:v>
      </x:c>
      <x:c r="C90" s="17" t="str">
        <x:v>00:09:52</x:v>
      </x:c>
      <x:c r="D90" s="17" t="n">
        <x:v>592</x:v>
      </x:c>
      <x:c r="E90" s="17" t="n">
        <x:v>1</x:v>
      </x:c>
      <x:c r="F90" s="17" t="n">
        <x:v>10</x:v>
      </x:c>
      <x:c r="G90" s="17" t="n">
        <x:v>257</x:v>
      </x:c>
      <x:c r="H90" s="17" t="n">
        <x:v>247</x:v>
      </x:c>
      <x:c r="I90" s="17" t="n">
        <x:v>10</x:v>
      </x:c>
      <x:c r="J90" s="17" t="n">
        <x:v>0</x:v>
      </x:c>
      <x:c r="K90" s="17" t="n">
        <x:v>2062624</x:v>
      </x:c>
      <x:c r="L90" s="17" t="n">
        <x:v>2063356</x:v>
      </x:c>
      <x:c r="M90" s="17" t="n">
        <x:v>732</x:v>
      </x:c>
      <x:c r="N90" s="17" t="n">
        <x:v>55</x:v>
      </x:c>
      <x:c r="O90" s="17" t="n">
        <x:v>55</x:v>
      </x:c>
      <x:c r="P90" s="17" t="n">
        <x:v>0</x:v>
      </x:c>
      <x:c r="Q90" s="17" t="str">
        <x:v>Coin</x:v>
      </x:c>
      <x:c r="R90" s="18" t="str">
        <x:v>/Users/mac/Documents/智囊团/video_analysis/Top_Tycoon新号流程_20260804/frames/TT_NEW_03/TT_NEW_03_t000592.jpg</x:v>
      </x:c>
      <x:c r="S90" s="17" t="str">
        <x:v>00:09:54</x:v>
      </x:c>
      <x:c r="T90" s="17" t="str">
        <x:v>待复核</x:v>
      </x:c>
      <x:c r="U90" s="17" t="str">
        <x:v>B</x:v>
      </x:c>
      <x:c r="V90" s="17" t="str">
        <x:v>由逐秒能量变化推断；快速自动Spin可能需4fps补核</x:v>
      </x:c>
      <x:c r="W90" s="17" t="str">
        <x:v>纯金币</x:v>
      </x:c>
      <x:c r="X90" s="17" t="str">
        <x:v>是</x:v>
      </x:c>
      <x:c r="Y90" s="17" t="str">
        <x:v>否</x:v>
      </x:c>
      <x:c r="Z90" s="17" t="str">
        <x:v>未知</x:v>
      </x:c>
      <x:c r="AA90" s="17" t="str">
        <x:v>未知</x:v>
      </x:c>
      <x:c r="AB90" s="17" t="str">
        <x:v>否</x:v>
      </x:c>
    </x:row>
    <x:row r="91">
      <x:c r="A91" s="17" t="str">
        <x:v>TT_NEW_03</x:v>
      </x:c>
      <x:c r="B91" s="17" t="str">
        <x:v>TT_NEW_03_S0043</x:v>
      </x:c>
      <x:c r="C91" s="17" t="str">
        <x:v>00:09:54</x:v>
      </x:c>
      <x:c r="D91" s="17" t="n">
        <x:v>594</x:v>
      </x:c>
      <x:c r="E91" s="17" t="n">
        <x:v>1</x:v>
      </x:c>
      <x:c r="F91" s="17" t="n">
        <x:v>10</x:v>
      </x:c>
      <x:c r="G91" s="17" t="n">
        <x:v>247</x:v>
      </x:c>
      <x:c r="H91" s="17" t="n">
        <x:v>237</x:v>
      </x:c>
      <x:c r="I91" s="17" t="n">
        <x:v>10</x:v>
      </x:c>
      <x:c r="J91" s="17" t="n">
        <x:v>0</x:v>
      </x:c>
      <x:c r="K91" s="17" t="n">
        <x:v>2062624</x:v>
      </x:c>
      <x:c r="L91" s="17" t="n">
        <x:v>2073624</x:v>
      </x:c>
      <x:c r="M91" s="17" t="n">
        <x:v>11000</x:v>
      </x:c>
      <x:c r="N91" s="17"/>
      <x:c r="O91" s="17" t="n">
        <x:v>55</x:v>
      </x:c>
      <x:c r="P91" s="17"/>
      <x:c r="Q91" s="17" t="str">
        <x:v>Coin</x:v>
      </x:c>
      <x:c r="R91" s="18" t="str">
        <x:v>/Users/mac/Documents/智囊团/video_analysis/Top_Tycoon新号流程_20260804/frames/TT_NEW_03/TT_NEW_03_t000594.jpg</x:v>
      </x:c>
      <x:c r="S91" s="17" t="str">
        <x:v>00:09:57</x:v>
      </x:c>
      <x:c r="T91" s="17" t="str">
        <x:v>待复核</x:v>
      </x:c>
      <x:c r="U91" s="17" t="str">
        <x:v>B</x:v>
      </x:c>
      <x:c r="V91" s="17" t="str">
        <x:v>由逐秒能量变化推断；快速自动Spin可能需4fps补核</x:v>
      </x:c>
      <x:c r="W91" s="17" t="str">
        <x:v>纯金币</x:v>
      </x:c>
      <x:c r="X91" s="17" t="str">
        <x:v>是</x:v>
      </x:c>
      <x:c r="Y91" s="17" t="str">
        <x:v>否</x:v>
      </x:c>
      <x:c r="Z91" s="17" t="str">
        <x:v>未知</x:v>
      </x:c>
      <x:c r="AA91" s="17" t="str">
        <x:v>未知</x:v>
      </x:c>
      <x:c r="AB91" s="17" t="str">
        <x:v>否</x:v>
      </x:c>
    </x:row>
    <x:row r="92">
      <x:c r="A92" s="17" t="str">
        <x:v>TT_NEW_03</x:v>
      </x:c>
      <x:c r="B92" s="17" t="str">
        <x:v>TT_NEW_03_S0044</x:v>
      </x:c>
      <x:c r="C92" s="17" t="str">
        <x:v>00:09:57</x:v>
      </x:c>
      <x:c r="D92" s="17" t="n">
        <x:v>597</x:v>
      </x:c>
      <x:c r="E92" s="17" t="n">
        <x:v>1</x:v>
      </x:c>
      <x:c r="F92" s="17" t="n">
        <x:v>10</x:v>
      </x:c>
      <x:c r="G92" s="17" t="n">
        <x:v>237</x:v>
      </x:c>
      <x:c r="H92" s="17" t="n">
        <x:v>227</x:v>
      </x:c>
      <x:c r="I92" s="17" t="n">
        <x:v>10</x:v>
      </x:c>
      <x:c r="J92" s="17" t="n">
        <x:v>0</x:v>
      </x:c>
      <x:c r="K92" s="17" t="n">
        <x:v>2064954</x:v>
      </x:c>
      <x:c r="L92" s="17" t="n">
        <x:v>2073624</x:v>
      </x:c>
      <x:c r="M92" s="17" t="n">
        <x:v>8670</x:v>
      </x:c>
      <x:c r="N92" s="17" t="n">
        <x:v>55</x:v>
      </x:c>
      <x:c r="O92" s="17" t="n">
        <x:v>55</x:v>
      </x:c>
      <x:c r="P92" s="17" t="n">
        <x:v>0</x:v>
      </x:c>
      <x:c r="Q92" s="17" t="str">
        <x:v>Coin</x:v>
      </x:c>
      <x:c r="R92" s="18" t="str">
        <x:v>/Users/mac/Documents/智囊团/video_analysis/Top_Tycoon新号流程_20260804/frames/TT_NEW_03/TT_NEW_03_t000597.jpg</x:v>
      </x:c>
      <x:c r="S92" s="17" t="str">
        <x:v>00:09:58</x:v>
      </x:c>
      <x:c r="T92" s="17" t="str">
        <x:v>待复核</x:v>
      </x:c>
      <x:c r="U92" s="17" t="str">
        <x:v>B</x:v>
      </x:c>
      <x:c r="V92" s="17" t="str">
        <x:v>由逐秒能量变化推断；快速自动Spin可能需4fps补核</x:v>
      </x:c>
      <x:c r="W92" s="17" t="str">
        <x:v>纯金币</x:v>
      </x:c>
      <x:c r="X92" s="17" t="str">
        <x:v>是</x:v>
      </x:c>
      <x:c r="Y92" s="17" t="str">
        <x:v>否</x:v>
      </x:c>
      <x:c r="Z92" s="17" t="str">
        <x:v>未知</x:v>
      </x:c>
      <x:c r="AA92" s="17" t="str">
        <x:v>未知</x:v>
      </x:c>
      <x:c r="AB92" s="17" t="str">
        <x:v>否</x:v>
      </x:c>
    </x:row>
    <x:row r="93">
      <x:c r="A93" s="17" t="str">
        <x:v>TT_NEW_06</x:v>
      </x:c>
      <x:c r="B93" s="17" t="str">
        <x:v>TT_NEW_06_S0001</x:v>
      </x:c>
      <x:c r="C93" s="17" t="str">
        <x:v>00:01:35</x:v>
      </x:c>
      <x:c r="D93" s="17" t="n">
        <x:v>95</x:v>
      </x:c>
      <x:c r="E93" s="17" t="n">
        <x:v>1</x:v>
      </x:c>
      <x:c r="F93" s="17" t="n">
        <x:v>2</x:v>
      </x:c>
      <x:c r="G93" s="17" t="n">
        <x:v>129</x:v>
      </x:c>
      <x:c r="H93" s="17" t="n">
        <x:v>127</x:v>
      </x:c>
      <x:c r="I93" s="17" t="n">
        <x:v>2</x:v>
      </x:c>
      <x:c r="J93" s="17" t="n">
        <x:v>0</x:v>
      </x:c>
      <x:c r="K93" s="17" t="n">
        <x:v>218402</x:v>
      </x:c>
      <x:c r="L93" s="17" t="n">
        <x:v>228402</x:v>
      </x:c>
      <x:c r="M93" s="17" t="n">
        <x:v>10000</x:v>
      </x:c>
      <x:c r="N93" s="17" t="n">
        <x:v>1</x:v>
      </x:c>
      <x:c r="O93" s="17" t="n">
        <x:v>1</x:v>
      </x:c>
      <x:c r="P93" s="17" t="n">
        <x:v>0</x:v>
      </x:c>
      <x:c r="Q93" s="17" t="str">
        <x:v>Coin</x:v>
      </x:c>
      <x:c r="R93" s="18" t="str">
        <x:v>/Users/mac/Documents/智囊团/video_analysis/Top_Tycoon新号流程_20260804/frames/TT_NEW_06/TT_NEW_06_t000095.jpg</x:v>
      </x:c>
      <x:c r="S93" s="17" t="str">
        <x:v>00:01:39</x:v>
      </x:c>
      <x:c r="T93" s="17" t="str">
        <x:v>待复核</x:v>
      </x:c>
      <x:c r="U93" s="17" t="str">
        <x:v>B</x:v>
      </x:c>
      <x:c r="V93" s="17" t="str">
        <x:v>由逐秒能量变化推断；快速自动Spin可能需4fps补核</x:v>
      </x:c>
      <x:c r="W93" s="17" t="str">
        <x:v>纯金币</x:v>
      </x:c>
      <x:c r="X93" s="17" t="str">
        <x:v>是</x:v>
      </x:c>
      <x:c r="Y93" s="17" t="str">
        <x:v>否</x:v>
      </x:c>
      <x:c r="Z93" s="17" t="str">
        <x:v>未知</x:v>
      </x:c>
      <x:c r="AA93" s="17" t="str">
        <x:v>未知</x:v>
      </x:c>
      <x:c r="AB93" s="17" t="str">
        <x:v>否</x:v>
      </x:c>
    </x:row>
    <x:row r="94">
      <x:c r="A94" s="17" t="str">
        <x:v>TT_NEW_06</x:v>
      </x:c>
      <x:c r="B94" s="17" t="str">
        <x:v>TT_NEW_06_S0002</x:v>
      </x:c>
      <x:c r="C94" s="17" t="str">
        <x:v>00:01:39</x:v>
      </x:c>
      <x:c r="D94" s="17" t="n">
        <x:v>99</x:v>
      </x:c>
      <x:c r="E94" s="17" t="n">
        <x:v>1</x:v>
      </x:c>
      <x:c r="F94" s="17" t="n">
        <x:v>2</x:v>
      </x:c>
      <x:c r="G94" s="17" t="n">
        <x:v>125</x:v>
      </x:c>
      <x:c r="H94" s="17" t="n">
        <x:v>123</x:v>
      </x:c>
      <x:c r="I94" s="17" t="n">
        <x:v>2</x:v>
      </x:c>
      <x:c r="J94" s="17" t="n">
        <x:v>0</x:v>
      </x:c>
      <x:c r="K94" s="17" t="n">
        <x:v>228402</x:v>
      </x:c>
      <x:c r="L94" s="17" t="n">
        <x:v>228402</x:v>
      </x:c>
      <x:c r="M94" s="17" t="n">
        <x:v>0</x:v>
      </x:c>
      <x:c r="N94" s="17" t="n">
        <x:v>1</x:v>
      </x:c>
      <x:c r="O94" s="17" t="n">
        <x:v>5</x:v>
      </x:c>
      <x:c r="P94" s="17" t="n">
        <x:v>4</x:v>
      </x:c>
      <x:c r="Q94" s="17" t="str">
        <x:v>Progress</x:v>
      </x:c>
      <x:c r="R94" s="18" t="str">
        <x:v>/Users/mac/Documents/智囊团/video_analysis/Top_Tycoon新号流程_20260804/frames/TT_NEW_06/TT_NEW_06_t000099.jpg</x:v>
      </x:c>
      <x:c r="S94" s="17" t="str">
        <x:v>00:01:43</x:v>
      </x:c>
      <x:c r="T94" s="17" t="str">
        <x:v>待复核</x:v>
      </x:c>
      <x:c r="U94" s="17" t="str">
        <x:v>B</x:v>
      </x:c>
      <x:c r="V94" s="17" t="str">
        <x:v>由逐秒能量变化推断；快速自动Spin可能需4fps补核</x:v>
      </x:c>
      <x:c r="W94" s="17" t="str">
        <x:v>纯进度</x:v>
      </x:c>
      <x:c r="X94" s="17" t="str">
        <x:v>是</x:v>
      </x:c>
      <x:c r="Y94" s="17" t="str">
        <x:v>否</x:v>
      </x:c>
      <x:c r="Z94" s="17" t="str">
        <x:v>未知</x:v>
      </x:c>
      <x:c r="AA94" s="17" t="str">
        <x:v>未知</x:v>
      </x:c>
      <x:c r="AB94" s="17" t="str">
        <x:v>否</x:v>
      </x:c>
    </x:row>
    <x:row r="95">
      <x:c r="A95" s="17" t="str">
        <x:v>TT_NEW_06</x:v>
      </x:c>
      <x:c r="B95" s="17" t="str">
        <x:v>TT_NEW_06_S0003</x:v>
      </x:c>
      <x:c r="C95" s="17" t="str">
        <x:v>00:01:43</x:v>
      </x:c>
      <x:c r="D95" s="17" t="n">
        <x:v>103</x:v>
      </x:c>
      <x:c r="E95" s="17" t="n">
        <x:v>1</x:v>
      </x:c>
      <x:c r="F95" s="17" t="n">
        <x:v>2</x:v>
      </x:c>
      <x:c r="G95" s="17" t="n">
        <x:v>123</x:v>
      </x:c>
      <x:c r="H95" s="17" t="n">
        <x:v>121</x:v>
      </x:c>
      <x:c r="I95" s="17" t="n">
        <x:v>2</x:v>
      </x:c>
      <x:c r="J95" s="17" t="n">
        <x:v>20</x:v>
      </x:c>
      <x:c r="K95" s="17" t="n">
        <x:v>228402</x:v>
      </x:c>
      <x:c r="L95" s="17" t="n">
        <x:v>232102</x:v>
      </x:c>
      <x:c r="M95" s="17" t="n">
        <x:v>3700</x:v>
      </x:c>
      <x:c r="N95" s="17" t="n">
        <x:v>1</x:v>
      </x:c>
      <x:c r="O95" s="17" t="n">
        <x:v>5</x:v>
      </x:c>
      <x:c r="P95" s="17" t="n">
        <x:v>4</x:v>
      </x:c>
      <x:c r="Q95" s="17" t="str">
        <x:v>Coin + Energy + Progress</x:v>
      </x:c>
      <x:c r="R95" s="18" t="str">
        <x:v>/Users/mac/Documents/智囊团/video_analysis/Top_Tycoon新号流程_20260804/frames/TT_NEW_06/TT_NEW_06_t000103.jpg</x:v>
      </x:c>
      <x:c r="S95" s="17" t="str">
        <x:v>00:02:00</x:v>
      </x:c>
      <x:c r="T95" s="17" t="str">
        <x:v>待复核</x:v>
      </x:c>
      <x:c r="U95" s="17" t="str">
        <x:v>B</x:v>
      </x:c>
      <x:c r="V95" s="17" t="str">
        <x:v>由逐秒能量变化推断；快速自动Spin可能需4fps补核</x:v>
      </x:c>
      <x:c r="W95" s="17" t="str">
        <x:v>混合奖励</x:v>
      </x:c>
      <x:c r="X95" s="17" t="str">
        <x:v>是</x:v>
      </x:c>
      <x:c r="Y95" s="17" t="str">
        <x:v>否</x:v>
      </x:c>
      <x:c r="Z95" s="17" t="str">
        <x:v>未知</x:v>
      </x:c>
      <x:c r="AA95" s="17" t="str">
        <x:v>未知</x:v>
      </x:c>
      <x:c r="AB95" s="17" t="str">
        <x:v>否</x:v>
      </x:c>
    </x:row>
    <x:row r="96">
      <x:c r="A96" s="17" t="str">
        <x:v>TT_NEW_06</x:v>
      </x:c>
      <x:c r="B96" s="17" t="str">
        <x:v>TT_NEW_06_S0004</x:v>
      </x:c>
      <x:c r="C96" s="17" t="str">
        <x:v>00:02:00</x:v>
      </x:c>
      <x:c r="D96" s="17" t="n">
        <x:v>120</x:v>
      </x:c>
      <x:c r="E96" s="17" t="n">
        <x:v>1</x:v>
      </x:c>
      <x:c r="F96" s="17" t="n">
        <x:v>5</x:v>
      </x:c>
      <x:c r="G96" s="17" t="n">
        <x:v>141</x:v>
      </x:c>
      <x:c r="H96" s="17" t="n">
        <x:v>139</x:v>
      </x:c>
      <x:c r="I96" s="17" t="n">
        <x:v>5</x:v>
      </x:c>
      <x:c r="J96" s="17" t="n">
        <x:v>3</x:v>
      </x:c>
      <x:c r="K96" s="17" t="n">
        <x:v>232102</x:v>
      </x:c>
      <x:c r="L96" s="17" t="n">
        <x:v>233102</x:v>
      </x:c>
      <x:c r="M96" s="17" t="n">
        <x:v>1000</x:v>
      </x:c>
      <x:c r="N96" s="17" t="n">
        <x:v>5</x:v>
      </x:c>
      <x:c r="O96" s="17" t="n">
        <x:v>5</x:v>
      </x:c>
      <x:c r="P96" s="17" t="n">
        <x:v>0</x:v>
      </x:c>
      <x:c r="Q96" s="17" t="str">
        <x:v>Coin</x:v>
      </x:c>
      <x:c r="R96" s="18" t="str">
        <x:v>/Users/mac/Documents/智囊团/video_analysis/Top_Tycoon新号流程_20260804/frames/TT_NEW_06/TT_NEW_06_t000120.jpg</x:v>
      </x:c>
      <x:c r="S96" s="17" t="str">
        <x:v>00:02:05</x:v>
      </x:c>
      <x:c r="T96" s="17" t="str">
        <x:v>待复核</x:v>
      </x:c>
      <x:c r="U96" s="17" t="str">
        <x:v>B</x:v>
      </x:c>
      <x:c r="V96" s="17" t="str">
        <x:v>由逐秒能量变化推断；快速自动Spin可能需4fps补核</x:v>
      </x:c>
      <x:c r="W96" s="17" t="str">
        <x:v>纯金币</x:v>
      </x:c>
      <x:c r="X96" s="17" t="str">
        <x:v>是</x:v>
      </x:c>
      <x:c r="Y96" s="17" t="str">
        <x:v>否</x:v>
      </x:c>
      <x:c r="Z96" s="17" t="str">
        <x:v>未知</x:v>
      </x:c>
      <x:c r="AA96" s="17" t="str">
        <x:v>未知</x:v>
      </x:c>
      <x:c r="AB96" s="17" t="str">
        <x:v>否</x:v>
      </x:c>
    </x:row>
    <x:row r="97">
      <x:c r="A97" s="17" t="str">
        <x:v>TT_NEW_06</x:v>
      </x:c>
      <x:c r="B97" s="17" t="str">
        <x:v>TT_NEW_06_S0005</x:v>
      </x:c>
      <x:c r="C97" s="17" t="str">
        <x:v>00:02:05</x:v>
      </x:c>
      <x:c r="D97" s="17" t="n">
        <x:v>125</x:v>
      </x:c>
      <x:c r="E97" s="17" t="n">
        <x:v>1</x:v>
      </x:c>
      <x:c r="F97" s="17" t="n">
        <x:v>5</x:v>
      </x:c>
      <x:c r="G97" s="17" t="n">
        <x:v>139</x:v>
      </x:c>
      <x:c r="H97" s="17" t="n">
        <x:v>134</x:v>
      </x:c>
      <x:c r="I97" s="17" t="n">
        <x:v>5</x:v>
      </x:c>
      <x:c r="J97" s="17" t="n">
        <x:v>0</x:v>
      </x:c>
      <x:c r="K97" s="17" t="n">
        <x:v>233102</x:v>
      </x:c>
      <x:c r="L97" s="17" t="n">
        <x:v>238102</x:v>
      </x:c>
      <x:c r="M97" s="17" t="n">
        <x:v>5000</x:v>
      </x:c>
      <x:c r="N97" s="17" t="n">
        <x:v>5</x:v>
      </x:c>
      <x:c r="O97" s="17" t="n">
        <x:v>5</x:v>
      </x:c>
      <x:c r="P97" s="17" t="n">
        <x:v>0</x:v>
      </x:c>
      <x:c r="Q97" s="17" t="str">
        <x:v>Coin</x:v>
      </x:c>
      <x:c r="R97" s="18" t="str">
        <x:v>/Users/mac/Documents/智囊团/video_analysis/Top_Tycoon新号流程_20260804/frames/TT_NEW_06/TT_NEW_06_t000125.jpg</x:v>
      </x:c>
      <x:c r="S97" s="17" t="str">
        <x:v>00:02:08</x:v>
      </x:c>
      <x:c r="T97" s="17" t="str">
        <x:v>待复核</x:v>
      </x:c>
      <x:c r="U97" s="17" t="str">
        <x:v>B</x:v>
      </x:c>
      <x:c r="V97" s="17" t="str">
        <x:v>由逐秒能量变化推断；快速自动Spin可能需4fps补核</x:v>
      </x:c>
      <x:c r="W97" s="17" t="str">
        <x:v>纯金币</x:v>
      </x:c>
      <x:c r="X97" s="17" t="str">
        <x:v>是</x:v>
      </x:c>
      <x:c r="Y97" s="17" t="str">
        <x:v>否</x:v>
      </x:c>
      <x:c r="Z97" s="17" t="str">
        <x:v>未知</x:v>
      </x:c>
      <x:c r="AA97" s="17" t="str">
        <x:v>未知</x:v>
      </x:c>
      <x:c r="AB97" s="17" t="str">
        <x:v>否</x:v>
      </x:c>
    </x:row>
    <x:row r="98">
      <x:c r="A98" s="17" t="str">
        <x:v>TT_NEW_06</x:v>
      </x:c>
      <x:c r="B98" s="17" t="str">
        <x:v>TT_NEW_06_S0006</x:v>
      </x:c>
      <x:c r="C98" s="17" t="str">
        <x:v>00:02:08</x:v>
      </x:c>
      <x:c r="D98" s="17" t="n">
        <x:v>128</x:v>
      </x:c>
      <x:c r="E98" s="17" t="n">
        <x:v>1</x:v>
      </x:c>
      <x:c r="F98" s="17" t="n">
        <x:v>5</x:v>
      </x:c>
      <x:c r="G98" s="17" t="n">
        <x:v>134</x:v>
      </x:c>
      <x:c r="H98" s="17" t="n">
        <x:v>129</x:v>
      </x:c>
      <x:c r="I98" s="17" t="n">
        <x:v>5</x:v>
      </x:c>
      <x:c r="J98" s="17" t="n">
        <x:v>0</x:v>
      </x:c>
      <x:c r="K98" s="17" t="n">
        <x:v>238102</x:v>
      </x:c>
      <x:c r="L98" s="17" t="n">
        <x:v>263102</x:v>
      </x:c>
      <x:c r="M98" s="17" t="n">
        <x:v>25000</x:v>
      </x:c>
      <x:c r="N98" s="17" t="n">
        <x:v>5</x:v>
      </x:c>
      <x:c r="O98" s="17" t="n">
        <x:v>5</x:v>
      </x:c>
      <x:c r="P98" s="17" t="n">
        <x:v>0</x:v>
      </x:c>
      <x:c r="Q98" s="17" t="str">
        <x:v>Coin</x:v>
      </x:c>
      <x:c r="R98" s="18" t="str">
        <x:v>/Users/mac/Documents/智囊团/video_analysis/Top_Tycoon新号流程_20260804/frames/TT_NEW_06/TT_NEW_06_t000128.jpg</x:v>
      </x:c>
      <x:c r="S98" s="17" t="str">
        <x:v>00:02:11</x:v>
      </x:c>
      <x:c r="T98" s="17" t="str">
        <x:v>待复核</x:v>
      </x:c>
      <x:c r="U98" s="17" t="str">
        <x:v>B</x:v>
      </x:c>
      <x:c r="V98" s="17" t="str">
        <x:v>由逐秒能量变化推断；快速自动Spin可能需4fps补核</x:v>
      </x:c>
      <x:c r="W98" s="17" t="str">
        <x:v>纯金币</x:v>
      </x:c>
      <x:c r="X98" s="17" t="str">
        <x:v>是</x:v>
      </x:c>
      <x:c r="Y98" s="17" t="str">
        <x:v>否</x:v>
      </x:c>
      <x:c r="Z98" s="17" t="str">
        <x:v>未知</x:v>
      </x:c>
      <x:c r="AA98" s="17" t="str">
        <x:v>未知</x:v>
      </x:c>
      <x:c r="AB98" s="17" t="str">
        <x:v>否</x:v>
      </x:c>
    </x:row>
    <x:row r="99">
      <x:c r="A99" s="17" t="str">
        <x:v>TT_NEW_06</x:v>
      </x:c>
      <x:c r="B99" s="17" t="str">
        <x:v>TT_NEW_06_S0007</x:v>
      </x:c>
      <x:c r="C99" s="17" t="str">
        <x:v>00:02:11</x:v>
      </x:c>
      <x:c r="D99" s="17" t="n">
        <x:v>131</x:v>
      </x:c>
      <x:c r="E99" s="17" t="n">
        <x:v>1</x:v>
      </x:c>
      <x:c r="F99" s="17" t="n">
        <x:v>5</x:v>
      </x:c>
      <x:c r="G99" s="17" t="n">
        <x:v>129</x:v>
      </x:c>
      <x:c r="H99" s="17" t="n">
        <x:v>124</x:v>
      </x:c>
      <x:c r="I99" s="17" t="n">
        <x:v>5</x:v>
      </x:c>
      <x:c r="J99" s="17" t="n">
        <x:v>0</x:v>
      </x:c>
      <x:c r="K99" s="17" t="n">
        <x:v>238102</x:v>
      </x:c>
      <x:c r="L99" s="17" t="n">
        <x:v>263102</x:v>
      </x:c>
      <x:c r="M99" s="17" t="n">
        <x:v>25000</x:v>
      </x:c>
      <x:c r="N99" s="17"/>
      <x:c r="O99" s="17"/>
      <x:c r="P99" s="17"/>
      <x:c r="Q99" s="17" t="str">
        <x:v>Coin</x:v>
      </x:c>
      <x:c r="R99" s="18" t="str">
        <x:v>/Users/mac/Documents/智囊团/video_analysis/Top_Tycoon新号流程_20260804/frames/TT_NEW_06/TT_NEW_06_t000131.jpg</x:v>
      </x:c>
      <x:c r="S99" s="17" t="str">
        <x:v>00:02:15</x:v>
      </x:c>
      <x:c r="T99" s="17" t="str">
        <x:v>待复核</x:v>
      </x:c>
      <x:c r="U99" s="17" t="str">
        <x:v>B</x:v>
      </x:c>
      <x:c r="V99" s="17" t="str">
        <x:v>由逐秒能量变化推断；快速自动Spin可能需4fps补核</x:v>
      </x:c>
      <x:c r="W99" s="17" t="str">
        <x:v>纯金币</x:v>
      </x:c>
      <x:c r="X99" s="17" t="str">
        <x:v>是</x:v>
      </x:c>
      <x:c r="Y99" s="17" t="str">
        <x:v>否</x:v>
      </x:c>
      <x:c r="Z99" s="17" t="str">
        <x:v>未知</x:v>
      </x:c>
      <x:c r="AA99" s="17" t="str">
        <x:v>未知</x:v>
      </x:c>
      <x:c r="AB99" s="17" t="str">
        <x:v>否</x:v>
      </x:c>
    </x:row>
    <x:row r="100">
      <x:c r="A100" s="17" t="str">
        <x:v>TT_NEW_06</x:v>
      </x:c>
      <x:c r="B100" s="17" t="str">
        <x:v>TT_NEW_06_S0008</x:v>
      </x:c>
      <x:c r="C100" s="17" t="str">
        <x:v>00:02:15</x:v>
      </x:c>
      <x:c r="D100" s="17" t="n">
        <x:v>135</x:v>
      </x:c>
      <x:c r="E100" s="17" t="n">
        <x:v>1</x:v>
      </x:c>
      <x:c r="F100" s="17" t="n">
        <x:v>5</x:v>
      </x:c>
      <x:c r="G100" s="17" t="n">
        <x:v>124</x:v>
      </x:c>
      <x:c r="H100" s="17" t="n">
        <x:v>119</x:v>
      </x:c>
      <x:c r="I100" s="17" t="n">
        <x:v>5</x:v>
      </x:c>
      <x:c r="J100" s="17" t="n">
        <x:v>1031</x:v>
      </x:c>
      <x:c r="K100" s="17" t="n">
        <x:v>263102</x:v>
      </x:c>
      <x:c r="L100" s="17" t="n">
        <x:v>281902</x:v>
      </x:c>
      <x:c r="M100" s="17" t="n">
        <x:v>18800</x:v>
      </x:c>
      <x:c r="N100" s="17" t="n">
        <x:v>5</x:v>
      </x:c>
      <x:c r="O100" s="17" t="n">
        <x:v>55</x:v>
      </x:c>
      <x:c r="P100" s="17" t="n">
        <x:v>50</x:v>
      </x:c>
      <x:c r="Q100" s="17" t="str">
        <x:v>Attack + Energy + Progress</x:v>
      </x:c>
      <x:c r="R100" s="18" t="str">
        <x:v>/Users/mac/Documents/智囊团/video_analysis/Top_Tycoon新号流程_20260804/frames/TT_NEW_06/TT_NEW_06_t000135.jpg</x:v>
      </x:c>
      <x:c r="S100" s="17" t="str">
        <x:v>00:02:39</x:v>
      </x:c>
      <x:c r="T100" s="17" t="str">
        <x:v>待复核</x:v>
      </x:c>
      <x:c r="U100" s="17" t="str">
        <x:v>B</x:v>
      </x:c>
      <x:c r="V100" s="17" t="str">
        <x:v>由逐秒能量变化推断；快速自动Spin可能需4fps补核</x:v>
      </x:c>
      <x:c r="W100" s="17" t="str">
        <x:v>Attack</x:v>
      </x:c>
      <x:c r="X100" s="17" t="str">
        <x:v>是</x:v>
      </x:c>
      <x:c r="Y100" s="17" t="str">
        <x:v>否</x:v>
      </x:c>
      <x:c r="Z100" s="17" t="str">
        <x:v>未知</x:v>
      </x:c>
      <x:c r="AA100" s="17" t="str">
        <x:v>未知</x:v>
      </x:c>
      <x:c r="AB100" s="17" t="str">
        <x:v>否</x:v>
      </x:c>
    </x:row>
    <x:row r="101">
      <x:c r="A101" s="17" t="str">
        <x:v>TT_NEW_06</x:v>
      </x:c>
      <x:c r="B101" s="17" t="str">
        <x:v>TT_NEW_06_S0009</x:v>
      </x:c>
      <x:c r="C101" s="17" t="str">
        <x:v>00:02:39</x:v>
      </x:c>
      <x:c r="D101" s="17" t="n">
        <x:v>159</x:v>
      </x:c>
      <x:c r="E101" s="17" t="n">
        <x:v>1</x:v>
      </x:c>
      <x:c r="F101" s="17" t="n">
        <x:v>5</x:v>
      </x:c>
      <x:c r="G101" s="17" t="n">
        <x:v>119</x:v>
      </x:c>
      <x:c r="H101" s="17" t="n">
        <x:v>114</x:v>
      </x:c>
      <x:c r="I101" s="17" t="n">
        <x:v>5</x:v>
      </x:c>
      <x:c r="J101" s="17" t="n">
        <x:v>0</x:v>
      </x:c>
      <x:c r="K101" s="17" t="n">
        <x:v>281902</x:v>
      </x:c>
      <x:c r="L101" s="17" t="n">
        <x:v>306902</x:v>
      </x:c>
      <x:c r="M101" s="17" t="n">
        <x:v>25000</x:v>
      </x:c>
      <x:c r="N101" s="17" t="n">
        <x:v>55</x:v>
      </x:c>
      <x:c r="O101" s="17" t="n">
        <x:v>55</x:v>
      </x:c>
      <x:c r="P101" s="17" t="n">
        <x:v>0</x:v>
      </x:c>
      <x:c r="Q101" s="17" t="str">
        <x:v>Attack</x:v>
      </x:c>
      <x:c r="R101" s="18" t="str">
        <x:v>/Users/mac/Documents/智囊团/video_analysis/Top_Tycoon新号流程_20260804/frames/TT_NEW_06/TT_NEW_06_t000159.jpg</x:v>
      </x:c>
      <x:c r="S101" s="17" t="str">
        <x:v>00:02:44</x:v>
      </x:c>
      <x:c r="T101" s="17" t="str">
        <x:v>待复核</x:v>
      </x:c>
      <x:c r="U101" s="17" t="str">
        <x:v>B</x:v>
      </x:c>
      <x:c r="V101" s="17" t="str">
        <x:v>由逐秒能量变化推断；快速自动Spin可能需4fps补核</x:v>
      </x:c>
      <x:c r="W101" s="17" t="str">
        <x:v>Attack</x:v>
      </x:c>
      <x:c r="X101" s="17" t="str">
        <x:v>是</x:v>
      </x:c>
      <x:c r="Y101" s="17" t="str">
        <x:v>否</x:v>
      </x:c>
      <x:c r="Z101" s="17" t="str">
        <x:v>未知</x:v>
      </x:c>
      <x:c r="AA101" s="17" t="str">
        <x:v>未知</x:v>
      </x:c>
      <x:c r="AB101" s="17" t="str">
        <x:v>否</x:v>
      </x:c>
    </x:row>
    <x:row r="102">
      <x:c r="A102" s="17" t="str">
        <x:v>TT_NEW_06</x:v>
      </x:c>
      <x:c r="B102" s="17" t="str">
        <x:v>TT_NEW_06_S0010</x:v>
      </x:c>
      <x:c r="C102" s="17" t="str">
        <x:v>00:02:44</x:v>
      </x:c>
      <x:c r="D102" s="17" t="n">
        <x:v>164</x:v>
      </x:c>
      <x:c r="E102" s="17" t="n">
        <x:v>1</x:v>
      </x:c>
      <x:c r="F102" s="17" t="n">
        <x:v>5</x:v>
      </x:c>
      <x:c r="G102" s="17" t="n">
        <x:v>109</x:v>
      </x:c>
      <x:c r="H102" s="17" t="n">
        <x:v>104</x:v>
      </x:c>
      <x:c r="I102" s="17" t="n">
        <x:v>5</x:v>
      </x:c>
      <x:c r="J102" s="17" t="n">
        <x:v>0</x:v>
      </x:c>
      <x:c r="K102" s="17" t="n">
        <x:v>306902</x:v>
      </x:c>
      <x:c r="L102" s="17" t="n">
        <x:v>311060</x:v>
      </x:c>
      <x:c r="M102" s="17" t="n">
        <x:v>4158</x:v>
      </x:c>
      <x:c r="N102" s="17" t="n">
        <x:v>55</x:v>
      </x:c>
      <x:c r="O102" s="17" t="n">
        <x:v>65</x:v>
      </x:c>
      <x:c r="P102" s="17" t="n">
        <x:v>10</x:v>
      </x:c>
      <x:c r="Q102" s="17" t="str">
        <x:v>Coin + Progress</x:v>
      </x:c>
      <x:c r="R102" s="18" t="str">
        <x:v>/Users/mac/Documents/智囊团/video_analysis/Top_Tycoon新号流程_20260804/frames/TT_NEW_06/TT_NEW_06_t000164.jpg</x:v>
      </x:c>
      <x:c r="S102" s="17" t="str">
        <x:v>00:02:48</x:v>
      </x:c>
      <x:c r="T102" s="17" t="str">
        <x:v>待复核</x:v>
      </x:c>
      <x:c r="U102" s="17" t="str">
        <x:v>B</x:v>
      </x:c>
      <x:c r="V102" s="17" t="str">
        <x:v>由逐秒能量变化推断；快速自动Spin可能需4fps补核</x:v>
      </x:c>
      <x:c r="W102" s="17" t="str">
        <x:v>混合奖励</x:v>
      </x:c>
      <x:c r="X102" s="17" t="str">
        <x:v>是</x:v>
      </x:c>
      <x:c r="Y102" s="17" t="str">
        <x:v>否</x:v>
      </x:c>
      <x:c r="Z102" s="17" t="str">
        <x:v>未知</x:v>
      </x:c>
      <x:c r="AA102" s="17" t="str">
        <x:v>未知</x:v>
      </x:c>
      <x:c r="AB102" s="17" t="str">
        <x:v>否</x:v>
      </x:c>
    </x:row>
    <x:row r="103">
      <x:c r="A103" s="17" t="str">
        <x:v>TT_NEW_06</x:v>
      </x:c>
      <x:c r="B103" s="17" t="str">
        <x:v>TT_NEW_06_S0011</x:v>
      </x:c>
      <x:c r="C103" s="17" t="str">
        <x:v>00:02:48</x:v>
      </x:c>
      <x:c r="D103" s="17" t="n">
        <x:v>168</x:v>
      </x:c>
      <x:c r="E103" s="17" t="n">
        <x:v>1</x:v>
      </x:c>
      <x:c r="F103" s="17" t="n">
        <x:v>5</x:v>
      </x:c>
      <x:c r="G103" s="17" t="n">
        <x:v>104</x:v>
      </x:c>
      <x:c r="H103" s="17" t="n">
        <x:v>99</x:v>
      </x:c>
      <x:c r="I103" s="17" t="n">
        <x:v>5</x:v>
      </x:c>
      <x:c r="J103" s="17" t="n">
        <x:v>0</x:v>
      </x:c>
      <x:c r="K103" s="17" t="n">
        <x:v>306902</x:v>
      </x:c>
      <x:c r="L103" s="17" t="n">
        <x:v>311902</x:v>
      </x:c>
      <x:c r="M103" s="17" t="n">
        <x:v>5000</x:v>
      </x:c>
      <x:c r="N103" s="17" t="n">
        <x:v>55</x:v>
      </x:c>
      <x:c r="O103" s="17" t="n">
        <x:v>65</x:v>
      </x:c>
      <x:c r="P103" s="17" t="n">
        <x:v>10</x:v>
      </x:c>
      <x:c r="Q103" s="17" t="str">
        <x:v>Coin + Progress</x:v>
      </x:c>
      <x:c r="R103" s="18" t="str">
        <x:v>/Users/mac/Documents/智囊团/video_analysis/Top_Tycoon新号流程_20260804/frames/TT_NEW_06/TT_NEW_06_t000168.jpg</x:v>
      </x:c>
      <x:c r="S103" s="17" t="str">
        <x:v>00:02:51</x:v>
      </x:c>
      <x:c r="T103" s="17" t="str">
        <x:v>待复核</x:v>
      </x:c>
      <x:c r="U103" s="17" t="str">
        <x:v>B</x:v>
      </x:c>
      <x:c r="V103" s="17" t="str">
        <x:v>由逐秒能量变化推断；快速自动Spin可能需4fps补核</x:v>
      </x:c>
      <x:c r="W103" s="17" t="str">
        <x:v>混合奖励</x:v>
      </x:c>
      <x:c r="X103" s="17" t="str">
        <x:v>是</x:v>
      </x:c>
      <x:c r="Y103" s="17" t="str">
        <x:v>否</x:v>
      </x:c>
      <x:c r="Z103" s="17" t="str">
        <x:v>未知</x:v>
      </x:c>
      <x:c r="AA103" s="17" t="str">
        <x:v>未知</x:v>
      </x:c>
      <x:c r="AB103" s="17" t="str">
        <x:v>否</x:v>
      </x:c>
    </x:row>
    <x:row r="104">
      <x:c r="A104" s="17" t="str">
        <x:v>TT_NEW_06</x:v>
      </x:c>
      <x:c r="B104" s="17" t="str">
        <x:v>TT_NEW_06_S0012</x:v>
      </x:c>
      <x:c r="C104" s="17" t="str">
        <x:v>00:02:51</x:v>
      </x:c>
      <x:c r="D104" s="17" t="n">
        <x:v>171</x:v>
      </x:c>
      <x:c r="E104" s="17" t="n">
        <x:v>1</x:v>
      </x:c>
      <x:c r="F104" s="17" t="n">
        <x:v>5</x:v>
      </x:c>
      <x:c r="G104" s="17" t="n">
        <x:v>99</x:v>
      </x:c>
      <x:c r="H104" s="17" t="n">
        <x:v>94</x:v>
      </x:c>
      <x:c r="I104" s="17" t="n">
        <x:v>5</x:v>
      </x:c>
      <x:c r="J104" s="17" t="n">
        <x:v>0</x:v>
      </x:c>
      <x:c r="K104" s="17" t="n">
        <x:v>311902</x:v>
      </x:c>
      <x:c r="L104" s="17" t="n">
        <x:v>311902</x:v>
      </x:c>
      <x:c r="M104" s="17" t="n">
        <x:v>0</x:v>
      </x:c>
      <x:c r="N104" s="17" t="n">
        <x:v>65</x:v>
      </x:c>
      <x:c r="O104" s="17" t="n">
        <x:v>75</x:v>
      </x:c>
      <x:c r="P104" s="17" t="n">
        <x:v>10</x:v>
      </x:c>
      <x:c r="Q104" s="17" t="str">
        <x:v>Progress</x:v>
      </x:c>
      <x:c r="R104" s="18" t="str">
        <x:v>/Users/mac/Documents/智囊团/video_analysis/Top_Tycoon新号流程_20260804/frames/TT_NEW_06/TT_NEW_06_t000171.jpg</x:v>
      </x:c>
      <x:c r="S104" s="17" t="str">
        <x:v>00:02:55</x:v>
      </x:c>
      <x:c r="T104" s="17" t="str">
        <x:v>待复核</x:v>
      </x:c>
      <x:c r="U104" s="17" t="str">
        <x:v>B</x:v>
      </x:c>
      <x:c r="V104" s="17" t="str">
        <x:v>由逐秒能量变化推断；快速自动Spin可能需4fps补核</x:v>
      </x:c>
      <x:c r="W104" s="17" t="str">
        <x:v>纯进度</x:v>
      </x:c>
      <x:c r="X104" s="17" t="str">
        <x:v>是</x:v>
      </x:c>
      <x:c r="Y104" s="17" t="str">
        <x:v>否</x:v>
      </x:c>
      <x:c r="Z104" s="17" t="str">
        <x:v>未知</x:v>
      </x:c>
      <x:c r="AA104" s="17" t="str">
        <x:v>未知</x:v>
      </x:c>
      <x:c r="AB104" s="17" t="str">
        <x:v>否</x:v>
      </x:c>
    </x:row>
    <x:row r="105">
      <x:c r="A105" s="17" t="str">
        <x:v>TT_NEW_06</x:v>
      </x:c>
      <x:c r="B105" s="17" t="str">
        <x:v>TT_NEW_06_S0013</x:v>
      </x:c>
      <x:c r="C105" s="17" t="str">
        <x:v>00:02:55</x:v>
      </x:c>
      <x:c r="D105" s="17" t="n">
        <x:v>175</x:v>
      </x:c>
      <x:c r="E105" s="17" t="n">
        <x:v>1</x:v>
      </x:c>
      <x:c r="F105" s="17" t="n">
        <x:v>5</x:v>
      </x:c>
      <x:c r="G105" s="17" t="n">
        <x:v>94</x:v>
      </x:c>
      <x:c r="H105" s="17" t="n">
        <x:v>89</x:v>
      </x:c>
      <x:c r="I105" s="17" t="n">
        <x:v>5</x:v>
      </x:c>
      <x:c r="J105" s="17" t="n">
        <x:v>0</x:v>
      </x:c>
      <x:c r="K105" s="17" t="n">
        <x:v>311902</x:v>
      </x:c>
      <x:c r="L105" s="17" t="n">
        <x:v>364402</x:v>
      </x:c>
      <x:c r="M105" s="17" t="n">
        <x:v>52500</x:v>
      </x:c>
      <x:c r="N105" s="17" t="n">
        <x:v>75</x:v>
      </x:c>
      <x:c r="O105" s="17" t="n">
        <x:v>75</x:v>
      </x:c>
      <x:c r="P105" s="17" t="n">
        <x:v>0</x:v>
      </x:c>
      <x:c r="Q105" s="17" t="str">
        <x:v>Coin</x:v>
      </x:c>
      <x:c r="R105" s="18" t="str">
        <x:v>/Users/mac/Documents/智囊团/video_analysis/Top_Tycoon新号流程_20260804/frames/TT_NEW_06/TT_NEW_06_t000175.jpg</x:v>
      </x:c>
      <x:c r="S105" s="17" t="str">
        <x:v>00:03:01</x:v>
      </x:c>
      <x:c r="T105" s="17" t="str">
        <x:v>待复核</x:v>
      </x:c>
      <x:c r="U105" s="17" t="str">
        <x:v>B</x:v>
      </x:c>
      <x:c r="V105" s="17" t="str">
        <x:v>由逐秒能量变化推断；快速自动Spin可能需4fps补核</x:v>
      </x:c>
      <x:c r="W105" s="17" t="str">
        <x:v>纯金币</x:v>
      </x:c>
      <x:c r="X105" s="17" t="str">
        <x:v>是</x:v>
      </x:c>
      <x:c r="Y105" s="17" t="str">
        <x:v>否</x:v>
      </x:c>
      <x:c r="Z105" s="17" t="str">
        <x:v>未知</x:v>
      </x:c>
      <x:c r="AA105" s="17" t="str">
        <x:v>未知</x:v>
      </x:c>
      <x:c r="AB105" s="17" t="str">
        <x:v>否</x:v>
      </x:c>
    </x:row>
    <x:row r="106">
      <x:c r="A106" s="17" t="str">
        <x:v>TT_NEW_06</x:v>
      </x:c>
      <x:c r="B106" s="17" t="str">
        <x:v>TT_NEW_06_S0014</x:v>
      </x:c>
      <x:c r="C106" s="17" t="str">
        <x:v>00:03:01</x:v>
      </x:c>
      <x:c r="D106" s="17" t="n">
        <x:v>181</x:v>
      </x:c>
      <x:c r="E106" s="17" t="n">
        <x:v>1</x:v>
      </x:c>
      <x:c r="F106" s="17" t="n">
        <x:v>5</x:v>
      </x:c>
      <x:c r="G106" s="17" t="n">
        <x:v>84</x:v>
      </x:c>
      <x:c r="H106" s="17" t="n">
        <x:v>79</x:v>
      </x:c>
      <x:c r="I106" s="17" t="n">
        <x:v>5</x:v>
      </x:c>
      <x:c r="J106" s="17" t="n">
        <x:v>0</x:v>
      </x:c>
      <x:c r="K106" s="17" t="n">
        <x:v>362234</x:v>
      </x:c>
      <x:c r="L106" s="17" t="n">
        <x:v>366902</x:v>
      </x:c>
      <x:c r="M106" s="17" t="n">
        <x:v>4668</x:v>
      </x:c>
      <x:c r="N106" s="17" t="n">
        <x:v>75</x:v>
      </x:c>
      <x:c r="O106" s="17" t="n">
        <x:v>95</x:v>
      </x:c>
      <x:c r="P106" s="17" t="n">
        <x:v>20</x:v>
      </x:c>
      <x:c r="Q106" s="17" t="str">
        <x:v>Coin + Progress</x:v>
      </x:c>
      <x:c r="R106" s="18" t="str">
        <x:v>/Users/mac/Documents/智囊团/video_analysis/Top_Tycoon新号流程_20260804/frames/TT_NEW_06/TT_NEW_06_t000181.jpg</x:v>
      </x:c>
      <x:c r="S106" s="17" t="str">
        <x:v>00:03:06</x:v>
      </x:c>
      <x:c r="T106" s="17" t="str">
        <x:v>待复核</x:v>
      </x:c>
      <x:c r="U106" s="17" t="str">
        <x:v>B</x:v>
      </x:c>
      <x:c r="V106" s="17" t="str">
        <x:v>由逐秒能量变化推断；快速自动Spin可能需4fps补核</x:v>
      </x:c>
      <x:c r="W106" s="17" t="str">
        <x:v>混合奖励</x:v>
      </x:c>
      <x:c r="X106" s="17" t="str">
        <x:v>是</x:v>
      </x:c>
      <x:c r="Y106" s="17" t="str">
        <x:v>否</x:v>
      </x:c>
      <x:c r="Z106" s="17" t="str">
        <x:v>未知</x:v>
      </x:c>
      <x:c r="AA106" s="17" t="str">
        <x:v>未知</x:v>
      </x:c>
      <x:c r="AB106" s="17" t="str">
        <x:v>否</x:v>
      </x:c>
    </x:row>
    <x:row r="107">
      <x:c r="A107" s="17" t="str">
        <x:v>TT_NEW_06</x:v>
      </x:c>
      <x:c r="B107" s="17" t="str">
        <x:v>TT_NEW_06_S0015</x:v>
      </x:c>
      <x:c r="C107" s="17" t="str">
        <x:v>00:03:06</x:v>
      </x:c>
      <x:c r="D107" s="17" t="n">
        <x:v>186</x:v>
      </x:c>
      <x:c r="E107" s="17" t="n">
        <x:v>1</x:v>
      </x:c>
      <x:c r="F107" s="17" t="n">
        <x:v>5</x:v>
      </x:c>
      <x:c r="G107" s="17" t="n">
        <x:v>79</x:v>
      </x:c>
      <x:c r="H107" s="17" t="n">
        <x:v>74</x:v>
      </x:c>
      <x:c r="I107" s="17" t="n">
        <x:v>5</x:v>
      </x:c>
      <x:c r="J107" s="17" t="n">
        <x:v>0</x:v>
      </x:c>
      <x:c r="K107" s="17" t="n">
        <x:v>365567</x:v>
      </x:c>
      <x:c r="L107" s="17" t="n">
        <x:v>367902</x:v>
      </x:c>
      <x:c r="M107" s="17" t="n">
        <x:v>2335</x:v>
      </x:c>
      <x:c r="N107" s="17" t="n">
        <x:v>95</x:v>
      </x:c>
      <x:c r="O107" s="17" t="n">
        <x:v>95</x:v>
      </x:c>
      <x:c r="P107" s="17" t="n">
        <x:v>0</x:v>
      </x:c>
      <x:c r="Q107" s="17" t="str">
        <x:v>Coin</x:v>
      </x:c>
      <x:c r="R107" s="18" t="str">
        <x:v>/Users/mac/Documents/智囊团/video_analysis/Top_Tycoon新号流程_20260804/frames/TT_NEW_06/TT_NEW_06_t000186.jpg</x:v>
      </x:c>
      <x:c r="S107" s="17" t="str">
        <x:v>00:03:09</x:v>
      </x:c>
      <x:c r="T107" s="17" t="str">
        <x:v>待复核</x:v>
      </x:c>
      <x:c r="U107" s="17" t="str">
        <x:v>B</x:v>
      </x:c>
      <x:c r="V107" s="17" t="str">
        <x:v>由逐秒能量变化推断；快速自动Spin可能需4fps补核</x:v>
      </x:c>
      <x:c r="W107" s="17" t="str">
        <x:v>纯金币</x:v>
      </x:c>
      <x:c r="X107" s="17" t="str">
        <x:v>是</x:v>
      </x:c>
      <x:c r="Y107" s="17" t="str">
        <x:v>否</x:v>
      </x:c>
      <x:c r="Z107" s="17" t="str">
        <x:v>未知</x:v>
      </x:c>
      <x:c r="AA107" s="17" t="str">
        <x:v>未知</x:v>
      </x:c>
      <x:c r="AB107" s="17" t="str">
        <x:v>否</x:v>
      </x:c>
    </x:row>
    <x:row r="108">
      <x:c r="A108" s="17" t="str">
        <x:v>TT_NEW_06</x:v>
      </x:c>
      <x:c r="B108" s="17" t="str">
        <x:v>TT_NEW_06_S0016</x:v>
      </x:c>
      <x:c r="C108" s="17" t="str">
        <x:v>00:03:09</x:v>
      </x:c>
      <x:c r="D108" s="17" t="n">
        <x:v>189</x:v>
      </x:c>
      <x:c r="E108" s="17" t="n">
        <x:v>1</x:v>
      </x:c>
      <x:c r="F108" s="17" t="n">
        <x:v>5</x:v>
      </x:c>
      <x:c r="G108" s="17" t="n">
        <x:v>74</x:v>
      </x:c>
      <x:c r="H108" s="17" t="n">
        <x:v>69</x:v>
      </x:c>
      <x:c r="I108" s="17" t="n">
        <x:v>5</x:v>
      </x:c>
      <x:c r="J108" s="17" t="n">
        <x:v>0</x:v>
      </x:c>
      <x:c r="K108" s="17" t="n">
        <x:v>367068</x:v>
      </x:c>
      <x:c r="L108" s="17" t="n">
        <x:v>419602</x:v>
      </x:c>
      <x:c r="M108" s="17" t="n">
        <x:v>52534</x:v>
      </x:c>
      <x:c r="N108" s="17" t="n">
        <x:v>95</x:v>
      </x:c>
      <x:c r="O108" s="17" t="n">
        <x:v>95</x:v>
      </x:c>
      <x:c r="P108" s="17" t="n">
        <x:v>0</x:v>
      </x:c>
      <x:c r="Q108" s="17" t="str">
        <x:v>Coin</x:v>
      </x:c>
      <x:c r="R108" s="18" t="str">
        <x:v>/Users/mac/Documents/智囊团/video_analysis/Top_Tycoon新号流程_20260804/frames/TT_NEW_06/TT_NEW_06_t000189.jpg</x:v>
      </x:c>
      <x:c r="S108" s="17" t="str">
        <x:v>00:03:15</x:v>
      </x:c>
      <x:c r="T108" s="17" t="str">
        <x:v>待复核</x:v>
      </x:c>
      <x:c r="U108" s="17" t="str">
        <x:v>B</x:v>
      </x:c>
      <x:c r="V108" s="17" t="str">
        <x:v>由逐秒能量变化推断；快速自动Spin可能需4fps补核</x:v>
      </x:c>
      <x:c r="W108" s="17" t="str">
        <x:v>纯金币</x:v>
      </x:c>
      <x:c r="X108" s="17" t="str">
        <x:v>是</x:v>
      </x:c>
      <x:c r="Y108" s="17" t="str">
        <x:v>否</x:v>
      </x:c>
      <x:c r="Z108" s="17" t="str">
        <x:v>未知</x:v>
      </x:c>
      <x:c r="AA108" s="17" t="str">
        <x:v>未知</x:v>
      </x:c>
      <x:c r="AB108" s="17" t="str">
        <x:v>否</x:v>
      </x:c>
    </x:row>
    <x:row r="109">
      <x:c r="A109" s="17" t="str">
        <x:v>TT_NEW_06</x:v>
      </x:c>
      <x:c r="B109" s="17" t="str">
        <x:v>TT_NEW_06_S0017</x:v>
      </x:c>
      <x:c r="C109" s="17" t="str">
        <x:v>00:03:15</x:v>
      </x:c>
      <x:c r="D109" s="17" t="n">
        <x:v>195</x:v>
      </x:c>
      <x:c r="E109" s="17" t="n">
        <x:v>1</x:v>
      </x:c>
      <x:c r="F109" s="17" t="n">
        <x:v>5</x:v>
      </x:c>
      <x:c r="G109" s="17" t="n">
        <x:v>69</x:v>
      </x:c>
      <x:c r="H109" s="17" t="n">
        <x:v>64</x:v>
      </x:c>
      <x:c r="I109" s="17" t="n">
        <x:v>5</x:v>
      </x:c>
      <x:c r="J109" s="17" t="n">
        <x:v>0</x:v>
      </x:c>
      <x:c r="K109" s="17" t="n">
        <x:v>419602</x:v>
      </x:c>
      <x:c r="L109" s="17" t="n">
        <x:v>430602</x:v>
      </x:c>
      <x:c r="M109" s="17" t="n">
        <x:v>11000</x:v>
      </x:c>
      <x:c r="N109" s="17" t="n">
        <x:v>95</x:v>
      </x:c>
      <x:c r="O109" s="17" t="n">
        <x:v>105</x:v>
      </x:c>
      <x:c r="P109" s="17" t="n">
        <x:v>10</x:v>
      </x:c>
      <x:c r="Q109" s="17" t="str">
        <x:v>Coin + Progress</x:v>
      </x:c>
      <x:c r="R109" s="18" t="str">
        <x:v>/Users/mac/Documents/智囊团/video_analysis/Top_Tycoon新号流程_20260804/frames/TT_NEW_06/TT_NEW_06_t000195.jpg</x:v>
      </x:c>
      <x:c r="S109" s="17" t="str">
        <x:v>00:03:24</x:v>
      </x:c>
      <x:c r="T109" s="17" t="str">
        <x:v>待复核</x:v>
      </x:c>
      <x:c r="U109" s="17" t="str">
        <x:v>B</x:v>
      </x:c>
      <x:c r="V109" s="17" t="str">
        <x:v>由逐秒能量变化推断；快速自动Spin可能需4fps补核</x:v>
      </x:c>
      <x:c r="W109" s="17" t="str">
        <x:v>混合奖励</x:v>
      </x:c>
      <x:c r="X109" s="17" t="str">
        <x:v>是</x:v>
      </x:c>
      <x:c r="Y109" s="17" t="str">
        <x:v>否</x:v>
      </x:c>
      <x:c r="Z109" s="17" t="str">
        <x:v>未知</x:v>
      </x:c>
      <x:c r="AA109" s="17" t="str">
        <x:v>未知</x:v>
      </x:c>
      <x:c r="AB109" s="17" t="str">
        <x:v>否</x:v>
      </x:c>
    </x:row>
    <x:row r="110">
      <x:c r="A110" s="17" t="str">
        <x:v>TT_NEW_06</x:v>
      </x:c>
      <x:c r="B110" s="17" t="str">
        <x:v>TT_NEW_06_S0018</x:v>
      </x:c>
      <x:c r="C110" s="17" t="str">
        <x:v>00:03:24</x:v>
      </x:c>
      <x:c r="D110" s="17" t="n">
        <x:v>204</x:v>
      </x:c>
      <x:c r="E110" s="17" t="n">
        <x:v>1</x:v>
      </x:c>
      <x:c r="F110" s="17" t="n">
        <x:v>5</x:v>
      </x:c>
      <x:c r="G110" s="17" t="n">
        <x:v>54</x:v>
      </x:c>
      <x:c r="H110" s="17" t="n">
        <x:v>49</x:v>
      </x:c>
      <x:c r="I110" s="17" t="n">
        <x:v>5</x:v>
      </x:c>
      <x:c r="J110" s="17" t="n">
        <x:v>0</x:v>
      </x:c>
      <x:c r="K110" s="17" t="n">
        <x:v>428102</x:v>
      </x:c>
      <x:c r="L110" s="17" t="n">
        <x:v>435602</x:v>
      </x:c>
      <x:c r="M110" s="17" t="n">
        <x:v>7500</x:v>
      </x:c>
      <x:c r="N110" s="17" t="n">
        <x:v>105</x:v>
      </x:c>
      <x:c r="O110" s="17" t="n">
        <x:v>105</x:v>
      </x:c>
      <x:c r="P110" s="17" t="n">
        <x:v>0</x:v>
      </x:c>
      <x:c r="Q110" s="17" t="str">
        <x:v>Coin</x:v>
      </x:c>
      <x:c r="R110" s="18" t="str">
        <x:v>/Users/mac/Documents/智囊团/video_analysis/Top_Tycoon新号流程_20260804/frames/TT_NEW_06/TT_NEW_06_t000204.jpg</x:v>
      </x:c>
      <x:c r="S110" s="17" t="str">
        <x:v>00:03:26</x:v>
      </x:c>
      <x:c r="T110" s="17" t="str">
        <x:v>待复核</x:v>
      </x:c>
      <x:c r="U110" s="17" t="str">
        <x:v>B</x:v>
      </x:c>
      <x:c r="V110" s="17" t="str">
        <x:v>由逐秒能量变化推断；快速自动Spin可能需4fps补核</x:v>
      </x:c>
      <x:c r="W110" s="17" t="str">
        <x:v>纯金币</x:v>
      </x:c>
      <x:c r="X110" s="17" t="str">
        <x:v>是</x:v>
      </x:c>
      <x:c r="Y110" s="17" t="str">
        <x:v>否</x:v>
      </x:c>
      <x:c r="Z110" s="17" t="str">
        <x:v>未知</x:v>
      </x:c>
      <x:c r="AA110" s="17" t="str">
        <x:v>未知</x:v>
      </x:c>
      <x:c r="AB110" s="17" t="str">
        <x:v>否</x:v>
      </x:c>
    </x:row>
    <x:row r="111">
      <x:c r="A111" s="17" t="str">
        <x:v>TT_NEW_06</x:v>
      </x:c>
      <x:c r="B111" s="17" t="str">
        <x:v>TT_NEW_06_S0019</x:v>
      </x:c>
      <x:c r="C111" s="17" t="str">
        <x:v>00:03:26</x:v>
      </x:c>
      <x:c r="D111" s="17" t="n">
        <x:v>206</x:v>
      </x:c>
      <x:c r="E111" s="17" t="n">
        <x:v>1</x:v>
      </x:c>
      <x:c r="F111" s="17" t="n">
        <x:v>5</x:v>
      </x:c>
      <x:c r="G111" s="17" t="n">
        <x:v>49</x:v>
      </x:c>
      <x:c r="H111" s="17" t="n">
        <x:v>44</x:v>
      </x:c>
      <x:c r="I111" s="17" t="n">
        <x:v>5</x:v>
      </x:c>
      <x:c r="J111" s="17" t="n">
        <x:v>0</x:v>
      </x:c>
      <x:c r="K111" s="17" t="n">
        <x:v>430602</x:v>
      </x:c>
      <x:c r="L111" s="17" t="n">
        <x:v>438102</x:v>
      </x:c>
      <x:c r="M111" s="17" t="n">
        <x:v>7500</x:v>
      </x:c>
      <x:c r="N111" s="17" t="n">
        <x:v>5</x:v>
      </x:c>
      <x:c r="O111" s="17" t="n">
        <x:v>105</x:v>
      </x:c>
      <x:c r="P111" s="17" t="n">
        <x:v>100</x:v>
      </x:c>
      <x:c r="Q111" s="17" t="str">
        <x:v>Coin + Progress</x:v>
      </x:c>
      <x:c r="R111" s="18" t="str">
        <x:v>/Users/mac/Documents/智囊团/video_analysis/Top_Tycoon新号流程_20260804/frames/TT_NEW_06/TT_NEW_06_t000206.jpg</x:v>
      </x:c>
      <x:c r="S111" s="17" t="str">
        <x:v>00:03:33</x:v>
      </x:c>
      <x:c r="T111" s="17" t="str">
        <x:v>待复核</x:v>
      </x:c>
      <x:c r="U111" s="17" t="str">
        <x:v>B</x:v>
      </x:c>
      <x:c r="V111" s="17" t="str">
        <x:v>由逐秒能量变化推断；快速自动Spin可能需4fps补核</x:v>
      </x:c>
      <x:c r="W111" s="17" t="str">
        <x:v>混合奖励</x:v>
      </x:c>
      <x:c r="X111" s="17" t="str">
        <x:v>是</x:v>
      </x:c>
      <x:c r="Y111" s="17" t="str">
        <x:v>否</x:v>
      </x:c>
      <x:c r="Z111" s="17" t="str">
        <x:v>未知</x:v>
      </x:c>
      <x:c r="AA111" s="17" t="str">
        <x:v>未知</x:v>
      </x:c>
      <x:c r="AB111" s="17" t="str">
        <x:v>否</x:v>
      </x:c>
    </x:row>
    <x:row r="112">
      <x:c r="A112" s="17" t="str">
        <x:v>TT_NEW_06</x:v>
      </x:c>
      <x:c r="B112" s="17" t="str">
        <x:v>TT_NEW_06_S0020</x:v>
      </x:c>
      <x:c r="C112" s="17" t="str">
        <x:v>00:03:33</x:v>
      </x:c>
      <x:c r="D112" s="17" t="n">
        <x:v>213</x:v>
      </x:c>
      <x:c r="E112" s="17" t="n">
        <x:v>1</x:v>
      </x:c>
      <x:c r="F112" s="17" t="n">
        <x:v>5</x:v>
      </x:c>
      <x:c r="G112" s="17" t="n">
        <x:v>44</x:v>
      </x:c>
      <x:c r="H112" s="17" t="n">
        <x:v>39</x:v>
      </x:c>
      <x:c r="I112" s="17" t="n">
        <x:v>5</x:v>
      </x:c>
      <x:c r="J112" s="17" t="n">
        <x:v>0</x:v>
      </x:c>
      <x:c r="K112" s="17" t="n">
        <x:v>438102</x:v>
      </x:c>
      <x:c r="L112" s="17" t="n">
        <x:v>463102</x:v>
      </x:c>
      <x:c r="M112" s="17" t="n">
        <x:v>25000</x:v>
      </x:c>
      <x:c r="N112" s="17" t="n">
        <x:v>105</x:v>
      </x:c>
      <x:c r="O112" s="17" t="n">
        <x:v>105</x:v>
      </x:c>
      <x:c r="P112" s="17" t="n">
        <x:v>0</x:v>
      </x:c>
      <x:c r="Q112" s="17" t="str">
        <x:v>Coin</x:v>
      </x:c>
      <x:c r="R112" s="18" t="str">
        <x:v>/Users/mac/Documents/智囊团/video_analysis/Top_Tycoon新号流程_20260804/frames/TT_NEW_06/TT_NEW_06_t000213.jpg</x:v>
      </x:c>
      <x:c r="S112" s="17" t="str">
        <x:v>00:03:36</x:v>
      </x:c>
      <x:c r="T112" s="17" t="str">
        <x:v>待复核</x:v>
      </x:c>
      <x:c r="U112" s="17" t="str">
        <x:v>B</x:v>
      </x:c>
      <x:c r="V112" s="17" t="str">
        <x:v>由逐秒能量变化推断；快速自动Spin可能需4fps补核</x:v>
      </x:c>
      <x:c r="W112" s="17" t="str">
        <x:v>纯金币</x:v>
      </x:c>
      <x:c r="X112" s="17" t="str">
        <x:v>是</x:v>
      </x:c>
      <x:c r="Y112" s="17" t="str">
        <x:v>否</x:v>
      </x:c>
      <x:c r="Z112" s="17" t="str">
        <x:v>未知</x:v>
      </x:c>
      <x:c r="AA112" s="17" t="str">
        <x:v>未知</x:v>
      </x:c>
      <x:c r="AB112" s="17" t="str">
        <x:v>否</x:v>
      </x:c>
    </x:row>
    <x:row r="113">
      <x:c r="A113" s="17" t="str">
        <x:v>TT_NEW_06</x:v>
      </x:c>
      <x:c r="B113" s="17" t="str">
        <x:v>TT_NEW_06_S0021</x:v>
      </x:c>
      <x:c r="C113" s="17" t="str">
        <x:v>00:03:36</x:v>
      </x:c>
      <x:c r="D113" s="17" t="n">
        <x:v>216</x:v>
      </x:c>
      <x:c r="E113" s="17" t="n">
        <x:v>1</x:v>
      </x:c>
      <x:c r="F113" s="17" t="n">
        <x:v>5</x:v>
      </x:c>
      <x:c r="G113" s="17" t="n">
        <x:v>39</x:v>
      </x:c>
      <x:c r="H113" s="17" t="n">
        <x:v>34</x:v>
      </x:c>
      <x:c r="I113" s="17" t="n">
        <x:v>5</x:v>
      </x:c>
      <x:c r="J113" s="17" t="n">
        <x:v>0</x:v>
      </x:c>
      <x:c r="K113" s="17" t="n">
        <x:v>447250</x:v>
      </x:c>
      <x:c r="L113" s="17" t="n">
        <x:v>465602</x:v>
      </x:c>
      <x:c r="M113" s="17" t="n">
        <x:v>18352</x:v>
      </x:c>
      <x:c r="N113" s="17" t="n">
        <x:v>105</x:v>
      </x:c>
      <x:c r="O113" s="17" t="n">
        <x:v>125</x:v>
      </x:c>
      <x:c r="P113" s="17" t="n">
        <x:v>20</x:v>
      </x:c>
      <x:c r="Q113" s="17" t="str">
        <x:v>Coin + Progress</x:v>
      </x:c>
      <x:c r="R113" s="18" t="str">
        <x:v>/Users/mac/Documents/智囊团/video_analysis/Top_Tycoon新号流程_20260804/frames/TT_NEW_06/TT_NEW_06_t000216.jpg</x:v>
      </x:c>
      <x:c r="S113" s="17" t="str">
        <x:v>00:03:41</x:v>
      </x:c>
      <x:c r="T113" s="17" t="str">
        <x:v>待复核</x:v>
      </x:c>
      <x:c r="U113" s="17" t="str">
        <x:v>B</x:v>
      </x:c>
      <x:c r="V113" s="17" t="str">
        <x:v>由逐秒能量变化推断；快速自动Spin可能需4fps补核</x:v>
      </x:c>
      <x:c r="W113" s="17" t="str">
        <x:v>混合奖励</x:v>
      </x:c>
      <x:c r="X113" s="17" t="str">
        <x:v>是</x:v>
      </x:c>
      <x:c r="Y113" s="17" t="str">
        <x:v>否</x:v>
      </x:c>
      <x:c r="Z113" s="17" t="str">
        <x:v>未知</x:v>
      </x:c>
      <x:c r="AA113" s="17" t="str">
        <x:v>未知</x:v>
      </x:c>
      <x:c r="AB113" s="17" t="str">
        <x:v>否</x:v>
      </x:c>
    </x:row>
    <x:row r="114">
      <x:c r="A114" s="17" t="str">
        <x:v>TT_NEW_06</x:v>
      </x:c>
      <x:c r="B114" s="17" t="str">
        <x:v>TT_NEW_06_S0022</x:v>
      </x:c>
      <x:c r="C114" s="17" t="str">
        <x:v>00:03:41</x:v>
      </x:c>
      <x:c r="D114" s="17" t="n">
        <x:v>221</x:v>
      </x:c>
      <x:c r="E114" s="17" t="n">
        <x:v>1</x:v>
      </x:c>
      <x:c r="F114" s="17" t="n">
        <x:v>5</x:v>
      </x:c>
      <x:c r="G114" s="17" t="n">
        <x:v>34</x:v>
      </x:c>
      <x:c r="H114" s="17" t="n">
        <x:v>29</x:v>
      </x:c>
      <x:c r="I114" s="17" t="n">
        <x:v>5</x:v>
      </x:c>
      <x:c r="J114" s="17" t="n">
        <x:v>0</x:v>
      </x:c>
      <x:c r="K114" s="17" t="n">
        <x:v>465015</x:v>
      </x:c>
      <x:c r="L114" s="17" t="n">
        <x:v>465602</x:v>
      </x:c>
      <x:c r="M114" s="17" t="n">
        <x:v>587</x:v>
      </x:c>
      <x:c r="N114" s="17" t="n">
        <x:v>125</x:v>
      </x:c>
      <x:c r="O114" s="17" t="n">
        <x:v>125</x:v>
      </x:c>
      <x:c r="P114" s="17" t="n">
        <x:v>0</x:v>
      </x:c>
      <x:c r="Q114" s="17" t="str">
        <x:v>Coin</x:v>
      </x:c>
      <x:c r="R114" s="18" t="str">
        <x:v>/Users/mac/Documents/智囊团/video_analysis/Top_Tycoon新号流程_20260804/frames/TT_NEW_06/TT_NEW_06_t000221.jpg</x:v>
      </x:c>
      <x:c r="S114" s="17" t="str">
        <x:v>00:03:43</x:v>
      </x:c>
      <x:c r="T114" s="17" t="str">
        <x:v>待复核</x:v>
      </x:c>
      <x:c r="U114" s="17" t="str">
        <x:v>B</x:v>
      </x:c>
      <x:c r="V114" s="17" t="str">
        <x:v>由逐秒能量变化推断；快速自动Spin可能需4fps补核</x:v>
      </x:c>
      <x:c r="W114" s="17" t="str">
        <x:v>纯金币</x:v>
      </x:c>
      <x:c r="X114" s="17" t="str">
        <x:v>是</x:v>
      </x:c>
      <x:c r="Y114" s="17" t="str">
        <x:v>否</x:v>
      </x:c>
      <x:c r="Z114" s="17" t="str">
        <x:v>未知</x:v>
      </x:c>
      <x:c r="AA114" s="17" t="str">
        <x:v>未知</x:v>
      </x:c>
      <x:c r="AB114" s="17" t="str">
        <x:v>否</x:v>
      </x:c>
    </x:row>
    <x:row r="115">
      <x:c r="A115" s="17" t="str">
        <x:v>TT_NEW_06</x:v>
      </x:c>
      <x:c r="B115" s="17" t="str">
        <x:v>TT_NEW_06_S0023</x:v>
      </x:c>
      <x:c r="C115" s="17" t="str">
        <x:v>00:03:43</x:v>
      </x:c>
      <x:c r="D115" s="17" t="n">
        <x:v>223</x:v>
      </x:c>
      <x:c r="E115" s="17" t="n">
        <x:v>1</x:v>
      </x:c>
      <x:c r="F115" s="17" t="n">
        <x:v>5</x:v>
      </x:c>
      <x:c r="G115" s="17" t="n">
        <x:v>29</x:v>
      </x:c>
      <x:c r="H115" s="17" t="n">
        <x:v>24</x:v>
      </x:c>
      <x:c r="I115" s="17" t="n">
        <x:v>5</x:v>
      </x:c>
      <x:c r="J115" s="17" t="n">
        <x:v>0</x:v>
      </x:c>
      <x:c r="K115" s="17" t="n">
        <x:v>465602</x:v>
      </x:c>
      <x:c r="L115" s="17" t="n">
        <x:v>465602</x:v>
      </x:c>
      <x:c r="M115" s="17" t="n">
        <x:v>0</x:v>
      </x:c>
      <x:c r="N115" s="17" t="n">
        <x:v>125</x:v>
      </x:c>
      <x:c r="O115" s="17" t="n">
        <x:v>135</x:v>
      </x:c>
      <x:c r="P115" s="17" t="n">
        <x:v>10</x:v>
      </x:c>
      <x:c r="Q115" s="17" t="str">
        <x:v>Progress</x:v>
      </x:c>
      <x:c r="R115" s="18" t="str">
        <x:v>/Users/mac/Documents/智囊团/video_analysis/Top_Tycoon新号流程_20260804/frames/TT_NEW_06/TT_NEW_06_t000223.jpg</x:v>
      </x:c>
      <x:c r="S115" s="17" t="str">
        <x:v>00:03:47</x:v>
      </x:c>
      <x:c r="T115" s="17" t="str">
        <x:v>待复核</x:v>
      </x:c>
      <x:c r="U115" s="17" t="str">
        <x:v>B</x:v>
      </x:c>
      <x:c r="V115" s="17" t="str">
        <x:v>由逐秒能量变化推断；快速自动Spin可能需4fps补核</x:v>
      </x:c>
      <x:c r="W115" s="17" t="str">
        <x:v>纯进度</x:v>
      </x:c>
      <x:c r="X115" s="17" t="str">
        <x:v>是</x:v>
      </x:c>
      <x:c r="Y115" s="17" t="str">
        <x:v>否</x:v>
      </x:c>
      <x:c r="Z115" s="17" t="str">
        <x:v>未知</x:v>
      </x:c>
      <x:c r="AA115" s="17" t="str">
        <x:v>未知</x:v>
      </x:c>
      <x:c r="AB115" s="17" t="str">
        <x:v>否</x:v>
      </x:c>
    </x:row>
    <x:row r="116">
      <x:c r="A116" s="17" t="str">
        <x:v>TT_NEW_06</x:v>
      </x:c>
      <x:c r="B116" s="17" t="str">
        <x:v>TT_NEW_06_S0024</x:v>
      </x:c>
      <x:c r="C116" s="17" t="str">
        <x:v>00:03:47</x:v>
      </x:c>
      <x:c r="D116" s="17" t="n">
        <x:v>227</x:v>
      </x:c>
      <x:c r="E116" s="17" t="n">
        <x:v>1</x:v>
      </x:c>
      <x:c r="F116" s="17" t="n">
        <x:v>5</x:v>
      </x:c>
      <x:c r="G116" s="17" t="n">
        <x:v>24</x:v>
      </x:c>
      <x:c r="H116" s="17" t="n">
        <x:v>19</x:v>
      </x:c>
      <x:c r="I116" s="17" t="n">
        <x:v>5</x:v>
      </x:c>
      <x:c r="J116" s="17" t="n">
        <x:v>0</x:v>
      </x:c>
      <x:c r="K116" s="17" t="n">
        <x:v>465602</x:v>
      </x:c>
      <x:c r="L116" s="17" t="n">
        <x:v>515602</x:v>
      </x:c>
      <x:c r="M116" s="17" t="n">
        <x:v>50000</x:v>
      </x:c>
      <x:c r="N116" s="17" t="n">
        <x:v>135</x:v>
      </x:c>
      <x:c r="O116" s="17" t="n">
        <x:v>135</x:v>
      </x:c>
      <x:c r="P116" s="17" t="n">
        <x:v>0</x:v>
      </x:c>
      <x:c r="Q116" s="17" t="str">
        <x:v>Coin</x:v>
      </x:c>
      <x:c r="R116" s="18" t="str">
        <x:v>/Users/mac/Documents/智囊团/video_analysis/Top_Tycoon新号流程_20260804/frames/TT_NEW_06/TT_NEW_06_t000227.jpg</x:v>
      </x:c>
      <x:c r="S116" s="17" t="str">
        <x:v>00:03:51</x:v>
      </x:c>
      <x:c r="T116" s="17" t="str">
        <x:v>待复核</x:v>
      </x:c>
      <x:c r="U116" s="17" t="str">
        <x:v>B</x:v>
      </x:c>
      <x:c r="V116" s="17" t="str">
        <x:v>由逐秒能量变化推断；快速自动Spin可能需4fps补核</x:v>
      </x:c>
      <x:c r="W116" s="17" t="str">
        <x:v>纯金币</x:v>
      </x:c>
      <x:c r="X116" s="17" t="str">
        <x:v>是</x:v>
      </x:c>
      <x:c r="Y116" s="17" t="str">
        <x:v>否</x:v>
      </x:c>
      <x:c r="Z116" s="17" t="str">
        <x:v>未知</x:v>
      </x:c>
      <x:c r="AA116" s="17" t="str">
        <x:v>未知</x:v>
      </x:c>
      <x:c r="AB116" s="17" t="str">
        <x:v>否</x:v>
      </x:c>
    </x:row>
    <x:row r="117">
      <x:c r="A117" s="17" t="str">
        <x:v>TT_NEW_06</x:v>
      </x:c>
      <x:c r="B117" s="17" t="str">
        <x:v>TT_NEW_06_S0025</x:v>
      </x:c>
      <x:c r="C117" s="17" t="str">
        <x:v>00:03:51</x:v>
      </x:c>
      <x:c r="D117" s="17" t="n">
        <x:v>231</x:v>
      </x:c>
      <x:c r="E117" s="17" t="n">
        <x:v>1</x:v>
      </x:c>
      <x:c r="F117" s="17" t="n">
        <x:v>5</x:v>
      </x:c>
      <x:c r="G117" s="17" t="n">
        <x:v>19</x:v>
      </x:c>
      <x:c r="H117" s="17" t="n">
        <x:v>14</x:v>
      </x:c>
      <x:c r="I117" s="17" t="n">
        <x:v>5</x:v>
      </x:c>
      <x:c r="J117" s="17" t="n">
        <x:v>0</x:v>
      </x:c>
      <x:c r="K117" s="17" t="n">
        <x:v>515523</x:v>
      </x:c>
      <x:c r="L117" s="17" t="n">
        <x:v>518102</x:v>
      </x:c>
      <x:c r="M117" s="17" t="n">
        <x:v>2579</x:v>
      </x:c>
      <x:c r="N117" s="17" t="n">
        <x:v>135</x:v>
      </x:c>
      <x:c r="O117" s="17" t="n">
        <x:v>135</x:v>
      </x:c>
      <x:c r="P117" s="17" t="n">
        <x:v>0</x:v>
      </x:c>
      <x:c r="Q117" s="17" t="str">
        <x:v>Coin</x:v>
      </x:c>
      <x:c r="R117" s="18" t="str">
        <x:v>/Users/mac/Documents/智囊团/video_analysis/Top_Tycoon新号流程_20260804/frames/TT_NEW_06/TT_NEW_06_t000231.jpg</x:v>
      </x:c>
      <x:c r="S117" s="17" t="str">
        <x:v>00:03:53</x:v>
      </x:c>
      <x:c r="T117" s="17" t="str">
        <x:v>待复核</x:v>
      </x:c>
      <x:c r="U117" s="17" t="str">
        <x:v>B</x:v>
      </x:c>
      <x:c r="V117" s="17" t="str">
        <x:v>由逐秒能量变化推断；快速自动Spin可能需4fps补核</x:v>
      </x:c>
      <x:c r="W117" s="17" t="str">
        <x:v>纯金币</x:v>
      </x:c>
      <x:c r="X117" s="17" t="str">
        <x:v>是</x:v>
      </x:c>
      <x:c r="Y117" s="17" t="str">
        <x:v>否</x:v>
      </x:c>
      <x:c r="Z117" s="17" t="str">
        <x:v>未知</x:v>
      </x:c>
      <x:c r="AA117" s="17" t="str">
        <x:v>未知</x:v>
      </x:c>
      <x:c r="AB117" s="17" t="str">
        <x:v>否</x:v>
      </x:c>
    </x:row>
    <x:row r="118">
      <x:c r="A118" s="17" t="str">
        <x:v>TT_NEW_06</x:v>
      </x:c>
      <x:c r="B118" s="17" t="str">
        <x:v>TT_NEW_06_S0026</x:v>
      </x:c>
      <x:c r="C118" s="17" t="str">
        <x:v>00:03:53</x:v>
      </x:c>
      <x:c r="D118" s="17" t="n">
        <x:v>233</x:v>
      </x:c>
      <x:c r="E118" s="17" t="n">
        <x:v>1</x:v>
      </x:c>
      <x:c r="F118" s="17" t="n">
        <x:v>5</x:v>
      </x:c>
      <x:c r="G118" s="17" t="n">
        <x:v>14</x:v>
      </x:c>
      <x:c r="H118" s="17" t="n">
        <x:v>9</x:v>
      </x:c>
      <x:c r="I118" s="17" t="n">
        <x:v>5</x:v>
      </x:c>
      <x:c r="J118" s="17" t="n">
        <x:v>0</x:v>
      </x:c>
      <x:c r="K118" s="17" t="n">
        <x:v>515602</x:v>
      </x:c>
      <x:c r="L118" s="17" t="n">
        <x:v>520602</x:v>
      </x:c>
      <x:c r="M118" s="17" t="n">
        <x:v>5000</x:v>
      </x:c>
      <x:c r="N118" s="17" t="n">
        <x:v>135</x:v>
      </x:c>
      <x:c r="O118" s="17" t="n">
        <x:v>155</x:v>
      </x:c>
      <x:c r="P118" s="17" t="n">
        <x:v>20</x:v>
      </x:c>
      <x:c r="Q118" s="17" t="str">
        <x:v>Coin + Progress</x:v>
      </x:c>
      <x:c r="R118" s="18" t="str">
        <x:v>/Users/mac/Documents/智囊团/video_analysis/Top_Tycoon新号流程_20260804/frames/TT_NEW_06/TT_NEW_06_t000233.jpg</x:v>
      </x:c>
      <x:c r="S118" s="17" t="str">
        <x:v>00:03:58</x:v>
      </x:c>
      <x:c r="T118" s="17" t="str">
        <x:v>待复核</x:v>
      </x:c>
      <x:c r="U118" s="17" t="str">
        <x:v>B</x:v>
      </x:c>
      <x:c r="V118" s="17" t="str">
        <x:v>由逐秒能量变化推断；快速自动Spin可能需4fps补核</x:v>
      </x:c>
      <x:c r="W118" s="17" t="str">
        <x:v>混合奖励</x:v>
      </x:c>
      <x:c r="X118" s="17" t="str">
        <x:v>是</x:v>
      </x:c>
      <x:c r="Y118" s="17" t="str">
        <x:v>否</x:v>
      </x:c>
      <x:c r="Z118" s="17" t="str">
        <x:v>未知</x:v>
      </x:c>
      <x:c r="AA118" s="17" t="str">
        <x:v>未知</x:v>
      </x:c>
      <x:c r="AB118" s="17" t="str">
        <x:v>是</x:v>
      </x:c>
    </x:row>
    <x:row r="119">
      <x:c r="A119" s="17" t="str">
        <x:v>TT_NEW_06</x:v>
      </x:c>
      <x:c r="B119" s="17" t="str">
        <x:v>TT_NEW_06_S0027</x:v>
      </x:c>
      <x:c r="C119" s="17" t="str">
        <x:v>00:03:58</x:v>
      </x:c>
      <x:c r="D119" s="17" t="n">
        <x:v>238</x:v>
      </x:c>
      <x:c r="E119" s="17" t="n">
        <x:v>1</x:v>
      </x:c>
      <x:c r="F119" s="17" t="n">
        <x:v>5</x:v>
      </x:c>
      <x:c r="G119" s="17" t="n">
        <x:v>9</x:v>
      </x:c>
      <x:c r="H119" s="17" t="n">
        <x:v>4</x:v>
      </x:c>
      <x:c r="I119" s="17" t="n">
        <x:v>5</x:v>
      </x:c>
      <x:c r="J119" s="17" t="n">
        <x:v>7</x:v>
      </x:c>
      <x:c r="K119" s="17" t="n">
        <x:v>519017</x:v>
      </x:c>
      <x:c r="L119" s="17" t="n">
        <x:v>537502</x:v>
      </x:c>
      <x:c r="M119" s="17" t="n">
        <x:v>18485</x:v>
      </x:c>
      <x:c r="N119" s="17" t="n">
        <x:v>155</x:v>
      </x:c>
      <x:c r="O119" s="17" t="n">
        <x:v>155</x:v>
      </x:c>
      <x:c r="P119" s="17" t="n">
        <x:v>0</x:v>
      </x:c>
      <x:c r="Q119" s="17" t="str">
        <x:v>Attack + Energy</x:v>
      </x:c>
      <x:c r="R119" s="18" t="str">
        <x:v>/Users/mac/Documents/智囊团/video_analysis/Top_Tycoon新号流程_20260804/frames/TT_NEW_06/TT_NEW_06_t000238.jpg</x:v>
      </x:c>
      <x:c r="S119" s="17" t="str">
        <x:v>00:04:38</x:v>
      </x:c>
      <x:c r="T119" s="17" t="str">
        <x:v>待复核</x:v>
      </x:c>
      <x:c r="U119" s="17" t="str">
        <x:v>B</x:v>
      </x:c>
      <x:c r="V119" s="17" t="str">
        <x:v>由逐秒能量变化推断；快速自动Spin可能需4fps补核</x:v>
      </x:c>
      <x:c r="W119" s="17" t="str">
        <x:v>Attack</x:v>
      </x:c>
      <x:c r="X119" s="17" t="str">
        <x:v>是</x:v>
      </x:c>
      <x:c r="Y119" s="17" t="str">
        <x:v>否</x:v>
      </x:c>
      <x:c r="Z119" s="17" t="str">
        <x:v>未知</x:v>
      </x:c>
      <x:c r="AA119" s="17" t="str">
        <x:v>未知</x:v>
      </x:c>
      <x:c r="AB119" s="17" t="str">
        <x:v>是</x:v>
      </x:c>
    </x:row>
    <x:row r="120">
      <x:c r="A120" s="17" t="str">
        <x:v>TT_NEW_06</x:v>
      </x:c>
      <x:c r="B120" s="17" t="str">
        <x:v>TT_NEW_06_S0028</x:v>
      </x:c>
      <x:c r="C120" s="17" t="str">
        <x:v>00:04:38</x:v>
      </x:c>
      <x:c r="D120" s="17" t="n">
        <x:v>278</x:v>
      </x:c>
      <x:c r="E120" s="17" t="n">
        <x:v>1</x:v>
      </x:c>
      <x:c r="F120" s="17" t="n">
        <x:v>5</x:v>
      </x:c>
      <x:c r="G120" s="17" t="n">
        <x:v>11</x:v>
      </x:c>
      <x:c r="H120" s="17" t="n">
        <x:v>6</x:v>
      </x:c>
      <x:c r="I120" s="17" t="n">
        <x:v>5</x:v>
      </x:c>
      <x:c r="J120" s="17" t="n">
        <x:v>0</x:v>
      </x:c>
      <x:c r="K120" s="17" t="n">
        <x:v>537502</x:v>
      </x:c>
      <x:c r="L120" s="17" t="n">
        <x:v>562502</x:v>
      </x:c>
      <x:c r="M120" s="17" t="n">
        <x:v>25000</x:v>
      </x:c>
      <x:c r="N120" s="17" t="n">
        <x:v>155</x:v>
      </x:c>
      <x:c r="O120" s="17" t="n">
        <x:v>155</x:v>
      </x:c>
      <x:c r="P120" s="17" t="n">
        <x:v>0</x:v>
      </x:c>
      <x:c r="Q120" s="17" t="str">
        <x:v>Attack</x:v>
      </x:c>
      <x:c r="R120" s="18" t="str">
        <x:v>/Users/mac/Documents/智囊团/video_analysis/Top_Tycoon新号流程_20260804/frames/TT_NEW_06/TT_NEW_06_t000278.jpg</x:v>
      </x:c>
      <x:c r="S120" s="17" t="str">
        <x:v>00:04:41</x:v>
      </x:c>
      <x:c r="T120" s="17" t="str">
        <x:v>待复核</x:v>
      </x:c>
      <x:c r="U120" s="17" t="str">
        <x:v>B</x:v>
      </x:c>
      <x:c r="V120" s="17" t="str">
        <x:v>由逐秒能量变化推断；快速自动Spin可能需4fps补核</x:v>
      </x:c>
      <x:c r="W120" s="17" t="str">
        <x:v>Attack</x:v>
      </x:c>
      <x:c r="X120" s="17" t="str">
        <x:v>是</x:v>
      </x:c>
      <x:c r="Y120" s="17" t="str">
        <x:v>否</x:v>
      </x:c>
      <x:c r="Z120" s="17" t="str">
        <x:v>未知</x:v>
      </x:c>
      <x:c r="AA120" s="17" t="str">
        <x:v>未知</x:v>
      </x:c>
      <x:c r="AB120" s="17" t="str">
        <x:v>是</x:v>
      </x:c>
    </x:row>
    <x:row r="121">
      <x:c r="A121" s="17" t="str">
        <x:v>TT_NEW_06</x:v>
      </x:c>
      <x:c r="B121" s="17" t="str">
        <x:v>TT_NEW_06_S0029</x:v>
      </x:c>
      <x:c r="C121" s="17" t="str">
        <x:v>00:04:41</x:v>
      </x:c>
      <x:c r="D121" s="17" t="n">
        <x:v>281</x:v>
      </x:c>
      <x:c r="E121" s="17" t="n">
        <x:v>1</x:v>
      </x:c>
      <x:c r="F121" s="17" t="n">
        <x:v>5</x:v>
      </x:c>
      <x:c r="G121" s="17" t="n">
        <x:v>6</x:v>
      </x:c>
      <x:c r="H121" s="17" t="n">
        <x:v>1</x:v>
      </x:c>
      <x:c r="I121" s="17" t="n">
        <x:v>5</x:v>
      </x:c>
      <x:c r="J121" s="17" t="n">
        <x:v>12</x:v>
      </x:c>
      <x:c r="K121" s="17" t="n">
        <x:v>552481</x:v>
      </x:c>
      <x:c r="L121" s="17" t="n">
        <x:v>56154</x:v>
      </x:c>
      <x:c r="M121" s="17"/>
      <x:c r="N121" s="17" t="n">
        <x:v>153</x:v>
      </x:c>
      <x:c r="O121" s="17" t="n">
        <x:v>155</x:v>
      </x:c>
      <x:c r="P121" s="17" t="n">
        <x:v>2</x:v>
      </x:c>
      <x:c r="Q121" s="17" t="str">
        <x:v>Energy + Progress</x:v>
      </x:c>
      <x:c r="R121" s="18" t="str">
        <x:v>/Users/mac/Documents/智囊团/video_analysis/Top_Tycoon新号流程_20260804/frames/TT_NEW_06/TT_NEW_06_t000281.jpg</x:v>
      </x:c>
      <x:c r="S121" s="17" t="str">
        <x:v>00:05:37</x:v>
      </x:c>
      <x:c r="T121" s="17" t="str">
        <x:v>待复核</x:v>
      </x:c>
      <x:c r="U121" s="17" t="str">
        <x:v>C</x:v>
      </x:c>
      <x:c r="V121" s="17" t="str">
        <x:v>由逐秒能量变化推断；快速自动Spin可能需4fps补核</x:v>
      </x:c>
      <x:c r="W121" s="17" t="str">
        <x:v>混合奖励</x:v>
      </x:c>
      <x:c r="X121" s="17" t="str">
        <x:v>否</x:v>
      </x:c>
      <x:c r="Y121" s="17" t="str">
        <x:v>否</x:v>
      </x:c>
      <x:c r="Z121" s="17" t="str">
        <x:v>未知</x:v>
      </x:c>
      <x:c r="AA121" s="17" t="str">
        <x:v>未知</x:v>
      </x:c>
      <x:c r="AB121" s="17" t="str">
        <x:v>是</x:v>
      </x:c>
    </x:row>
    <x:row r="122">
      <x:c r="A122" s="17" t="str">
        <x:v>TT_NEW_06</x:v>
      </x:c>
      <x:c r="B122" s="17" t="str">
        <x:v>TT_NEW_06_S0030</x:v>
      </x:c>
      <x:c r="C122" s="17" t="str">
        <x:v>00:05:37</x:v>
      </x:c>
      <x:c r="D122" s="17" t="n">
        <x:v>337</x:v>
      </x:c>
      <x:c r="E122" s="17" t="n">
        <x:v>1</x:v>
      </x:c>
      <x:c r="F122" s="17" t="n">
        <x:v>5</x:v>
      </x:c>
      <x:c r="G122" s="17" t="n">
        <x:v>13</x:v>
      </x:c>
      <x:c r="H122" s="17" t="n">
        <x:v>8</x:v>
      </x:c>
      <x:c r="I122" s="17" t="n">
        <x:v>5</x:v>
      </x:c>
      <x:c r="J122" s="17" t="n">
        <x:v>0</x:v>
      </x:c>
      <x:c r="K122" s="17" t="n">
        <x:v>56154</x:v>
      </x:c>
      <x:c r="L122" s="17" t="n">
        <x:v>56654</x:v>
      </x:c>
      <x:c r="M122" s="17" t="n">
        <x:v>500</x:v>
      </x:c>
      <x:c r="N122" s="17" t="n">
        <x:v>155</x:v>
      </x:c>
      <x:c r="O122" s="17" t="n">
        <x:v>155</x:v>
      </x:c>
      <x:c r="P122" s="17" t="n">
        <x:v>0</x:v>
      </x:c>
      <x:c r="Q122" s="17" t="str">
        <x:v>Coin</x:v>
      </x:c>
      <x:c r="R122" s="18" t="str">
        <x:v>/Users/mac/Documents/智囊团/video_analysis/Top_Tycoon新号流程_20260804/frames/TT_NEW_06/TT_NEW_06_t000337.jpg</x:v>
      </x:c>
      <x:c r="S122" s="17" t="str">
        <x:v>00:05:40</x:v>
      </x:c>
      <x:c r="T122" s="17" t="str">
        <x:v>待复核</x:v>
      </x:c>
      <x:c r="U122" s="17" t="str">
        <x:v>B</x:v>
      </x:c>
      <x:c r="V122" s="17" t="str">
        <x:v>由逐秒能量变化推断；快速自动Spin可能需4fps补核</x:v>
      </x:c>
      <x:c r="W122" s="17" t="str">
        <x:v>纯金币</x:v>
      </x:c>
      <x:c r="X122" s="17" t="str">
        <x:v>是</x:v>
      </x:c>
      <x:c r="Y122" s="17" t="str">
        <x:v>否</x:v>
      </x:c>
      <x:c r="Z122" s="17" t="str">
        <x:v>未知</x:v>
      </x:c>
      <x:c r="AA122" s="17" t="str">
        <x:v>未知</x:v>
      </x:c>
      <x:c r="AB122" s="17" t="str">
        <x:v>是</x:v>
      </x:c>
    </x:row>
    <x:row r="123">
      <x:c r="A123" s="17" t="str">
        <x:v>TT_NEW_06</x:v>
      </x:c>
      <x:c r="B123" s="17" t="str">
        <x:v>TT_NEW_06_S0031</x:v>
      </x:c>
      <x:c r="C123" s="17" t="str">
        <x:v>00:05:40</x:v>
      </x:c>
      <x:c r="D123" s="17" t="n">
        <x:v>340</x:v>
      </x:c>
      <x:c r="E123" s="17" t="n">
        <x:v>1</x:v>
      </x:c>
      <x:c r="F123" s="17" t="n">
        <x:v>5</x:v>
      </x:c>
      <x:c r="G123" s="17" t="n">
        <x:v>8</x:v>
      </x:c>
      <x:c r="H123" s="17" t="n">
        <x:v>3</x:v>
      </x:c>
      <x:c r="I123" s="17" t="n">
        <x:v>5</x:v>
      </x:c>
      <x:c r="J123" s="17" t="n">
        <x:v>20</x:v>
      </x:c>
      <x:c r="K123" s="17" t="n">
        <x:v>56154</x:v>
      </x:c>
      <x:c r="L123" s="17" t="n">
        <x:v>103654</x:v>
      </x:c>
      <x:c r="M123" s="17" t="n">
        <x:v>47500</x:v>
      </x:c>
      <x:c r="N123" s="17" t="n">
        <x:v>155</x:v>
      </x:c>
      <x:c r="O123" s="17" t="n">
        <x:v>155</x:v>
      </x:c>
      <x:c r="P123" s="17" t="n">
        <x:v>0</x:v>
      </x:c>
      <x:c r="Q123" s="17" t="str">
        <x:v>Coin + Energy</x:v>
      </x:c>
      <x:c r="R123" s="18" t="str">
        <x:v>/Users/mac/Documents/智囊团/video_analysis/Top_Tycoon新号流程_20260804/frames/TT_NEW_06/TT_NEW_06_t000340.jpg</x:v>
      </x:c>
      <x:c r="S123" s="17" t="str">
        <x:v>00:05:53</x:v>
      </x:c>
      <x:c r="T123" s="17" t="str">
        <x:v>待复核</x:v>
      </x:c>
      <x:c r="U123" s="17" t="str">
        <x:v>B</x:v>
      </x:c>
      <x:c r="V123" s="17" t="str">
        <x:v>由逐秒能量变化推断；快速自动Spin可能需4fps补核</x:v>
      </x:c>
      <x:c r="W123" s="17" t="str">
        <x:v>混合奖励</x:v>
      </x:c>
      <x:c r="X123" s="17" t="str">
        <x:v>是</x:v>
      </x:c>
      <x:c r="Y123" s="17" t="str">
        <x:v>否</x:v>
      </x:c>
      <x:c r="Z123" s="17" t="str">
        <x:v>未知</x:v>
      </x:c>
      <x:c r="AA123" s="17" t="str">
        <x:v>未知</x:v>
      </x:c>
      <x:c r="AB123" s="17" t="str">
        <x:v>是</x:v>
      </x:c>
    </x:row>
    <x:row r="124">
      <x:c r="A124" s="17" t="str">
        <x:v>TT_NEW_06</x:v>
      </x:c>
      <x:c r="B124" s="17" t="str">
        <x:v>TT_NEW_06_S0032</x:v>
      </x:c>
      <x:c r="C124" s="17" t="str">
        <x:v>00:05:53</x:v>
      </x:c>
      <x:c r="D124" s="17" t="n">
        <x:v>353</x:v>
      </x:c>
      <x:c r="E124" s="17" t="n">
        <x:v>1</x:v>
      </x:c>
      <x:c r="F124" s="17" t="n">
        <x:v>5</x:v>
      </x:c>
      <x:c r="G124" s="17" t="n">
        <x:v>23</x:v>
      </x:c>
      <x:c r="H124" s="17" t="n">
        <x:v>18</x:v>
      </x:c>
      <x:c r="I124" s="17" t="n">
        <x:v>5</x:v>
      </x:c>
      <x:c r="J124" s="17" t="n">
        <x:v>0</x:v>
      </x:c>
      <x:c r="K124" s="17" t="n">
        <x:v>103654</x:v>
      </x:c>
      <x:c r="L124" s="17" t="n">
        <x:v>488654</x:v>
      </x:c>
      <x:c r="M124" s="17" t="n">
        <x:v>385000</x:v>
      </x:c>
      <x:c r="N124" s="17" t="n">
        <x:v>155</x:v>
      </x:c>
      <x:c r="O124" s="17" t="n">
        <x:v>155</x:v>
      </x:c>
      <x:c r="P124" s="17" t="n">
        <x:v>0</x:v>
      </x:c>
      <x:c r="Q124" s="17" t="str">
        <x:v>Credit Grab</x:v>
      </x:c>
      <x:c r="R124" s="18" t="str">
        <x:v>/Users/mac/Documents/智囊团/video_analysis/Top_Tycoon新号流程_20260804/frames/TT_NEW_06/TT_NEW_06_t000353.jpg</x:v>
      </x:c>
      <x:c r="S124" s="17" t="str">
        <x:v>00:06:32</x:v>
      </x:c>
      <x:c r="T124" s="17" t="str">
        <x:v>待复核</x:v>
      </x:c>
      <x:c r="U124" s="17" t="str">
        <x:v>B</x:v>
      </x:c>
      <x:c r="V124" s="17" t="str">
        <x:v>由逐秒能量变化推断；快速自动Spin可能需4fps补核</x:v>
      </x:c>
      <x:c r="W124" s="17" t="str">
        <x:v>Credit Grab</x:v>
      </x:c>
      <x:c r="X124" s="17" t="str">
        <x:v>是</x:v>
      </x:c>
      <x:c r="Y124" s="17" t="str">
        <x:v>否</x:v>
      </x:c>
      <x:c r="Z124" s="17" t="str">
        <x:v>未知</x:v>
      </x:c>
      <x:c r="AA124" s="17" t="str">
        <x:v>未知</x:v>
      </x:c>
      <x:c r="AB124" s="17" t="str">
        <x:v>否</x:v>
      </x:c>
    </x:row>
    <x:row r="125">
      <x:c r="A125" s="17" t="str">
        <x:v>TT_NEW_06</x:v>
      </x:c>
      <x:c r="B125" s="17" t="str">
        <x:v>TT_NEW_06_S0033</x:v>
      </x:c>
      <x:c r="C125" s="17" t="str">
        <x:v>00:06:32</x:v>
      </x:c>
      <x:c r="D125" s="17" t="n">
        <x:v>392</x:v>
      </x:c>
      <x:c r="E125" s="17" t="n">
        <x:v>1</x:v>
      </x:c>
      <x:c r="F125" s="17" t="n">
        <x:v>5</x:v>
      </x:c>
      <x:c r="G125" s="17" t="n">
        <x:v>18</x:v>
      </x:c>
      <x:c r="H125" s="17" t="n">
        <x:v>13</x:v>
      </x:c>
      <x:c r="I125" s="17" t="n">
        <x:v>5</x:v>
      </x:c>
      <x:c r="J125" s="17" t="n">
        <x:v>0</x:v>
      </x:c>
      <x:c r="K125" s="17" t="n">
        <x:v>488654</x:v>
      </x:c>
      <x:c r="L125" s="17" t="n">
        <x:v>493654</x:v>
      </x:c>
      <x:c r="M125" s="17" t="n">
        <x:v>5000</x:v>
      </x:c>
      <x:c r="N125" s="17" t="n">
        <x:v>155</x:v>
      </x:c>
      <x:c r="O125" s="17" t="n">
        <x:v>155</x:v>
      </x:c>
      <x:c r="P125" s="17" t="n">
        <x:v>0</x:v>
      </x:c>
      <x:c r="Q125" s="17" t="str">
        <x:v>Coin</x:v>
      </x:c>
      <x:c r="R125" s="18" t="str">
        <x:v>/Users/mac/Documents/智囊团/video_analysis/Top_Tycoon新号流程_20260804/frames/TT_NEW_06/TT_NEW_06_t000392.jpg</x:v>
      </x:c>
      <x:c r="S125" s="17" t="str">
        <x:v>00:06:34</x:v>
      </x:c>
      <x:c r="T125" s="17" t="str">
        <x:v>待复核</x:v>
      </x:c>
      <x:c r="U125" s="17" t="str">
        <x:v>B</x:v>
      </x:c>
      <x:c r="V125" s="17" t="str">
        <x:v>由逐秒能量变化推断；快速自动Spin可能需4fps补核</x:v>
      </x:c>
      <x:c r="W125" s="17" t="str">
        <x:v>纯金币</x:v>
      </x:c>
      <x:c r="X125" s="17" t="str">
        <x:v>是</x:v>
      </x:c>
      <x:c r="Y125" s="17" t="str">
        <x:v>否</x:v>
      </x:c>
      <x:c r="Z125" s="17" t="str">
        <x:v>未知</x:v>
      </x:c>
      <x:c r="AA125" s="17" t="str">
        <x:v>未知</x:v>
      </x:c>
      <x:c r="AB125" s="17" t="str">
        <x:v>否</x:v>
      </x:c>
    </x:row>
    <x:row r="126">
      <x:c r="A126" s="17" t="str">
        <x:v>TT_NEW_06</x:v>
      </x:c>
      <x:c r="B126" s="17" t="str">
        <x:v>TT_NEW_06_S0034</x:v>
      </x:c>
      <x:c r="C126" s="17" t="str">
        <x:v>00:06:34</x:v>
      </x:c>
      <x:c r="D126" s="17" t="n">
        <x:v>394</x:v>
      </x:c>
      <x:c r="E126" s="17" t="n">
        <x:v>1</x:v>
      </x:c>
      <x:c r="F126" s="17" t="n">
        <x:v>5</x:v>
      </x:c>
      <x:c r="G126" s="17" t="n">
        <x:v>13</x:v>
      </x:c>
      <x:c r="H126" s="17" t="n">
        <x:v>8</x:v>
      </x:c>
      <x:c r="I126" s="17" t="n">
        <x:v>5</x:v>
      </x:c>
      <x:c r="J126" s="17" t="n">
        <x:v>0</x:v>
      </x:c>
      <x:c r="K126" s="17" t="n">
        <x:v>488654</x:v>
      </x:c>
      <x:c r="L126" s="17" t="n">
        <x:v>493654</x:v>
      </x:c>
      <x:c r="M126" s="17" t="n">
        <x:v>5000</x:v>
      </x:c>
      <x:c r="N126" s="17"/>
      <x:c r="O126" s="17" t="n">
        <x:v>165</x:v>
      </x:c>
      <x:c r="P126" s="17"/>
      <x:c r="Q126" s="17" t="str">
        <x:v>Coin</x:v>
      </x:c>
      <x:c r="R126" s="18" t="str">
        <x:v>/Users/mac/Documents/智囊团/video_analysis/Top_Tycoon新号流程_20260804/frames/TT_NEW_06/TT_NEW_06_t000394.jpg</x:v>
      </x:c>
      <x:c r="S126" s="17" t="str">
        <x:v>00:06:38</x:v>
      </x:c>
      <x:c r="T126" s="17" t="str">
        <x:v>待复核</x:v>
      </x:c>
      <x:c r="U126" s="17" t="str">
        <x:v>B</x:v>
      </x:c>
      <x:c r="V126" s="17" t="str">
        <x:v>由逐秒能量变化推断；快速自动Spin可能需4fps补核</x:v>
      </x:c>
      <x:c r="W126" s="17" t="str">
        <x:v>纯金币</x:v>
      </x:c>
      <x:c r="X126" s="17" t="str">
        <x:v>是</x:v>
      </x:c>
      <x:c r="Y126" s="17" t="str">
        <x:v>否</x:v>
      </x:c>
      <x:c r="Z126" s="17" t="str">
        <x:v>未知</x:v>
      </x:c>
      <x:c r="AA126" s="17" t="str">
        <x:v>未知</x:v>
      </x:c>
      <x:c r="AB126" s="17" t="str">
        <x:v>是</x:v>
      </x:c>
    </x:row>
    <x:row r="127">
      <x:c r="A127" s="17" t="str">
        <x:v>TT_NEW_06</x:v>
      </x:c>
      <x:c r="B127" s="17" t="str">
        <x:v>TT_NEW_06_S0035</x:v>
      </x:c>
      <x:c r="C127" s="17" t="str">
        <x:v>00:06:38</x:v>
      </x:c>
      <x:c r="D127" s="17" t="n">
        <x:v>398</x:v>
      </x:c>
      <x:c r="E127" s="17" t="n">
        <x:v>1</x:v>
      </x:c>
      <x:c r="F127" s="17" t="n">
        <x:v>5</x:v>
      </x:c>
      <x:c r="G127" s="17" t="n">
        <x:v>8</x:v>
      </x:c>
      <x:c r="H127" s="17" t="n">
        <x:v>3</x:v>
      </x:c>
      <x:c r="I127" s="17" t="n">
        <x:v>5</x:v>
      </x:c>
      <x:c r="J127" s="17" t="n">
        <x:v>50</x:v>
      </x:c>
      <x:c r="K127" s="17" t="n">
        <x:v>493654</x:v>
      </x:c>
      <x:c r="L127" s="17" t="n">
        <x:v>517854</x:v>
      </x:c>
      <x:c r="M127" s="17" t="n">
        <x:v>24200</x:v>
      </x:c>
      <x:c r="N127" s="17" t="n">
        <x:v>155</x:v>
      </x:c>
      <x:c r="O127" s="17" t="n">
        <x:v>165</x:v>
      </x:c>
      <x:c r="P127" s="17" t="n">
        <x:v>10</x:v>
      </x:c>
      <x:c r="Q127" s="17" t="str">
        <x:v>Coin + Energy + Progress</x:v>
      </x:c>
      <x:c r="R127" s="18" t="str">
        <x:v>/Users/mac/Documents/智囊团/video_analysis/Top_Tycoon新号流程_20260804/frames/TT_NEW_06/TT_NEW_06_t000398.jpg</x:v>
      </x:c>
      <x:c r="S127" s="17" t="str">
        <x:v>00:07:13</x:v>
      </x:c>
      <x:c r="T127" s="17" t="str">
        <x:v>待复核</x:v>
      </x:c>
      <x:c r="U127" s="17" t="str">
        <x:v>B</x:v>
      </x:c>
      <x:c r="V127" s="17" t="str">
        <x:v>由逐秒能量变化推断；快速自动Spin可能需4fps补核</x:v>
      </x:c>
      <x:c r="W127" s="17" t="str">
        <x:v>混合奖励</x:v>
      </x:c>
      <x:c r="X127" s="17" t="str">
        <x:v>是</x:v>
      </x:c>
      <x:c r="Y127" s="17" t="str">
        <x:v>否</x:v>
      </x:c>
      <x:c r="Z127" s="17" t="str">
        <x:v>未知</x:v>
      </x:c>
      <x:c r="AA127" s="17" t="str">
        <x:v>未知</x:v>
      </x:c>
      <x:c r="AB127" s="17" t="str">
        <x:v>是</x:v>
      </x:c>
    </x:row>
    <x:row r="128">
      <x:c r="A128" s="17" t="str">
        <x:v>TT_NEW_06</x:v>
      </x:c>
      <x:c r="B128" s="17" t="str">
        <x:v>TT_NEW_06_S0036</x:v>
      </x:c>
      <x:c r="C128" s="17" t="str">
        <x:v>00:07:13</x:v>
      </x:c>
      <x:c r="D128" s="17" t="n">
        <x:v>433</x:v>
      </x:c>
      <x:c r="E128" s="17" t="n">
        <x:v>1</x:v>
      </x:c>
      <x:c r="F128" s="17" t="n">
        <x:v>5</x:v>
      </x:c>
      <x:c r="G128" s="17" t="n">
        <x:v>53</x:v>
      </x:c>
      <x:c r="H128" s="17" t="n">
        <x:v>48</x:v>
      </x:c>
      <x:c r="I128" s="17" t="n">
        <x:v>5</x:v>
      </x:c>
      <x:c r="J128" s="17" t="n">
        <x:v>0</x:v>
      </x:c>
      <x:c r="K128" s="17" t="n">
        <x:v>517854</x:v>
      </x:c>
      <x:c r="L128" s="17" t="n">
        <x:v>520354</x:v>
      </x:c>
      <x:c r="M128" s="17" t="n">
        <x:v>2500</x:v>
      </x:c>
      <x:c r="N128" s="17" t="n">
        <x:v>165</x:v>
      </x:c>
      <x:c r="O128" s="17" t="n">
        <x:v>165</x:v>
      </x:c>
      <x:c r="P128" s="17" t="n">
        <x:v>0</x:v>
      </x:c>
      <x:c r="Q128" s="17" t="str">
        <x:v>Coin</x:v>
      </x:c>
      <x:c r="R128" s="18" t="str">
        <x:v>/Users/mac/Documents/智囊团/video_analysis/Top_Tycoon新号流程_20260804/frames/TT_NEW_06/TT_NEW_06_t000433.jpg</x:v>
      </x:c>
      <x:c r="S128" s="17" t="str">
        <x:v>00:07:16</x:v>
      </x:c>
      <x:c r="T128" s="17" t="str">
        <x:v>待复核</x:v>
      </x:c>
      <x:c r="U128" s="17" t="str">
        <x:v>B</x:v>
      </x:c>
      <x:c r="V128" s="17" t="str">
        <x:v>由逐秒能量变化推断；快速自动Spin可能需4fps补核</x:v>
      </x:c>
      <x:c r="W128" s="17" t="str">
        <x:v>纯金币</x:v>
      </x:c>
      <x:c r="X128" s="17" t="str">
        <x:v>是</x:v>
      </x:c>
      <x:c r="Y128" s="17" t="str">
        <x:v>否</x:v>
      </x:c>
      <x:c r="Z128" s="17" t="str">
        <x:v>未知</x:v>
      </x:c>
      <x:c r="AA128" s="17" t="str">
        <x:v>未知</x:v>
      </x:c>
      <x:c r="AB128" s="17" t="str">
        <x:v>否</x:v>
      </x:c>
    </x:row>
    <x:row r="129">
      <x:c r="A129" s="17" t="str">
        <x:v>TT_NEW_06</x:v>
      </x:c>
      <x:c r="B129" s="17" t="str">
        <x:v>TT_NEW_06_S0037</x:v>
      </x:c>
      <x:c r="C129" s="17" t="str">
        <x:v>00:07:16</x:v>
      </x:c>
      <x:c r="D129" s="17" t="n">
        <x:v>436</x:v>
      </x:c>
      <x:c r="E129" s="17" t="n">
        <x:v>1</x:v>
      </x:c>
      <x:c r="F129" s="17" t="n">
        <x:v>5</x:v>
      </x:c>
      <x:c r="G129" s="17" t="n">
        <x:v>48</x:v>
      </x:c>
      <x:c r="H129" s="17" t="n">
        <x:v>43</x:v>
      </x:c>
      <x:c r="I129" s="17" t="n">
        <x:v>5</x:v>
      </x:c>
      <x:c r="J129" s="17" t="n">
        <x:v>0</x:v>
      </x:c>
      <x:c r="K129" s="17" t="n">
        <x:v>519517</x:v>
      </x:c>
      <x:c r="L129" s="17" t="n">
        <x:v>522854</x:v>
      </x:c>
      <x:c r="M129" s="17" t="n">
        <x:v>3337</x:v>
      </x:c>
      <x:c r="N129" s="17" t="n">
        <x:v>165</x:v>
      </x:c>
      <x:c r="O129" s="17" t="n">
        <x:v>165</x:v>
      </x:c>
      <x:c r="P129" s="17" t="n">
        <x:v>0</x:v>
      </x:c>
      <x:c r="Q129" s="17" t="str">
        <x:v>Coin</x:v>
      </x:c>
      <x:c r="R129" s="18" t="str">
        <x:v>/Users/mac/Documents/智囊团/video_analysis/Top_Tycoon新号流程_20260804/frames/TT_NEW_06/TT_NEW_06_t000436.jpg</x:v>
      </x:c>
      <x:c r="S129" s="17" t="str">
        <x:v>00:07:19</x:v>
      </x:c>
      <x:c r="T129" s="17" t="str">
        <x:v>待复核</x:v>
      </x:c>
      <x:c r="U129" s="17" t="str">
        <x:v>B</x:v>
      </x:c>
      <x:c r="V129" s="17" t="str">
        <x:v>由逐秒能量变化推断；快速自动Spin可能需4fps补核</x:v>
      </x:c>
      <x:c r="W129" s="17" t="str">
        <x:v>纯金币</x:v>
      </x:c>
      <x:c r="X129" s="17" t="str">
        <x:v>是</x:v>
      </x:c>
      <x:c r="Y129" s="17" t="str">
        <x:v>否</x:v>
      </x:c>
      <x:c r="Z129" s="17" t="str">
        <x:v>未知</x:v>
      </x:c>
      <x:c r="AA129" s="17" t="str">
        <x:v>未知</x:v>
      </x:c>
      <x:c r="AB129" s="17" t="str">
        <x:v>否</x:v>
      </x:c>
    </x:row>
    <x:row r="130">
      <x:c r="A130" s="17" t="str">
        <x:v>TT_NEW_06</x:v>
      </x:c>
      <x:c r="B130" s="17" t="str">
        <x:v>TT_NEW_06_S0038</x:v>
      </x:c>
      <x:c r="C130" s="17" t="str">
        <x:v>00:07:19</x:v>
      </x:c>
      <x:c r="D130" s="17" t="n">
        <x:v>439</x:v>
      </x:c>
      <x:c r="E130" s="17" t="n">
        <x:v>1</x:v>
      </x:c>
      <x:c r="F130" s="17" t="n">
        <x:v>5</x:v>
      </x:c>
      <x:c r="G130" s="17" t="n">
        <x:v>43</x:v>
      </x:c>
      <x:c r="H130" s="17" t="n">
        <x:v>38</x:v>
      </x:c>
      <x:c r="I130" s="17" t="n">
        <x:v>5</x:v>
      </x:c>
      <x:c r="J130" s="17" t="n">
        <x:v>0</x:v>
      </x:c>
      <x:c r="K130" s="17" t="n">
        <x:v>522854</x:v>
      </x:c>
      <x:c r="L130" s="17" t="n">
        <x:v>523603</x:v>
      </x:c>
      <x:c r="M130" s="17" t="n">
        <x:v>749</x:v>
      </x:c>
      <x:c r="N130" s="17" t="n">
        <x:v>165</x:v>
      </x:c>
      <x:c r="O130" s="17" t="n">
        <x:v>165</x:v>
      </x:c>
      <x:c r="P130" s="17" t="n">
        <x:v>0</x:v>
      </x:c>
      <x:c r="Q130" s="17" t="str">
        <x:v>Coin</x:v>
      </x:c>
      <x:c r="R130" s="18" t="str">
        <x:v>/Users/mac/Documents/智囊团/video_analysis/Top_Tycoon新号流程_20260804/frames/TT_NEW_06/TT_NEW_06_t000439.jpg</x:v>
      </x:c>
      <x:c r="S130" s="17" t="str">
        <x:v>00:07:20</x:v>
      </x:c>
      <x:c r="T130" s="17" t="str">
        <x:v>待复核</x:v>
      </x:c>
      <x:c r="U130" s="17" t="str">
        <x:v>B</x:v>
      </x:c>
      <x:c r="V130" s="17" t="str">
        <x:v>由逐秒能量变化推断；快速自动Spin可能需4fps补核</x:v>
      </x:c>
      <x:c r="W130" s="17" t="str">
        <x:v>纯金币</x:v>
      </x:c>
      <x:c r="X130" s="17" t="str">
        <x:v>是</x:v>
      </x:c>
      <x:c r="Y130" s="17" t="str">
        <x:v>否</x:v>
      </x:c>
      <x:c r="Z130" s="17" t="str">
        <x:v>未知</x:v>
      </x:c>
      <x:c r="AA130" s="17" t="str">
        <x:v>未知</x:v>
      </x:c>
      <x:c r="AB130" s="17" t="str">
        <x:v>否</x:v>
      </x:c>
    </x:row>
    <x:row r="131">
      <x:c r="A131" s="17" t="str">
        <x:v>TT_NEW_06</x:v>
      </x:c>
      <x:c r="B131" s="17" t="str">
        <x:v>TT_NEW_06_S0039</x:v>
      </x:c>
      <x:c r="C131" s="17" t="str">
        <x:v>00:07:20</x:v>
      </x:c>
      <x:c r="D131" s="17" t="n">
        <x:v>440</x:v>
      </x:c>
      <x:c r="E131" s="17" t="n">
        <x:v>1</x:v>
      </x:c>
      <x:c r="F131" s="17" t="n">
        <x:v>5</x:v>
      </x:c>
      <x:c r="G131" s="17" t="n">
        <x:v>38</x:v>
      </x:c>
      <x:c r="H131" s="17" t="n">
        <x:v>33</x:v>
      </x:c>
      <x:c r="I131" s="17" t="n">
        <x:v>5</x:v>
      </x:c>
      <x:c r="J131" s="17" t="n">
        <x:v>0</x:v>
      </x:c>
      <x:c r="K131" s="17" t="n">
        <x:v>522854</x:v>
      </x:c>
      <x:c r="L131" s="17" t="n">
        <x:v>525354</x:v>
      </x:c>
      <x:c r="M131" s="17" t="n">
        <x:v>2500</x:v>
      </x:c>
      <x:c r="N131" s="17" t="n">
        <x:v>165</x:v>
      </x:c>
      <x:c r="O131" s="17" t="n">
        <x:v>165</x:v>
      </x:c>
      <x:c r="P131" s="17" t="n">
        <x:v>0</x:v>
      </x:c>
      <x:c r="Q131" s="17" t="str">
        <x:v>Shield + Coin</x:v>
      </x:c>
      <x:c r="R131" s="18" t="str">
        <x:v>/Users/mac/Documents/智囊团/video_analysis/Top_Tycoon新号流程_20260804/frames/TT_NEW_06/TT_NEW_06_t000440.jpg</x:v>
      </x:c>
      <x:c r="S131" s="17" t="str">
        <x:v>00:07:24</x:v>
      </x:c>
      <x:c r="T131" s="17" t="str">
        <x:v>待复核</x:v>
      </x:c>
      <x:c r="U131" s="17" t="str">
        <x:v>B</x:v>
      </x:c>
      <x:c r="V131" s="17" t="str">
        <x:v>由逐秒能量变化推断；快速自动Spin可能需4fps补核</x:v>
      </x:c>
      <x:c r="W131" s="17" t="str">
        <x:v>Shield</x:v>
      </x:c>
      <x:c r="X131" s="17" t="str">
        <x:v>是</x:v>
      </x:c>
      <x:c r="Y131" s="17" t="str">
        <x:v>否</x:v>
      </x:c>
      <x:c r="Z131" s="17" t="str">
        <x:v>未知</x:v>
      </x:c>
      <x:c r="AA131" s="17" t="str">
        <x:v>未知</x:v>
      </x:c>
      <x:c r="AB131" s="17" t="str">
        <x:v>否</x:v>
      </x:c>
    </x:row>
    <x:row r="132">
      <x:c r="A132" s="17" t="str">
        <x:v>TT_NEW_06</x:v>
      </x:c>
      <x:c r="B132" s="17" t="str">
        <x:v>TT_NEW_06_S0040</x:v>
      </x:c>
      <x:c r="C132" s="17" t="str">
        <x:v>00:07:24</x:v>
      </x:c>
      <x:c r="D132" s="17" t="n">
        <x:v>444</x:v>
      </x:c>
      <x:c r="E132" s="17" t="n">
        <x:v>1</x:v>
      </x:c>
      <x:c r="F132" s="17" t="n">
        <x:v>5</x:v>
      </x:c>
      <x:c r="G132" s="17" t="n">
        <x:v>33</x:v>
      </x:c>
      <x:c r="H132" s="17" t="n">
        <x:v>32</x:v>
      </x:c>
      <x:c r="I132" s="17" t="n">
        <x:v>5</x:v>
      </x:c>
      <x:c r="J132" s="17" t="n">
        <x:v>4</x:v>
      </x:c>
      <x:c r="K132" s="17" t="n">
        <x:v>525354</x:v>
      </x:c>
      <x:c r="L132" s="17" t="n">
        <x:v>675354</x:v>
      </x:c>
      <x:c r="M132" s="17" t="n">
        <x:v>150000</x:v>
      </x:c>
      <x:c r="N132" s="17"/>
      <x:c r="O132" s="17" t="n">
        <x:v>165</x:v>
      </x:c>
      <x:c r="P132" s="17"/>
      <x:c r="Q132" s="17" t="str">
        <x:v>Attack</x:v>
      </x:c>
      <x:c r="R132" s="18" t="str">
        <x:v>/Users/mac/Documents/智囊团/video_analysis/Top_Tycoon新号流程_20260804/frames/TT_NEW_06/TT_NEW_06_t000444.jpg</x:v>
      </x:c>
      <x:c r="S132" s="17" t="str">
        <x:v>00:07:49</x:v>
      </x:c>
      <x:c r="T132" s="17" t="str">
        <x:v>待复核</x:v>
      </x:c>
      <x:c r="U132" s="17" t="str">
        <x:v>B</x:v>
      </x:c>
      <x:c r="V132" s="17" t="str">
        <x:v>由逐秒能量变化推断；快速自动Spin可能需4fps补核</x:v>
      </x:c>
      <x:c r="W132" s="17" t="str">
        <x:v>Attack</x:v>
      </x:c>
      <x:c r="X132" s="17" t="str">
        <x:v>是</x:v>
      </x:c>
      <x:c r="Y132" s="17" t="str">
        <x:v>否</x:v>
      </x:c>
      <x:c r="Z132" s="17" t="str">
        <x:v>未知</x:v>
      </x:c>
      <x:c r="AA132" s="17" t="str">
        <x:v>未知</x:v>
      </x:c>
      <x:c r="AB132" s="17" t="str">
        <x:v>否</x:v>
      </x:c>
    </x:row>
    <x:row r="133">
      <x:c r="A133" s="17" t="str">
        <x:v>TT_NEW_06</x:v>
      </x:c>
      <x:c r="B133" s="17" t="str">
        <x:v>TT_NEW_06_S0041</x:v>
      </x:c>
      <x:c r="C133" s="17" t="str">
        <x:v>00:07:49</x:v>
      </x:c>
      <x:c r="D133" s="17" t="n">
        <x:v>469</x:v>
      </x:c>
      <x:c r="E133" s="17" t="n">
        <x:v>1</x:v>
      </x:c>
      <x:c r="F133" s="17" t="n">
        <x:v>5</x:v>
      </x:c>
      <x:c r="G133" s="17" t="n">
        <x:v>32</x:v>
      </x:c>
      <x:c r="H133" s="17" t="n">
        <x:v>27</x:v>
      </x:c>
      <x:c r="I133" s="17" t="n">
        <x:v>5</x:v>
      </x:c>
      <x:c r="J133" s="17" t="n">
        <x:v>0</x:v>
      </x:c>
      <x:c r="K133" s="17" t="n">
        <x:v>675354</x:v>
      </x:c>
      <x:c r="L133" s="17" t="n">
        <x:v>675853</x:v>
      </x:c>
      <x:c r="M133" s="17" t="n">
        <x:v>499</x:v>
      </x:c>
      <x:c r="N133" s="17" t="n">
        <x:v>165</x:v>
      </x:c>
      <x:c r="O133" s="17" t="n">
        <x:v>165</x:v>
      </x:c>
      <x:c r="P133" s="17" t="n">
        <x:v>0</x:v>
      </x:c>
      <x:c r="Q133" s="17" t="str">
        <x:v>Coin</x:v>
      </x:c>
      <x:c r="R133" s="18" t="str">
        <x:v>/Users/mac/Documents/智囊团/video_analysis/Top_Tycoon新号流程_20260804/frames/TT_NEW_06/TT_NEW_06_t000469.jpg</x:v>
      </x:c>
      <x:c r="S133" s="17" t="str">
        <x:v>00:07:51</x:v>
      </x:c>
      <x:c r="T133" s="17" t="str">
        <x:v>待复核</x:v>
      </x:c>
      <x:c r="U133" s="17" t="str">
        <x:v>B</x:v>
      </x:c>
      <x:c r="V133" s="17" t="str">
        <x:v>由逐秒能量变化推断；快速自动Spin可能需4fps补核</x:v>
      </x:c>
      <x:c r="W133" s="17" t="str">
        <x:v>纯金币</x:v>
      </x:c>
      <x:c r="X133" s="17" t="str">
        <x:v>是</x:v>
      </x:c>
      <x:c r="Y133" s="17" t="str">
        <x:v>否</x:v>
      </x:c>
      <x:c r="Z133" s="17" t="str">
        <x:v>未知</x:v>
      </x:c>
      <x:c r="AA133" s="17" t="str">
        <x:v>未知</x:v>
      </x:c>
      <x:c r="AB133" s="17" t="str">
        <x:v>否</x:v>
      </x:c>
    </x:row>
    <x:row r="134">
      <x:c r="A134" s="17" t="str">
        <x:v>TT_NEW_06</x:v>
      </x:c>
      <x:c r="B134" s="17" t="str">
        <x:v>TT_NEW_06_S0042</x:v>
      </x:c>
      <x:c r="C134" s="17" t="str">
        <x:v>00:07:51</x:v>
      </x:c>
      <x:c r="D134" s="17" t="n">
        <x:v>471</x:v>
      </x:c>
      <x:c r="E134" s="17" t="n">
        <x:v>1</x:v>
      </x:c>
      <x:c r="F134" s="17" t="n">
        <x:v>5</x:v>
      </x:c>
      <x:c r="G134" s="17" t="n">
        <x:v>27</x:v>
      </x:c>
      <x:c r="H134" s="17" t="n">
        <x:v>22</x:v>
      </x:c>
      <x:c r="I134" s="17" t="n">
        <x:v>5</x:v>
      </x:c>
      <x:c r="J134" s="17" t="n">
        <x:v>0</x:v>
      </x:c>
      <x:c r="K134" s="17" t="n">
        <x:v>675354</x:v>
      </x:c>
      <x:c r="L134" s="17" t="n">
        <x:v>680854</x:v>
      </x:c>
      <x:c r="M134" s="17" t="n">
        <x:v>5500</x:v>
      </x:c>
      <x:c r="N134" s="17" t="n">
        <x:v>165</x:v>
      </x:c>
      <x:c r="O134" s="17" t="n">
        <x:v>165</x:v>
      </x:c>
      <x:c r="P134" s="17" t="n">
        <x:v>0</x:v>
      </x:c>
      <x:c r="Q134" s="17" t="str">
        <x:v>Coin</x:v>
      </x:c>
      <x:c r="R134" s="18" t="str">
        <x:v>/Users/mac/Documents/智囊团/video_analysis/Top_Tycoon新号流程_20260804/frames/TT_NEW_06/TT_NEW_06_t000471.jpg</x:v>
      </x:c>
      <x:c r="S134" s="17" t="str">
        <x:v>00:07:54</x:v>
      </x:c>
      <x:c r="T134" s="17" t="str">
        <x:v>待复核</x:v>
      </x:c>
      <x:c r="U134" s="17" t="str">
        <x:v>B</x:v>
      </x:c>
      <x:c r="V134" s="17" t="str">
        <x:v>由逐秒能量变化推断；快速自动Spin可能需4fps补核</x:v>
      </x:c>
      <x:c r="W134" s="17" t="str">
        <x:v>纯金币</x:v>
      </x:c>
      <x:c r="X134" s="17" t="str">
        <x:v>是</x:v>
      </x:c>
      <x:c r="Y134" s="17" t="str">
        <x:v>否</x:v>
      </x:c>
      <x:c r="Z134" s="17" t="str">
        <x:v>未知</x:v>
      </x:c>
      <x:c r="AA134" s="17" t="str">
        <x:v>未知</x:v>
      </x:c>
      <x:c r="AB134" s="17" t="str">
        <x:v>否</x:v>
      </x:c>
    </x:row>
    <x:row r="135">
      <x:c r="A135" s="17" t="str">
        <x:v>TT_NEW_06</x:v>
      </x:c>
      <x:c r="B135" s="17" t="str">
        <x:v>TT_NEW_06_S0043</x:v>
      </x:c>
      <x:c r="C135" s="17" t="str">
        <x:v>00:07:54</x:v>
      </x:c>
      <x:c r="D135" s="17" t="n">
        <x:v>474</x:v>
      </x:c>
      <x:c r="E135" s="17" t="n">
        <x:v>1</x:v>
      </x:c>
      <x:c r="F135" s="17" t="n">
        <x:v>5</x:v>
      </x:c>
      <x:c r="G135" s="17" t="n">
        <x:v>22</x:v>
      </x:c>
      <x:c r="H135" s="17" t="n">
        <x:v>17</x:v>
      </x:c>
      <x:c r="I135" s="17" t="n">
        <x:v>5</x:v>
      </x:c>
      <x:c r="J135" s="17" t="n">
        <x:v>25</x:v>
      </x:c>
      <x:c r="K135" s="17" t="n">
        <x:v>675854</x:v>
      </x:c>
      <x:c r="L135" s="17" t="n">
        <x:v>680854</x:v>
      </x:c>
      <x:c r="M135" s="17" t="n">
        <x:v>5000</x:v>
      </x:c>
      <x:c r="N135" s="17" t="n">
        <x:v>165</x:v>
      </x:c>
      <x:c r="O135" s="17" t="n">
        <x:v>165</x:v>
      </x:c>
      <x:c r="P135" s="17" t="n">
        <x:v>0</x:v>
      </x:c>
      <x:c r="Q135" s="17" t="str">
        <x:v>Coin + Energy</x:v>
      </x:c>
      <x:c r="R135" s="18" t="str">
        <x:v>/Users/mac/Documents/智囊团/video_analysis/Top_Tycoon新号流程_20260804/frames/TT_NEW_06/TT_NEW_06_t000474.jpg</x:v>
      </x:c>
      <x:c r="S135" s="17" t="str">
        <x:v>00:07:58</x:v>
      </x:c>
      <x:c r="T135" s="17" t="str">
        <x:v>待复核</x:v>
      </x:c>
      <x:c r="U135" s="17" t="str">
        <x:v>B</x:v>
      </x:c>
      <x:c r="V135" s="17" t="str">
        <x:v>由逐秒能量变化推断；快速自动Spin可能需4fps补核</x:v>
      </x:c>
      <x:c r="W135" s="17" t="str">
        <x:v>混合奖励</x:v>
      </x:c>
      <x:c r="X135" s="17" t="str">
        <x:v>是</x:v>
      </x:c>
      <x:c r="Y135" s="17" t="str">
        <x:v>否</x:v>
      </x:c>
      <x:c r="Z135" s="17" t="str">
        <x:v>未知</x:v>
      </x:c>
      <x:c r="AA135" s="17" t="str">
        <x:v>未知</x:v>
      </x:c>
      <x:c r="AB135" s="17" t="str">
        <x:v>否</x:v>
      </x:c>
    </x:row>
    <x:row r="136">
      <x:c r="A136" s="17" t="str">
        <x:v>TT_NEW_06</x:v>
      </x:c>
      <x:c r="B136" s="17" t="str">
        <x:v>TT_NEW_06_S0044</x:v>
      </x:c>
      <x:c r="C136" s="17" t="str">
        <x:v>00:07:58</x:v>
      </x:c>
      <x:c r="D136" s="17" t="n">
        <x:v>478</x:v>
      </x:c>
      <x:c r="E136" s="17" t="n">
        <x:v>1</x:v>
      </x:c>
      <x:c r="F136" s="17" t="n">
        <x:v>5</x:v>
      </x:c>
      <x:c r="G136" s="17" t="n">
        <x:v>42</x:v>
      </x:c>
      <x:c r="H136" s="17" t="n">
        <x:v>37</x:v>
      </x:c>
      <x:c r="I136" s="17" t="n">
        <x:v>5</x:v>
      </x:c>
      <x:c r="J136" s="17" t="n">
        <x:v>0</x:v>
      </x:c>
      <x:c r="K136" s="17" t="n">
        <x:v>680854</x:v>
      </x:c>
      <x:c r="L136" s="17" t="n">
        <x:v>834054</x:v>
      </x:c>
      <x:c r="M136" s="17" t="n">
        <x:v>153200</x:v>
      </x:c>
      <x:c r="N136" s="17" t="n">
        <x:v>165</x:v>
      </x:c>
      <x:c r="O136" s="17" t="n">
        <x:v>165</x:v>
      </x:c>
      <x:c r="P136" s="17" t="n">
        <x:v>0</x:v>
      </x:c>
      <x:c r="Q136" s="17" t="str">
        <x:v>Attack</x:v>
      </x:c>
      <x:c r="R136" s="18" t="str">
        <x:v>/Users/mac/Documents/智囊团/video_analysis/Top_Tycoon新号流程_20260804/frames/TT_NEW_06/TT_NEW_06_t000478.jpg</x:v>
      </x:c>
      <x:c r="S136" s="17" t="str">
        <x:v>00:08:22</x:v>
      </x:c>
      <x:c r="T136" s="17" t="str">
        <x:v>待复核</x:v>
      </x:c>
      <x:c r="U136" s="17" t="str">
        <x:v>B</x:v>
      </x:c>
      <x:c r="V136" s="17" t="str">
        <x:v>由逐秒能量变化推断；快速自动Spin可能需4fps补核</x:v>
      </x:c>
      <x:c r="W136" s="17" t="str">
        <x:v>Attack</x:v>
      </x:c>
      <x:c r="X136" s="17" t="str">
        <x:v>是</x:v>
      </x:c>
      <x:c r="Y136" s="17" t="str">
        <x:v>否</x:v>
      </x:c>
      <x:c r="Z136" s="17" t="str">
        <x:v>未知</x:v>
      </x:c>
      <x:c r="AA136" s="17" t="str">
        <x:v>未知</x:v>
      </x:c>
      <x:c r="AB136" s="17" t="str">
        <x:v>否</x:v>
      </x:c>
    </x:row>
    <x:row r="137">
      <x:c r="A137" s="17" t="str">
        <x:v>TT_NEW_06</x:v>
      </x:c>
      <x:c r="B137" s="17" t="str">
        <x:v>TT_NEW_06_S0045</x:v>
      </x:c>
      <x:c r="C137" s="17" t="str">
        <x:v>00:08:22</x:v>
      </x:c>
      <x:c r="D137" s="17" t="n">
        <x:v>502</x:v>
      </x:c>
      <x:c r="E137" s="17" t="n">
        <x:v>1</x:v>
      </x:c>
      <x:c r="F137" s="17" t="n">
        <x:v>5</x:v>
      </x:c>
      <x:c r="G137" s="17" t="n">
        <x:v>37</x:v>
      </x:c>
      <x:c r="H137" s="17" t="n">
        <x:v>32</x:v>
      </x:c>
      <x:c r="I137" s="17" t="n">
        <x:v>5</x:v>
      </x:c>
      <x:c r="J137" s="17" t="n">
        <x:v>0</x:v>
      </x:c>
      <x:c r="K137" s="17" t="n">
        <x:v>834054</x:v>
      </x:c>
      <x:c r="L137" s="17" t="n">
        <x:v>834054</x:v>
      </x:c>
      <x:c r="M137" s="17" t="n">
        <x:v>0</x:v>
      </x:c>
      <x:c r="N137" s="17" t="n">
        <x:v>165</x:v>
      </x:c>
      <x:c r="O137" s="17" t="n">
        <x:v>165</x:v>
      </x:c>
      <x:c r="P137" s="17" t="n">
        <x:v>0</x:v>
      </x:c>
      <x:c r="Q137" s="17" t="str">
        <x:v>Empty / no visible reward</x:v>
      </x:c>
      <x:c r="R137" s="18" t="str">
        <x:v>/Users/mac/Documents/智囊团/video_analysis/Top_Tycoon新号流程_20260804/evidence/event_supplements/TT_NEW_06_000500_4fps_contact.jpg</x:v>
      </x:c>
      <x:c r="S137" s="17" t="str">
        <x:v>00:08:24</x:v>
      </x:c>
      <x:c r="T137" s="17" t="str">
        <x:v>已确认</x:v>
      </x:c>
      <x:c r="U137" s="17" t="str">
        <x:v>A</x:v>
      </x:c>
      <x:c r="V137" s="17" t="str">
        <x:v>4fps事件补核，画面与余额前后值已人工复核</x:v>
      </x:c>
      <x:c r="W137" s="17" t="str">
        <x:v>空奖</x:v>
      </x:c>
      <x:c r="X137" s="17" t="str">
        <x:v>是</x:v>
      </x:c>
      <x:c r="Y137" s="17" t="str">
        <x:v>否</x:v>
      </x:c>
      <x:c r="Z137" s="17" t="str">
        <x:v>未知</x:v>
      </x:c>
      <x:c r="AA137" s="17" t="str">
        <x:v>未知</x:v>
      </x:c>
      <x:c r="AB137" s="17" t="str">
        <x:v>否</x:v>
      </x:c>
    </x:row>
    <x:row r="138">
      <x:c r="A138" s="17" t="str">
        <x:v>TT_NEW_06</x:v>
      </x:c>
      <x:c r="B138" s="17" t="str">
        <x:v>TT_NEW_06_S0046</x:v>
      </x:c>
      <x:c r="C138" s="17" t="str">
        <x:v>00:08:24</x:v>
      </x:c>
      <x:c r="D138" s="17" t="n">
        <x:v>504</x:v>
      </x:c>
      <x:c r="E138" s="17" t="n">
        <x:v>1</x:v>
      </x:c>
      <x:c r="F138" s="17" t="n">
        <x:v>5</x:v>
      </x:c>
      <x:c r="G138" s="17" t="n">
        <x:v>32</x:v>
      </x:c>
      <x:c r="H138" s="17" t="n">
        <x:v>27</x:v>
      </x:c>
      <x:c r="I138" s="17" t="n">
        <x:v>5</x:v>
      </x:c>
      <x:c r="J138" s="17" t="n">
        <x:v>0</x:v>
      </x:c>
      <x:c r="K138" s="17" t="n">
        <x:v>834054</x:v>
      </x:c>
      <x:c r="L138" s="17" t="n">
        <x:v>858397</x:v>
      </x:c>
      <x:c r="M138" s="17" t="n">
        <x:v>24343</x:v>
      </x:c>
      <x:c r="N138" s="17" t="n">
        <x:v>165</x:v>
      </x:c>
      <x:c r="O138" s="17" t="n">
        <x:v>165</x:v>
      </x:c>
      <x:c r="P138" s="17" t="n">
        <x:v>0</x:v>
      </x:c>
      <x:c r="Q138" s="17" t="str">
        <x:v>Coin</x:v>
      </x:c>
      <x:c r="R138" s="18" t="str">
        <x:v>/Users/mac/Documents/智囊团/video_analysis/Top_Tycoon新号流程_20260804/frames/TT_NEW_06/TT_NEW_06_t000504.jpg</x:v>
      </x:c>
      <x:c r="S138" s="17" t="str">
        <x:v>00:08:26</x:v>
      </x:c>
      <x:c r="T138" s="17" t="str">
        <x:v>待复核</x:v>
      </x:c>
      <x:c r="U138" s="17" t="str">
        <x:v>B</x:v>
      </x:c>
      <x:c r="V138" s="17" t="str">
        <x:v>由逐秒能量变化推断；快速自动Spin可能需4fps补核</x:v>
      </x:c>
      <x:c r="W138" s="17" t="str">
        <x:v>纯金币</x:v>
      </x:c>
      <x:c r="X138" s="17" t="str">
        <x:v>是</x:v>
      </x:c>
      <x:c r="Y138" s="17" t="str">
        <x:v>否</x:v>
      </x:c>
      <x:c r="Z138" s="17" t="str">
        <x:v>未知</x:v>
      </x:c>
      <x:c r="AA138" s="17" t="str">
        <x:v>未知</x:v>
      </x:c>
      <x:c r="AB138" s="17" t="str">
        <x:v>否</x:v>
      </x:c>
    </x:row>
    <x:row r="139">
      <x:c r="A139" s="17" t="str">
        <x:v>TT_NEW_06</x:v>
      </x:c>
      <x:c r="B139" s="17" t="str">
        <x:v>TT_NEW_06_S0047</x:v>
      </x:c>
      <x:c r="C139" s="17" t="str">
        <x:v>00:08:26</x:v>
      </x:c>
      <x:c r="D139" s="17" t="n">
        <x:v>506</x:v>
      </x:c>
      <x:c r="E139" s="17" t="n">
        <x:v>1</x:v>
      </x:c>
      <x:c r="F139" s="17" t="n">
        <x:v>5</x:v>
      </x:c>
      <x:c r="G139" s="17" t="n">
        <x:v>27</x:v>
      </x:c>
      <x:c r="H139" s="17" t="n">
        <x:v>22</x:v>
      </x:c>
      <x:c r="I139" s="17" t="n">
        <x:v>5</x:v>
      </x:c>
      <x:c r="J139" s="17" t="n">
        <x:v>0</x:v>
      </x:c>
      <x:c r="K139" s="17" t="n">
        <x:v>834054</x:v>
      </x:c>
      <x:c r="L139" s="17" t="n">
        <x:v>884054</x:v>
      </x:c>
      <x:c r="M139" s="17" t="n">
        <x:v>50000</x:v>
      </x:c>
      <x:c r="N139" s="17" t="n">
        <x:v>165</x:v>
      </x:c>
      <x:c r="O139" s="17" t="n">
        <x:v>165</x:v>
      </x:c>
      <x:c r="P139" s="17" t="n">
        <x:v>0</x:v>
      </x:c>
      <x:c r="Q139" s="17" t="str">
        <x:v>Coin</x:v>
      </x:c>
      <x:c r="R139" s="18" t="str">
        <x:v>/Users/mac/Documents/智囊团/video_analysis/Top_Tycoon新号流程_20260804/frames/TT_NEW_06/TT_NEW_06_t000506.jpg</x:v>
      </x:c>
      <x:c r="S139" s="17" t="str">
        <x:v>00:08:30</x:v>
      </x:c>
      <x:c r="T139" s="17" t="str">
        <x:v>待复核</x:v>
      </x:c>
      <x:c r="U139" s="17" t="str">
        <x:v>B</x:v>
      </x:c>
      <x:c r="V139" s="17" t="str">
        <x:v>由逐秒能量变化推断；快速自动Spin可能需4fps补核</x:v>
      </x:c>
      <x:c r="W139" s="17" t="str">
        <x:v>纯金币</x:v>
      </x:c>
      <x:c r="X139" s="17" t="str">
        <x:v>是</x:v>
      </x:c>
      <x:c r="Y139" s="17" t="str">
        <x:v>否</x:v>
      </x:c>
      <x:c r="Z139" s="17" t="str">
        <x:v>未知</x:v>
      </x:c>
      <x:c r="AA139" s="17" t="str">
        <x:v>未知</x:v>
      </x:c>
      <x:c r="AB139" s="17" t="str">
        <x:v>否</x:v>
      </x:c>
    </x:row>
    <x:row r="140">
      <x:c r="A140" s="17" t="str">
        <x:v>TT_NEW_06</x:v>
      </x:c>
      <x:c r="B140" s="17" t="str">
        <x:v>TT_NEW_06_S0048</x:v>
      </x:c>
      <x:c r="C140" s="17" t="str">
        <x:v>00:08:30</x:v>
      </x:c>
      <x:c r="D140" s="17" t="n">
        <x:v>510</x:v>
      </x:c>
      <x:c r="E140" s="17" t="n">
        <x:v>1</x:v>
      </x:c>
      <x:c r="F140" s="17" t="n">
        <x:v>5</x:v>
      </x:c>
      <x:c r="G140" s="17" t="n">
        <x:v>22</x:v>
      </x:c>
      <x:c r="H140" s="17" t="n">
        <x:v>17</x:v>
      </x:c>
      <x:c r="I140" s="17" t="n">
        <x:v>5</x:v>
      </x:c>
      <x:c r="J140" s="17" t="n">
        <x:v>0</x:v>
      </x:c>
      <x:c r="K140" s="17" t="n">
        <x:v>866543</x:v>
      </x:c>
      <x:c r="L140" s="17" t="n">
        <x:v>886554</x:v>
      </x:c>
      <x:c r="M140" s="17" t="n">
        <x:v>20011</x:v>
      </x:c>
      <x:c r="N140" s="17" t="n">
        <x:v>165</x:v>
      </x:c>
      <x:c r="O140" s="17" t="n">
        <x:v>165</x:v>
      </x:c>
      <x:c r="P140" s="17" t="n">
        <x:v>0</x:v>
      </x:c>
      <x:c r="Q140" s="17" t="str">
        <x:v>Coin</x:v>
      </x:c>
      <x:c r="R140" s="18" t="str">
        <x:v>/Users/mac/Documents/智囊团/video_analysis/Top_Tycoon新号流程_20260804/frames/TT_NEW_06/TT_NEW_06_t000510.jpg</x:v>
      </x:c>
      <x:c r="S140" s="17" t="str">
        <x:v>00:08:32</x:v>
      </x:c>
      <x:c r="T140" s="17" t="str">
        <x:v>待复核</x:v>
      </x:c>
      <x:c r="U140" s="17" t="str">
        <x:v>B</x:v>
      </x:c>
      <x:c r="V140" s="17" t="str">
        <x:v>由逐秒能量变化推断；快速自动Spin可能需4fps补核</x:v>
      </x:c>
      <x:c r="W140" s="17" t="str">
        <x:v>纯金币</x:v>
      </x:c>
      <x:c r="X140" s="17" t="str">
        <x:v>是</x:v>
      </x:c>
      <x:c r="Y140" s="17" t="str">
        <x:v>否</x:v>
      </x:c>
      <x:c r="Z140" s="17" t="str">
        <x:v>未知</x:v>
      </x:c>
      <x:c r="AA140" s="17" t="str">
        <x:v>未知</x:v>
      </x:c>
      <x:c r="AB140" s="17" t="str">
        <x:v>否</x:v>
      </x:c>
    </x:row>
    <x:row r="141">
      <x:c r="A141" s="17" t="str">
        <x:v>TT_NEW_06</x:v>
      </x:c>
      <x:c r="B141" s="17" t="str">
        <x:v>TT_NEW_06_S0049</x:v>
      </x:c>
      <x:c r="C141" s="17" t="str">
        <x:v>00:08:32</x:v>
      </x:c>
      <x:c r="D141" s="17" t="n">
        <x:v>512</x:v>
      </x:c>
      <x:c r="E141" s="17" t="n">
        <x:v>1</x:v>
      </x:c>
      <x:c r="F141" s="17" t="n">
        <x:v>5</x:v>
      </x:c>
      <x:c r="G141" s="17" t="n">
        <x:v>17</x:v>
      </x:c>
      <x:c r="H141" s="17" t="n">
        <x:v>12</x:v>
      </x:c>
      <x:c r="I141" s="17" t="n">
        <x:v>5</x:v>
      </x:c>
      <x:c r="J141" s="17" t="n">
        <x:v>0</x:v>
      </x:c>
      <x:c r="K141" s="17" t="n">
        <x:v>884054</x:v>
      </x:c>
      <x:c r="L141" s="17" t="n">
        <x:v>886554</x:v>
      </x:c>
      <x:c r="M141" s="17" t="n">
        <x:v>2500</x:v>
      </x:c>
      <x:c r="N141" s="17" t="n">
        <x:v>165</x:v>
      </x:c>
      <x:c r="O141" s="17" t="n">
        <x:v>165</x:v>
      </x:c>
      <x:c r="P141" s="17" t="n">
        <x:v>0</x:v>
      </x:c>
      <x:c r="Q141" s="17" t="str">
        <x:v>Coin</x:v>
      </x:c>
      <x:c r="R141" s="18" t="str">
        <x:v>/Users/mac/Documents/智囊团/video_analysis/Top_Tycoon新号流程_20260804/frames/TT_NEW_06/TT_NEW_06_t000512.jpg</x:v>
      </x:c>
      <x:c r="S141" s="17" t="str">
        <x:v>00:08:34</x:v>
      </x:c>
      <x:c r="T141" s="17" t="str">
        <x:v>待复核</x:v>
      </x:c>
      <x:c r="U141" s="17" t="str">
        <x:v>B</x:v>
      </x:c>
      <x:c r="V141" s="17" t="str">
        <x:v>由逐秒能量变化推断；快速自动Spin可能需4fps补核</x:v>
      </x:c>
      <x:c r="W141" s="17" t="str">
        <x:v>纯金币</x:v>
      </x:c>
      <x:c r="X141" s="17" t="str">
        <x:v>是</x:v>
      </x:c>
      <x:c r="Y141" s="17" t="str">
        <x:v>否</x:v>
      </x:c>
      <x:c r="Z141" s="17" t="str">
        <x:v>未知</x:v>
      </x:c>
      <x:c r="AA141" s="17" t="str">
        <x:v>未知</x:v>
      </x:c>
      <x:c r="AB141" s="17" t="str">
        <x:v>否</x:v>
      </x:c>
    </x:row>
  </x:sheetData>
  <x:pageMargins left="0.7" right="0.7" top="0.75" bottom="0.75" header="0.3" footer="0.3"/>
  <x:tableParts count="1">
    <x:tablePart xmlns:r="http://schemas.openxmlformats.org/officeDocument/2006/relationships" r:id="Rf12de8b4ea77471b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5" hidden="0" customWidth="1"/>
    <x:col min="3" max="3" width="12" hidden="0" customWidth="1"/>
    <x:col min="4" max="4" width="12" hidden="0" customWidth="1"/>
    <x:col min="5" max="5" width="24" hidden="0" customWidth="1"/>
    <x:col min="6" max="6" width="22" hidden="0" customWidth="1"/>
    <x:col min="7" max="7" width="30" hidden="0" customWidth="1"/>
    <x:col min="8" max="8" width="16" hidden="0" customWidth="1"/>
    <x:col min="9" max="9" width="16" hidden="0" customWidth="1"/>
    <x:col min="10" max="10" width="16" hidden="0" customWidth="1"/>
    <x:col min="11" max="11" width="28" hidden="0" customWidth="1"/>
    <x:col min="12" max="12" width="15" hidden="0" customWidth="1"/>
    <x:col min="13" max="13" width="40" hidden="0" customWidth="1"/>
    <x:col min="14" max="14" width="15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9" hidden="0" customWidth="1"/>
    <x:col min="20" max="20" width="16" hidden="0" customWidth="1"/>
    <x:col min="21" max="21" width="72" hidden="0" customWidth="1"/>
    <x:col min="22" max="22" width="72" hidden="0" customWidth="1"/>
    <x:col min="23" max="23" width="13" hidden="0" customWidth="1"/>
    <x:col min="24" max="24" width="11" hidden="0" customWidth="1"/>
    <x:col min="25" max="25" width="60" hidden="0" customWidth="1"/>
  </x:cols>
  <x:sheetData>
    <x:row r="1" ht="30" customHeight="1">
      <x:c r="A1" s="14" t="str">
        <x:v>build_event_id</x:v>
      </x:c>
      <x:c r="B1" s="15" t="str">
        <x:v>video_id</x:v>
      </x:c>
      <x:c r="C1" s="15" t="str">
        <x:v>timestamp</x:v>
      </x:c>
      <x:c r="D1" s="15" t="str">
        <x:v>frame_index</x:v>
      </x:c>
      <x:c r="E1" s="15" t="str">
        <x:v>plot_building_id</x:v>
      </x:c>
      <x:c r="F1" s="15" t="str">
        <x:v>chapter_region</x:v>
      </x:c>
      <x:c r="G1" s="15" t="str">
        <x:v>build_type</x:v>
      </x:c>
      <x:c r="H1" s="15" t="str">
        <x:v>coin_before</x:v>
      </x:c>
      <x:c r="I1" s="15" t="str">
        <x:v>coin_after</x:v>
      </x:c>
      <x:c r="J1" s="15" t="str">
        <x:v>coin_cost</x:v>
      </x:c>
      <x:c r="K1" s="15" t="str">
        <x:v>unlock_condition</x:v>
      </x:c>
      <x:c r="L1" s="15" t="str">
        <x:v>build_duration_seconds</x:v>
      </x:c>
      <x:c r="M1" s="15" t="str">
        <x:v>output</x:v>
      </x:c>
      <x:c r="N1" s="15" t="str">
        <x:v>depletion_event</x:v>
      </x:c>
      <x:c r="O1" s="15" t="str">
        <x:v>progress_before</x:v>
      </x:c>
      <x:c r="P1" s="15" t="str">
        <x:v>progress_after</x:v>
      </x:c>
      <x:c r="Q1" s="15" t="str">
        <x:v>progress_target</x:v>
      </x:c>
      <x:c r="R1" s="15" t="str">
        <x:v>progress_delta</x:v>
      </x:c>
      <x:c r="S1" s="15" t="str">
        <x:v>coins_per_progress</x:v>
      </x:c>
      <x:c r="T1" s="15" t="str">
        <x:v>usable_for_curve</x:v>
      </x:c>
      <x:c r="U1" s="15" t="str">
        <x:v>evidence_before</x:v>
      </x:c>
      <x:c r="V1" s="15" t="str">
        <x:v>evidence_after</x:v>
      </x:c>
      <x:c r="W1" s="15" t="str">
        <x:v>status</x:v>
      </x:c>
      <x:c r="X1" s="15" t="str">
        <x:v>confidence</x:v>
      </x:c>
      <x:c r="Y1" s="16" t="str">
        <x:v>notes</x:v>
      </x:c>
    </x:row>
    <x:row r="2">
      <x:c r="A2" s="17" t="str">
        <x:v>BLD_01_001</x:v>
      </x:c>
      <x:c r="B2" s="17" t="str">
        <x:v>TT_NEW_01</x:v>
      </x:c>
      <x:c r="C2" s="17" t="str">
        <x:v>00:00:10</x:v>
      </x:c>
      <x:c r="D2" s="17" t="n">
        <x:v>10</x:v>
      </x:c>
      <x:c r="E2" s="17" t="str">
        <x:v>SITE_WINDOW_01_001</x:v>
      </x:c>
      <x:c r="F2" s="17" t="str">
        <x:v>THRILLTOPIA</x:v>
      </x:c>
      <x:c r="G2" s="17" t="str">
        <x:v>10秒建造/Site task 批次</x:v>
      </x:c>
      <x:c r="H2" s="19" t="n">
        <x:v>7110</x:v>
      </x:c>
      <x:c r="I2" s="19" t="n">
        <x:v>345</x:v>
      </x:c>
      <x:c r="J2" s="19" t="n">
        <x:v>6765</x:v>
      </x:c>
      <x:c r="K2" s="17" t="str">
        <x:v>录屏未展示完整前置</x:v>
      </x:c>
      <x:c r="L2" s="17" t="n">
        <x:v>10</x:v>
      </x:c>
      <x:c r="M2" s="17" t="str">
        <x:v>Site task/区域进度；10秒窗内逐次增量不可分</x:v>
      </x:c>
      <x:c r="N2" s="17" t="str">
        <x:v>是</x:v>
      </x:c>
      <x:c r="O2" s="20"/>
      <x:c r="P2" s="20"/>
      <x:c r="Q2" s="20"/>
      <x:c r="R2" s="20"/>
      <x:c r="S2" s="20"/>
      <x:c r="T2" s="17" t="str">
        <x:v>否</x:v>
      </x:c>
      <x:c r="U2" s="18" t="str">
        <x:v>/Users/mac/Documents/智囊团/video_analysis/Top_Tycoon新号流程_20260804/frames/TT_NEW_01/TT_NEW_01_t000000.jpg</x:v>
      </x:c>
      <x:c r="V2" s="18" t="str">
        <x:v>/Users/mac/Documents/智囊团/video_analysis/Top_Tycoon新号流程_20260804/frames/TT_NEW_01/TT_NEW_01_t000010.jpg</x:v>
      </x:c>
      <x:c r="W2" s="17" t="str">
        <x:v>待复核</x:v>
      </x:c>
      <x:c r="X2" s="17" t="str">
        <x:v>C</x:v>
      </x:c>
      <x:c r="Y2" s="17" t="str">
        <x:v>固定1fps证据中的10秒边界快照：7110→345；差额是窗口总消耗，不等同单次点击成本。</x:v>
      </x:c>
    </x:row>
    <x:row r="3">
      <x:c r="A3" s="17" t="str">
        <x:v>BLD_01_002</x:v>
      </x:c>
      <x:c r="B3" s="17" t="str">
        <x:v>TT_NEW_01</x:v>
      </x:c>
      <x:c r="C3" s="17" t="str">
        <x:v>00:01:20</x:v>
      </x:c>
      <x:c r="D3" s="17" t="n">
        <x:v>80</x:v>
      </x:c>
      <x:c r="E3" s="17" t="str">
        <x:v>SITE_WINDOW_01_002</x:v>
      </x:c>
      <x:c r="F3" s="17" t="str">
        <x:v>THRILLTOPIA</x:v>
      </x:c>
      <x:c r="G3" s="17" t="str">
        <x:v>10秒建造/Site task 批次</x:v>
      </x:c>
      <x:c r="H3" s="19" t="n">
        <x:v>10124</x:v>
      </x:c>
      <x:c r="I3" s="19" t="n">
        <x:v>474</x:v>
      </x:c>
      <x:c r="J3" s="19" t="n">
        <x:v>9650</x:v>
      </x:c>
      <x:c r="K3" s="17" t="str">
        <x:v>录屏未展示完整前置</x:v>
      </x:c>
      <x:c r="L3" s="17" t="n">
        <x:v>10</x:v>
      </x:c>
      <x:c r="M3" s="17" t="str">
        <x:v>Site task/区域进度；10秒窗内逐次增量不可分</x:v>
      </x:c>
      <x:c r="N3" s="17" t="str">
        <x:v>是</x:v>
      </x:c>
      <x:c r="O3" s="20"/>
      <x:c r="P3" s="20"/>
      <x:c r="Q3" s="20"/>
      <x:c r="R3" s="20"/>
      <x:c r="S3" s="20"/>
      <x:c r="T3" s="17" t="str">
        <x:v>否</x:v>
      </x:c>
      <x:c r="U3" s="18" t="str">
        <x:v>/Users/mac/Documents/智囊团/video_analysis/Top_Tycoon新号流程_20260804/frames/TT_NEW_01/TT_NEW_01_t000070.jpg</x:v>
      </x:c>
      <x:c r="V3" s="18" t="str">
        <x:v>/Users/mac/Documents/智囊团/video_analysis/Top_Tycoon新号流程_20260804/frames/TT_NEW_01/TT_NEW_01_t000080.jpg</x:v>
      </x:c>
      <x:c r="W3" s="17" t="str">
        <x:v>待复核</x:v>
      </x:c>
      <x:c r="X3" s="17" t="str">
        <x:v>C</x:v>
      </x:c>
      <x:c r="Y3" s="17" t="str">
        <x:v>固定1fps证据中的10秒边界快照：10124→474；差额是窗口总消耗，不等同单次点击成本。</x:v>
      </x:c>
    </x:row>
    <x:row r="4">
      <x:c r="A4" s="17" t="str">
        <x:v>BLD_01_003</x:v>
      </x:c>
      <x:c r="B4" s="17" t="str">
        <x:v>TT_NEW_01</x:v>
      </x:c>
      <x:c r="C4" s="17" t="str">
        <x:v>00:04:10</x:v>
      </x:c>
      <x:c r="D4" s="17" t="n">
        <x:v>250</x:v>
      </x:c>
      <x:c r="E4" s="17" t="str">
        <x:v>SITE_WINDOW_01_003</x:v>
      </x:c>
      <x:c r="F4" s="17" t="str">
        <x:v>Freefall</x:v>
      </x:c>
      <x:c r="G4" s="17" t="str">
        <x:v>10秒建造/Site task 批次</x:v>
      </x:c>
      <x:c r="H4" s="19" t="n">
        <x:v>1591</x:v>
      </x:c>
      <x:c r="I4" s="19" t="n">
        <x:v>1563</x:v>
      </x:c>
      <x:c r="J4" s="19" t="n">
        <x:v>28</x:v>
      </x:c>
      <x:c r="K4" s="17" t="str">
        <x:v>录屏未展示完整前置</x:v>
      </x:c>
      <x:c r="L4" s="17" t="n">
        <x:v>10</x:v>
      </x:c>
      <x:c r="M4" s="17" t="str">
        <x:v>区域进度 30,000→31,000/54,000</x:v>
      </x:c>
      <x:c r="N4" s="17" t="str">
        <x:v>否</x:v>
      </x:c>
      <x:c r="O4" s="20" t="n">
        <x:v>30000</x:v>
      </x:c>
      <x:c r="P4" s="20" t="n">
        <x:v>31000</x:v>
      </x:c>
      <x:c r="Q4" s="20" t="n">
        <x:v>54000</x:v>
      </x:c>
      <x:c r="R4" s="20" t="n">
        <x:v>1000</x:v>
      </x:c>
      <x:c r="S4" s="20" t="n">
        <x:v>0.028</x:v>
      </x:c>
      <x:c r="T4" s="17" t="str">
        <x:v>是</x:v>
      </x:c>
      <x:c r="U4" s="18" t="str">
        <x:v>/Users/mac/Documents/智囊团/video_analysis/Top_Tycoon新号流程_20260804/frames/TT_NEW_01/TT_NEW_01_t000240.jpg</x:v>
      </x:c>
      <x:c r="V4" s="18" t="str">
        <x:v>/Users/mac/Documents/智囊团/video_analysis/Top_Tycoon新号流程_20260804/frames/TT_NEW_01/TT_NEW_01_t000250.jpg</x:v>
      </x:c>
      <x:c r="W4" s="17" t="str">
        <x:v>推算</x:v>
      </x:c>
      <x:c r="X4" s="17" t="str">
        <x:v>B</x:v>
      </x:c>
      <x:c r="Y4" s="17" t="str">
        <x:v>固定1fps证据中的10秒边界快照：1,591→1,563；差额是窗口总消耗，不等同单次点击成本。</x:v>
      </x:c>
    </x:row>
    <x:row r="5">
      <x:c r="A5" s="17" t="str">
        <x:v>BLD_01_004</x:v>
      </x:c>
      <x:c r="B5" s="17" t="str">
        <x:v>TT_NEW_01</x:v>
      </x:c>
      <x:c r="C5" s="17" t="str">
        <x:v>00:04:20</x:v>
      </x:c>
      <x:c r="D5" s="17" t="n">
        <x:v>260</x:v>
      </x:c>
      <x:c r="E5" s="17" t="str">
        <x:v>SITE_WINDOW_01_004</x:v>
      </x:c>
      <x:c r="F5" s="17" t="str">
        <x:v>Freefall</x:v>
      </x:c>
      <x:c r="G5" s="17" t="str">
        <x:v>10秒建造/Site task 批次</x:v>
      </x:c>
      <x:c r="H5" s="19" t="n">
        <x:v>1563</x:v>
      </x:c>
      <x:c r="I5" s="19" t="n">
        <x:v>1241</x:v>
      </x:c>
      <x:c r="J5" s="19" t="n">
        <x:v>322</x:v>
      </x:c>
      <x:c r="K5" s="17" t="str">
        <x:v>录屏未展示完整前置</x:v>
      </x:c>
      <x:c r="L5" s="17" t="n">
        <x:v>10</x:v>
      </x:c>
      <x:c r="M5" s="17" t="str">
        <x:v>区域进度 31,000→37,000/54,000</x:v>
      </x:c>
      <x:c r="N5" s="17" t="str">
        <x:v>否</x:v>
      </x:c>
      <x:c r="O5" s="20" t="n">
        <x:v>31000</x:v>
      </x:c>
      <x:c r="P5" s="20" t="n">
        <x:v>37000</x:v>
      </x:c>
      <x:c r="Q5" s="20" t="n">
        <x:v>54000</x:v>
      </x:c>
      <x:c r="R5" s="20" t="n">
        <x:v>6000</x:v>
      </x:c>
      <x:c r="S5" s="20" t="n">
        <x:v>0.0537</x:v>
      </x:c>
      <x:c r="T5" s="17" t="str">
        <x:v>是</x:v>
      </x:c>
      <x:c r="U5" s="18" t="str">
        <x:v>/Users/mac/Documents/智囊团/video_analysis/Top_Tycoon新号流程_20260804/frames/TT_NEW_01/TT_NEW_01_t000250.jpg</x:v>
      </x:c>
      <x:c r="V5" s="18" t="str">
        <x:v>/Users/mac/Documents/智囊团/video_analysis/Top_Tycoon新号流程_20260804/frames/TT_NEW_01/TT_NEW_01_t000260.jpg</x:v>
      </x:c>
      <x:c r="W5" s="17" t="str">
        <x:v>推算</x:v>
      </x:c>
      <x:c r="X5" s="17" t="str">
        <x:v>B</x:v>
      </x:c>
      <x:c r="Y5" s="17" t="str">
        <x:v>固定1fps证据中的10秒边界快照：1,563→1,241；差额是窗口总消耗，不等同单次点击成本。</x:v>
      </x:c>
    </x:row>
    <x:row r="6">
      <x:c r="A6" s="17" t="str">
        <x:v>BLD_01_005</x:v>
      </x:c>
      <x:c r="B6" s="17" t="str">
        <x:v>TT_NEW_01</x:v>
      </x:c>
      <x:c r="C6" s="17" t="str">
        <x:v>00:04:30</x:v>
      </x:c>
      <x:c r="D6" s="17" t="n">
        <x:v>270</x:v>
      </x:c>
      <x:c r="E6" s="17" t="str">
        <x:v>SITE_WINDOW_01_005</x:v>
      </x:c>
      <x:c r="F6" s="17" t="str">
        <x:v>Freefall</x:v>
      </x:c>
      <x:c r="G6" s="17" t="str">
        <x:v>10秒建造/Site task 批次</x:v>
      </x:c>
      <x:c r="H6" s="19" t="n">
        <x:v>1241</x:v>
      </x:c>
      <x:c r="I6" s="19" t="n">
        <x:v>231</x:v>
      </x:c>
      <x:c r="J6" s="19" t="n">
        <x:v>1010</x:v>
      </x:c>
      <x:c r="K6" s="17" t="str">
        <x:v>录屏未展示完整前置</x:v>
      </x:c>
      <x:c r="L6" s="17" t="n">
        <x:v>10</x:v>
      </x:c>
      <x:c r="M6" s="17" t="str">
        <x:v>Site task/区域进度；10秒窗内逐次增量不可分</x:v>
      </x:c>
      <x:c r="N6" s="17" t="str">
        <x:v>否</x:v>
      </x:c>
      <x:c r="O6" s="20"/>
      <x:c r="P6" s="20"/>
      <x:c r="Q6" s="20"/>
      <x:c r="R6" s="20"/>
      <x:c r="S6" s="20"/>
      <x:c r="T6" s="17" t="str">
        <x:v>否</x:v>
      </x:c>
      <x:c r="U6" s="18" t="str">
        <x:v>/Users/mac/Documents/智囊团/video_analysis/Top_Tycoon新号流程_20260804/frames/TT_NEW_01/TT_NEW_01_t000260.jpg</x:v>
      </x:c>
      <x:c r="V6" s="18" t="str">
        <x:v>/Users/mac/Documents/智囊团/video_analysis/Top_Tycoon新号流程_20260804/frames/TT_NEW_01/TT_NEW_01_t000270.jpg</x:v>
      </x:c>
      <x:c r="W6" s="17" t="str">
        <x:v>待复核</x:v>
      </x:c>
      <x:c r="X6" s="17" t="str">
        <x:v>C</x:v>
      </x:c>
      <x:c r="Y6" s="17" t="str">
        <x:v>固定1fps证据中的10秒边界快照：1,241→231；差额是窗口总消耗，不等同单次点击成本。</x:v>
      </x:c>
    </x:row>
    <x:row r="7">
      <x:c r="A7" s="17" t="str">
        <x:v>BLD_01_006</x:v>
      </x:c>
      <x:c r="B7" s="17" t="str">
        <x:v>TT_NEW_01</x:v>
      </x:c>
      <x:c r="C7" s="17" t="str">
        <x:v>00:05:00</x:v>
      </x:c>
      <x:c r="D7" s="17" t="n">
        <x:v>300</x:v>
      </x:c>
      <x:c r="E7" s="17" t="str">
        <x:v>SITE_WINDOW_01_006</x:v>
      </x:c>
      <x:c r="F7" s="17" t="str">
        <x:v>Freefall</x:v>
      </x:c>
      <x:c r="G7" s="17" t="str">
        <x:v>10秒建造/Site task 批次</x:v>
      </x:c>
      <x:c r="H7" s="19" t="n">
        <x:v>3101</x:v>
      </x:c>
      <x:c r="I7" s="19" t="n">
        <x:v>2190</x:v>
      </x:c>
      <x:c r="J7" s="19" t="n">
        <x:v>911</x:v>
      </x:c>
      <x:c r="K7" s="17" t="str">
        <x:v>录屏未展示完整前置</x:v>
      </x:c>
      <x:c r="L7" s="17" t="n">
        <x:v>10</x:v>
      </x:c>
      <x:c r="M7" s="17" t="str">
        <x:v>区域进度 47,000→51,000/54,000</x:v>
      </x:c>
      <x:c r="N7" s="17" t="str">
        <x:v>否</x:v>
      </x:c>
      <x:c r="O7" s="20" t="n">
        <x:v>47000</x:v>
      </x:c>
      <x:c r="P7" s="20" t="n">
        <x:v>51000</x:v>
      </x:c>
      <x:c r="Q7" s="20" t="n">
        <x:v>54000</x:v>
      </x:c>
      <x:c r="R7" s="20" t="n">
        <x:v>4000</x:v>
      </x:c>
      <x:c r="S7" s="20" t="n">
        <x:v>0.2278</x:v>
      </x:c>
      <x:c r="T7" s="17" t="str">
        <x:v>是</x:v>
      </x:c>
      <x:c r="U7" s="18" t="str">
        <x:v>/Users/mac/Documents/智囊团/video_analysis/Top_Tycoon新号流程_20260804/frames/TT_NEW_01/TT_NEW_01_t000290.jpg</x:v>
      </x:c>
      <x:c r="V7" s="18" t="str">
        <x:v>/Users/mac/Documents/智囊团/video_analysis/Top_Tycoon新号流程_20260804/frames/TT_NEW_01/TT_NEW_01_t000300.jpg</x:v>
      </x:c>
      <x:c r="W7" s="17" t="str">
        <x:v>推算</x:v>
      </x:c>
      <x:c r="X7" s="17" t="str">
        <x:v>B</x:v>
      </x:c>
      <x:c r="Y7" s="17" t="str">
        <x:v>固定1fps证据中的10秒边界快照：3,101→2,190；差额是窗口总消耗，不等同单次点击成本。</x:v>
      </x:c>
    </x:row>
    <x:row r="8">
      <x:c r="A8" s="17" t="str">
        <x:v>BLD_03_001</x:v>
      </x:c>
      <x:c r="B8" s="17" t="str">
        <x:v>TT_NEW_03</x:v>
      </x:c>
      <x:c r="C8" s="17" t="str">
        <x:v>00:00:10</x:v>
      </x:c>
      <x:c r="D8" s="17" t="n">
        <x:v>10</x:v>
      </x:c>
      <x:c r="E8" s="17" t="str">
        <x:v>SITE_WINDOW_03_001</x:v>
      </x:c>
      <x:c r="F8" s="17" t="str">
        <x:v>Sky Plunge</x:v>
      </x:c>
      <x:c r="G8" s="17" t="str">
        <x:v>10秒建造/Site task 批次</x:v>
      </x:c>
      <x:c r="H8" s="19" t="n">
        <x:v>920054</x:v>
      </x:c>
      <x:c r="I8" s="19" t="n">
        <x:v>85724</x:v>
      </x:c>
      <x:c r="J8" s="19" t="n">
        <x:v>834330</x:v>
      </x:c>
      <x:c r="K8" s="17" t="str">
        <x:v>录屏未展示完整前置</x:v>
      </x:c>
      <x:c r="L8" s="17" t="n">
        <x:v>10</x:v>
      </x:c>
      <x:c r="M8" s="17" t="str">
        <x:v>区域进度 38,000→0/57,000</x:v>
      </x:c>
      <x:c r="N8" s="17" t="str">
        <x:v>是</x:v>
      </x:c>
      <x:c r="O8" s="20" t="n">
        <x:v>38000</x:v>
      </x:c>
      <x:c r="P8" s="20" t="n">
        <x:v>0</x:v>
      </x:c>
      <x:c r="Q8" s="20" t="n">
        <x:v>57000</x:v>
      </x:c>
      <x:c r="R8" s="20" t="n">
        <x:v>-38000</x:v>
      </x:c>
      <x:c r="S8" s="20"/>
      <x:c r="T8" s="17" t="str">
        <x:v>否</x:v>
      </x:c>
      <x:c r="U8" s="18" t="str">
        <x:v>/Users/mac/Documents/智囊团/video_analysis/Top_Tycoon新号流程_20260804/frames/TT_NEW_03/TT_NEW_03_t000000.jpg</x:v>
      </x:c>
      <x:c r="V8" s="18" t="str">
        <x:v>/Users/mac/Documents/智囊团/video_analysis/Top_Tycoon新号流程_20260804/frames/TT_NEW_03/TT_NEW_03_t000010.jpg</x:v>
      </x:c>
      <x:c r="W8" s="17" t="str">
        <x:v>待复核</x:v>
      </x:c>
      <x:c r="X8" s="17" t="str">
        <x:v>C</x:v>
      </x:c>
      <x:c r="Y8" s="17" t="str">
        <x:v>固定1fps证据中的10秒边界快照：920,054→85,724；差额是窗口总消耗，不等同单次点击成本。</x:v>
      </x:c>
    </x:row>
    <x:row r="9">
      <x:c r="A9" s="17" t="str">
        <x:v>BLD_03_002</x:v>
      </x:c>
      <x:c r="B9" s="17" t="str">
        <x:v>TT_NEW_03</x:v>
      </x:c>
      <x:c r="C9" s="17" t="str">
        <x:v>00:10:40</x:v>
      </x:c>
      <x:c r="D9" s="17" t="n">
        <x:v>640</x:v>
      </x:c>
      <x:c r="E9" s="17" t="str">
        <x:v>SITE_WINDOW_03_002</x:v>
      </x:c>
      <x:c r="F9" s="17" t="str">
        <x:v>Sky Plunge</x:v>
      </x:c>
      <x:c r="G9" s="17" t="str">
        <x:v>10秒建造/Site task 批次</x:v>
      </x:c>
      <x:c r="H9" s="19" t="n">
        <x:v>1354336</x:v>
      </x:c>
      <x:c r="I9" s="19" t="n">
        <x:v>774</x:v>
      </x:c>
      <x:c r="J9" s="19" t="n">
        <x:v>1353562</x:v>
      </x:c>
      <x:c r="K9" s="17" t="str">
        <x:v>录屏未展示完整前置</x:v>
      </x:c>
      <x:c r="L9" s="17" t="n">
        <x:v>10</x:v>
      </x:c>
      <x:c r="M9" s="17" t="str">
        <x:v>区域进度 51,000→57,000/57,000</x:v>
      </x:c>
      <x:c r="N9" s="17" t="str">
        <x:v>否</x:v>
      </x:c>
      <x:c r="O9" s="20" t="n">
        <x:v>51000</x:v>
      </x:c>
      <x:c r="P9" s="20" t="n">
        <x:v>57000</x:v>
      </x:c>
      <x:c r="Q9" s="20" t="n">
        <x:v>57000</x:v>
      </x:c>
      <x:c r="R9" s="20" t="n">
        <x:v>6000</x:v>
      </x:c>
      <x:c r="S9" s="20" t="n">
        <x:v>225.5937</x:v>
      </x:c>
      <x:c r="T9" s="17" t="str">
        <x:v>是</x:v>
      </x:c>
      <x:c r="U9" s="18" t="str">
        <x:v>/Users/mac/Documents/智囊团/video_analysis/Top_Tycoon新号流程_20260804/frames/TT_NEW_03/TT_NEW_03_t000630.jpg</x:v>
      </x:c>
      <x:c r="V9" s="18" t="str">
        <x:v>/Users/mac/Documents/智囊团/video_analysis/Top_Tycoon新号流程_20260804/frames/TT_NEW_03/TT_NEW_03_t000640.jpg</x:v>
      </x:c>
      <x:c r="W9" s="17" t="str">
        <x:v>推算</x:v>
      </x:c>
      <x:c r="X9" s="17" t="str">
        <x:v>B</x:v>
      </x:c>
      <x:c r="Y9" s="17" t="str">
        <x:v>固定1fps证据中的10秒边界快照：1,354,336→774；差额是窗口总消耗，不等同单次点击成本。</x:v>
      </x:c>
    </x:row>
    <x:row r="10">
      <x:c r="A10" s="17" t="str">
        <x:v>BLD_03_003</x:v>
      </x:c>
      <x:c r="B10" s="17" t="str">
        <x:v>TT_NEW_03</x:v>
      </x:c>
      <x:c r="C10" s="17" t="str">
        <x:v>00:12:10</x:v>
      </x:c>
      <x:c r="D10" s="17" t="n">
        <x:v>730</x:v>
      </x:c>
      <x:c r="E10" s="17" t="str">
        <x:v>SITE_WINDOW_03_003</x:v>
      </x:c>
      <x:c r="F10" s="17" t="str">
        <x:v>Thermal Soar</x:v>
      </x:c>
      <x:c r="G10" s="17" t="str">
        <x:v>10秒建造/Site task 批次</x:v>
      </x:c>
      <x:c r="H10" s="19" t="n">
        <x:v>121893</x:v>
      </x:c>
      <x:c r="I10" s="19" t="n">
        <x:v>114574</x:v>
      </x:c>
      <x:c r="J10" s="19" t="n">
        <x:v>7319</x:v>
      </x:c>
      <x:c r="K10" s="17" t="str">
        <x:v>录屏未展示完整前置</x:v>
      </x:c>
      <x:c r="L10" s="17" t="n">
        <x:v>10</x:v>
      </x:c>
      <x:c r="M10" s="17" t="str">
        <x:v>区域进度 0→0/29,000</x:v>
      </x:c>
      <x:c r="N10" s="17" t="str">
        <x:v>否</x:v>
      </x:c>
      <x:c r="O10" s="20" t="n">
        <x:v>0</x:v>
      </x:c>
      <x:c r="P10" s="20" t="n">
        <x:v>0</x:v>
      </x:c>
      <x:c r="Q10" s="20" t="n">
        <x:v>29000</x:v>
      </x:c>
      <x:c r="R10" s="20" t="n">
        <x:v>0</x:v>
      </x:c>
      <x:c r="S10" s="20"/>
      <x:c r="T10" s="17" t="str">
        <x:v>否</x:v>
      </x:c>
      <x:c r="U10" s="18" t="str">
        <x:v>/Users/mac/Documents/智囊团/video_analysis/Top_Tycoon新号流程_20260804/frames/TT_NEW_03/TT_NEW_03_t000720.jpg</x:v>
      </x:c>
      <x:c r="V10" s="18" t="str">
        <x:v>/Users/mac/Documents/智囊团/video_analysis/Top_Tycoon新号流程_20260804/frames/TT_NEW_03/TT_NEW_03_t000730.jpg</x:v>
      </x:c>
      <x:c r="W10" s="17" t="str">
        <x:v>待复核</x:v>
      </x:c>
      <x:c r="X10" s="17" t="str">
        <x:v>C</x:v>
      </x:c>
      <x:c r="Y10" s="17" t="str">
        <x:v>固定1fps证据中的10秒边界快照：121,893→114,574；差额是窗口总消耗，不等同单次点击成本。</x:v>
      </x:c>
    </x:row>
    <x:row r="11">
      <x:c r="A11" s="17" t="str">
        <x:v>BLD_03_004</x:v>
      </x:c>
      <x:c r="B11" s="17" t="str">
        <x:v>TT_NEW_03</x:v>
      </x:c>
      <x:c r="C11" s="17" t="str">
        <x:v>00:20:30</x:v>
      </x:c>
      <x:c r="D11" s="17" t="n">
        <x:v>1230</x:v>
      </x:c>
      <x:c r="E11" s="17" t="str">
        <x:v>SITE_WINDOW_03_004</x:v>
      </x:c>
      <x:c r="F11" s="17" t="str">
        <x:v>区域名待复核</x:v>
      </x:c>
      <x:c r="G11" s="17" t="str">
        <x:v>10秒建造/Site task 批次</x:v>
      </x:c>
      <x:c r="H11" s="19" t="n">
        <x:v>2618640</x:v>
      </x:c>
      <x:c r="I11" s="19" t="n">
        <x:v>2567250</x:v>
      </x:c>
      <x:c r="J11" s="19" t="n">
        <x:v>51390</x:v>
      </x:c>
      <x:c r="K11" s="17" t="str">
        <x:v>录屏未展示完整前置</x:v>
      </x:c>
      <x:c r="L11" s="17" t="n">
        <x:v>10</x:v>
      </x:c>
      <x:c r="M11" s="17" t="str">
        <x:v>Site task/区域进度；10秒窗内逐次增量不可分</x:v>
      </x:c>
      <x:c r="N11" s="17" t="str">
        <x:v>否</x:v>
      </x:c>
      <x:c r="O11" s="20"/>
      <x:c r="P11" s="20"/>
      <x:c r="Q11" s="20"/>
      <x:c r="R11" s="20"/>
      <x:c r="S11" s="20"/>
      <x:c r="T11" s="17" t="str">
        <x:v>否</x:v>
      </x:c>
      <x:c r="U11" s="18" t="str">
        <x:v>/Users/mac/Documents/智囊团/video_analysis/Top_Tycoon新号流程_20260804/frames/TT_NEW_03/TT_NEW_03_t001220.jpg</x:v>
      </x:c>
      <x:c r="V11" s="18" t="str">
        <x:v>/Users/mac/Documents/智囊团/video_analysis/Top_Tycoon新号流程_20260804/frames/TT_NEW_03/TT_NEW_03_t001230.jpg</x:v>
      </x:c>
      <x:c r="W11" s="17" t="str">
        <x:v>待复核</x:v>
      </x:c>
      <x:c r="X11" s="17" t="str">
        <x:v>C</x:v>
      </x:c>
      <x:c r="Y11" s="17" t="str">
        <x:v>固定1fps证据中的10秒边界快照：2,618,640→2,567,250；差额是窗口总消耗，不等同单次点击成本。</x:v>
      </x:c>
    </x:row>
    <x:row r="12">
      <x:c r="A12" s="17" t="str">
        <x:v>BLD_03_005</x:v>
      </x:c>
      <x:c r="B12" s="17" t="str">
        <x:v>TT_NEW_03</x:v>
      </x:c>
      <x:c r="C12" s="17" t="str">
        <x:v>00:21:00</x:v>
      </x:c>
      <x:c r="D12" s="17" t="n">
        <x:v>1260</x:v>
      </x:c>
      <x:c r="E12" s="17" t="str">
        <x:v>SITE_WINDOW_03_005</x:v>
      </x:c>
      <x:c r="F12" s="17" t="str">
        <x:v>Thermal Soar</x:v>
      </x:c>
      <x:c r="G12" s="17" t="str">
        <x:v>10秒建造/Site task 批次</x:v>
      </x:c>
      <x:c r="H12" s="19" t="n">
        <x:v>2434436</x:v>
      </x:c>
      <x:c r="I12" s="19" t="n">
        <x:v>327888</x:v>
      </x:c>
      <x:c r="J12" s="19" t="n">
        <x:v>2106548</x:v>
      </x:c>
      <x:c r="K12" s="17" t="str">
        <x:v>录屏未展示完整前置</x:v>
      </x:c>
      <x:c r="L12" s="17" t="n">
        <x:v>10</x:v>
      </x:c>
      <x:c r="M12" s="17" t="str">
        <x:v>Site task/区域进度；10秒窗内逐次增量不可分</x:v>
      </x:c>
      <x:c r="N12" s="17" t="str">
        <x:v>否</x:v>
      </x:c>
      <x:c r="O12" s="20"/>
      <x:c r="P12" s="20"/>
      <x:c r="Q12" s="20"/>
      <x:c r="R12" s="20"/>
      <x:c r="S12" s="20"/>
      <x:c r="T12" s="17" t="str">
        <x:v>否</x:v>
      </x:c>
      <x:c r="U12" s="18" t="str">
        <x:v>/Users/mac/Documents/智囊团/video_analysis/Top_Tycoon新号流程_20260804/frames/TT_NEW_03/TT_NEW_03_t001250.jpg</x:v>
      </x:c>
      <x:c r="V12" s="18" t="str">
        <x:v>/Users/mac/Documents/智囊团/video_analysis/Top_Tycoon新号流程_20260804/frames/TT_NEW_03/TT_NEW_03_t001260.jpg</x:v>
      </x:c>
      <x:c r="W12" s="17" t="str">
        <x:v>待复核</x:v>
      </x:c>
      <x:c r="X12" s="17" t="str">
        <x:v>C</x:v>
      </x:c>
      <x:c r="Y12" s="17" t="str">
        <x:v>固定1fps证据中的10秒边界快照：2,434,436→327,888；差额是窗口总消耗，不等同单次点击成本。</x:v>
      </x:c>
    </x:row>
    <x:row r="13">
      <x:c r="A13" s="17" t="str">
        <x:v>BLD_03_006</x:v>
      </x:c>
      <x:c r="B13" s="17" t="str">
        <x:v>TT_NEW_03</x:v>
      </x:c>
      <x:c r="C13" s="17" t="str">
        <x:v>00:22:00</x:v>
      </x:c>
      <x:c r="D13" s="17" t="n">
        <x:v>1320</x:v>
      </x:c>
      <x:c r="E13" s="17" t="str">
        <x:v>SITE_WINDOW_03_006</x:v>
      </x:c>
      <x:c r="F13" s="17" t="str">
        <x:v>Fable Haven</x:v>
      </x:c>
      <x:c r="G13" s="17" t="str">
        <x:v>10秒建造/Site task 批次</x:v>
      </x:c>
      <x:c r="H13" s="19" t="n">
        <x:v>2112404</x:v>
      </x:c>
      <x:c r="I13" s="19" t="n">
        <x:v>2111860</x:v>
      </x:c>
      <x:c r="J13" s="19" t="n">
        <x:v>544</x:v>
      </x:c>
      <x:c r="K13" s="17" t="str">
        <x:v>录屏未展示完整前置</x:v>
      </x:c>
      <x:c r="L13" s="17" t="n">
        <x:v>10</x:v>
      </x:c>
      <x:c r="M13" s="17" t="str">
        <x:v>区域进度 0→1,000/64,000</x:v>
      </x:c>
      <x:c r="N13" s="17" t="str">
        <x:v>否</x:v>
      </x:c>
      <x:c r="O13" s="20" t="n">
        <x:v>0</x:v>
      </x:c>
      <x:c r="P13" s="20" t="n">
        <x:v>1000</x:v>
      </x:c>
      <x:c r="Q13" s="20" t="n">
        <x:v>64000</x:v>
      </x:c>
      <x:c r="R13" s="20" t="n">
        <x:v>1000</x:v>
      </x:c>
      <x:c r="S13" s="20" t="n">
        <x:v>0.544</x:v>
      </x:c>
      <x:c r="T13" s="17" t="str">
        <x:v>是</x:v>
      </x:c>
      <x:c r="U13" s="18" t="str">
        <x:v>/Users/mac/Documents/智囊团/video_analysis/Top_Tycoon新号流程_20260804/frames/TT_NEW_03/TT_NEW_03_t001310.jpg</x:v>
      </x:c>
      <x:c r="V13" s="18" t="str">
        <x:v>/Users/mac/Documents/智囊团/video_analysis/Top_Tycoon新号流程_20260804/frames/TT_NEW_03/TT_NEW_03_t001320.jpg</x:v>
      </x:c>
      <x:c r="W13" s="17" t="str">
        <x:v>推算</x:v>
      </x:c>
      <x:c r="X13" s="17" t="str">
        <x:v>B</x:v>
      </x:c>
      <x:c r="Y13" s="17" t="str">
        <x:v>固定1fps证据中的10秒边界快照：2,112,404→2,111,860；差额是窗口总消耗，不等同单次点击成本。</x:v>
      </x:c>
    </x:row>
    <x:row r="14">
      <x:c r="A14" s="17" t="str">
        <x:v>BLD_03_007</x:v>
      </x:c>
      <x:c r="B14" s="17" t="str">
        <x:v>TT_NEW_03</x:v>
      </x:c>
      <x:c r="C14" s="17" t="str">
        <x:v>00:22:10</x:v>
      </x:c>
      <x:c r="D14" s="17" t="n">
        <x:v>1330</x:v>
      </x:c>
      <x:c r="E14" s="17" t="str">
        <x:v>SITE_WINDOW_03_007</x:v>
      </x:c>
      <x:c r="F14" s="17" t="str">
        <x:v>Fable Haven</x:v>
      </x:c>
      <x:c r="G14" s="17" t="str">
        <x:v>10秒建造/Site task 批次</x:v>
      </x:c>
      <x:c r="H14" s="19" t="n">
        <x:v>2111860</x:v>
      </x:c>
      <x:c r="I14" s="19" t="n">
        <x:v>2078487</x:v>
      </x:c>
      <x:c r="J14" s="19" t="n">
        <x:v>33373</x:v>
      </x:c>
      <x:c r="K14" s="17" t="str">
        <x:v>录屏未展示完整前置</x:v>
      </x:c>
      <x:c r="L14" s="17" t="n">
        <x:v>10</x:v>
      </x:c>
      <x:c r="M14" s="17" t="str">
        <x:v>区域进度 1,000→12,000/64,000</x:v>
      </x:c>
      <x:c r="N14" s="17" t="str">
        <x:v>否</x:v>
      </x:c>
      <x:c r="O14" s="20" t="n">
        <x:v>1000</x:v>
      </x:c>
      <x:c r="P14" s="20" t="n">
        <x:v>12000</x:v>
      </x:c>
      <x:c r="Q14" s="20" t="n">
        <x:v>64000</x:v>
      </x:c>
      <x:c r="R14" s="20" t="n">
        <x:v>11000</x:v>
      </x:c>
      <x:c r="S14" s="20" t="n">
        <x:v>3.0339</x:v>
      </x:c>
      <x:c r="T14" s="17" t="str">
        <x:v>是</x:v>
      </x:c>
      <x:c r="U14" s="18" t="str">
        <x:v>/Users/mac/Documents/智囊团/video_analysis/Top_Tycoon新号流程_20260804/frames/TT_NEW_03/TT_NEW_03_t001320.jpg</x:v>
      </x:c>
      <x:c r="V14" s="18" t="str">
        <x:v>/Users/mac/Documents/智囊团/video_analysis/Top_Tycoon新号流程_20260804/frames/TT_NEW_03/TT_NEW_03_t001330.jpg</x:v>
      </x:c>
      <x:c r="W14" s="17" t="str">
        <x:v>推算</x:v>
      </x:c>
      <x:c r="X14" s="17" t="str">
        <x:v>B</x:v>
      </x:c>
      <x:c r="Y14" s="17" t="str">
        <x:v>固定1fps证据中的10秒边界快照：2,111,860→2,078,487；差额是窗口总消耗，不等同单次点击成本。</x:v>
      </x:c>
    </x:row>
    <x:row r="15">
      <x:c r="A15" s="17" t="str">
        <x:v>BLD_03_008</x:v>
      </x:c>
      <x:c r="B15" s="17" t="str">
        <x:v>TT_NEW_03</x:v>
      </x:c>
      <x:c r="C15" s="17" t="str">
        <x:v>00:22:20</x:v>
      </x:c>
      <x:c r="D15" s="17" t="n">
        <x:v>1340</x:v>
      </x:c>
      <x:c r="E15" s="17" t="str">
        <x:v>SITE_WINDOW_03_008</x:v>
      </x:c>
      <x:c r="F15" s="17" t="str">
        <x:v>Fable Haven</x:v>
      </x:c>
      <x:c r="G15" s="17" t="str">
        <x:v>10秒建造/Site task 批次</x:v>
      </x:c>
      <x:c r="H15" s="19" t="n">
        <x:v>2078487</x:v>
      </x:c>
      <x:c r="I15" s="19" t="n">
        <x:v>1925976</x:v>
      </x:c>
      <x:c r="J15" s="19" t="n">
        <x:v>152511</x:v>
      </x:c>
      <x:c r="K15" s="17" t="str">
        <x:v>录屏未展示完整前置</x:v>
      </x:c>
      <x:c r="L15" s="17" t="n">
        <x:v>10</x:v>
      </x:c>
      <x:c r="M15" s="17" t="str">
        <x:v>区域进度 12,000→19,000/64,000</x:v>
      </x:c>
      <x:c r="N15" s="17" t="str">
        <x:v>否</x:v>
      </x:c>
      <x:c r="O15" s="20" t="n">
        <x:v>12000</x:v>
      </x:c>
      <x:c r="P15" s="20" t="n">
        <x:v>19000</x:v>
      </x:c>
      <x:c r="Q15" s="20" t="n">
        <x:v>64000</x:v>
      </x:c>
      <x:c r="R15" s="20" t="n">
        <x:v>7000</x:v>
      </x:c>
      <x:c r="S15" s="20" t="n">
        <x:v>21.7873</x:v>
      </x:c>
      <x:c r="T15" s="17" t="str">
        <x:v>是</x:v>
      </x:c>
      <x:c r="U15" s="18" t="str">
        <x:v>/Users/mac/Documents/智囊团/video_analysis/Top_Tycoon新号流程_20260804/frames/TT_NEW_03/TT_NEW_03_t001330.jpg</x:v>
      </x:c>
      <x:c r="V15" s="18" t="str">
        <x:v>/Users/mac/Documents/智囊团/video_analysis/Top_Tycoon新号流程_20260804/frames/TT_NEW_03/TT_NEW_03_t001340.jpg</x:v>
      </x:c>
      <x:c r="W15" s="17" t="str">
        <x:v>推算</x:v>
      </x:c>
      <x:c r="X15" s="17" t="str">
        <x:v>B</x:v>
      </x:c>
      <x:c r="Y15" s="17" t="str">
        <x:v>固定1fps证据中的10秒边界快照：2,078,487→1,925,976；差额是窗口总消耗，不等同单次点击成本。</x:v>
      </x:c>
    </x:row>
    <x:row r="16">
      <x:c r="A16" s="17" t="str">
        <x:v>BLD_03_009</x:v>
      </x:c>
      <x:c r="B16" s="17" t="str">
        <x:v>TT_NEW_03</x:v>
      </x:c>
      <x:c r="C16" s="17" t="str">
        <x:v>00:22:30</x:v>
      </x:c>
      <x:c r="D16" s="17" t="n">
        <x:v>1350</x:v>
      </x:c>
      <x:c r="E16" s="17" t="str">
        <x:v>SITE_WINDOW_03_009</x:v>
      </x:c>
      <x:c r="F16" s="17" t="str">
        <x:v>Fable Haven</x:v>
      </x:c>
      <x:c r="G16" s="17" t="str">
        <x:v>10秒建造/Site task 批次</x:v>
      </x:c>
      <x:c r="H16" s="19" t="n">
        <x:v>1925976</x:v>
      </x:c>
      <x:c r="I16" s="19" t="n">
        <x:v>112211</x:v>
      </x:c>
      <x:c r="J16" s="19" t="n">
        <x:v>1813765</x:v>
      </x:c>
      <x:c r="K16" s="17" t="str">
        <x:v>录屏未展示完整前置</x:v>
      </x:c>
      <x:c r="L16" s="17" t="n">
        <x:v>10</x:v>
      </x:c>
      <x:c r="M16" s="17" t="str">
        <x:v>区域进度 19,000→36,000/64,000</x:v>
      </x:c>
      <x:c r="N16" s="17" t="str">
        <x:v>否</x:v>
      </x:c>
      <x:c r="O16" s="20" t="n">
        <x:v>19000</x:v>
      </x:c>
      <x:c r="P16" s="20" t="n">
        <x:v>36000</x:v>
      </x:c>
      <x:c r="Q16" s="20" t="n">
        <x:v>64000</x:v>
      </x:c>
      <x:c r="R16" s="20" t="n">
        <x:v>17000</x:v>
      </x:c>
      <x:c r="S16" s="20"/>
      <x:c r="T16" s="17" t="str">
        <x:v>否</x:v>
      </x:c>
      <x:c r="U16" s="18" t="str">
        <x:v>/Users/mac/Documents/智囊团/video_analysis/Top_Tycoon新号流程_20260804/frames/TT_NEW_03/TT_NEW_03_t001340.jpg</x:v>
      </x:c>
      <x:c r="V16" s="18" t="str">
        <x:v>/Users/mac/Documents/智囊团/video_analysis/Top_Tycoon新号流程_20260804/frames/TT_NEW_03/TT_NEW_03_t001350.jpg</x:v>
      </x:c>
      <x:c r="W16" s="17" t="str">
        <x:v>待复核</x:v>
      </x:c>
      <x:c r="X16" s="17" t="str">
        <x:v>C</x:v>
      </x:c>
      <x:c r="Y16" s="17" t="str">
        <x:v>固定1fps证据中的10秒边界快照：1,925,976→1,122,11；差额是窗口总消耗，不等同单次点击成本。</x:v>
      </x:c>
    </x:row>
    <x:row r="17">
      <x:c r="A17" s="17" t="str">
        <x:v>BLD_03_010</x:v>
      </x:c>
      <x:c r="B17" s="17" t="str">
        <x:v>TT_NEW_03</x:v>
      </x:c>
      <x:c r="C17" s="17" t="str">
        <x:v>00:23:00</x:v>
      </x:c>
      <x:c r="D17" s="17" t="n">
        <x:v>1380</x:v>
      </x:c>
      <x:c r="E17" s="17" t="str">
        <x:v>SITE_WINDOW_03_010</x:v>
      </x:c>
      <x:c r="F17" s="17" t="str">
        <x:v>Fable Haven</x:v>
      </x:c>
      <x:c r="G17" s="17" t="str">
        <x:v>10秒建造/Site task 批次</x:v>
      </x:c>
      <x:c r="H17" s="19" t="n">
        <x:v>610738</x:v>
      </x:c>
      <x:c r="I17" s="19" t="n">
        <x:v>515518</x:v>
      </x:c>
      <x:c r="J17" s="19" t="n">
        <x:v>95220</x:v>
      </x:c>
      <x:c r="K17" s="17" t="str">
        <x:v>录屏未展示完整前置</x:v>
      </x:c>
      <x:c r="L17" s="17" t="n">
        <x:v>10</x:v>
      </x:c>
      <x:c r="M17" s="17" t="str">
        <x:v>Site task/区域进度；10秒窗内逐次增量不可分</x:v>
      </x:c>
      <x:c r="N17" s="17" t="str">
        <x:v>否</x:v>
      </x:c>
      <x:c r="O17" s="20"/>
      <x:c r="P17" s="20"/>
      <x:c r="Q17" s="20"/>
      <x:c r="R17" s="20"/>
      <x:c r="S17" s="20"/>
      <x:c r="T17" s="17" t="str">
        <x:v>否</x:v>
      </x:c>
      <x:c r="U17" s="18" t="str">
        <x:v>/Users/mac/Documents/智囊团/video_analysis/Top_Tycoon新号流程_20260804/frames/TT_NEW_03/TT_NEW_03_t001370.jpg</x:v>
      </x:c>
      <x:c r="V17" s="18" t="str">
        <x:v>/Users/mac/Documents/智囊团/video_analysis/Top_Tycoon新号流程_20260804/frames/TT_NEW_03/TT_NEW_03_t001380.jpg</x:v>
      </x:c>
      <x:c r="W17" s="17" t="str">
        <x:v>待复核</x:v>
      </x:c>
      <x:c r="X17" s="17" t="str">
        <x:v>C</x:v>
      </x:c>
      <x:c r="Y17" s="17" t="str">
        <x:v>固定1fps证据中的10秒边界快照：610,738→515,518；差额是窗口总消耗，不等同单次点击成本。</x:v>
      </x:c>
    </x:row>
    <x:row r="18">
      <x:c r="A18" s="17" t="str">
        <x:v>BLD_03_011</x:v>
      </x:c>
      <x:c r="B18" s="17" t="str">
        <x:v>TT_NEW_03</x:v>
      </x:c>
      <x:c r="C18" s="17" t="str">
        <x:v>00:23:10</x:v>
      </x:c>
      <x:c r="D18" s="17" t="n">
        <x:v>1390</x:v>
      </x:c>
      <x:c r="E18" s="17" t="str">
        <x:v>SITE_WINDOW_03_011</x:v>
      </x:c>
      <x:c r="F18" s="17" t="str">
        <x:v>Fable Haven</x:v>
      </x:c>
      <x:c r="G18" s="17" t="str">
        <x:v>10秒建造/Site task 批次</x:v>
      </x:c>
      <x:c r="H18" s="19" t="n">
        <x:v>515518</x:v>
      </x:c>
      <x:c r="I18" s="19" t="n">
        <x:v>149433</x:v>
      </x:c>
      <x:c r="J18" s="19" t="n">
        <x:v>366085</x:v>
      </x:c>
      <x:c r="K18" s="17" t="str">
        <x:v>录屏未展示完整前置</x:v>
      </x:c>
      <x:c r="L18" s="17" t="n">
        <x:v>10</x:v>
      </x:c>
      <x:c r="M18" s="17" t="str">
        <x:v>Site task/区域进度；10秒窗内逐次增量不可分</x:v>
      </x:c>
      <x:c r="N18" s="17" t="str">
        <x:v>是</x:v>
      </x:c>
      <x:c r="O18" s="20"/>
      <x:c r="P18" s="20"/>
      <x:c r="Q18" s="20"/>
      <x:c r="R18" s="20"/>
      <x:c r="S18" s="20"/>
      <x:c r="T18" s="17" t="str">
        <x:v>否</x:v>
      </x:c>
      <x:c r="U18" s="18" t="str">
        <x:v>/Users/mac/Documents/智囊团/video_analysis/Top_Tycoon新号流程_20260804/frames/TT_NEW_03/TT_NEW_03_t001380.jpg</x:v>
      </x:c>
      <x:c r="V18" s="18" t="str">
        <x:v>/Users/mac/Documents/智囊团/video_analysis/Top_Tycoon新号流程_20260804/frames/TT_NEW_03/TT_NEW_03_t001390.jpg</x:v>
      </x:c>
      <x:c r="W18" s="17" t="str">
        <x:v>待复核</x:v>
      </x:c>
      <x:c r="X18" s="17" t="str">
        <x:v>C</x:v>
      </x:c>
      <x:c r="Y18" s="17" t="str">
        <x:v>固定1fps证据中的10秒边界快照：515,518→149,433；差额是窗口总消耗，不等同单次点击成本。</x:v>
      </x:c>
    </x:row>
    <x:row r="19">
      <x:c r="A19" s="17" t="str">
        <x:v>BLD_03_012</x:v>
      </x:c>
      <x:c r="B19" s="17" t="str">
        <x:v>TT_NEW_03</x:v>
      </x:c>
      <x:c r="C19" s="17" t="str">
        <x:v>00:51:00</x:v>
      </x:c>
      <x:c r="D19" s="17" t="n">
        <x:v>3060</x:v>
      </x:c>
      <x:c r="E19" s="17" t="str">
        <x:v>SITE_WINDOW_03_012</x:v>
      </x:c>
      <x:c r="F19" s="17" t="str">
        <x:v>Fable Haven</x:v>
      </x:c>
      <x:c r="G19" s="17" t="str">
        <x:v>10秒建造/Site task 批次</x:v>
      </x:c>
      <x:c r="H19" s="19" t="n">
        <x:v>16479320</x:v>
      </x:c>
      <x:c r="I19" s="19" t="n">
        <x:v>14382841</x:v>
      </x:c>
      <x:c r="J19" s="19" t="n">
        <x:v>2096479</x:v>
      </x:c>
      <x:c r="K19" s="17" t="str">
        <x:v>录屏未展示完整前置</x:v>
      </x:c>
      <x:c r="L19" s="17" t="n">
        <x:v>10</x:v>
      </x:c>
      <x:c r="M19" s="17" t="str">
        <x:v>区域进度 54,000→62,000/64,000</x:v>
      </x:c>
      <x:c r="N19" s="17" t="str">
        <x:v>否</x:v>
      </x:c>
      <x:c r="O19" s="20" t="n">
        <x:v>54000</x:v>
      </x:c>
      <x:c r="P19" s="20" t="n">
        <x:v>62000</x:v>
      </x:c>
      <x:c r="Q19" s="20" t="n">
        <x:v>64000</x:v>
      </x:c>
      <x:c r="R19" s="20" t="n">
        <x:v>8000</x:v>
      </x:c>
      <x:c r="S19" s="20" t="n">
        <x:v>262.0599</x:v>
      </x:c>
      <x:c r="T19" s="17" t="str">
        <x:v>是</x:v>
      </x:c>
      <x:c r="U19" s="18" t="str">
        <x:v>/Users/mac/Documents/智囊团/video_analysis/Top_Tycoon新号流程_20260804/frames/TT_NEW_03/TT_NEW_03_t003050.jpg</x:v>
      </x:c>
      <x:c r="V19" s="18" t="str">
        <x:v>/Users/mac/Documents/智囊团/video_analysis/Top_Tycoon新号流程_20260804/frames/TT_NEW_03/TT_NEW_03_t003060.jpg</x:v>
      </x:c>
      <x:c r="W19" s="17" t="str">
        <x:v>推算</x:v>
      </x:c>
      <x:c r="X19" s="17" t="str">
        <x:v>B</x:v>
      </x:c>
      <x:c r="Y19" s="17" t="str">
        <x:v>固定1fps证据中的10秒边界快照：16,479,320→14,382,841；差额是窗口总消耗，不等同单次点击成本。</x:v>
      </x:c>
    </x:row>
    <x:row r="20">
      <x:c r="A20" s="17" t="str">
        <x:v>BLD_03_013</x:v>
      </x:c>
      <x:c r="B20" s="17" t="str">
        <x:v>TT_NEW_03</x:v>
      </x:c>
      <x:c r="C20" s="17" t="str">
        <x:v>00:51:10</x:v>
      </x:c>
      <x:c r="D20" s="17" t="n">
        <x:v>3070</x:v>
      </x:c>
      <x:c r="E20" s="17" t="str">
        <x:v>SITE_WINDOW_03_013</x:v>
      </x:c>
      <x:c r="F20" s="17" t="str">
        <x:v>Fable Haven</x:v>
      </x:c>
      <x:c r="G20" s="17" t="str">
        <x:v>10秒建造/Site task 批次</x:v>
      </x:c>
      <x:c r="H20" s="19" t="n">
        <x:v>14382841</x:v>
      </x:c>
      <x:c r="I20" s="19" t="n">
        <x:v>13960985</x:v>
      </x:c>
      <x:c r="J20" s="19" t="n">
        <x:v>421856</x:v>
      </x:c>
      <x:c r="K20" s="17" t="str">
        <x:v>录屏未展示完整前置</x:v>
      </x:c>
      <x:c r="L20" s="17" t="n">
        <x:v>10</x:v>
      </x:c>
      <x:c r="M20" s="17" t="str">
        <x:v>区域进度 62,000→63,000/64,000</x:v>
      </x:c>
      <x:c r="N20" s="17" t="str">
        <x:v>否</x:v>
      </x:c>
      <x:c r="O20" s="20" t="n">
        <x:v>62000</x:v>
      </x:c>
      <x:c r="P20" s="20" t="n">
        <x:v>63000</x:v>
      </x:c>
      <x:c r="Q20" s="20" t="n">
        <x:v>64000</x:v>
      </x:c>
      <x:c r="R20" s="20" t="n">
        <x:v>1000</x:v>
      </x:c>
      <x:c r="S20" s="20" t="n">
        <x:v>421.856</x:v>
      </x:c>
      <x:c r="T20" s="17" t="str">
        <x:v>是</x:v>
      </x:c>
      <x:c r="U20" s="18" t="str">
        <x:v>/Users/mac/Documents/智囊团/video_analysis/Top_Tycoon新号流程_20260804/frames/TT_NEW_03/TT_NEW_03_t003060.jpg</x:v>
      </x:c>
      <x:c r="V20" s="18" t="str">
        <x:v>/Users/mac/Documents/智囊团/video_analysis/Top_Tycoon新号流程_20260804/frames/TT_NEW_03/TT_NEW_03_t003070.jpg</x:v>
      </x:c>
      <x:c r="W20" s="17" t="str">
        <x:v>推算</x:v>
      </x:c>
      <x:c r="X20" s="17" t="str">
        <x:v>B</x:v>
      </x:c>
      <x:c r="Y20" s="17" t="str">
        <x:v>固定1fps证据中的10秒边界快照：14,382,841→13,960,985；差额是窗口总消耗，不等同单次点击成本。</x:v>
      </x:c>
    </x:row>
    <x:row r="21">
      <x:c r="A21" s="17" t="str">
        <x:v>BLD_03_014</x:v>
      </x:c>
      <x:c r="B21" s="17" t="str">
        <x:v>TT_NEW_03</x:v>
      </x:c>
      <x:c r="C21" s="17" t="str">
        <x:v>00:54:10</x:v>
      </x:c>
      <x:c r="D21" s="17" t="n">
        <x:v>3250</x:v>
      </x:c>
      <x:c r="E21" s="17" t="str">
        <x:v>SITE_WINDOW_03_014</x:v>
      </x:c>
      <x:c r="F21" s="17" t="str">
        <x:v>Circus Mirage</x:v>
      </x:c>
      <x:c r="G21" s="17" t="str">
        <x:v>10秒建造/Site task 批次</x:v>
      </x:c>
      <x:c r="H21" s="19" t="n">
        <x:v>9292057</x:v>
      </x:c>
      <x:c r="I21" s="19" t="n">
        <x:v>8687136</x:v>
      </x:c>
      <x:c r="J21" s="19" t="n">
        <x:v>604921</x:v>
      </x:c>
      <x:c r="K21" s="17" t="str">
        <x:v>录屏未展示完整前置</x:v>
      </x:c>
      <x:c r="L21" s="17" t="n">
        <x:v>10</x:v>
      </x:c>
      <x:c r="M21" s="17" t="str">
        <x:v>区域进度 20,000→34,000/67,000</x:v>
      </x:c>
      <x:c r="N21" s="17" t="str">
        <x:v>否</x:v>
      </x:c>
      <x:c r="O21" s="20" t="n">
        <x:v>20000</x:v>
      </x:c>
      <x:c r="P21" s="20" t="n">
        <x:v>34000</x:v>
      </x:c>
      <x:c r="Q21" s="20" t="n">
        <x:v>67000</x:v>
      </x:c>
      <x:c r="R21" s="20" t="n">
        <x:v>14000</x:v>
      </x:c>
      <x:c r="S21" s="20" t="n">
        <x:v>43.2086</x:v>
      </x:c>
      <x:c r="T21" s="17" t="str">
        <x:v>是</x:v>
      </x:c>
      <x:c r="U21" s="18" t="str">
        <x:v>/Users/mac/Documents/智囊团/video_analysis/Top_Tycoon新号流程_20260804/frames/TT_NEW_03/TT_NEW_03_t003240.jpg</x:v>
      </x:c>
      <x:c r="V21" s="18" t="str">
        <x:v>/Users/mac/Documents/智囊团/video_analysis/Top_Tycoon新号流程_20260804/frames/TT_NEW_03/TT_NEW_03_t003250.jpg</x:v>
      </x:c>
      <x:c r="W21" s="17" t="str">
        <x:v>推算</x:v>
      </x:c>
      <x:c r="X21" s="17" t="str">
        <x:v>B</x:v>
      </x:c>
      <x:c r="Y21" s="17" t="str">
        <x:v>固定1fps证据中的10秒边界快照：9,292,057→8,687,136；差额是窗口总消耗，不等同单次点击成本。</x:v>
      </x:c>
    </x:row>
    <x:row r="22">
      <x:c r="A22" s="17" t="str">
        <x:v>BLD_03_015</x:v>
      </x:c>
      <x:c r="B22" s="17" t="str">
        <x:v>TT_NEW_03</x:v>
      </x:c>
      <x:c r="C22" s="17" t="str">
        <x:v>00:54:20</x:v>
      </x:c>
      <x:c r="D22" s="17" t="n">
        <x:v>3260</x:v>
      </x:c>
      <x:c r="E22" s="17" t="str">
        <x:v>SITE_WINDOW_03_015</x:v>
      </x:c>
      <x:c r="F22" s="17" t="str">
        <x:v>Circus Mirage</x:v>
      </x:c>
      <x:c r="G22" s="17" t="str">
        <x:v>10秒建造/Site task 批次</x:v>
      </x:c>
      <x:c r="H22" s="19" t="n">
        <x:v>8687136</x:v>
      </x:c>
      <x:c r="I22" s="19" t="n">
        <x:v>6151246</x:v>
      </x:c>
      <x:c r="J22" s="19" t="n">
        <x:v>2535890</x:v>
      </x:c>
      <x:c r="K22" s="17" t="str">
        <x:v>录屏未展示完整前置</x:v>
      </x:c>
      <x:c r="L22" s="17" t="n">
        <x:v>10</x:v>
      </x:c>
      <x:c r="M22" s="17" t="str">
        <x:v>区域进度 34,000→58,000/67,000</x:v>
      </x:c>
      <x:c r="N22" s="17" t="str">
        <x:v>否</x:v>
      </x:c>
      <x:c r="O22" s="20" t="n">
        <x:v>34000</x:v>
      </x:c>
      <x:c r="P22" s="20" t="n">
        <x:v>58000</x:v>
      </x:c>
      <x:c r="Q22" s="20" t="n">
        <x:v>67000</x:v>
      </x:c>
      <x:c r="R22" s="20" t="n">
        <x:v>24000</x:v>
      </x:c>
      <x:c r="S22" s="20" t="n">
        <x:v>105.6621</x:v>
      </x:c>
      <x:c r="T22" s="17" t="str">
        <x:v>是</x:v>
      </x:c>
      <x:c r="U22" s="18" t="str">
        <x:v>/Users/mac/Documents/智囊团/video_analysis/Top_Tycoon新号流程_20260804/frames/TT_NEW_03/TT_NEW_03_t003250.jpg</x:v>
      </x:c>
      <x:c r="V22" s="18" t="str">
        <x:v>/Users/mac/Documents/智囊团/video_analysis/Top_Tycoon新号流程_20260804/frames/TT_NEW_03/TT_NEW_03_t003260.jpg</x:v>
      </x:c>
      <x:c r="W22" s="17" t="str">
        <x:v>推算</x:v>
      </x:c>
      <x:c r="X22" s="17" t="str">
        <x:v>B</x:v>
      </x:c>
      <x:c r="Y22" s="17" t="str">
        <x:v>固定1fps证据中的10秒边界快照：8,687,136→6,151,246；差额是窗口总消耗，不等同单次点击成本。</x:v>
      </x:c>
    </x:row>
    <x:row r="23">
      <x:c r="A23" s="17" t="str">
        <x:v>BLD_04_001</x:v>
      </x:c>
      <x:c r="B23" s="17" t="str">
        <x:v>TT_NEW_04</x:v>
      </x:c>
      <x:c r="C23" s="17" t="str">
        <x:v>00:00:30</x:v>
      </x:c>
      <x:c r="D23" s="17" t="n">
        <x:v>30</x:v>
      </x:c>
      <x:c r="E23" s="17" t="str">
        <x:v>SITE_WINDOW_04_001</x:v>
      </x:c>
      <x:c r="F23" s="17" t="str">
        <x:v>Epic Splash</x:v>
      </x:c>
      <x:c r="G23" s="17" t="str">
        <x:v>10秒建造/Site task 批次</x:v>
      </x:c>
      <x:c r="H23" s="19" t="n">
        <x:v>1131088</x:v>
      </x:c>
      <x:c r="I23" s="19" t="n">
        <x:v>28530</x:v>
      </x:c>
      <x:c r="J23" s="19" t="n">
        <x:v>1102558</x:v>
      </x:c>
      <x:c r="K23" s="17" t="str">
        <x:v>录屏未展示完整前置</x:v>
      </x:c>
      <x:c r="L23" s="17" t="n">
        <x:v>10</x:v>
      </x:c>
      <x:c r="M23" s="17" t="str">
        <x:v>区域进度 22,000→40,000/70,000</x:v>
      </x:c>
      <x:c r="N23" s="17" t="str">
        <x:v>是</x:v>
      </x:c>
      <x:c r="O23" s="20" t="n">
        <x:v>22000</x:v>
      </x:c>
      <x:c r="P23" s="20" t="n">
        <x:v>40000</x:v>
      </x:c>
      <x:c r="Q23" s="20" t="n">
        <x:v>70000</x:v>
      </x:c>
      <x:c r="R23" s="20" t="n">
        <x:v>18000</x:v>
      </x:c>
      <x:c r="S23" s="20" t="n">
        <x:v>61.2532</x:v>
      </x:c>
      <x:c r="T23" s="17" t="str">
        <x:v>是</x:v>
      </x:c>
      <x:c r="U23" s="18" t="str">
        <x:v>/Users/mac/Documents/智囊团/video_analysis/Top_Tycoon新号流程_20260804/frames/TT_NEW_04/TT_NEW_04_t000020.jpg</x:v>
      </x:c>
      <x:c r="V23" s="18" t="str">
        <x:v>/Users/mac/Documents/智囊团/video_analysis/Top_Tycoon新号流程_20260804/frames/TT_NEW_04/TT_NEW_04_t000030.jpg</x:v>
      </x:c>
      <x:c r="W23" s="17" t="str">
        <x:v>推算</x:v>
      </x:c>
      <x:c r="X23" s="17" t="str">
        <x:v>B</x:v>
      </x:c>
      <x:c r="Y23" s="17" t="str">
        <x:v>固定1fps证据中的10秒边界快照：1,131,088→28,530；差额是窗口总消耗，不等同单次点击成本。</x:v>
      </x:c>
    </x:row>
    <x:row r="24">
      <x:c r="A24" s="17" t="str">
        <x:v>BLD_04_002</x:v>
      </x:c>
      <x:c r="B24" s="17" t="str">
        <x:v>TT_NEW_04</x:v>
      </x:c>
      <x:c r="C24" s="17" t="str">
        <x:v>00:20:10</x:v>
      </x:c>
      <x:c r="D24" s="17" t="n">
        <x:v>1210</x:v>
      </x:c>
      <x:c r="E24" s="17" t="str">
        <x:v>SITE_WINDOW_04_002</x:v>
      </x:c>
      <x:c r="F24" s="17" t="str">
        <x:v>Epic Splash</x:v>
      </x:c>
      <x:c r="G24" s="17" t="str">
        <x:v>10秒建造/Site task 批次</x:v>
      </x:c>
      <x:c r="H24" s="19" t="n">
        <x:v>12652736</x:v>
      </x:c>
      <x:c r="I24" s="19" t="n">
        <x:v>437954</x:v>
      </x:c>
      <x:c r="J24" s="19" t="n">
        <x:v>12214782</x:v>
      </x:c>
      <x:c r="K24" s="17" t="str">
        <x:v>录屏未展示完整前置</x:v>
      </x:c>
      <x:c r="L24" s="17" t="n">
        <x:v>10</x:v>
      </x:c>
      <x:c r="M24" s="17" t="str">
        <x:v>区域进度 40,000→5,000/70,000</x:v>
      </x:c>
      <x:c r="N24" s="17" t="str">
        <x:v>否</x:v>
      </x:c>
      <x:c r="O24" s="20" t="n">
        <x:v>40000</x:v>
      </x:c>
      <x:c r="P24" s="20" t="n">
        <x:v>5000</x:v>
      </x:c>
      <x:c r="Q24" s="20" t="n">
        <x:v>70000</x:v>
      </x:c>
      <x:c r="R24" s="20" t="n">
        <x:v>-35000</x:v>
      </x:c>
      <x:c r="S24" s="20"/>
      <x:c r="T24" s="17" t="str">
        <x:v>否</x:v>
      </x:c>
      <x:c r="U24" s="18" t="str">
        <x:v>/Users/mac/Documents/智囊团/video_analysis/Top_Tycoon新号流程_20260804/frames/TT_NEW_04/TT_NEW_04_t001200.jpg</x:v>
      </x:c>
      <x:c r="V24" s="18" t="str">
        <x:v>/Users/mac/Documents/智囊团/video_analysis/Top_Tycoon新号流程_20260804/frames/TT_NEW_04/TT_NEW_04_t001210.jpg</x:v>
      </x:c>
      <x:c r="W24" s="17" t="str">
        <x:v>待复核</x:v>
      </x:c>
      <x:c r="X24" s="17" t="str">
        <x:v>C</x:v>
      </x:c>
      <x:c r="Y24" s="17" t="str">
        <x:v>固定1fps证据中的10秒边界快照：12,652,736→0,437,954；差额是窗口总消耗，不等同单次点击成本。</x:v>
      </x:c>
    </x:row>
    <x:row r="25">
      <x:c r="A25" s="17" t="str">
        <x:v>BLD_04_003</x:v>
      </x:c>
      <x:c r="B25" s="17" t="str">
        <x:v>TT_NEW_04</x:v>
      </x:c>
      <x:c r="C25" s="17" t="str">
        <x:v>00:21:10</x:v>
      </x:c>
      <x:c r="D25" s="17" t="n">
        <x:v>1270</x:v>
      </x:c>
      <x:c r="E25" s="17" t="str">
        <x:v>SITE_WINDOW_04_003</x:v>
      </x:c>
      <x:c r="F25" s="17" t="str">
        <x:v>Apex Rush</x:v>
      </x:c>
      <x:c r="G25" s="17" t="str">
        <x:v>10秒建造/Site task 批次</x:v>
      </x:c>
      <x:c r="H25" s="19" t="n">
        <x:v>7893632</x:v>
      </x:c>
      <x:c r="I25" s="19" t="n">
        <x:v>7185483</x:v>
      </x:c>
      <x:c r="J25" s="19" t="n">
        <x:v>708149</x:v>
      </x:c>
      <x:c r="K25" s="17" t="str">
        <x:v>录屏未展示完整前置</x:v>
      </x:c>
      <x:c r="L25" s="17" t="n">
        <x:v>10</x:v>
      </x:c>
      <x:c r="M25" s="17" t="str">
        <x:v>区域进度 8,000→23,000/53,000</x:v>
      </x:c>
      <x:c r="N25" s="17" t="str">
        <x:v>否</x:v>
      </x:c>
      <x:c r="O25" s="20" t="n">
        <x:v>8000</x:v>
      </x:c>
      <x:c r="P25" s="20" t="n">
        <x:v>23000</x:v>
      </x:c>
      <x:c r="Q25" s="20" t="n">
        <x:v>53000</x:v>
      </x:c>
      <x:c r="R25" s="20" t="n">
        <x:v>15000</x:v>
      </x:c>
      <x:c r="S25" s="20" t="n">
        <x:v>47.2099</x:v>
      </x:c>
      <x:c r="T25" s="17" t="str">
        <x:v>是</x:v>
      </x:c>
      <x:c r="U25" s="18" t="str">
        <x:v>/Users/mac/Documents/智囊团/video_analysis/Top_Tycoon新号流程_20260804/frames/TT_NEW_04/TT_NEW_04_t001260.jpg</x:v>
      </x:c>
      <x:c r="V25" s="18" t="str">
        <x:v>/Users/mac/Documents/智囊团/video_analysis/Top_Tycoon新号流程_20260804/frames/TT_NEW_04/TT_NEW_04_t001270.jpg</x:v>
      </x:c>
      <x:c r="W25" s="17" t="str">
        <x:v>推算</x:v>
      </x:c>
      <x:c r="X25" s="17" t="str">
        <x:v>B</x:v>
      </x:c>
      <x:c r="Y25" s="17" t="str">
        <x:v>固定1fps证据中的10秒边界快照：7,893,632→7,185,483；差额是窗口总消耗，不等同单次点击成本。</x:v>
      </x:c>
    </x:row>
    <x:row r="26">
      <x:c r="A26" s="17" t="str">
        <x:v>BLD_04_004</x:v>
      </x:c>
      <x:c r="B26" s="17" t="str">
        <x:v>TT_NEW_04</x:v>
      </x:c>
      <x:c r="C26" s="17" t="str">
        <x:v>00:22:20</x:v>
      </x:c>
      <x:c r="D26" s="17" t="n">
        <x:v>1340</x:v>
      </x:c>
      <x:c r="E26" s="17" t="str">
        <x:v>SITE_WINDOW_04_004</x:v>
      </x:c>
      <x:c r="F26" s="17" t="str">
        <x:v>Pixie Hollow</x:v>
      </x:c>
      <x:c r="G26" s="17" t="str">
        <x:v>10秒建造/Site task 批次</x:v>
      </x:c>
      <x:c r="H26" s="19" t="n">
        <x:v>647433</x:v>
      </x:c>
      <x:c r="I26" s="19" t="n">
        <x:v>195640</x:v>
      </x:c>
      <x:c r="J26" s="19" t="n">
        <x:v>451793</x:v>
      </x:c>
      <x:c r="K26" s="17" t="str">
        <x:v>录屏未展示完整前置</x:v>
      </x:c>
      <x:c r="L26" s="17" t="n">
        <x:v>10</x:v>
      </x:c>
      <x:c r="M26" s="17" t="str">
        <x:v>区域进度 7,000→9,000/17,000</x:v>
      </x:c>
      <x:c r="N26" s="17" t="str">
        <x:v>否</x:v>
      </x:c>
      <x:c r="O26" s="20" t="n">
        <x:v>7000</x:v>
      </x:c>
      <x:c r="P26" s="20" t="n">
        <x:v>9000</x:v>
      </x:c>
      <x:c r="Q26" s="20" t="n">
        <x:v>17000</x:v>
      </x:c>
      <x:c r="R26" s="20" t="n">
        <x:v>2000</x:v>
      </x:c>
      <x:c r="S26" s="20" t="n">
        <x:v>225.8965</x:v>
      </x:c>
      <x:c r="T26" s="17" t="str">
        <x:v>是</x:v>
      </x:c>
      <x:c r="U26" s="18" t="str">
        <x:v>/Users/mac/Documents/智囊团/video_analysis/Top_Tycoon新号流程_20260804/frames/TT_NEW_04/TT_NEW_04_t001330.jpg</x:v>
      </x:c>
      <x:c r="V26" s="18" t="str">
        <x:v>/Users/mac/Documents/智囊团/video_analysis/Top_Tycoon新号流程_20260804/frames/TT_NEW_04/TT_NEW_04_t001340.jpg</x:v>
      </x:c>
      <x:c r="W26" s="17" t="str">
        <x:v>推算</x:v>
      </x:c>
      <x:c r="X26" s="17" t="str">
        <x:v>B</x:v>
      </x:c>
      <x:c r="Y26" s="17" t="str">
        <x:v>固定1fps证据中的10秒边界快照：647,433→195,640；差额是窗口总消耗，不等同单次点击成本。</x:v>
      </x:c>
    </x:row>
    <x:row r="27">
      <x:c r="A27" s="17" t="str">
        <x:v>BLD_04_005</x:v>
      </x:c>
      <x:c r="B27" s="17" t="str">
        <x:v>TT_NEW_04</x:v>
      </x:c>
      <x:c r="C27" s="17" t="str">
        <x:v>00:52:20</x:v>
      </x:c>
      <x:c r="D27" s="17" t="n">
        <x:v>3140</x:v>
      </x:c>
      <x:c r="E27" s="17" t="str">
        <x:v>SITE_WINDOW_04_005</x:v>
      </x:c>
      <x:c r="F27" s="17" t="str">
        <x:v>Emerald Trail</x:v>
      </x:c>
      <x:c r="G27" s="17" t="str">
        <x:v>10秒建造/Site task 批次</x:v>
      </x:c>
      <x:c r="H27" s="19" t="n">
        <x:v>18191680</x:v>
      </x:c>
      <x:c r="I27" s="19" t="n">
        <x:v>9265295</x:v>
      </x:c>
      <x:c r="J27" s="19" t="n">
        <x:v>8926385</x:v>
      </x:c>
      <x:c r="K27" s="17" t="str">
        <x:v>录屏未展示完整前置</x:v>
      </x:c>
      <x:c r="L27" s="17" t="n">
        <x:v>10</x:v>
      </x:c>
      <x:c r="M27" s="17" t="str">
        <x:v>区域进度 16,000→21,000/21,000</x:v>
      </x:c>
      <x:c r="N27" s="17" t="str">
        <x:v>否</x:v>
      </x:c>
      <x:c r="O27" s="20" t="n">
        <x:v>16000</x:v>
      </x:c>
      <x:c r="P27" s="20" t="n">
        <x:v>21000</x:v>
      </x:c>
      <x:c r="Q27" s="20" t="n">
        <x:v>21000</x:v>
      </x:c>
      <x:c r="R27" s="20" t="n">
        <x:v>5000</x:v>
      </x:c>
      <x:c r="S27" s="20" t="n">
        <x:v>1785.277</x:v>
      </x:c>
      <x:c r="T27" s="17" t="str">
        <x:v>是</x:v>
      </x:c>
      <x:c r="U27" s="18" t="str">
        <x:v>/Users/mac/Documents/智囊团/video_analysis/Top_Tycoon新号流程_20260804/frames/TT_NEW_04/TT_NEW_04_t003130.jpg</x:v>
      </x:c>
      <x:c r="V27" s="18" t="str">
        <x:v>/Users/mac/Documents/智囊团/video_analysis/Top_Tycoon新号流程_20260804/frames/TT_NEW_04/TT_NEW_04_t003140.jpg</x:v>
      </x:c>
      <x:c r="W27" s="17" t="str">
        <x:v>推算</x:v>
      </x:c>
      <x:c r="X27" s="17" t="str">
        <x:v>B</x:v>
      </x:c>
      <x:c r="Y27" s="17" t="str">
        <x:v>固定1fps证据中的10秒边界快照：18,191,680→9,265,295；差额是窗口总消耗，不等同单次点击成本。</x:v>
      </x:c>
    </x:row>
    <x:row r="28">
      <x:c r="A28" s="17" t="str">
        <x:v>BLD_04_006</x:v>
      </x:c>
      <x:c r="B28" s="17" t="str">
        <x:v>TT_NEW_04</x:v>
      </x:c>
      <x:c r="C28" s="17" t="str">
        <x:v>01:04:30</x:v>
      </x:c>
      <x:c r="D28" s="17" t="n">
        <x:v>3870</x:v>
      </x:c>
      <x:c r="E28" s="17" t="str">
        <x:v>SITE_WINDOW_04_006</x:v>
      </x:c>
      <x:c r="F28" s="17" t="str">
        <x:v>Port</x:v>
      </x:c>
      <x:c r="G28" s="17" t="str">
        <x:v>10秒建造/Site task 批次</x:v>
      </x:c>
      <x:c r="H28" s="19" t="n">
        <x:v>116153</x:v>
      </x:c>
      <x:c r="I28" s="19" t="n">
        <x:v>115243</x:v>
      </x:c>
      <x:c r="J28" s="19" t="n">
        <x:v>910</x:v>
      </x:c>
      <x:c r="K28" s="17" t="str">
        <x:v>录屏未展示完整前置</x:v>
      </x:c>
      <x:c r="L28" s="17" t="n">
        <x:v>10</x:v>
      </x:c>
      <x:c r="M28" s="17" t="str">
        <x:v>区域进度 0→1,000/57,000</x:v>
      </x:c>
      <x:c r="N28" s="17" t="str">
        <x:v>否</x:v>
      </x:c>
      <x:c r="O28" s="20" t="n">
        <x:v>0</x:v>
      </x:c>
      <x:c r="P28" s="20" t="n">
        <x:v>1000</x:v>
      </x:c>
      <x:c r="Q28" s="20" t="n">
        <x:v>57000</x:v>
      </x:c>
      <x:c r="R28" s="20" t="n">
        <x:v>1000</x:v>
      </x:c>
      <x:c r="S28" s="20" t="n">
        <x:v>0.91</x:v>
      </x:c>
      <x:c r="T28" s="17" t="str">
        <x:v>是</x:v>
      </x:c>
      <x:c r="U28" s="18" t="str">
        <x:v>/Users/mac/Documents/智囊团/video_analysis/Top_Tycoon新号流程_20260804/frames/TT_NEW_04/TT_NEW_04_t003860.jpg</x:v>
      </x:c>
      <x:c r="V28" s="18" t="str">
        <x:v>/Users/mac/Documents/智囊团/video_analysis/Top_Tycoon新号流程_20260804/frames/TT_NEW_04/TT_NEW_04_t003870.jpg</x:v>
      </x:c>
      <x:c r="W28" s="17" t="str">
        <x:v>推算</x:v>
      </x:c>
      <x:c r="X28" s="17" t="str">
        <x:v>B</x:v>
      </x:c>
      <x:c r="Y28" s="17" t="str">
        <x:v>固定1fps证据中的10秒边界快照：116,153→115,243；差额是窗口总消耗，不等同单次点击成本。</x:v>
      </x:c>
    </x:row>
    <x:row r="29">
      <x:c r="A29" s="17" t="str">
        <x:v>BLD_04_007</x:v>
      </x:c>
      <x:c r="B29" s="17" t="str">
        <x:v>TT_NEW_04</x:v>
      </x:c>
      <x:c r="C29" s="17" t="str">
        <x:v>01:04:40</x:v>
      </x:c>
      <x:c r="D29" s="17" t="n">
        <x:v>3880</x:v>
      </x:c>
      <x:c r="E29" s="17" t="str">
        <x:v>SITE_WINDOW_04_007</x:v>
      </x:c>
      <x:c r="F29" s="17" t="str">
        <x:v>Port</x:v>
      </x:c>
      <x:c r="G29" s="17" t="str">
        <x:v>10秒建造/Site task 批次</x:v>
      </x:c>
      <x:c r="H29" s="19" t="n">
        <x:v>115243</x:v>
      </x:c>
      <x:c r="I29" s="19" t="n">
        <x:v>58709</x:v>
      </x:c>
      <x:c r="J29" s="19" t="n">
        <x:v>56534</x:v>
      </x:c>
      <x:c r="K29" s="17" t="str">
        <x:v>录屏未展示完整前置</x:v>
      </x:c>
      <x:c r="L29" s="17" t="n">
        <x:v>10</x:v>
      </x:c>
      <x:c r="M29" s="17" t="str">
        <x:v>区域进度 1,000→7,000/57,000</x:v>
      </x:c>
      <x:c r="N29" s="17" t="str">
        <x:v>否</x:v>
      </x:c>
      <x:c r="O29" s="20" t="n">
        <x:v>1000</x:v>
      </x:c>
      <x:c r="P29" s="20" t="n">
        <x:v>7000</x:v>
      </x:c>
      <x:c r="Q29" s="20" t="n">
        <x:v>57000</x:v>
      </x:c>
      <x:c r="R29" s="20" t="n">
        <x:v>6000</x:v>
      </x:c>
      <x:c r="S29" s="20" t="n">
        <x:v>9.4223</x:v>
      </x:c>
      <x:c r="T29" s="17" t="str">
        <x:v>是</x:v>
      </x:c>
      <x:c r="U29" s="18" t="str">
        <x:v>/Users/mac/Documents/智囊团/video_analysis/Top_Tycoon新号流程_20260804/frames/TT_NEW_04/TT_NEW_04_t003870.jpg</x:v>
      </x:c>
      <x:c r="V29" s="18" t="str">
        <x:v>/Users/mac/Documents/智囊团/video_analysis/Top_Tycoon新号流程_20260804/frames/TT_NEW_04/TT_NEW_04_t003880.jpg</x:v>
      </x:c>
      <x:c r="W29" s="17" t="str">
        <x:v>推算</x:v>
      </x:c>
      <x:c r="X29" s="17" t="str">
        <x:v>B</x:v>
      </x:c>
      <x:c r="Y29" s="17" t="str">
        <x:v>固定1fps证据中的10秒边界快照：115,243→58,709；差额是窗口总消耗，不等同单次点击成本。</x:v>
      </x:c>
    </x:row>
    <x:row r="30">
      <x:c r="A30" s="17" t="str">
        <x:v>BLD_04_008</x:v>
      </x:c>
      <x:c r="B30" s="17" t="str">
        <x:v>TT_NEW_04</x:v>
      </x:c>
      <x:c r="C30" s="17" t="str">
        <x:v>01:04:50</x:v>
      </x:c>
      <x:c r="D30" s="17" t="n">
        <x:v>3890</x:v>
      </x:c>
      <x:c r="E30" s="17" t="str">
        <x:v>SITE_WINDOW_04_008</x:v>
      </x:c>
      <x:c r="F30" s="17" t="str">
        <x:v>Port</x:v>
      </x:c>
      <x:c r="G30" s="17" t="str">
        <x:v>10秒建造/Site task 批次</x:v>
      </x:c>
      <x:c r="H30" s="19" t="n">
        <x:v>58709</x:v>
      </x:c>
      <x:c r="I30" s="19" t="n">
        <x:v>19889</x:v>
      </x:c>
      <x:c r="J30" s="19" t="n">
        <x:v>38820</x:v>
      </x:c>
      <x:c r="K30" s="17" t="str">
        <x:v>录屏未展示完整前置</x:v>
      </x:c>
      <x:c r="L30" s="17" t="n">
        <x:v>10</x:v>
      </x:c>
      <x:c r="M30" s="17" t="str">
        <x:v>区域进度 7,000→10,000/57,000</x:v>
      </x:c>
      <x:c r="N30" s="17" t="str">
        <x:v>否</x:v>
      </x:c>
      <x:c r="O30" s="20" t="n">
        <x:v>7000</x:v>
      </x:c>
      <x:c r="P30" s="20" t="n">
        <x:v>10000</x:v>
      </x:c>
      <x:c r="Q30" s="20" t="n">
        <x:v>57000</x:v>
      </x:c>
      <x:c r="R30" s="20" t="n">
        <x:v>3000</x:v>
      </x:c>
      <x:c r="S30" s="20" t="n">
        <x:v>12.94</x:v>
      </x:c>
      <x:c r="T30" s="17" t="str">
        <x:v>是</x:v>
      </x:c>
      <x:c r="U30" s="18" t="str">
        <x:v>/Users/mac/Documents/智囊团/video_analysis/Top_Tycoon新号流程_20260804/frames/TT_NEW_04/TT_NEW_04_t003880.jpg</x:v>
      </x:c>
      <x:c r="V30" s="18" t="str">
        <x:v>/Users/mac/Documents/智囊团/video_analysis/Top_Tycoon新号流程_20260804/frames/TT_NEW_04/TT_NEW_04_t003890.jpg</x:v>
      </x:c>
      <x:c r="W30" s="17" t="str">
        <x:v>推算</x:v>
      </x:c>
      <x:c r="X30" s="17" t="str">
        <x:v>B</x:v>
      </x:c>
      <x:c r="Y30" s="17" t="str">
        <x:v>固定1fps证据中的10秒边界快照：58,709→19,889；差额是窗口总消耗，不等同单次点击成本。</x:v>
      </x:c>
    </x:row>
    <x:row r="31">
      <x:c r="A31" s="17" t="str">
        <x:v>BLD_04_009</x:v>
      </x:c>
      <x:c r="B31" s="17" t="str">
        <x:v>TT_NEW_04</x:v>
      </x:c>
      <x:c r="C31" s="17" t="str">
        <x:v>01:06:10</x:v>
      </x:c>
      <x:c r="D31" s="17" t="n">
        <x:v>3970</x:v>
      </x:c>
      <x:c r="E31" s="17" t="str">
        <x:v>SITE_WINDOW_04_009</x:v>
      </x:c>
      <x:c r="F31" s="17" t="str">
        <x:v>Port</x:v>
      </x:c>
      <x:c r="G31" s="17" t="str">
        <x:v>10秒建造/Site task 批次</x:v>
      </x:c>
      <x:c r="H31" s="19" t="n">
        <x:v>127889</x:v>
      </x:c>
      <x:c r="I31" s="19" t="n">
        <x:v>28569</x:v>
      </x:c>
      <x:c r="J31" s="19" t="n">
        <x:v>99320</x:v>
      </x:c>
      <x:c r="K31" s="17" t="str">
        <x:v>录屏未展示完整前置</x:v>
      </x:c>
      <x:c r="L31" s="17" t="n">
        <x:v>10</x:v>
      </x:c>
      <x:c r="M31" s="17" t="str">
        <x:v>区域进度 10,000→12,000/57,000</x:v>
      </x:c>
      <x:c r="N31" s="17" t="str">
        <x:v>是</x:v>
      </x:c>
      <x:c r="O31" s="20" t="n">
        <x:v>10000</x:v>
      </x:c>
      <x:c r="P31" s="20" t="n">
        <x:v>12000</x:v>
      </x:c>
      <x:c r="Q31" s="20" t="n">
        <x:v>57000</x:v>
      </x:c>
      <x:c r="R31" s="20" t="n">
        <x:v>2000</x:v>
      </x:c>
      <x:c r="S31" s="20" t="n">
        <x:v>49.66</x:v>
      </x:c>
      <x:c r="T31" s="17" t="str">
        <x:v>是</x:v>
      </x:c>
      <x:c r="U31" s="18" t="str">
        <x:v>/Users/mac/Documents/智囊团/video_analysis/Top_Tycoon新号流程_20260804/frames/TT_NEW_04/TT_NEW_04_t003960.jpg</x:v>
      </x:c>
      <x:c r="V31" s="18" t="str">
        <x:v>/Users/mac/Documents/智囊团/video_analysis/Top_Tycoon新号流程_20260804/frames/TT_NEW_04/TT_NEW_04_t003970.jpg</x:v>
      </x:c>
      <x:c r="W31" s="17" t="str">
        <x:v>推算</x:v>
      </x:c>
      <x:c r="X31" s="17" t="str">
        <x:v>B</x:v>
      </x:c>
      <x:c r="Y31" s="17" t="str">
        <x:v>固定1fps证据中的10秒边界快照：127,889→28,569；差额是窗口总消耗，不等同单次点击成本。</x:v>
      </x:c>
    </x:row>
    <x:row r="32">
      <x:c r="A32" s="17" t="str">
        <x:v>BLD_05_001</x:v>
      </x:c>
      <x:c r="B32" s="17" t="str">
        <x:v>TT_NEW_05</x:v>
      </x:c>
      <x:c r="C32" s="17" t="str">
        <x:v>00:02:20</x:v>
      </x:c>
      <x:c r="D32" s="17" t="n">
        <x:v>140</x:v>
      </x:c>
      <x:c r="E32" s="17" t="str">
        <x:v>SITE_WINDOW_05_001</x:v>
      </x:c>
      <x:c r="F32" s="17" t="str">
        <x:v>Port</x:v>
      </x:c>
      <x:c r="G32" s="17" t="str">
        <x:v>10秒建造/Site task 批次</x:v>
      </x:c>
      <x:c r="H32" s="19" t="n">
        <x:v>1204639</x:v>
      </x:c>
      <x:c r="I32" s="19" t="n">
        <x:v>63940</x:v>
      </x:c>
      <x:c r="J32" s="19" t="n">
        <x:v>1140699</x:v>
      </x:c>
      <x:c r="K32" s="17" t="str">
        <x:v>录屏未展示完整前置</x:v>
      </x:c>
      <x:c r="L32" s="17" t="n">
        <x:v>10</x:v>
      </x:c>
      <x:c r="M32" s="17" t="str">
        <x:v>区域进度 13,000→24,000/57,000</x:v>
      </x:c>
      <x:c r="N32" s="17" t="str">
        <x:v>是</x:v>
      </x:c>
      <x:c r="O32" s="20" t="n">
        <x:v>13000</x:v>
      </x:c>
      <x:c r="P32" s="20" t="n">
        <x:v>24000</x:v>
      </x:c>
      <x:c r="Q32" s="20" t="n">
        <x:v>57000</x:v>
      </x:c>
      <x:c r="R32" s="20" t="n">
        <x:v>11000</x:v>
      </x:c>
      <x:c r="S32" s="20" t="n">
        <x:v>103.6999</x:v>
      </x:c>
      <x:c r="T32" s="17" t="str">
        <x:v>是</x:v>
      </x:c>
      <x:c r="U32" s="18" t="str">
        <x:v>/Users/mac/Documents/智囊团/video_analysis/Top_Tycoon新号流程_20260804/frames/TT_NEW_05/TT_NEW_05_t000130.jpg</x:v>
      </x:c>
      <x:c r="V32" s="18" t="str">
        <x:v>/Users/mac/Documents/智囊团/video_analysis/Top_Tycoon新号流程_20260804/frames/TT_NEW_05/TT_NEW_05_t000140.jpg</x:v>
      </x:c>
      <x:c r="W32" s="17" t="str">
        <x:v>推算</x:v>
      </x:c>
      <x:c r="X32" s="17" t="str">
        <x:v>B</x:v>
      </x:c>
      <x:c r="Y32" s="17" t="str">
        <x:v>固定1fps证据中的10秒边界快照：1,204,639→63,940；差额是窗口总消耗，不等同单次点击成本。</x:v>
      </x:c>
    </x:row>
    <x:row r="33">
      <x:c r="A33" s="17" t="str">
        <x:v>BLD_05_002</x:v>
      </x:c>
      <x:c r="B33" s="17" t="str">
        <x:v>TT_NEW_05</x:v>
      </x:c>
      <x:c r="C33" s="17" t="str">
        <x:v>00:24:30</x:v>
      </x:c>
      <x:c r="D33" s="17" t="n">
        <x:v>1470</x:v>
      </x:c>
      <x:c r="E33" s="17" t="str">
        <x:v>SITE_WINDOW_05_002</x:v>
      </x:c>
      <x:c r="F33" s="17" t="str">
        <x:v>Port</x:v>
      </x:c>
      <x:c r="G33" s="17" t="str">
        <x:v>10秒建造/Site task 批次</x:v>
      </x:c>
      <x:c r="H33" s="19" t="n">
        <x:v>83285053</x:v>
      </x:c>
      <x:c r="I33" s="19" t="n">
        <x:v>80220903</x:v>
      </x:c>
      <x:c r="J33" s="19" t="n">
        <x:v>3064150</x:v>
      </x:c>
      <x:c r="K33" s="17" t="str">
        <x:v>录屏未展示完整前置</x:v>
      </x:c>
      <x:c r="L33" s="17" t="n">
        <x:v>10</x:v>
      </x:c>
      <x:c r="M33" s="17" t="str">
        <x:v>区域进度 24,000→32,000/57,000</x:v>
      </x:c>
      <x:c r="N33" s="17" t="str">
        <x:v>否</x:v>
      </x:c>
      <x:c r="O33" s="20" t="n">
        <x:v>24000</x:v>
      </x:c>
      <x:c r="P33" s="20" t="n">
        <x:v>32000</x:v>
      </x:c>
      <x:c r="Q33" s="20" t="n">
        <x:v>57000</x:v>
      </x:c>
      <x:c r="R33" s="20" t="n">
        <x:v>8000</x:v>
      </x:c>
      <x:c r="S33" s="20" t="n">
        <x:v>383.0188</x:v>
      </x:c>
      <x:c r="T33" s="17" t="str">
        <x:v>是</x:v>
      </x:c>
      <x:c r="U33" s="18" t="str">
        <x:v>/Users/mac/Documents/智囊团/video_analysis/Top_Tycoon新号流程_20260804/frames/TT_NEW_05/TT_NEW_05_t001460.jpg</x:v>
      </x:c>
      <x:c r="V33" s="18" t="str">
        <x:v>/Users/mac/Documents/智囊团/video_analysis/Top_Tycoon新号流程_20260804/frames/TT_NEW_05/TT_NEW_05_t001470.jpg</x:v>
      </x:c>
      <x:c r="W33" s="17" t="str">
        <x:v>推算</x:v>
      </x:c>
      <x:c r="X33" s="17" t="str">
        <x:v>B</x:v>
      </x:c>
      <x:c r="Y33" s="17" t="str">
        <x:v>固定1fps证据中的10秒边界快照：83,285,053→80,220,903；差额是窗口总消耗，不等同单次点击成本。</x:v>
      </x:c>
    </x:row>
    <x:row r="34">
      <x:c r="A34" s="17" t="str">
        <x:v>BLD_05_003</x:v>
      </x:c>
      <x:c r="B34" s="17" t="str">
        <x:v>TT_NEW_05</x:v>
      </x:c>
      <x:c r="C34" s="17" t="str">
        <x:v>00:24:40</x:v>
      </x:c>
      <x:c r="D34" s="17" t="n">
        <x:v>1480</x:v>
      </x:c>
      <x:c r="E34" s="17" t="str">
        <x:v>SITE_WINDOW_05_003</x:v>
      </x:c>
      <x:c r="F34" s="17" t="str">
        <x:v>Port</x:v>
      </x:c>
      <x:c r="G34" s="17" t="str">
        <x:v>10秒建造/Site task 批次</x:v>
      </x:c>
      <x:c r="H34" s="19" t="n">
        <x:v>80220903</x:v>
      </x:c>
      <x:c r="I34" s="19" t="n">
        <x:v>72170421</x:v>
      </x:c>
      <x:c r="J34" s="19" t="n">
        <x:v>8050482</x:v>
      </x:c>
      <x:c r="K34" s="17" t="str">
        <x:v>录屏未展示完整前置</x:v>
      </x:c>
      <x:c r="L34" s="17" t="n">
        <x:v>10</x:v>
      </x:c>
      <x:c r="M34" s="17" t="str">
        <x:v>区域进度 32,000→49,000/57,000</x:v>
      </x:c>
      <x:c r="N34" s="17" t="str">
        <x:v>否</x:v>
      </x:c>
      <x:c r="O34" s="20" t="n">
        <x:v>32000</x:v>
      </x:c>
      <x:c r="P34" s="20" t="n">
        <x:v>49000</x:v>
      </x:c>
      <x:c r="Q34" s="20" t="n">
        <x:v>57000</x:v>
      </x:c>
      <x:c r="R34" s="20" t="n">
        <x:v>17000</x:v>
      </x:c>
      <x:c r="S34" s="20" t="n">
        <x:v>473.5578</x:v>
      </x:c>
      <x:c r="T34" s="17" t="str">
        <x:v>是</x:v>
      </x:c>
      <x:c r="U34" s="18" t="str">
        <x:v>/Users/mac/Documents/智囊团/video_analysis/Top_Tycoon新号流程_20260804/frames/TT_NEW_05/TT_NEW_05_t001470.jpg</x:v>
      </x:c>
      <x:c r="V34" s="18" t="str">
        <x:v>/Users/mac/Documents/智囊团/video_analysis/Top_Tycoon新号流程_20260804/frames/TT_NEW_05/TT_NEW_05_t001480.jpg</x:v>
      </x:c>
      <x:c r="W34" s="17" t="str">
        <x:v>推算</x:v>
      </x:c>
      <x:c r="X34" s="17" t="str">
        <x:v>B</x:v>
      </x:c>
      <x:c r="Y34" s="17" t="str">
        <x:v>固定1fps证据中的10秒边界快照：80,220,903→72,170,421；差额是窗口总消耗，不等同单次点击成本。</x:v>
      </x:c>
    </x:row>
    <x:row r="35">
      <x:c r="A35" s="17" t="str">
        <x:v>BLD_05_004</x:v>
      </x:c>
      <x:c r="B35" s="17" t="str">
        <x:v>TT_NEW_05</x:v>
      </x:c>
      <x:c r="C35" s="17" t="str">
        <x:v>00:24:50</x:v>
      </x:c>
      <x:c r="D35" s="17" t="n">
        <x:v>1490</x:v>
      </x:c>
      <x:c r="E35" s="17" t="str">
        <x:v>SITE_WINDOW_05_004</x:v>
      </x:c>
      <x:c r="F35" s="17" t="str">
        <x:v>Port</x:v>
      </x:c>
      <x:c r="G35" s="17" t="str">
        <x:v>10秒建造/Site task 批次</x:v>
      </x:c>
      <x:c r="H35" s="19" t="n">
        <x:v>72170421</x:v>
      </x:c>
      <x:c r="I35" s="19" t="n">
        <x:v>62792851</x:v>
      </x:c>
      <x:c r="J35" s="19" t="n">
        <x:v>9377570</x:v>
      </x:c>
      <x:c r="K35" s="17" t="str">
        <x:v>录屏未展示完整前置</x:v>
      </x:c>
      <x:c r="L35" s="17" t="n">
        <x:v>10</x:v>
      </x:c>
      <x:c r="M35" s="17" t="str">
        <x:v>区域进度 49,000→57,000/57,000</x:v>
      </x:c>
      <x:c r="N35" s="17" t="str">
        <x:v>否</x:v>
      </x:c>
      <x:c r="O35" s="20" t="n">
        <x:v>49000</x:v>
      </x:c>
      <x:c r="P35" s="20" t="n">
        <x:v>57000</x:v>
      </x:c>
      <x:c r="Q35" s="20" t="n">
        <x:v>57000</x:v>
      </x:c>
      <x:c r="R35" s="20" t="n">
        <x:v>8000</x:v>
      </x:c>
      <x:c r="S35" s="20" t="n">
        <x:v>1172.1962</x:v>
      </x:c>
      <x:c r="T35" s="17" t="str">
        <x:v>是</x:v>
      </x:c>
      <x:c r="U35" s="18" t="str">
        <x:v>/Users/mac/Documents/智囊团/video_analysis/Top_Tycoon新号流程_20260804/frames/TT_NEW_05/TT_NEW_05_t001480.jpg</x:v>
      </x:c>
      <x:c r="V35" s="18" t="str">
        <x:v>/Users/mac/Documents/智囊团/video_analysis/Top_Tycoon新号流程_20260804/frames/TT_NEW_05/TT_NEW_05_t001490.jpg</x:v>
      </x:c>
      <x:c r="W35" s="17" t="str">
        <x:v>推算</x:v>
      </x:c>
      <x:c r="X35" s="17" t="str">
        <x:v>B</x:v>
      </x:c>
      <x:c r="Y35" s="17" t="str">
        <x:v>固定1fps证据中的10秒边界快照：72,170,421→62,792,851；差额是窗口总消耗，不等同单次点击成本。</x:v>
      </x:c>
    </x:row>
    <x:row r="36">
      <x:c r="A36" s="17" t="str">
        <x:v>BLD_05_005</x:v>
      </x:c>
      <x:c r="B36" s="17" t="str">
        <x:v>TT_NEW_05</x:v>
      </x:c>
      <x:c r="C36" s="17" t="str">
        <x:v>00:26:00</x:v>
      </x:c>
      <x:c r="D36" s="17" t="n">
        <x:v>1560</x:v>
      </x:c>
      <x:c r="E36" s="17" t="str">
        <x:v>SITE_WINDOW_05_005</x:v>
      </x:c>
      <x:c r="F36" s="17" t="str">
        <x:v>Wind Farm</x:v>
      </x:c>
      <x:c r="G36" s="17" t="str">
        <x:v>10秒建造/Site task 批次</x:v>
      </x:c>
      <x:c r="H36" s="19" t="n">
        <x:v>63694833</x:v>
      </x:c>
      <x:c r="I36" s="19" t="n">
        <x:v>63638458</x:v>
      </x:c>
      <x:c r="J36" s="19" t="n">
        <x:v>56375</x:v>
      </x:c>
      <x:c r="K36" s="17" t="str">
        <x:v>录屏未展示完整前置</x:v>
      </x:c>
      <x:c r="L36" s="17" t="n">
        <x:v>10</x:v>
      </x:c>
      <x:c r="M36" s="17" t="str">
        <x:v>Site task/区域进度；10秒窗内逐次增量不可分</x:v>
      </x:c>
      <x:c r="N36" s="17" t="str">
        <x:v>否</x:v>
      </x:c>
      <x:c r="O36" s="20"/>
      <x:c r="P36" s="20"/>
      <x:c r="Q36" s="20"/>
      <x:c r="R36" s="20"/>
      <x:c r="S36" s="20"/>
      <x:c r="T36" s="17" t="str">
        <x:v>否</x:v>
      </x:c>
      <x:c r="U36" s="18" t="str">
        <x:v>/Users/mac/Documents/智囊团/video_analysis/Top_Tycoon新号流程_20260804/frames/TT_NEW_05/TT_NEW_05_t001550.jpg</x:v>
      </x:c>
      <x:c r="V36" s="18" t="str">
        <x:v>/Users/mac/Documents/智囊团/video_analysis/Top_Tycoon新号流程_20260804/frames/TT_NEW_05/TT_NEW_05_t001560.jpg</x:v>
      </x:c>
      <x:c r="W36" s="17" t="str">
        <x:v>待复核</x:v>
      </x:c>
      <x:c r="X36" s="17" t="str">
        <x:v>C</x:v>
      </x:c>
      <x:c r="Y36" s="17" t="str">
        <x:v>固定1fps证据中的10秒边界快照：63,694,833→63,638,458；差额是窗口总消耗，不等同单次点击成本。</x:v>
      </x:c>
    </x:row>
    <x:row r="37">
      <x:c r="A37" s="17" t="str">
        <x:v>BLD_05_006</x:v>
      </x:c>
      <x:c r="B37" s="17" t="str">
        <x:v>TT_NEW_05</x:v>
      </x:c>
      <x:c r="C37" s="17" t="str">
        <x:v>00:26:10</x:v>
      </x:c>
      <x:c r="D37" s="17" t="n">
        <x:v>1570</x:v>
      </x:c>
      <x:c r="E37" s="17" t="str">
        <x:v>SITE_WINDOW_05_006</x:v>
      </x:c>
      <x:c r="F37" s="17" t="str">
        <x:v>Wind Farm</x:v>
      </x:c>
      <x:c r="G37" s="17" t="str">
        <x:v>10秒建造/Site task 批次</x:v>
      </x:c>
      <x:c r="H37" s="19" t="n">
        <x:v>63638458</x:v>
      </x:c>
      <x:c r="I37" s="19" t="n">
        <x:v>63393346</x:v>
      </x:c>
      <x:c r="J37" s="19" t="n">
        <x:v>245112</x:v>
      </x:c>
      <x:c r="K37" s="17" t="str">
        <x:v>录屏未展示完整前置</x:v>
      </x:c>
      <x:c r="L37" s="17" t="n">
        <x:v>10</x:v>
      </x:c>
      <x:c r="M37" s="17" t="str">
        <x:v>Site task/区域进度；10秒窗内逐次增量不可分</x:v>
      </x:c>
      <x:c r="N37" s="17" t="str">
        <x:v>否</x:v>
      </x:c>
      <x:c r="O37" s="20"/>
      <x:c r="P37" s="20"/>
      <x:c r="Q37" s="20"/>
      <x:c r="R37" s="20"/>
      <x:c r="S37" s="20"/>
      <x:c r="T37" s="17" t="str">
        <x:v>否</x:v>
      </x:c>
      <x:c r="U37" s="18" t="str">
        <x:v>/Users/mac/Documents/智囊团/video_analysis/Top_Tycoon新号流程_20260804/frames/TT_NEW_05/TT_NEW_05_t001560.jpg</x:v>
      </x:c>
      <x:c r="V37" s="18" t="str">
        <x:v>/Users/mac/Documents/智囊团/video_analysis/Top_Tycoon新号流程_20260804/frames/TT_NEW_05/TT_NEW_05_t001570.jpg</x:v>
      </x:c>
      <x:c r="W37" s="17" t="str">
        <x:v>待复核</x:v>
      </x:c>
      <x:c r="X37" s="17" t="str">
        <x:v>C</x:v>
      </x:c>
      <x:c r="Y37" s="17" t="str">
        <x:v>固定1fps证据中的10秒边界快照：63,638,458→63,393,346；差额是窗口总消耗，不等同单次点击成本。</x:v>
      </x:c>
    </x:row>
    <x:row r="38">
      <x:c r="A38" s="17" t="str">
        <x:v>BLD_05_007</x:v>
      </x:c>
      <x:c r="B38" s="17" t="str">
        <x:v>TT_NEW_05</x:v>
      </x:c>
      <x:c r="C38" s="17" t="str">
        <x:v>00:26:20</x:v>
      </x:c>
      <x:c r="D38" s="17" t="n">
        <x:v>1580</x:v>
      </x:c>
      <x:c r="E38" s="17" t="str">
        <x:v>SITE_WINDOW_05_007</x:v>
      </x:c>
      <x:c r="F38" s="17" t="str">
        <x:v>Wind Farm</x:v>
      </x:c>
      <x:c r="G38" s="17" t="str">
        <x:v>10秒建造/Site task 批次</x:v>
      </x:c>
      <x:c r="H38" s="19" t="n">
        <x:v>63393346</x:v>
      </x:c>
      <x:c r="I38" s="19" t="n">
        <x:v>61223140</x:v>
      </x:c>
      <x:c r="J38" s="19" t="n">
        <x:v>2170206</x:v>
      </x:c>
      <x:c r="K38" s="17" t="str">
        <x:v>录屏未展示完整前置</x:v>
      </x:c>
      <x:c r="L38" s="17" t="n">
        <x:v>10</x:v>
      </x:c>
      <x:c r="M38" s="17" t="str">
        <x:v>区域进度 21,000→41,000/97,000</x:v>
      </x:c>
      <x:c r="N38" s="17" t="str">
        <x:v>否</x:v>
      </x:c>
      <x:c r="O38" s="20" t="n">
        <x:v>21000</x:v>
      </x:c>
      <x:c r="P38" s="20" t="n">
        <x:v>41000</x:v>
      </x:c>
      <x:c r="Q38" s="20" t="n">
        <x:v>97000</x:v>
      </x:c>
      <x:c r="R38" s="20" t="n">
        <x:v>20000</x:v>
      </x:c>
      <x:c r="S38" s="20" t="n">
        <x:v>108.5103</x:v>
      </x:c>
      <x:c r="T38" s="17" t="str">
        <x:v>是</x:v>
      </x:c>
      <x:c r="U38" s="18" t="str">
        <x:v>/Users/mac/Documents/智囊团/video_analysis/Top_Tycoon新号流程_20260804/frames/TT_NEW_05/TT_NEW_05_t001570.jpg</x:v>
      </x:c>
      <x:c r="V38" s="18" t="str">
        <x:v>/Users/mac/Documents/智囊团/video_analysis/Top_Tycoon新号流程_20260804/frames/TT_NEW_05/TT_NEW_05_t001580.jpg</x:v>
      </x:c>
      <x:c r="W38" s="17" t="str">
        <x:v>推算</x:v>
      </x:c>
      <x:c r="X38" s="17" t="str">
        <x:v>B</x:v>
      </x:c>
      <x:c r="Y38" s="17" t="str">
        <x:v>固定1fps证据中的10秒边界快照：63,393,346→61,223,140；差额是窗口总消耗，不等同单次点击成本。</x:v>
      </x:c>
    </x:row>
    <x:row r="39">
      <x:c r="A39" s="17" t="str">
        <x:v>BLD_05_008</x:v>
      </x:c>
      <x:c r="B39" s="17" t="str">
        <x:v>TT_NEW_05</x:v>
      </x:c>
      <x:c r="C39" s="17" t="str">
        <x:v>00:26:30</x:v>
      </x:c>
      <x:c r="D39" s="17" t="n">
        <x:v>1590</x:v>
      </x:c>
      <x:c r="E39" s="17" t="str">
        <x:v>SITE_WINDOW_05_008</x:v>
      </x:c>
      <x:c r="F39" s="17" t="str">
        <x:v>Wind Farm</x:v>
      </x:c>
      <x:c r="G39" s="17" t="str">
        <x:v>10秒建造/Site task 批次</x:v>
      </x:c>
      <x:c r="H39" s="19" t="n">
        <x:v>61223140</x:v>
      </x:c>
      <x:c r="I39" s="19" t="n">
        <x:v>57442120</x:v>
      </x:c>
      <x:c r="J39" s="19" t="n">
        <x:v>3781020</x:v>
      </x:c>
      <x:c r="K39" s="17" t="str">
        <x:v>录屏未展示完整前置</x:v>
      </x:c>
      <x:c r="L39" s="17" t="n">
        <x:v>10</x:v>
      </x:c>
      <x:c r="M39" s="17" t="str">
        <x:v>区域进度 41,000→61,000/97,000</x:v>
      </x:c>
      <x:c r="N39" s="17" t="str">
        <x:v>否</x:v>
      </x:c>
      <x:c r="O39" s="20" t="n">
        <x:v>41000</x:v>
      </x:c>
      <x:c r="P39" s="20" t="n">
        <x:v>61000</x:v>
      </x:c>
      <x:c r="Q39" s="20" t="n">
        <x:v>97000</x:v>
      </x:c>
      <x:c r="R39" s="20" t="n">
        <x:v>20000</x:v>
      </x:c>
      <x:c r="S39" s="20" t="n">
        <x:v>189.051</x:v>
      </x:c>
      <x:c r="T39" s="17" t="str">
        <x:v>是</x:v>
      </x:c>
      <x:c r="U39" s="18" t="str">
        <x:v>/Users/mac/Documents/智囊团/video_analysis/Top_Tycoon新号流程_20260804/frames/TT_NEW_05/TT_NEW_05_t001580.jpg</x:v>
      </x:c>
      <x:c r="V39" s="18" t="str">
        <x:v>/Users/mac/Documents/智囊团/video_analysis/Top_Tycoon新号流程_20260804/frames/TT_NEW_05/TT_NEW_05_t001590.jpg</x:v>
      </x:c>
      <x:c r="W39" s="17" t="str">
        <x:v>推算</x:v>
      </x:c>
      <x:c r="X39" s="17" t="str">
        <x:v>B</x:v>
      </x:c>
      <x:c r="Y39" s="17" t="str">
        <x:v>固定1fps证据中的10秒边界快照：61,223,140→57,442,120；差额是窗口总消耗，不等同单次点击成本。</x:v>
      </x:c>
    </x:row>
    <x:row r="40">
      <x:c r="A40" s="17" t="str">
        <x:v>BLD_05_009</x:v>
      </x:c>
      <x:c r="B40" s="17" t="str">
        <x:v>TT_NEW_05</x:v>
      </x:c>
      <x:c r="C40" s="17" t="str">
        <x:v>00:26:40</x:v>
      </x:c>
      <x:c r="D40" s="17" t="n">
        <x:v>1600</x:v>
      </x:c>
      <x:c r="E40" s="17" t="str">
        <x:v>SITE_WINDOW_05_009</x:v>
      </x:c>
      <x:c r="F40" s="17" t="str">
        <x:v>Wind Farm</x:v>
      </x:c>
      <x:c r="G40" s="17" t="str">
        <x:v>10秒建造/Site task 批次</x:v>
      </x:c>
      <x:c r="H40" s="19" t="n">
        <x:v>57442120</x:v>
      </x:c>
      <x:c r="I40" s="19" t="n">
        <x:v>50111303</x:v>
      </x:c>
      <x:c r="J40" s="19" t="n">
        <x:v>7330817</x:v>
      </x:c>
      <x:c r="K40" s="17" t="str">
        <x:v>录屏未展示完整前置</x:v>
      </x:c>
      <x:c r="L40" s="17" t="n">
        <x:v>10</x:v>
      </x:c>
      <x:c r="M40" s="17" t="str">
        <x:v>区域进度 61,000→80,000/97,000</x:v>
      </x:c>
      <x:c r="N40" s="17" t="str">
        <x:v>否</x:v>
      </x:c>
      <x:c r="O40" s="20" t="n">
        <x:v>61000</x:v>
      </x:c>
      <x:c r="P40" s="20" t="n">
        <x:v>80000</x:v>
      </x:c>
      <x:c r="Q40" s="20" t="n">
        <x:v>97000</x:v>
      </x:c>
      <x:c r="R40" s="20" t="n">
        <x:v>19000</x:v>
      </x:c>
      <x:c r="S40" s="20" t="n">
        <x:v>385.8325</x:v>
      </x:c>
      <x:c r="T40" s="17" t="str">
        <x:v>是</x:v>
      </x:c>
      <x:c r="U40" s="18" t="str">
        <x:v>/Users/mac/Documents/智囊团/video_analysis/Top_Tycoon新号流程_20260804/frames/TT_NEW_05/TT_NEW_05_t001590.jpg</x:v>
      </x:c>
      <x:c r="V40" s="18" t="str">
        <x:v>/Users/mac/Documents/智囊团/video_analysis/Top_Tycoon新号流程_20260804/frames/TT_NEW_05/TT_NEW_05_t001600.jpg</x:v>
      </x:c>
      <x:c r="W40" s="17" t="str">
        <x:v>推算</x:v>
      </x:c>
      <x:c r="X40" s="17" t="str">
        <x:v>B</x:v>
      </x:c>
      <x:c r="Y40" s="17" t="str">
        <x:v>固定1fps证据中的10秒边界快照：57,442,120→50,111,303；差额是窗口总消耗，不等同单次点击成本。</x:v>
      </x:c>
    </x:row>
    <x:row r="41">
      <x:c r="A41" s="17" t="str">
        <x:v>BLD_05_010</x:v>
      </x:c>
      <x:c r="B41" s="17" t="str">
        <x:v>TT_NEW_05</x:v>
      </x:c>
      <x:c r="C41" s="17" t="str">
        <x:v>00:27:00</x:v>
      </x:c>
      <x:c r="D41" s="17" t="n">
        <x:v>1620</x:v>
      </x:c>
      <x:c r="E41" s="17" t="str">
        <x:v>SITE_WINDOW_05_010</x:v>
      </x:c>
      <x:c r="F41" s="17" t="str">
        <x:v>Wind Farm</x:v>
      </x:c>
      <x:c r="G41" s="17" t="str">
        <x:v>10秒建造/Site task 批次</x:v>
      </x:c>
      <x:c r="H41" s="19" t="n">
        <x:v>50146903</x:v>
      </x:c>
      <x:c r="I41" s="19" t="n">
        <x:v>47946187</x:v>
      </x:c>
      <x:c r="J41" s="19" t="n">
        <x:v>2200716</x:v>
      </x:c>
      <x:c r="K41" s="17" t="str">
        <x:v>录屏未展示完整前置</x:v>
      </x:c>
      <x:c r="L41" s="17" t="n">
        <x:v>10</x:v>
      </x:c>
      <x:c r="M41" s="17" t="str">
        <x:v>区域进度 82,000→82,000/97,000</x:v>
      </x:c>
      <x:c r="N41" s="17" t="str">
        <x:v>否</x:v>
      </x:c>
      <x:c r="O41" s="20" t="n">
        <x:v>82000</x:v>
      </x:c>
      <x:c r="P41" s="20" t="n">
        <x:v>82000</x:v>
      </x:c>
      <x:c r="Q41" s="20" t="n">
        <x:v>97000</x:v>
      </x:c>
      <x:c r="R41" s="20" t="n">
        <x:v>0</x:v>
      </x:c>
      <x:c r="S41" s="20"/>
      <x:c r="T41" s="17" t="str">
        <x:v>否</x:v>
      </x:c>
      <x:c r="U41" s="18" t="str">
        <x:v>/Users/mac/Documents/智囊团/video_analysis/Top_Tycoon新号流程_20260804/frames/TT_NEW_05/TT_NEW_05_t001610.jpg</x:v>
      </x:c>
      <x:c r="V41" s="18" t="str">
        <x:v>/Users/mac/Documents/智囊团/video_analysis/Top_Tycoon新号流程_20260804/frames/TT_NEW_05/TT_NEW_05_t001620.jpg</x:v>
      </x:c>
      <x:c r="W41" s="17" t="str">
        <x:v>待复核</x:v>
      </x:c>
      <x:c r="X41" s="17" t="str">
        <x:v>C</x:v>
      </x:c>
      <x:c r="Y41" s="17" t="str">
        <x:v>固定1fps证据中的10秒边界快照：50,146,903→47,946,187；差额是窗口总消耗，不等同单次点击成本。</x:v>
      </x:c>
    </x:row>
    <x:row r="42">
      <x:c r="A42" s="17" t="str">
        <x:v>BLD_05_011</x:v>
      </x:c>
      <x:c r="B42" s="17" t="str">
        <x:v>TT_NEW_05</x:v>
      </x:c>
      <x:c r="C42" s="17" t="str">
        <x:v>00:27:10</x:v>
      </x:c>
      <x:c r="D42" s="17" t="n">
        <x:v>1630</x:v>
      </x:c>
      <x:c r="E42" s="17" t="str">
        <x:v>SITE_WINDOW_05_011</x:v>
      </x:c>
      <x:c r="F42" s="17" t="str">
        <x:v>Wind Farm</x:v>
      </x:c>
      <x:c r="G42" s="17" t="str">
        <x:v>10秒建造/Site task 批次</x:v>
      </x:c>
      <x:c r="H42" s="19" t="n">
        <x:v>47946187</x:v>
      </x:c>
      <x:c r="I42" s="19" t="n">
        <x:v>39028503</x:v>
      </x:c>
      <x:c r="J42" s="19" t="n">
        <x:v>8917684</x:v>
      </x:c>
      <x:c r="K42" s="17" t="str">
        <x:v>录屏未展示完整前置</x:v>
      </x:c>
      <x:c r="L42" s="17" t="n">
        <x:v>10</x:v>
      </x:c>
      <x:c r="M42" s="17" t="str">
        <x:v>区域进度 82,000→97,000/97,000</x:v>
      </x:c>
      <x:c r="N42" s="17" t="str">
        <x:v>否</x:v>
      </x:c>
      <x:c r="O42" s="20" t="n">
        <x:v>82000</x:v>
      </x:c>
      <x:c r="P42" s="20" t="n">
        <x:v>97000</x:v>
      </x:c>
      <x:c r="Q42" s="20" t="n">
        <x:v>97000</x:v>
      </x:c>
      <x:c r="R42" s="20" t="n">
        <x:v>15000</x:v>
      </x:c>
      <x:c r="S42" s="20" t="n">
        <x:v>594.5123</x:v>
      </x:c>
      <x:c r="T42" s="17" t="str">
        <x:v>是</x:v>
      </x:c>
      <x:c r="U42" s="18" t="str">
        <x:v>/Users/mac/Documents/智囊团/video_analysis/Top_Tycoon新号流程_20260804/frames/TT_NEW_05/TT_NEW_05_t001620.jpg</x:v>
      </x:c>
      <x:c r="V42" s="18" t="str">
        <x:v>/Users/mac/Documents/智囊团/video_analysis/Top_Tycoon新号流程_20260804/frames/TT_NEW_05/TT_NEW_05_t001630.jpg</x:v>
      </x:c>
      <x:c r="W42" s="17" t="str">
        <x:v>推算</x:v>
      </x:c>
      <x:c r="X42" s="17" t="str">
        <x:v>B</x:v>
      </x:c>
      <x:c r="Y42" s="17" t="str">
        <x:v>固定1fps证据中的10秒边界快照：47,946,187→39,028,503；差额是窗口总消耗，不等同单次点击成本。</x:v>
      </x:c>
    </x:row>
    <x:row r="43">
      <x:c r="A43" s="17" t="str">
        <x:v>BLD_05_012</x:v>
      </x:c>
      <x:c r="B43" s="17" t="str">
        <x:v>TT_NEW_05</x:v>
      </x:c>
      <x:c r="C43" s="17" t="str">
        <x:v>00:27:40</x:v>
      </x:c>
      <x:c r="D43" s="17" t="n">
        <x:v>1660</x:v>
      </x:c>
      <x:c r="E43" s="17" t="str">
        <x:v>SITE_WINDOW_05_012</x:v>
      </x:c>
      <x:c r="F43" s="17" t="str">
        <x:v>Sewage Treatment</x:v>
      </x:c>
      <x:c r="G43" s="17" t="str">
        <x:v>10秒建造/Site task 批次</x:v>
      </x:c>
      <x:c r="H43" s="19" t="n">
        <x:v>39025173</x:v>
      </x:c>
      <x:c r="I43" s="19" t="n">
        <x:v>38345471</x:v>
      </x:c>
      <x:c r="J43" s="19" t="n">
        <x:v>679702</x:v>
      </x:c>
      <x:c r="K43" s="17" t="str">
        <x:v>录屏未展示完整前置</x:v>
      </x:c>
      <x:c r="L43" s="17" t="n">
        <x:v>10</x:v>
      </x:c>
      <x:c r="M43" s="17" t="str">
        <x:v>区域进度 0→11,000/45,000</x:v>
      </x:c>
      <x:c r="N43" s="17" t="str">
        <x:v>否</x:v>
      </x:c>
      <x:c r="O43" s="20" t="n">
        <x:v>0</x:v>
      </x:c>
      <x:c r="P43" s="20" t="n">
        <x:v>11000</x:v>
      </x:c>
      <x:c r="Q43" s="20" t="n">
        <x:v>45000</x:v>
      </x:c>
      <x:c r="R43" s="20" t="n">
        <x:v>11000</x:v>
      </x:c>
      <x:c r="S43" s="20" t="n">
        <x:v>61.7911</x:v>
      </x:c>
      <x:c r="T43" s="17" t="str">
        <x:v>是</x:v>
      </x:c>
      <x:c r="U43" s="18" t="str">
        <x:v>/Users/mac/Documents/智囊团/video_analysis/Top_Tycoon新号流程_20260804/frames/TT_NEW_05/TT_NEW_05_t001650.jpg</x:v>
      </x:c>
      <x:c r="V43" s="18" t="str">
        <x:v>/Users/mac/Documents/智囊团/video_analysis/Top_Tycoon新号流程_20260804/frames/TT_NEW_05/TT_NEW_05_t001660.jpg</x:v>
      </x:c>
      <x:c r="W43" s="17" t="str">
        <x:v>推算</x:v>
      </x:c>
      <x:c r="X43" s="17" t="str">
        <x:v>B</x:v>
      </x:c>
      <x:c r="Y43" s="17" t="str">
        <x:v>固定1fps证据中的10秒边界快照：39,025,173→38,345,471；差额是窗口总消耗，不等同单次点击成本。</x:v>
      </x:c>
    </x:row>
    <x:row r="44">
      <x:c r="A44" s="17" t="str">
        <x:v>BLD_05_013</x:v>
      </x:c>
      <x:c r="B44" s="17" t="str">
        <x:v>TT_NEW_05</x:v>
      </x:c>
      <x:c r="C44" s="17" t="str">
        <x:v>00:27:50</x:v>
      </x:c>
      <x:c r="D44" s="17" t="n">
        <x:v>1670</x:v>
      </x:c>
      <x:c r="E44" s="17" t="str">
        <x:v>SITE_WINDOW_05_013</x:v>
      </x:c>
      <x:c r="F44" s="17" t="str">
        <x:v>Sewage Treatment</x:v>
      </x:c>
      <x:c r="G44" s="17" t="str">
        <x:v>10秒建造/Site task 批次</x:v>
      </x:c>
      <x:c r="H44" s="19" t="n">
        <x:v>38345471</x:v>
      </x:c>
      <x:c r="I44" s="19" t="n">
        <x:v>32801551</x:v>
      </x:c>
      <x:c r="J44" s="19" t="n">
        <x:v>5543920</x:v>
      </x:c>
      <x:c r="K44" s="17" t="str">
        <x:v>录屏未展示完整前置</x:v>
      </x:c>
      <x:c r="L44" s="17" t="n">
        <x:v>10</x:v>
      </x:c>
      <x:c r="M44" s="17" t="str">
        <x:v>区域进度 11,000→26,000/45,000</x:v>
      </x:c>
      <x:c r="N44" s="17" t="str">
        <x:v>否</x:v>
      </x:c>
      <x:c r="O44" s="20" t="n">
        <x:v>11000</x:v>
      </x:c>
      <x:c r="P44" s="20" t="n">
        <x:v>26000</x:v>
      </x:c>
      <x:c r="Q44" s="20" t="n">
        <x:v>45000</x:v>
      </x:c>
      <x:c r="R44" s="20" t="n">
        <x:v>15000</x:v>
      </x:c>
      <x:c r="S44" s="20" t="n">
        <x:v>369.5947</x:v>
      </x:c>
      <x:c r="T44" s="17" t="str">
        <x:v>是</x:v>
      </x:c>
      <x:c r="U44" s="18" t="str">
        <x:v>/Users/mac/Documents/智囊团/video_analysis/Top_Tycoon新号流程_20260804/frames/TT_NEW_05/TT_NEW_05_t001660.jpg</x:v>
      </x:c>
      <x:c r="V44" s="18" t="str">
        <x:v>/Users/mac/Documents/智囊团/video_analysis/Top_Tycoon新号流程_20260804/frames/TT_NEW_05/TT_NEW_05_t001670.jpg</x:v>
      </x:c>
      <x:c r="W44" s="17" t="str">
        <x:v>推算</x:v>
      </x:c>
      <x:c r="X44" s="17" t="str">
        <x:v>B</x:v>
      </x:c>
      <x:c r="Y44" s="17" t="str">
        <x:v>固定1fps证据中的10秒边界快照：38,345,471→32,801,551；差额是窗口总消耗，不等同单次点击成本。</x:v>
      </x:c>
    </x:row>
    <x:row r="45">
      <x:c r="A45" s="17" t="str">
        <x:v>BLD_05_014</x:v>
      </x:c>
      <x:c r="B45" s="17" t="str">
        <x:v>TT_NEW_05</x:v>
      </x:c>
      <x:c r="C45" s="17" t="str">
        <x:v>00:28:00</x:v>
      </x:c>
      <x:c r="D45" s="17" t="n">
        <x:v>1680</x:v>
      </x:c>
      <x:c r="E45" s="17" t="str">
        <x:v>SITE_WINDOW_05_014</x:v>
      </x:c>
      <x:c r="F45" s="17" t="str">
        <x:v>Sewage Treatment</x:v>
      </x:c>
      <x:c r="G45" s="17" t="str">
        <x:v>10秒建造/Site task 批次</x:v>
      </x:c>
      <x:c r="H45" s="19" t="n">
        <x:v>32801551</x:v>
      </x:c>
      <x:c r="I45" s="19" t="n">
        <x:v>11944286</x:v>
      </x:c>
      <x:c r="J45" s="19" t="n">
        <x:v>20857265</x:v>
      </x:c>
      <x:c r="K45" s="17" t="str">
        <x:v>录屏未展示完整前置</x:v>
      </x:c>
      <x:c r="L45" s="17" t="n">
        <x:v>10</x:v>
      </x:c>
      <x:c r="M45" s="17" t="str">
        <x:v>区域进度 26,000→1,000/45,000</x:v>
      </x:c>
      <x:c r="N45" s="17" t="str">
        <x:v>否</x:v>
      </x:c>
      <x:c r="O45" s="20" t="n">
        <x:v>26000</x:v>
      </x:c>
      <x:c r="P45" s="20" t="n">
        <x:v>1000</x:v>
      </x:c>
      <x:c r="Q45" s="20" t="n">
        <x:v>45000</x:v>
      </x:c>
      <x:c r="R45" s="20" t="n">
        <x:v>-25000</x:v>
      </x:c>
      <x:c r="S45" s="20"/>
      <x:c r="T45" s="17" t="str">
        <x:v>否</x:v>
      </x:c>
      <x:c r="U45" s="18" t="str">
        <x:v>/Users/mac/Documents/智囊团/video_analysis/Top_Tycoon新号流程_20260804/frames/TT_NEW_05/TT_NEW_05_t001670.jpg</x:v>
      </x:c>
      <x:c r="V45" s="18" t="str">
        <x:v>/Users/mac/Documents/智囊团/video_analysis/Top_Tycoon新号流程_20260804/frames/TT_NEW_05/TT_NEW_05_t001680.jpg</x:v>
      </x:c>
      <x:c r="W45" s="17" t="str">
        <x:v>待复核</x:v>
      </x:c>
      <x:c r="X45" s="17" t="str">
        <x:v>C</x:v>
      </x:c>
      <x:c r="Y45" s="17" t="str">
        <x:v>固定1fps证据中的10秒边界快照：32,801,551→11,944,286；差额是窗口总消耗，不等同单次点击成本。</x:v>
      </x:c>
    </x:row>
    <x:row r="46">
      <x:c r="A46" s="17" t="str">
        <x:v>BLD_05_015</x:v>
      </x:c>
      <x:c r="B46" s="17" t="str">
        <x:v>TT_NEW_05</x:v>
      </x:c>
      <x:c r="C46" s="17" t="str">
        <x:v>00:28:40</x:v>
      </x:c>
      <x:c r="D46" s="17" t="n">
        <x:v>1720</x:v>
      </x:c>
      <x:c r="E46" s="17" t="str">
        <x:v>SITE_WINDOW_05_015</x:v>
      </x:c>
      <x:c r="F46" s="17" t="str">
        <x:v>Natural Gas</x:v>
      </x:c>
      <x:c r="G46" s="17" t="str">
        <x:v>10秒建造/Site task 批次</x:v>
      </x:c>
      <x:c r="H46" s="19" t="n">
        <x:v>6679623</x:v>
      </x:c>
      <x:c r="I46" s="19" t="n">
        <x:v>5861035</x:v>
      </x:c>
      <x:c r="J46" s="19" t="n">
        <x:v>818588</x:v>
      </x:c>
      <x:c r="K46" s="17" t="str">
        <x:v>录屏未展示完整前置</x:v>
      </x:c>
      <x:c r="L46" s="17" t="n">
        <x:v>10</x:v>
      </x:c>
      <x:c r="M46" s="17" t="str">
        <x:v>区域进度 0→8,000/39,000</x:v>
      </x:c>
      <x:c r="N46" s="17" t="str">
        <x:v>否</x:v>
      </x:c>
      <x:c r="O46" s="20" t="n">
        <x:v>0</x:v>
      </x:c>
      <x:c r="P46" s="20" t="n">
        <x:v>8000</x:v>
      </x:c>
      <x:c r="Q46" s="20" t="n">
        <x:v>39000</x:v>
      </x:c>
      <x:c r="R46" s="20" t="n">
        <x:v>8000</x:v>
      </x:c>
      <x:c r="S46" s="20" t="n">
        <x:v>102.3235</x:v>
      </x:c>
      <x:c r="T46" s="17" t="str">
        <x:v>是</x:v>
      </x:c>
      <x:c r="U46" s="18" t="str">
        <x:v>/Users/mac/Documents/智囊团/video_analysis/Top_Tycoon新号流程_20260804/frames/TT_NEW_05/TT_NEW_05_t001710.jpg</x:v>
      </x:c>
      <x:c r="V46" s="18" t="str">
        <x:v>/Users/mac/Documents/智囊团/video_analysis/Top_Tycoon新号流程_20260804/frames/TT_NEW_05/TT_NEW_05_t001720.jpg</x:v>
      </x:c>
      <x:c r="W46" s="17" t="str">
        <x:v>推算</x:v>
      </x:c>
      <x:c r="X46" s="17" t="str">
        <x:v>B</x:v>
      </x:c>
      <x:c r="Y46" s="17" t="str">
        <x:v>固定1fps证据中的10秒边界快照：6,679,623→5,861,035；差额是窗口总消耗，不等同单次点击成本。</x:v>
      </x:c>
    </x:row>
    <x:row r="47">
      <x:c r="A47" s="17" t="str">
        <x:v>BLD_05_016</x:v>
      </x:c>
      <x:c r="B47" s="17" t="str">
        <x:v>TT_NEW_05</x:v>
      </x:c>
      <x:c r="C47" s="17" t="str">
        <x:v>00:28:50</x:v>
      </x:c>
      <x:c r="D47" s="17" t="n">
        <x:v>1730</x:v>
      </x:c>
      <x:c r="E47" s="17" t="str">
        <x:v>SITE_WINDOW_05_016</x:v>
      </x:c>
      <x:c r="F47" s="17" t="str">
        <x:v>Natural Gas</x:v>
      </x:c>
      <x:c r="G47" s="17" t="str">
        <x:v>10秒建造/Site task 批次</x:v>
      </x:c>
      <x:c r="H47" s="19" t="n">
        <x:v>5861035</x:v>
      </x:c>
      <x:c r="I47" s="19" t="n">
        <x:v>1593886</x:v>
      </x:c>
      <x:c r="J47" s="19" t="n">
        <x:v>4267149</x:v>
      </x:c>
      <x:c r="K47" s="17" t="str">
        <x:v>录屏未展示完整前置</x:v>
      </x:c>
      <x:c r="L47" s="17" t="n">
        <x:v>10</x:v>
      </x:c>
      <x:c r="M47" s="17" t="str">
        <x:v>区域进度 8,000→18,000/39,000</x:v>
      </x:c>
      <x:c r="N47" s="17" t="str">
        <x:v>否</x:v>
      </x:c>
      <x:c r="O47" s="20" t="n">
        <x:v>8000</x:v>
      </x:c>
      <x:c r="P47" s="20" t="n">
        <x:v>18000</x:v>
      </x:c>
      <x:c r="Q47" s="20" t="n">
        <x:v>39000</x:v>
      </x:c>
      <x:c r="R47" s="20" t="n">
        <x:v>10000</x:v>
      </x:c>
      <x:c r="S47" s="20" t="n">
        <x:v>426.7149</x:v>
      </x:c>
      <x:c r="T47" s="17" t="str">
        <x:v>是</x:v>
      </x:c>
      <x:c r="U47" s="18" t="str">
        <x:v>/Users/mac/Documents/智囊团/video_analysis/Top_Tycoon新号流程_20260804/frames/TT_NEW_05/TT_NEW_05_t001720.jpg</x:v>
      </x:c>
      <x:c r="V47" s="18" t="str">
        <x:v>/Users/mac/Documents/智囊团/video_analysis/Top_Tycoon新号流程_20260804/frames/TT_NEW_05/TT_NEW_05_t001730.jpg</x:v>
      </x:c>
      <x:c r="W47" s="17" t="str">
        <x:v>推算</x:v>
      </x:c>
      <x:c r="X47" s="17" t="str">
        <x:v>B</x:v>
      </x:c>
      <x:c r="Y47" s="17" t="str">
        <x:v>固定1fps证据中的10秒边界快照：5,861,035→1,593,886；差额是窗口总消耗，不等同单次点击成本。</x:v>
      </x:c>
    </x:row>
    <x:row r="48">
      <x:c r="A48" s="17" t="str">
        <x:v>BLD_05_017</x:v>
      </x:c>
      <x:c r="B48" s="17" t="str">
        <x:v>TT_NEW_05</x:v>
      </x:c>
      <x:c r="C48" s="17" t="str">
        <x:v>00:29:00</x:v>
      </x:c>
      <x:c r="D48" s="17" t="n">
        <x:v>1740</x:v>
      </x:c>
      <x:c r="E48" s="17" t="str">
        <x:v>SITE_WINDOW_05_017</x:v>
      </x:c>
      <x:c r="F48" s="17" t="str">
        <x:v>Natural Gas</x:v>
      </x:c>
      <x:c r="G48" s="17" t="str">
        <x:v>10秒建造/Site task 批次</x:v>
      </x:c>
      <x:c r="H48" s="19" t="n">
        <x:v>1593886</x:v>
      </x:c>
      <x:c r="I48" s="19" t="n">
        <x:v>591620</x:v>
      </x:c>
      <x:c r="J48" s="19" t="n">
        <x:v>1002266</x:v>
      </x:c>
      <x:c r="K48" s="17" t="str">
        <x:v>录屏未展示完整前置</x:v>
      </x:c>
      <x:c r="L48" s="17" t="n">
        <x:v>10</x:v>
      </x:c>
      <x:c r="M48" s="17" t="str">
        <x:v>区域进度 18,000→22,000/39,000</x:v>
      </x:c>
      <x:c r="N48" s="17" t="str">
        <x:v>否</x:v>
      </x:c>
      <x:c r="O48" s="20" t="n">
        <x:v>18000</x:v>
      </x:c>
      <x:c r="P48" s="20" t="n">
        <x:v>22000</x:v>
      </x:c>
      <x:c r="Q48" s="20" t="n">
        <x:v>39000</x:v>
      </x:c>
      <x:c r="R48" s="20" t="n">
        <x:v>4000</x:v>
      </x:c>
      <x:c r="S48" s="20" t="n">
        <x:v>250.5665</x:v>
      </x:c>
      <x:c r="T48" s="17" t="str">
        <x:v>是</x:v>
      </x:c>
      <x:c r="U48" s="18" t="str">
        <x:v>/Users/mac/Documents/智囊团/video_analysis/Top_Tycoon新号流程_20260804/frames/TT_NEW_05/TT_NEW_05_t001730.jpg</x:v>
      </x:c>
      <x:c r="V48" s="18" t="str">
        <x:v>/Users/mac/Documents/智囊团/video_analysis/Top_Tycoon新号流程_20260804/frames/TT_NEW_05/TT_NEW_05_t001740.jpg</x:v>
      </x:c>
      <x:c r="W48" s="17" t="str">
        <x:v>推算</x:v>
      </x:c>
      <x:c r="X48" s="17" t="str">
        <x:v>B</x:v>
      </x:c>
      <x:c r="Y48" s="17" t="str">
        <x:v>固定1fps证据中的10秒边界快照：1,593,886→591,620；差额是窗口总消耗，不等同单次点击成本。</x:v>
      </x:c>
    </x:row>
    <x:row r="49">
      <x:c r="A49" s="17" t="str">
        <x:v>BLD_06_001</x:v>
      </x:c>
      <x:c r="B49" s="17" t="str">
        <x:v>TT_NEW_06</x:v>
      </x:c>
      <x:c r="C49" s="17" t="str">
        <x:v>00:05:00</x:v>
      </x:c>
      <x:c r="D49" s="17" t="n">
        <x:v>300</x:v>
      </x:c>
      <x:c r="E49" s="17" t="str">
        <x:v>SITE_WINDOW_06_001</x:v>
      </x:c>
      <x:c r="F49" s="17" t="str">
        <x:v>Sky Plunge</x:v>
      </x:c>
      <x:c r="G49" s="17" t="str">
        <x:v>10秒建造/Site task 批次</x:v>
      </x:c>
      <x:c r="H49" s="19" t="n">
        <x:v>517537</x:v>
      </x:c>
      <x:c r="I49" s="19" t="n">
        <x:v>263450</x:v>
      </x:c>
      <x:c r="J49" s="19" t="n">
        <x:v>254087</x:v>
      </x:c>
      <x:c r="K49" s="17" t="str">
        <x:v>录屏未展示完整前置</x:v>
      </x:c>
      <x:c r="L49" s="17" t="n">
        <x:v>10</x:v>
      </x:c>
      <x:c r="M49" s="17" t="str">
        <x:v>区域进度 17,200→33,000/57,000</x:v>
      </x:c>
      <x:c r="N49" s="17" t="str">
        <x:v>否</x:v>
      </x:c>
      <x:c r="O49" s="20" t="n">
        <x:v>17200</x:v>
      </x:c>
      <x:c r="P49" s="20" t="n">
        <x:v>33000</x:v>
      </x:c>
      <x:c r="Q49" s="20" t="n">
        <x:v>57000</x:v>
      </x:c>
      <x:c r="R49" s="20" t="n">
        <x:v>15800</x:v>
      </x:c>
      <x:c r="S49" s="20" t="n">
        <x:v>16.0815</x:v>
      </x:c>
      <x:c r="T49" s="17" t="str">
        <x:v>是</x:v>
      </x:c>
      <x:c r="U49" s="18" t="str">
        <x:v>/Users/mac/Documents/智囊团/video_analysis/Top_Tycoon新号流程_20260804/frames/TT_NEW_06/TT_NEW_06_t000290.jpg</x:v>
      </x:c>
      <x:c r="V49" s="18" t="str">
        <x:v>/Users/mac/Documents/智囊团/video_analysis/Top_Tycoon新号流程_20260804/frames/TT_NEW_06/TT_NEW_06_t000300.jpg</x:v>
      </x:c>
      <x:c r="W49" s="17" t="str">
        <x:v>推算</x:v>
      </x:c>
      <x:c r="X49" s="17" t="str">
        <x:v>B</x:v>
      </x:c>
      <x:c r="Y49" s="17" t="str">
        <x:v>固定1fps证据中的10秒边界快照：517,537→263,450；差额是窗口总消耗，不等同单次点击成本。</x:v>
      </x:c>
    </x:row>
  </x:sheetData>
  <x:pageMargins left="0.7" right="0.7" top="0.75" bottom="0.75" header="0.3" footer="0.3"/>
  <x:tableParts count="1">
    <x:tablePart xmlns:r="http://schemas.openxmlformats.org/officeDocument/2006/relationships" r:id="R79a82237963248ef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5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5" hidden="0" customWidth="1"/>
    <x:col min="8" max="8" width="16" hidden="0" customWidth="1"/>
    <x:col min="9" max="9" width="44" hidden="0" customWidth="1"/>
    <x:col min="10" max="10" width="18" hidden="0" customWidth="1"/>
    <x:col min="11" max="11" width="42" hidden="0" customWidth="1"/>
    <x:col min="12" max="12" width="72" hidden="0" customWidth="1"/>
    <x:col min="13" max="13" width="15" hidden="0" customWidth="1"/>
    <x:col min="14" max="14" width="15" hidden="0" customWidth="1"/>
    <x:col min="15" max="15" width="52" hidden="0" customWidth="1"/>
    <x:col min="16" max="16" width="72" hidden="0" customWidth="1"/>
  </x:cols>
  <x:sheetData>
    <x:row r="1" ht="30" customHeight="1">
      <x:c r="A1" s="14" t="str">
        <x:v>segment_id</x:v>
      </x:c>
      <x:c r="B1" s="15" t="str">
        <x:v>video_id</x:v>
      </x:c>
      <x:c r="C1" s="15" t="str">
        <x:v>start_frame</x:v>
      </x:c>
      <x:c r="D1" s="15" t="str">
        <x:v>end_frame</x:v>
      </x:c>
      <x:c r="E1" s="15" t="str">
        <x:v>start_time</x:v>
      </x:c>
      <x:c r="F1" s="15" t="str">
        <x:v>end_time</x:v>
      </x:c>
      <x:c r="G1" s="15" t="str">
        <x:v>duration_seconds</x:v>
      </x:c>
      <x:c r="H1" s="15" t="str">
        <x:v>module_position</x:v>
      </x:c>
      <x:c r="I1" s="15" t="str">
        <x:v>ui_state</x:v>
      </x:c>
      <x:c r="J1" s="15" t="str">
        <x:v>continuous_accounting</x:v>
      </x:c>
      <x:c r="K1" s="15" t="str">
        <x:v>keep_exclude_reason</x:v>
      </x:c>
      <x:c r="L1" s="15" t="str">
        <x:v>evidence_frame</x:v>
      </x:c>
      <x:c r="M1" s="15" t="str">
        <x:v>evidence_frame_index</x:v>
      </x:c>
      <x:c r="N1" s="15" t="str">
        <x:v>review_status</x:v>
      </x:c>
      <x:c r="O1" s="15" t="str">
        <x:v>classification_basis</x:v>
      </x:c>
      <x:c r="P1" s="16" t="str">
        <x:v>ocr_excerpt</x:v>
      </x:c>
    </x:row>
    <x:row r="2">
      <x:c r="A2" s="17" t="str">
        <x:v>SEG_01_001</x:v>
      </x:c>
      <x:c r="B2" s="17" t="str">
        <x:v>TT_NEW_01</x:v>
      </x:c>
      <x:c r="C2" s="17" t="n">
        <x:v>0</x:v>
      </x:c>
      <x:c r="D2" s="17" t="n">
        <x:v>109</x:v>
      </x:c>
      <x:c r="E2" s="17" t="str">
        <x:v>00:00:00</x:v>
      </x:c>
      <x:c r="F2" s="17" t="str">
        <x:v>00:01:49</x:v>
      </x:c>
      <x:c r="G2" s="17" t="n">
        <x:v>110</x:v>
      </x:c>
      <x:c r="H2" s="17" t="str">
        <x:v>建造</x:v>
      </x:c>
      <x:c r="I2" s="17" t="str">
        <x:v>金币可见；Site tasks/Next task cost 依画面</x:v>
      </x:c>
      <x:c r="J2" s="17" t="str">
        <x:v>是</x:v>
      </x:c>
      <x:c r="K2" s="17" t="str">
        <x:v>保留：建造金币核账窗口</x:v>
      </x:c>
      <x:c r="L2" s="18" t="str">
        <x:v>/Users/mac/Documents/智囊团/video_analysis/Top_Tycoon新号流程_20260804/frames/TT_NEW_01/TT_NEW_01_t000050.jpg</x:v>
      </x:c>
      <x:c r="M2" s="17" t="n">
        <x:v>50</x:v>
      </x:c>
      <x:c r="N2" s="17" t="str">
        <x:v>已确认</x:v>
      </x:c>
      <x:c r="O2" s="17" t="str">
        <x:v>OCR 命中建造/Site tasks 词; 画面原型近邻；margin=0.0484; 画面原型近邻；margin=0.0505; 画面原型近邻；margin=0.0563</x:v>
      </x:c>
      <x:c r="P2" s="17" t="str">
        <x:v>11 | THRILLTOPIA | 218 | 7110 | Insufficient coins | Roller Coaster | 1/7 | 0 | 11 | 32 | 2 | THRILLTOPIA | 345 | 6/10 | Insufficient coins | Roller Coaster | 20 | 1/7 | 0 | 487 | THRILLTOPIA | 8/10 | Roller Coaster | 20 | 1/7 | 0 | 347 | THRILLTOPIA | 3120 | Roller Coaster | 500 | 6/7 | 97 | THRILLTOPLA | 3124 | Minor hiccup: empty seats! | Turbo | Tycoon | 0 | 156 | THRILLTOPIA | 32 | 3124 | Ticket Gate | 50 | 4/11 | 0 | 39 | THRILLTOPLA | 160 | 6124 | B | Insufficient coin</x:v>
      </x:c>
    </x:row>
    <x:row r="3">
      <x:c r="A3" s="17" t="str">
        <x:v>SEG_01_002</x:v>
      </x:c>
      <x:c r="B3" s="17" t="str">
        <x:v>TT_NEW_01</x:v>
      </x:c>
      <x:c r="C3" s="17" t="n">
        <x:v>110</x:v>
      </x:c>
      <x:c r="D3" s="17" t="n">
        <x:v>159</x:v>
      </x:c>
      <x:c r="E3" s="17" t="str">
        <x:v>00:01:50</x:v>
      </x:c>
      <x:c r="F3" s="17" t="str">
        <x:v>00:02:39</x:v>
      </x:c>
      <x:c r="G3" s="17" t="n">
        <x:v>50</x:v>
      </x:c>
      <x:c r="H3" s="17" t="str">
        <x:v>Slot</x:v>
      </x:c>
      <x:c r="I3" s="17" t="str">
        <x:v>BET/能量/金币/主进度通常可见；以事件帧为准</x:v>
      </x:c>
      <x:c r="J3" s="17" t="str">
        <x:v>是</x:v>
      </x:c>
      <x:c r="K3" s="17" t="str">
        <x:v>保留：Slot 样本</x:v>
      </x:c>
      <x:c r="L3" s="18" t="str">
        <x:v>/Users/mac/Documents/智囊团/video_analysis/Top_Tycoon新号流程_20260804/frames/TT_NEW_01/TT_NEW_01_t000130.jpg</x:v>
      </x:c>
      <x:c r="M3" s="17" t="n">
        <x:v>130</x:v>
      </x:c>
      <x:c r="N3" s="17" t="str">
        <x:v>已确认</x:v>
      </x:c>
      <x:c r="O3" s="17" t="str">
        <x:v>OCR 命中 SPIN/BET 词; 画面原型近邻；margin=0.0010</x:v>
      </x:c>
      <x:c r="P3" s="17" t="str">
        <x:v>301 | 0/3 | Spinny-time!Burn spins for | in | Tycoon | 5spins in 29:58 | SPIN | HOLDFOR | Game | 0 | 11,801 | 0/3 | 6/50 | 5spin in 98 | SPIN | HOUNFLAITO | Gome | 0 | 14,401 | 0/3 | 1/50 | 5 spins in 29:38 | SPIN | HOLD FOR AUTO | Game | 0 | 15,001 | 0/3 | 3/50 | 5 spins in 29:29 | SPIN | HOLD FOR AUTO | Game</x:v>
      </x:c>
    </x:row>
    <x:row r="4">
      <x:c r="A4" s="17" t="str">
        <x:v>SEG_01_003</x:v>
      </x:c>
      <x:c r="B4" s="17" t="str">
        <x:v>TT_NEW_01</x:v>
      </x:c>
      <x:c r="C4" s="17" t="n">
        <x:v>160</x:v>
      </x:c>
      <x:c r="D4" s="17" t="n">
        <x:v>169</x:v>
      </x:c>
      <x:c r="E4" s="17" t="str">
        <x:v>00:02:40</x:v>
      </x:c>
      <x:c r="F4" s="17" t="str">
        <x:v>00:02:49</x:v>
      </x:c>
      <x:c r="G4" s="17" t="n">
        <x:v>10</x:v>
      </x:c>
      <x:c r="H4" s="17" t="str">
        <x:v>建造</x:v>
      </x:c>
      <x:c r="I4" s="17" t="str">
        <x:v>金币可见；Site tasks/Next task cost 依画面</x:v>
      </x:c>
      <x:c r="J4" s="17" t="str">
        <x:v>否</x:v>
      </x:c>
      <x:c r="K4" s="17" t="str">
        <x:v>保留机制；待建造余额闭合</x:v>
      </x:c>
      <x:c r="L4" s="18" t="str">
        <x:v>/Users/mac/Documents/智囊团/video_analysis/Top_Tycoon新号流程_20260804/frames/TT_NEW_01/TT_NEW_01_t000160.jpg</x:v>
      </x:c>
      <x:c r="M4" s="17" t="n">
        <x:v>160</x:v>
      </x:c>
      <x:c r="N4" s="17" t="str">
        <x:v>待复核</x:v>
      </x:c>
      <x:c r="O4" s="17" t="str">
        <x:v>画面原型近邻；margin=0.0091</x:v>
      </x:c>
      <x:c r="P4" s="17" t="str">
        <x:v>dll pa's Bank | TOTAL LOOT | 0 | COINS</x:v>
      </x:c>
    </x:row>
    <x:row r="5">
      <x:c r="A5" s="17" t="str">
        <x:v>SEG_01_004</x:v>
      </x:c>
      <x:c r="B5" s="17" t="str">
        <x:v>TT_NEW_01</x:v>
      </x:c>
      <x:c r="C5" s="17" t="n">
        <x:v>170</x:v>
      </x:c>
      <x:c r="D5" s="17" t="n">
        <x:v>199</x:v>
      </x:c>
      <x:c r="E5" s="17" t="str">
        <x:v>00:02:50</x:v>
      </x:c>
      <x:c r="F5" s="17" t="str">
        <x:v>00:03:19</x:v>
      </x:c>
      <x:c r="G5" s="17" t="n">
        <x:v>30</x:v>
      </x:c>
      <x:c r="H5" s="17" t="str">
        <x:v>转场/加载</x:v>
      </x:c>
      <x:c r="I5" s="17" t="str">
        <x:v>数值不可读或不适用</x:v>
      </x:c>
      <x:c r="J5" s="17" t="str">
        <x:v>否</x:v>
      </x:c>
      <x:c r="K5" s="17" t="str">
        <x:v>排除：转场/加载，不进入数值统计</x:v>
      </x:c>
      <x:c r="L5" s="18" t="str">
        <x:v>/Users/mac/Documents/智囊团/video_analysis/Top_Tycoon新号流程_20260804/frames/TT_NEW_01/TT_NEW_01_t000180.jpg</x:v>
      </x:c>
      <x:c r="M5" s="17" t="n">
        <x:v>180</x:v>
      </x:c>
      <x:c r="N5" s="17" t="str">
        <x:v>待复核</x:v>
      </x:c>
      <x:c r="O5" s="17" t="str">
        <x:v>画面原型近邻；margin=0.0120; 画面原型近邻；margin=0.0202; 画面原型近邻；margin=0.0457</x:v>
      </x:c>
      <x:c r="P5" s="17" t="str">
        <x:v>dll pa's Bank | 6,700 | 20,100 | COINS | COINS | Z | Z | TOTAL LOOT | 26,800 | COINS | dll pa's Bank | GRAB | LARGE | YOU STOLE | 67,000 | COINS | COLLECT | 75,601 | 0/3 | THRILLTOPU | 1812A | Site</x:v>
      </x:c>
    </x:row>
    <x:row r="6">
      <x:c r="A6" s="17" t="str">
        <x:v>SEG_01_005</x:v>
      </x:c>
      <x:c r="B6" s="17" t="str">
        <x:v>TT_NEW_01</x:v>
      </x:c>
      <x:c r="C6" s="17" t="n">
        <x:v>200</x:v>
      </x:c>
      <x:c r="D6" s="17" t="n">
        <x:v>209</x:v>
      </x:c>
      <x:c r="E6" s="17" t="str">
        <x:v>00:03:20</x:v>
      </x:c>
      <x:c r="F6" s="17" t="str">
        <x:v>00:03:29</x:v>
      </x:c>
      <x:c r="G6" s="17" t="n">
        <x:v>10</x:v>
      </x:c>
      <x:c r="H6" s="17" t="str">
        <x:v>建造</x:v>
      </x:c>
      <x:c r="I6" s="17" t="str">
        <x:v>金币可见；Site tasks/Next task cost 依画面</x:v>
      </x:c>
      <x:c r="J6" s="17" t="str">
        <x:v>否</x:v>
      </x:c>
      <x:c r="K6" s="17" t="str">
        <x:v>保留机制；待建造余额闭合</x:v>
      </x:c>
      <x:c r="L6" s="18" t="str">
        <x:v>/Users/mac/Documents/智囊团/video_analysis/Top_Tycoon新号流程_20260804/frames/TT_NEW_01/TT_NEW_01_t000200.jpg</x:v>
      </x:c>
      <x:c r="M6" s="17" t="n">
        <x:v>200</x:v>
      </x:c>
      <x:c r="N6" s="17" t="str">
        <x:v>已确认</x:v>
      </x:c>
      <x:c r="O6" s="17" t="str">
        <x:v>OCR 命中建造/Site tasks 词</x:v>
      </x:c>
      <x:c r="P6" s="17" t="str">
        <x:v>29000 | 1,601 | 0/3 | Freefall | 0/54000 | Showrewards | Did you hear thescre | Jack | NEXT TASK COST | 010</x:v>
      </x:c>
    </x:row>
    <x:row r="7">
      <x:c r="A7" s="17" t="str">
        <x:v>SEG_01_006</x:v>
      </x:c>
      <x:c r="B7" s="17" t="str">
        <x:v>TT_NEW_01</x:v>
      </x:c>
      <x:c r="C7" s="17" t="n">
        <x:v>210</x:v>
      </x:c>
      <x:c r="D7" s="17" t="n">
        <x:v>219</x:v>
      </x:c>
      <x:c r="E7" s="17" t="str">
        <x:v>00:03:30</x:v>
      </x:c>
      <x:c r="F7" s="17" t="str">
        <x:v>00:03:39</x:v>
      </x:c>
      <x:c r="G7" s="17" t="n">
        <x:v>10</x:v>
      </x:c>
      <x:c r="H7" s="17" t="str">
        <x:v>小游戏</x:v>
      </x:c>
      <x:c r="I7" s="17" t="str">
        <x:v>玩法/奖励依画面；主资源常不全显</x:v>
      </x:c>
      <x:c r="J7" s="17" t="str">
        <x:v>否</x:v>
      </x:c>
      <x:c r="K7" s="17" t="str">
        <x:v>保留机制；完整核账窗口不足</x:v>
      </x:c>
      <x:c r="L7" s="18" t="str">
        <x:v>/Users/mac/Documents/智囊团/video_analysis/Top_Tycoon新号流程_20260804/frames/TT_NEW_01/TT_NEW_01_t000210.jpg</x:v>
      </x:c>
      <x:c r="M7" s="17" t="n">
        <x:v>210</x:v>
      </x:c>
      <x:c r="N7" s="17" t="str">
        <x:v>待复核</x:v>
      </x:c>
      <x:c r="O7" s="17" t="str">
        <x:v>画面原型近邻；margin=0.0344</x:v>
      </x:c>
      <x:c r="P7" s="17" t="str">
        <x:v>29000 | 1,601 | 0/3 | Freefall | 29000/54000 | Showrewards | Let'srampup | construction and expand | ourempire! | Jack | NEXTTASKCOST | 010</x:v>
      </x:c>
    </x:row>
    <x:row r="8">
      <x:c r="A8" s="17" t="str">
        <x:v>SEG_01_007</x:v>
      </x:c>
      <x:c r="B8" s="17" t="str">
        <x:v>TT_NEW_01</x:v>
      </x:c>
      <x:c r="C8" s="17" t="n">
        <x:v>220</x:v>
      </x:c>
      <x:c r="D8" s="17" t="n">
        <x:v>229</x:v>
      </x:c>
      <x:c r="E8" s="17" t="str">
        <x:v>00:03:40</x:v>
      </x:c>
      <x:c r="F8" s="17" t="str">
        <x:v>00:03:49</x:v>
      </x:c>
      <x:c r="G8" s="17" t="n">
        <x:v>10</x:v>
      </x:c>
      <x:c r="H8" s="17" t="str">
        <x:v>主进度</x:v>
      </x:c>
      <x:c r="I8" s="17" t="str">
        <x:v>阶段进度/奖励可见；BET 可能不可见</x:v>
      </x:c>
      <x:c r="J8" s="17" t="str">
        <x:v>否</x:v>
      </x:c>
      <x:c r="K8" s="17" t="str">
        <x:v>保留：主进度节点；缺完整起止则不算成本</x:v>
      </x:c>
      <x:c r="L8" s="18" t="str">
        <x:v>/Users/mac/Documents/智囊团/video_analysis/Top_Tycoon新号流程_20260804/frames/TT_NEW_01/TT_NEW_01_t000220.jpg</x:v>
      </x:c>
      <x:c r="M8" s="17" t="n">
        <x:v>220</x:v>
      </x:c>
      <x:c r="N8" s="17" t="str">
        <x:v>已确认</x:v>
      </x:c>
      <x:c r="O8" s="17" t="str">
        <x:v>OCR 命中进度/阶段奖励词</x:v>
      </x:c>
      <x:c r="P8" s="17" t="str">
        <x:v>X | 5800% | CHAPTER PRIZE | 30000/ | 54000 | 1 | Activate | 20 | 20K | 100 | 200K | 3 | 300K | 5 | 400K | b</x:v>
      </x:c>
    </x:row>
    <x:row r="9">
      <x:c r="A9" s="17" t="str">
        <x:v>SEG_01_008</x:v>
      </x:c>
      <x:c r="B9" s="17" t="str">
        <x:v>TT_NEW_01</x:v>
      </x:c>
      <x:c r="C9" s="17" t="n">
        <x:v>230</x:v>
      </x:c>
      <x:c r="D9" s="17" t="n">
        <x:v>239</x:v>
      </x:c>
      <x:c r="E9" s="17" t="str">
        <x:v>00:03:50</x:v>
      </x:c>
      <x:c r="F9" s="17" t="str">
        <x:v>00:03:59</x:v>
      </x:c>
      <x:c r="G9" s="17" t="n">
        <x:v>10</x:v>
      </x:c>
      <x:c r="H9" s="17" t="str">
        <x:v>礼包</x:v>
      </x:c>
      <x:c r="I9" s="17" t="str">
        <x:v>价格/内容可能可见；未观察购买后余额</x:v>
      </x:c>
      <x:c r="J9" s="17" t="str">
        <x:v>否</x:v>
      </x:c>
      <x:c r="K9" s="17" t="str">
        <x:v>保留 offer_shown；无购买前后闭环</x:v>
      </x:c>
      <x:c r="L9" s="18" t="str">
        <x:v>/Users/mac/Documents/智囊团/video_analysis/Top_Tycoon新号流程_20260804/frames/TT_NEW_01/TT_NEW_01_t000230.jpg</x:v>
      </x:c>
      <x:c r="M9" s="17" t="n">
        <x:v>230</x:v>
      </x:c>
      <x:c r="N9" s="17" t="str">
        <x:v>已确认</x:v>
      </x:c>
      <x:c r="O9" s="17" t="str">
        <x:v>OCR 命中价格/商店词</x:v>
      </x:c>
      <x:c r="P9" s="17" t="str">
        <x:v>REHERBS | X | 5800% | Unlockextra rewards | and more earnings! | ACTIVATE GOLDPASS8 | GOLD PASS | WIN UP tO | 2065! | HK$40.00</x:v>
      </x:c>
    </x:row>
    <x:row r="10">
      <x:c r="A10" s="17" t="str">
        <x:v>SEG_01_009</x:v>
      </x:c>
      <x:c r="B10" s="17" t="str">
        <x:v>TT_NEW_01</x:v>
      </x:c>
      <x:c r="C10" s="17" t="n">
        <x:v>240</x:v>
      </x:c>
      <x:c r="D10" s="17" t="n">
        <x:v>309</x:v>
      </x:c>
      <x:c r="E10" s="17" t="str">
        <x:v>00:04:00</x:v>
      </x:c>
      <x:c r="F10" s="17" t="str">
        <x:v>00:05:09</x:v>
      </x:c>
      <x:c r="G10" s="17" t="n">
        <x:v>70</x:v>
      </x:c>
      <x:c r="H10" s="17" t="str">
        <x:v>建造</x:v>
      </x:c>
      <x:c r="I10" s="17" t="str">
        <x:v>金币可见；Site tasks/Next task cost 依画面</x:v>
      </x:c>
      <x:c r="J10" s="17" t="str">
        <x:v>是</x:v>
      </x:c>
      <x:c r="K10" s="17" t="str">
        <x:v>保留：建造金币核账窗口</x:v>
      </x:c>
      <x:c r="L10" s="18" t="str">
        <x:v>/Users/mac/Documents/智囊团/video_analysis/Top_Tycoon新号流程_20260804/frames/TT_NEW_01/TT_NEW_01_t000270.jpg</x:v>
      </x:c>
      <x:c r="M10" s="17" t="n">
        <x:v>270</x:v>
      </x:c>
      <x:c r="N10" s="17" t="str">
        <x:v>已确认</x:v>
      </x:c>
      <x:c r="O10" s="17" t="str">
        <x:v>OCR 命中建造/Site tasks 词</x:v>
      </x:c>
      <x:c r="P10" s="17" t="str">
        <x:v>30000 | 1,591 | 0/3 | Freefall | 30000/54000 | Showrewards | 1146 | Roller Coaster | Complete site tasks(0/5) | NEXTTASKCOST | 020 | 32000 | 1,563 | 0/3 | Freefall | 31000/54000 | Shawrewards | 1428 | Roller Coaster | 目 | Complete sitetasks(2/5) | NEXTTASKCOST | 040 | 38000 | 1,241 | 0/3 | Freefall | 37000/54000 | Showrewards | 1680 | RollerCoaster | Complete sitetasks(5/5) | NEXTTASKCOST | 0100 | 47000 | 231 | 0/3 | Freefall | 44000 | 4000 | SI | waods | 1932 | Roller Coaste</x:v>
      </x:c>
    </x:row>
    <x:row r="11">
      <x:c r="A11" s="17" t="str">
        <x:v>SEG_01_010</x:v>
      </x:c>
      <x:c r="B11" s="17" t="str">
        <x:v>TT_NEW_01</x:v>
      </x:c>
      <x:c r="C11" s="17" t="n">
        <x:v>310</x:v>
      </x:c>
      <x:c r="D11" s="17" t="n">
        <x:v>319</x:v>
      </x:c>
      <x:c r="E11" s="17" t="str">
        <x:v>00:05:10</x:v>
      </x:c>
      <x:c r="F11" s="17" t="str">
        <x:v>00:05:19</x:v>
      </x:c>
      <x:c r="G11" s="17" t="n">
        <x:v>10</x:v>
      </x:c>
      <x:c r="H11" s="17" t="str">
        <x:v>小游戏</x:v>
      </x:c>
      <x:c r="I11" s="17" t="str">
        <x:v>玩法/奖励依画面；主资源常不全显</x:v>
      </x:c>
      <x:c r="J11" s="17" t="str">
        <x:v>否</x:v>
      </x:c>
      <x:c r="K11" s="17" t="str">
        <x:v>保留机制；完整核账窗口不足</x:v>
      </x:c>
      <x:c r="L11" s="18" t="str">
        <x:v>/Users/mac/Documents/智囊团/video_analysis/Top_Tycoon新号流程_20260804/frames/TT_NEW_01/TT_NEW_01_t000310.jpg</x:v>
      </x:c>
      <x:c r="M11" s="17" t="n">
        <x:v>310</x:v>
      </x:c>
      <x:c r="N11" s="17" t="str">
        <x:v>已确认</x:v>
      </x:c>
      <x:c r="O11" s="17" t="str">
        <x:v>OCR 命中小游戏名称/玩法词</x:v>
      </x:c>
      <x:c r="P11" s="17" t="str">
        <x:v>54000 | 2,682 | 0/3 | Freefall.. | 54000/54000 | Showrewards | 3108 | Roller Coaster | WELCOME | Complete ongoing Site (1/1)</x:v>
      </x:c>
    </x:row>
    <x:row r="12">
      <x:c r="A12" s="17" t="str">
        <x:v>SEG_01_011</x:v>
      </x:c>
      <x:c r="B12" s="17" t="str">
        <x:v>TT_NEW_01</x:v>
      </x:c>
      <x:c r="C12" s="17" t="n">
        <x:v>320</x:v>
      </x:c>
      <x:c r="D12" s="17" t="n">
        <x:v>329</x:v>
      </x:c>
      <x:c r="E12" s="17" t="str">
        <x:v>00:05:20</x:v>
      </x:c>
      <x:c r="F12" s="17" t="str">
        <x:v>00:05:29</x:v>
      </x:c>
      <x:c r="G12" s="17" t="n">
        <x:v>10</x:v>
      </x:c>
      <x:c r="H12" s="17" t="str">
        <x:v>建造</x:v>
      </x:c>
      <x:c r="I12" s="17" t="str">
        <x:v>金币可见；Site tasks/Next task cost 依画面</x:v>
      </x:c>
      <x:c r="J12" s="17" t="str">
        <x:v>否</x:v>
      </x:c>
      <x:c r="K12" s="17" t="str">
        <x:v>保留机制；待建造余额闭合</x:v>
      </x:c>
      <x:c r="L12" s="18" t="str">
        <x:v>/Users/mac/Documents/智囊团/video_analysis/Top_Tycoon新号流程_20260804/frames/TT_NEW_01/TT_NEW_01_t000320.jpg</x:v>
      </x:c>
      <x:c r="M12" s="17" t="n">
        <x:v>320</x:v>
      </x:c>
      <x:c r="N12" s="17" t="str">
        <x:v>已确认</x:v>
      </x:c>
      <x:c r="O12" s="17" t="str">
        <x:v>OCR 命中建造/Site tasks 词</x:v>
      </x:c>
      <x:c r="P12" s="17" t="str">
        <x:v>WI | Thank you for your tireless | efforts,and for helping me | realize a dream...a dreamI | once thoughtutterly | impossible! | Ava | This isn't justyour dream,Ava. | It's mine too.To witness true | joy in every child's eyes... that | is a legacy worth building. | Tycoon</x:v>
      </x:c>
    </x:row>
    <x:row r="13">
      <x:c r="A13" s="17" t="str">
        <x:v>SEG_01_012</x:v>
      </x:c>
      <x:c r="B13" s="17" t="str">
        <x:v>TT_NEW_01</x:v>
      </x:c>
      <x:c r="C13" s="17" t="n">
        <x:v>330</x:v>
      </x:c>
      <x:c r="D13" s="17" t="n">
        <x:v>349</x:v>
      </x:c>
      <x:c r="E13" s="17" t="str">
        <x:v>00:05:30</x:v>
      </x:c>
      <x:c r="F13" s="17" t="str">
        <x:v>00:05:49</x:v>
      </x:c>
      <x:c r="G13" s="17" t="n">
        <x:v>20</x:v>
      </x:c>
      <x:c r="H13" s="17" t="str">
        <x:v>小游戏</x:v>
      </x:c>
      <x:c r="I13" s="17" t="str">
        <x:v>玩法/奖励依画面；主资源常不全显</x:v>
      </x:c>
      <x:c r="J13" s="17" t="str">
        <x:v>否</x:v>
      </x:c>
      <x:c r="K13" s="17" t="str">
        <x:v>保留机制；完整核账窗口不足</x:v>
      </x:c>
      <x:c r="L13" s="18" t="str">
        <x:v>/Users/mac/Documents/智囊团/video_analysis/Top_Tycoon新号流程_20260804/frames/TT_NEW_01/TT_NEW_01_t000340.jpg</x:v>
      </x:c>
      <x:c r="M13" s="17" t="n">
        <x:v>340</x:v>
      </x:c>
      <x:c r="N13" s="17" t="str">
        <x:v>已确认</x:v>
      </x:c>
      <x:c r="O13" s="17" t="str">
        <x:v>OCR 命中小游戏名称/玩法词</x:v>
      </x:c>
      <x:c r="P13" s="17" t="str">
        <x:v>54000 | 22,682 | 0/3 | Sky Plunge | 0/57000 | Showrewards | 612 | Roller Coaster | Complete ongoing Site (1/1) | NEXTTASKCOST | 040 | Site | 57000 | 22,555 | 0/3 | Sky Plunge | 00/57000 | wrewards | 8 | RollerCoaster | Complete ongoing Site (1/1) | NEXTTASKCOST | 080 | Site</x:v>
      </x:c>
    </x:row>
    <x:row r="14">
      <x:c r="A14" s="17" t="str">
        <x:v>SEG_01_013</x:v>
      </x:c>
      <x:c r="B14" s="17" t="str">
        <x:v>TT_NEW_01</x:v>
      </x:c>
      <x:c r="C14" s="17" t="n">
        <x:v>350</x:v>
      </x:c>
      <x:c r="D14" s="17" t="n">
        <x:v>359</x:v>
      </x:c>
      <x:c r="E14" s="17" t="str">
        <x:v>00:05:50</x:v>
      </x:c>
      <x:c r="F14" s="17" t="str">
        <x:v>00:05:59</x:v>
      </x:c>
      <x:c r="G14" s="17" t="n">
        <x:v>10</x:v>
      </x:c>
      <x:c r="H14" s="17" t="str">
        <x:v>建造</x:v>
      </x:c>
      <x:c r="I14" s="17" t="str">
        <x:v>金币可见；Site tasks/Next task cost 依画面</x:v>
      </x:c>
      <x:c r="J14" s="17" t="str">
        <x:v>否</x:v>
      </x:c>
      <x:c r="K14" s="17" t="str">
        <x:v>保留机制；待建造余额闭合</x:v>
      </x:c>
      <x:c r="L14" s="18" t="str">
        <x:v>/Users/mac/Documents/智囊团/video_analysis/Top_Tycoon新号流程_20260804/frames/TT_NEW_01/TT_NEW_01_t000350.jpg</x:v>
      </x:c>
      <x:c r="M14" s="17" t="n">
        <x:v>350</x:v>
      </x:c>
      <x:c r="N14" s="17" t="str">
        <x:v>待复核</x:v>
      </x:c>
      <x:c r="O14" s="17" t="str">
        <x:v>画面原型近邻；margin=0.0085</x:v>
      </x:c>
      <x:c r="P14" s="17" t="str">
        <x:v>66000 | 14,566 | 0/3 | Sky Plunge | 10000/57000 | Sho | ards | Complete ongoing Site (1/1) | NEXTTASKCOST | 222 | Site</x:v>
      </x:c>
    </x:row>
    <x:row r="15">
      <x:c r="A15" s="17" t="str">
        <x:v>SEG_01_014</x:v>
      </x:c>
      <x:c r="B15" s="17" t="str">
        <x:v>TT_NEW_01</x:v>
      </x:c>
      <x:c r="C15" s="17" t="n">
        <x:v>360</x:v>
      </x:c>
      <x:c r="D15" s="17" t="n">
        <x:v>369</x:v>
      </x:c>
      <x:c r="E15" s="17" t="str">
        <x:v>00:06:00</x:v>
      </x:c>
      <x:c r="F15" s="17" t="str">
        <x:v>00:06:09</x:v>
      </x:c>
      <x:c r="G15" s="17" t="n">
        <x:v>10</x:v>
      </x:c>
      <x:c r="H15" s="17" t="str">
        <x:v>主进度</x:v>
      </x:c>
      <x:c r="I15" s="17" t="str">
        <x:v>阶段进度/奖励可见；BET 可能不可见</x:v>
      </x:c>
      <x:c r="J15" s="17" t="str">
        <x:v>否</x:v>
      </x:c>
      <x:c r="K15" s="17" t="str">
        <x:v>保留：主进度节点；缺完整起止则不算成本</x:v>
      </x:c>
      <x:c r="L15" s="18" t="str">
        <x:v>/Users/mac/Documents/智囊团/video_analysis/Top_Tycoon新号流程_20260804/frames/TT_NEW_01/TT_NEW_01_t000360.jpg</x:v>
      </x:c>
      <x:c r="M15" s="17" t="n">
        <x:v>360</x:v>
      </x:c>
      <x:c r="N15" s="17" t="str">
        <x:v>已确认</x:v>
      </x:c>
      <x:c r="O15" s="17" t="str">
        <x:v>OCR 命中进度/阶段奖励词</x:v>
      </x:c>
      <x:c r="P15" s="17" t="str">
        <x:v>68000 | 3,302 | 0/3 | Sky Plunge | 14000/57000 | Show rewards | 36 | Drop rower | Insufficient coins | Complete ongoing Site (1/1) | NEXTTASKCOST | 05,200 | Site</x:v>
      </x:c>
    </x:row>
    <x:row r="16">
      <x:c r="A16" s="17" t="str">
        <x:v>SEG_01_015</x:v>
      </x:c>
      <x:c r="B16" s="17" t="str">
        <x:v>TT_NEW_01</x:v>
      </x:c>
      <x:c r="C16" s="17" t="n">
        <x:v>370</x:v>
      </x:c>
      <x:c r="D16" s="17" t="n">
        <x:v>419</x:v>
      </x:c>
      <x:c r="E16" s="17" t="str">
        <x:v>00:06:10</x:v>
      </x:c>
      <x:c r="F16" s="17" t="str">
        <x:v>00:06:59</x:v>
      </x:c>
      <x:c r="G16" s="17" t="n">
        <x:v>50</x:v>
      </x:c>
      <x:c r="H16" s="17" t="str">
        <x:v>Slot</x:v>
      </x:c>
      <x:c r="I16" s="17" t="str">
        <x:v>BET/能量/金币/主进度通常可见；以事件帧为准</x:v>
      </x:c>
      <x:c r="J16" s="17" t="str">
        <x:v>是</x:v>
      </x:c>
      <x:c r="K16" s="17" t="str">
        <x:v>保留：Slot 样本</x:v>
      </x:c>
      <x:c r="L16" s="18" t="str">
        <x:v>/Users/mac/Documents/智囊团/video_analysis/Top_Tycoon新号流程_20260804/frames/TT_NEW_01/TT_NEW_01_t000390.jpg</x:v>
      </x:c>
      <x:c r="M16" s="17" t="n">
        <x:v>390</x:v>
      </x:c>
      <x:c r="N16" s="17" t="str">
        <x:v>已确认</x:v>
      </x:c>
      <x:c r="O16" s="17" t="str">
        <x:v>OCR 命中 SPIN/BET 词</x:v>
      </x:c>
      <x:c r="P16" s="17" t="str">
        <x:v>68000 | 3,302 | 0/3 | 01d23h | 0/5 | 23/50 | 5 spins in 25:38 | SPIN | HOLD FOR AUTO | Complete ongoing Site (1/1) | Game | 68000 | 4,718 | 0/3 | +500 | 01d23h | 4/5 | 00 | +2 | 21/50 | 5 spins in25:30 | SPIN | HOLD FOR AUTO | Complete ongoing Site (1/1) | 772 | Game | 68000 | 28,015 | 0/3 | +200 | 01d23h | 4/5 | 19/50 | 5 spins in 25:18 | SPIN | HOLD FORAUTO | Spin in the slots(1/20) | Game | 68000 | 28,602 | PAX-BOY | RUSH | 01d23h | 3/10 | 28/50 | SPIN | Spin in the slots(</x:v>
      </x:c>
    </x:row>
    <x:row r="17">
      <x:c r="A17" s="17" t="str">
        <x:v>SEG_01_016</x:v>
      </x:c>
      <x:c r="B17" s="17" t="str">
        <x:v>TT_NEW_01</x:v>
      </x:c>
      <x:c r="C17" s="17" t="n">
        <x:v>420</x:v>
      </x:c>
      <x:c r="D17" s="17" t="n">
        <x:v>429</x:v>
      </x:c>
      <x:c r="E17" s="17" t="str">
        <x:v>00:07:00</x:v>
      </x:c>
      <x:c r="F17" s="17" t="str">
        <x:v>00:07:09</x:v>
      </x:c>
      <x:c r="G17" s="17" t="n">
        <x:v>10</x:v>
      </x:c>
      <x:c r="H17" s="17" t="str">
        <x:v>建造</x:v>
      </x:c>
      <x:c r="I17" s="17" t="str">
        <x:v>金币可见；Site tasks/Next task cost 依画面</x:v>
      </x:c>
      <x:c r="J17" s="17" t="str">
        <x:v>否</x:v>
      </x:c>
      <x:c r="K17" s="17" t="str">
        <x:v>保留机制；待建造余额闭合</x:v>
      </x:c>
      <x:c r="L17" s="18" t="str">
        <x:v>/Users/mac/Documents/智囊团/video_analysis/Top_Tycoon新号流程_20260804/frames/TT_NEW_01/TT_NEW_01_t000420.jpg</x:v>
      </x:c>
      <x:c r="M17" s="17" t="n">
        <x:v>420</x:v>
      </x:c>
      <x:c r="N17" s="17" t="str">
        <x:v>待复核</x:v>
      </x:c>
      <x:c r="O17" s="17" t="str">
        <x:v>画面原型近邻；margin=0.0056</x:v>
      </x:c>
      <x:c r="P17" s="17" t="str">
        <x:v>Michael D.Bigham's Site | x1 | Random | Revenge</x:v>
      </x:c>
    </x:row>
    <x:row r="18">
      <x:c r="A18" s="17" t="str">
        <x:v>SEG_01_017</x:v>
      </x:c>
      <x:c r="B18" s="17" t="str">
        <x:v>TT_NEW_01</x:v>
      </x:c>
      <x:c r="C18" s="17" t="n">
        <x:v>430</x:v>
      </x:c>
      <x:c r="D18" s="17" t="n">
        <x:v>439</x:v>
      </x:c>
      <x:c r="E18" s="17" t="str">
        <x:v>00:07:10</x:v>
      </x:c>
      <x:c r="F18" s="17" t="str">
        <x:v>00:07:19</x:v>
      </x:c>
      <x:c r="G18" s="17" t="n">
        <x:v>10</x:v>
      </x:c>
      <x:c r="H18" s="17" t="str">
        <x:v>小游戏</x:v>
      </x:c>
      <x:c r="I18" s="17" t="str">
        <x:v>玩法/奖励依画面；主资源常不全显</x:v>
      </x:c>
      <x:c r="J18" s="17" t="str">
        <x:v>否</x:v>
      </x:c>
      <x:c r="K18" s="17" t="str">
        <x:v>保留机制；完整核账窗口不足</x:v>
      </x:c>
      <x:c r="L18" s="18" t="str">
        <x:v>/Users/mac/Documents/智囊团/video_analysis/Top_Tycoon新号流程_20260804/frames/TT_NEW_01/TT_NEW_01_t000430.jpg</x:v>
      </x:c>
      <x:c r="M18" s="17" t="n">
        <x:v>430</x:v>
      </x:c>
      <x:c r="N18" s="17" t="str">
        <x:v>已确认</x:v>
      </x:c>
      <x:c r="O18" s="17" t="str">
        <x:v>OCR 命中小游戏名称/玩法词</x:v>
      </x:c>
      <x:c r="P18" s="17" t="str">
        <x:v>Michael D.Bigham's Site | Random | NICE ATTACK | Damago | 25% | 17,096 | COLLECT</x:v>
      </x:c>
    </x:row>
    <x:row r="19">
      <x:c r="A19" s="17" t="str">
        <x:v>SEG_01_018</x:v>
      </x:c>
      <x:c r="B19" s="17" t="str">
        <x:v>TT_NEW_01</x:v>
      </x:c>
      <x:c r="C19" s="17" t="n">
        <x:v>440</x:v>
      </x:c>
      <x:c r="D19" s="17" t="n">
        <x:v>469</x:v>
      </x:c>
      <x:c r="E19" s="17" t="str">
        <x:v>00:07:20</x:v>
      </x:c>
      <x:c r="F19" s="17" t="str">
        <x:v>00:07:49</x:v>
      </x:c>
      <x:c r="G19" s="17" t="n">
        <x:v>30</x:v>
      </x:c>
      <x:c r="H19" s="17" t="str">
        <x:v>Slot</x:v>
      </x:c>
      <x:c r="I19" s="17" t="str">
        <x:v>BET/能量/金币/主进度通常可见；以事件帧为准</x:v>
      </x:c>
      <x:c r="J19" s="17" t="str">
        <x:v>是</x:v>
      </x:c>
      <x:c r="K19" s="17" t="str">
        <x:v>保留：Slot 样本</x:v>
      </x:c>
      <x:c r="L19" s="18" t="str">
        <x:v>/Users/mac/Documents/智囊团/video_analysis/Top_Tycoon新号流程_20260804/frames/TT_NEW_01/TT_NEW_01_t000450.jpg</x:v>
      </x:c>
      <x:c r="M19" s="17" t="n">
        <x:v>450</x:v>
      </x:c>
      <x:c r="N19" s="17" t="str">
        <x:v>已确认</x:v>
      </x:c>
      <x:c r="O19" s="17" t="str">
        <x:v>OCR 命中 SPIN/BET 词; 相邻两侧同模块，平滑孤立原型误差</x:v>
      </x:c>
      <x:c r="P19" s="17" t="str">
        <x:v>68000 | 70,802 | 0/3 | 5 Spins | 01d23h | 3/10 | 20 | 2570 | 5 spins in 24:29 | SPIN | HOLD FOR AUTO | Spin in the slots (6/20) | Game | 68000 | 71,602 | 0/3 | +10,000 | 4/10 | 10,000 | 68000 | 82,102 | 1Shields | 01d23h | 5/10 | 24/50 | 5spins in 24:08 | SPIN | HOLD FORAUTO | Spin in the slots(12/20) | 772 | Game</x:v>
      </x:c>
    </x:row>
    <x:row r="20">
      <x:c r="A20" s="17" t="str">
        <x:v>SEG_01_019</x:v>
      </x:c>
      <x:c r="B20" s="17" t="str">
        <x:v>TT_NEW_01</x:v>
      </x:c>
      <x:c r="C20" s="17" t="n">
        <x:v>470</x:v>
      </x:c>
      <x:c r="D20" s="17" t="n">
        <x:v>499</x:v>
      </x:c>
      <x:c r="E20" s="17" t="str">
        <x:v>00:07:50</x:v>
      </x:c>
      <x:c r="F20" s="17" t="str">
        <x:v>00:08:19</x:v>
      </x:c>
      <x:c r="G20" s="17" t="n">
        <x:v>30</x:v>
      </x:c>
      <x:c r="H20" s="17" t="str">
        <x:v>建造</x:v>
      </x:c>
      <x:c r="I20" s="17" t="str">
        <x:v>金币可见；Site tasks/Next task cost 依画面</x:v>
      </x:c>
      <x:c r="J20" s="17" t="str">
        <x:v>否</x:v>
      </x:c>
      <x:c r="K20" s="17" t="str">
        <x:v>保留机制；待建造余额闭合</x:v>
      </x:c>
      <x:c r="L20" s="18" t="str">
        <x:v>/Users/mac/Documents/智囊团/video_analysis/Top_Tycoon新号流程_20260804/frames/TT_NEW_01/TT_NEW_01_t000480.jpg</x:v>
      </x:c>
      <x:c r="M20" s="17" t="n">
        <x:v>480</x:v>
      </x:c>
      <x:c r="N20" s="17" t="str">
        <x:v>待复核</x:v>
      </x:c>
      <x:c r="O20" s="17" t="str">
        <x:v>画面原型近邻；margin=0.0041; 画面原型近邻；margin=0.0049; 画面原型近邻；margin=0.0108</x:v>
      </x:c>
      <x:c r="P20" s="17" t="str">
        <x:v>PRIDE HALL | 100/1400 | Th | 500 | Dream Chaser-1ooK | 200 | TYCOON | 100 | SkyPlunge | ETED! | 68000 | CO | Freefall | PRIDE HALL | 100/1400 | Th | 500 | Dream Chaser-1o0K | 200 | TYCOON | 100 | 68000 | Sky Plunge | COMPLETED! | Freefall | X | PRIDE HALL | 100/1400 | S | 500 | 100 | Fable Haven | 100 | Thermal Soar | Dream Chaser-1ooK | 200 | TYEOON | 100</x:v>
      </x:c>
    </x:row>
    <x:row r="21">
      <x:c r="A21" s="17" t="str">
        <x:v>SEG_01_020</x:v>
      </x:c>
      <x:c r="B21" s="17" t="str">
        <x:v>TT_NEW_01</x:v>
      </x:c>
      <x:c r="C21" s="17" t="n">
        <x:v>500</x:v>
      </x:c>
      <x:c r="D21" s="17" t="n">
        <x:v>569</x:v>
      </x:c>
      <x:c r="E21" s="17" t="str">
        <x:v>00:08:20</x:v>
      </x:c>
      <x:c r="F21" s="17" t="str">
        <x:v>00:09:29</x:v>
      </x:c>
      <x:c r="G21" s="17" t="n">
        <x:v>70</x:v>
      </x:c>
      <x:c r="H21" s="17" t="str">
        <x:v>Slot</x:v>
      </x:c>
      <x:c r="I21" s="17" t="str">
        <x:v>BET/能量/金币/主进度通常可见；以事件帧为准</x:v>
      </x:c>
      <x:c r="J21" s="17" t="str">
        <x:v>是</x:v>
      </x:c>
      <x:c r="K21" s="17" t="str">
        <x:v>保留：Slot 样本</x:v>
      </x:c>
      <x:c r="L21" s="18" t="str">
        <x:v>/Users/mac/Documents/智囊团/video_analysis/Top_Tycoon新号流程_20260804/frames/TT_NEW_01/TT_NEW_01_t000530.jpg</x:v>
      </x:c>
      <x:c r="M21" s="17" t="n">
        <x:v>530</x:v>
      </x:c>
      <x:c r="N21" s="17" t="str">
        <x:v>已确认</x:v>
      </x:c>
      <x:c r="O21" s="17" t="str">
        <x:v>OCR 命中 SPIN/BET 词; 相邻两侧同模块，平滑孤立原型误差</x:v>
      </x:c>
      <x:c r="P21" s="17" t="str">
        <x:v>68000 | 92,202 | 01d23h | 5/10 | 20/50 | 5 spins in 23:30 | SPIN | HOLD FORAUTO | Spin in the slots(15/20) | Game | 68000 | 97,802 | 01d23h | 10/10 | 0 | QQ | 0 | 17/50 | 5 spins in 23:20 | SPIN | HOLD FOR AUTO | Spin in the slots(19/20) | Game | QUEST. | SLOiS | 68000 | 98,302 | QUES | CLOTS | 1 | Earn 33Kcoins by | 0% | 0% | attacking | Use 66 spins in the | 0% | slots | 01d23h | Earn2ookcoinsinthe | 0% | slots | FREE | 14d23h | 08d17h | 01d23h | 5/50 | 30 | 35/50 | 5 spins</x:v>
      </x:c>
    </x:row>
    <x:row r="22">
      <x:c r="A22" s="17" t="str">
        <x:v>SEG_01_021</x:v>
      </x:c>
      <x:c r="B22" s="17" t="str">
        <x:v>TT_NEW_01</x:v>
      </x:c>
      <x:c r="C22" s="17" t="n">
        <x:v>570</x:v>
      </x:c>
      <x:c r="D22" s="17" t="n">
        <x:v>589</x:v>
      </x:c>
      <x:c r="E22" s="17" t="str">
        <x:v>00:09:30</x:v>
      </x:c>
      <x:c r="F22" s="17" t="str">
        <x:v>00:09:49</x:v>
      </x:c>
      <x:c r="G22" s="17" t="n">
        <x:v>20</x:v>
      </x:c>
      <x:c r="H22" s="17" t="str">
        <x:v>建造</x:v>
      </x:c>
      <x:c r="I22" s="17" t="str">
        <x:v>金币可见；Site tasks/Next task cost 依画面</x:v>
      </x:c>
      <x:c r="J22" s="17" t="str">
        <x:v>否</x:v>
      </x:c>
      <x:c r="K22" s="17" t="str">
        <x:v>保留机制；待建造余额闭合</x:v>
      </x:c>
      <x:c r="L22" s="18" t="str">
        <x:v>/Users/mac/Documents/智囊团/video_analysis/Top_Tycoon新号流程_20260804/frames/TT_NEW_01/TT_NEW_01_t000580.jpg</x:v>
      </x:c>
      <x:c r="M22" s="17" t="n">
        <x:v>580</x:v>
      </x:c>
      <x:c r="N22" s="17" t="str">
        <x:v>待复核</x:v>
      </x:c>
      <x:c r="O22" s="17" t="str">
        <x:v>画面原型近邻；margin=0.0051; 画面原型近邻；margin=0.0147</x:v>
      </x:c>
      <x:c r="P22" s="17" t="str">
        <x:v>Twoapennything'sSite | x1 | Random | Revenge | 米</x:v>
      </x:c>
    </x:row>
    <x:row r="23">
      <x:c r="A23" s="17" t="str">
        <x:v>SEG_01_022</x:v>
      </x:c>
      <x:c r="B23" s="17" t="str">
        <x:v>TT_NEW_01</x:v>
      </x:c>
      <x:c r="C23" s="17" t="n">
        <x:v>590</x:v>
      </x:c>
      <x:c r="D23" s="17" t="n">
        <x:v>599</x:v>
      </x:c>
      <x:c r="E23" s="17" t="str">
        <x:v>00:09:50</x:v>
      </x:c>
      <x:c r="F23" s="17" t="str">
        <x:v>00:09:59</x:v>
      </x:c>
      <x:c r="G23" s="17" t="n">
        <x:v>10</x:v>
      </x:c>
      <x:c r="H23" s="17" t="str">
        <x:v>Slot</x:v>
      </x:c>
      <x:c r="I23" s="17" t="str">
        <x:v>BET/能量/金币/主进度通常可见；以事件帧为准</x:v>
      </x:c>
      <x:c r="J23" s="17" t="str">
        <x:v>是</x:v>
      </x:c>
      <x:c r="K23" s="17" t="str">
        <x:v>保留：Slot 样本</x:v>
      </x:c>
      <x:c r="L23" s="18" t="str">
        <x:v>/Users/mac/Documents/智囊团/video_analysis/Top_Tycoon新号流程_20260804/frames/TT_NEW_01/TT_NEW_01_t000590.jpg</x:v>
      </x:c>
      <x:c r="M23" s="17" t="n">
        <x:v>590</x:v>
      </x:c>
      <x:c r="N23" s="17" t="str">
        <x:v>已确认</x:v>
      </x:c>
      <x:c r="O23" s="17" t="str">
        <x:v>OCR 命中 SPIN/BET 词</x:v>
      </x:c>
      <x:c r="P23" s="17" t="str">
        <x:v>68000 | 125,002 | RUES | SLOTS | 1 | %6 | 11% | 18% | 01d23h | 10% | FREE | 14d23h | 08d17h | 22:00 | SPIN | PFDLO | Spin inthe siots(s2/a0) | Game</x:v>
      </x:c>
    </x:row>
    <x:row r="24">
      <x:c r="A24" s="17" t="str">
        <x:v>SEG_01_023</x:v>
      </x:c>
      <x:c r="B24" s="17" t="str">
        <x:v>TT_NEW_01</x:v>
      </x:c>
      <x:c r="C24" s="17" t="n">
        <x:v>600</x:v>
      </x:c>
      <x:c r="D24" s="17" t="n">
        <x:v>609</x:v>
      </x:c>
      <x:c r="E24" s="17" t="str">
        <x:v>00:10:00</x:v>
      </x:c>
      <x:c r="F24" s="17" t="str">
        <x:v>00:10:09</x:v>
      </x:c>
      <x:c r="G24" s="17" t="n">
        <x:v>10</x:v>
      </x:c>
      <x:c r="H24" s="17" t="str">
        <x:v>小游戏</x:v>
      </x:c>
      <x:c r="I24" s="17" t="str">
        <x:v>玩法/奖励依画面；主资源常不全显</x:v>
      </x:c>
      <x:c r="J24" s="17" t="str">
        <x:v>否</x:v>
      </x:c>
      <x:c r="K24" s="17" t="str">
        <x:v>保留机制；完整核账窗口不足</x:v>
      </x:c>
      <x:c r="L24" s="18" t="str">
        <x:v>/Users/mac/Documents/智囊团/video_analysis/Top_Tycoon新号流程_20260804/frames/TT_NEW_01/TT_NEW_01_t000600.jpg</x:v>
      </x:c>
      <x:c r="M24" s="17" t="n">
        <x:v>600</x:v>
      </x:c>
      <x:c r="N24" s="17" t="str">
        <x:v>已确认</x:v>
      </x:c>
      <x:c r="O24" s="17" t="str">
        <x:v>OCR 命中小游戏名称/玩法词</x:v>
      </x:c>
      <x:c r="P24" s="17" t="str">
        <x:v>Credit Grab! | Select Target: | David C. | Pamela G. | R.James | Sullivan | williams | 52,000 | 36,000 | 26,000 | Potential Loot | Potential Loot | Potential Loot | Select | Selegt | Select | Auto-Selectin5s</x:v>
      </x:c>
    </x:row>
    <x:row r="25">
      <x:c r="A25" s="17" t="str">
        <x:v>SEG_01_024</x:v>
      </x:c>
      <x:c r="B25" s="17" t="str">
        <x:v>TT_NEW_01</x:v>
      </x:c>
      <x:c r="C25" s="17" t="n">
        <x:v>610</x:v>
      </x:c>
      <x:c r="D25" s="17" t="n">
        <x:v>619</x:v>
      </x:c>
      <x:c r="E25" s="17" t="str">
        <x:v>00:10:10</x:v>
      </x:c>
      <x:c r="F25" s="17" t="str">
        <x:v>00:10:19</x:v>
      </x:c>
      <x:c r="G25" s="17" t="n">
        <x:v>10</x:v>
      </x:c>
      <x:c r="H25" s="17" t="str">
        <x:v>转场/加载</x:v>
      </x:c>
      <x:c r="I25" s="17" t="str">
        <x:v>数值不可读或不适用</x:v>
      </x:c>
      <x:c r="J25" s="17" t="str">
        <x:v>否</x:v>
      </x:c>
      <x:c r="K25" s="17" t="str">
        <x:v>排除：转场/加载，不进入数值统计</x:v>
      </x:c>
      <x:c r="L25" s="18" t="str">
        <x:v>/Users/mac/Documents/智囊团/video_analysis/Top_Tycoon新号流程_20260804/frames/TT_NEW_01/TT_NEW_01_t000610.jpg</x:v>
      </x:c>
      <x:c r="M25" s="17" t="n">
        <x:v>610</x:v>
      </x:c>
      <x:c r="N25" s="17" t="str">
        <x:v>待复核</x:v>
      </x:c>
      <x:c r="O25" s="17" t="str">
        <x:v>画面原型近邻；margin=0.0145</x:v>
      </x:c>
      <x:c r="P25" s="17" t="str">
        <x:v>David C.Sullivan's | Bank | Z | Z | TOTAL LOOT | 0 | COINS</x:v>
      </x:c>
    </x:row>
    <x:row r="26">
      <x:c r="A26" s="17" t="str">
        <x:v>SEG_01_025</x:v>
      </x:c>
      <x:c r="B26" s="17" t="str">
        <x:v>TT_NEW_01</x:v>
      </x:c>
      <x:c r="C26" s="17" t="n">
        <x:v>620</x:v>
      </x:c>
      <x:c r="D26" s="17" t="n">
        <x:v>626</x:v>
      </x:c>
      <x:c r="E26" s="17" t="str">
        <x:v>00:10:20</x:v>
      </x:c>
      <x:c r="F26" s="17" t="str">
        <x:v>00:10:26</x:v>
      </x:c>
      <x:c r="G26" s="17" t="n">
        <x:v>7</x:v>
      </x:c>
      <x:c r="H26" s="17" t="str">
        <x:v>Slot</x:v>
      </x:c>
      <x:c r="I26" s="17" t="str">
        <x:v>BET/能量/金币/主进度通常可见；以事件帧为准</x:v>
      </x:c>
      <x:c r="J26" s="17" t="str">
        <x:v>否</x:v>
      </x:c>
      <x:c r="K26" s="17" t="str">
        <x:v>保留机制；缺逐 Spin 前后快照</x:v>
      </x:c>
      <x:c r="L26" s="18" t="str">
        <x:v>/Users/mac/Documents/智囊团/video_analysis/Top_Tycoon新号流程_20260804/frames/TT_NEW_01/TT_NEW_01_t000620.jpg</x:v>
      </x:c>
      <x:c r="M26" s="17" t="n">
        <x:v>620</x:v>
      </x:c>
      <x:c r="N26" s="17" t="str">
        <x:v>待复核</x:v>
      </x:c>
      <x:c r="O26" s="17" t="str">
        <x:v>画面原型近邻；margin=0.0457</x:v>
      </x:c>
      <x:c r="P26" s="17" t="str">
        <x:v>David C. Sullivan's | Bank | LARGE GRAB | YOU STOLE | 1.756 | COINS</x:v>
      </x:c>
    </x:row>
    <x:row r="27">
      <x:c r="A27" s="17" t="str">
        <x:v>SEG_02_001</x:v>
      </x:c>
      <x:c r="B27" s="17" t="str">
        <x:v>TT_NEW_02</x:v>
      </x:c>
      <x:c r="C27" s="17" t="n">
        <x:v>0</x:v>
      </x:c>
      <x:c r="D27" s="17" t="n">
        <x:v>102</x:v>
      </x:c>
      <x:c r="E27" s="17" t="str">
        <x:v>00:00:00</x:v>
      </x:c>
      <x:c r="F27" s="17" t="str">
        <x:v>00:01:42</x:v>
      </x:c>
      <x:c r="G27" s="17" t="n">
        <x:v>103</x:v>
      </x:c>
      <x:c r="H27" s="17" t="str">
        <x:v>小游戏</x:v>
      </x:c>
      <x:c r="I27" s="17" t="str">
        <x:v>玩法/奖励依画面；主资源常不全显</x:v>
      </x:c>
      <x:c r="J27" s="17" t="str">
        <x:v>否</x:v>
      </x:c>
      <x:c r="K27" s="17" t="str">
        <x:v>排除主循环：未展示 Top Tycoon 回流</x:v>
      </x:c>
      <x:c r="L27" s="18" t="str">
        <x:v>/Users/mac/Documents/智囊团/video_analysis/Top_Tycoon新号流程_20260804/frames/TT_NEW_02/TT_NEW_02_t000050.jpg</x:v>
      </x:c>
      <x:c r="M27" s="17" t="n">
        <x:v>50</x:v>
      </x:c>
      <x:c r="N27" s="17" t="str">
        <x:v>已确认</x:v>
      </x:c>
      <x:c r="O27" s="17" t="str">
        <x:v>独立过山车/人群玩法全片</x:v>
      </x:c>
      <x:c r="P27" s="17" t="str">
        <x:v>0 | 06 | 013 | 0 | 06 | 0 | 0 | 06 | 0 | 102 | THRILLTOPIA | 0 | 13 | THRILLTOPIA | Insufficient coins | Roller Coaster | 15 | 0/6 | THRILLTOPIA | Roller Coaster | 10 | 0 | THRILLTOPIA | Insufficient coins | Roller Coaster | 10 | 3 | 0 | 103 | THRILLTOPIA | Roller Coaster | 10 | 4/6 | 0 | 119 | THRILLTOPIA | 60 | UPGRADE | 170 | 0/1 | 0 | 181 | THRILLTOPIA | 49 | +2 | 8 | UPGRADE | 170 | 0/1</x:v>
      </x:c>
    </x:row>
    <x:row r="28">
      <x:c r="A28" s="17" t="str">
        <x:v>SEG_03_001</x:v>
      </x:c>
      <x:c r="B28" s="17" t="str">
        <x:v>TT_NEW_03</x:v>
      </x:c>
      <x:c r="C28" s="17" t="n">
        <x:v>0</x:v>
      </x:c>
      <x:c r="D28" s="17" t="n">
        <x:v>19</x:v>
      </x:c>
      <x:c r="E28" s="17" t="str">
        <x:v>00:00:00</x:v>
      </x:c>
      <x:c r="F28" s="17" t="str">
        <x:v>00:00:19</x:v>
      </x:c>
      <x:c r="G28" s="17" t="n">
        <x:v>20</x:v>
      </x:c>
      <x:c r="H28" s="17" t="str">
        <x:v>建造</x:v>
      </x:c>
      <x:c r="I28" s="17" t="str">
        <x:v>金币可见；Site tasks/Next task cost 依画面</x:v>
      </x:c>
      <x:c r="J28" s="17" t="str">
        <x:v>是</x:v>
      </x:c>
      <x:c r="K28" s="17" t="str">
        <x:v>保留：建造金币核账窗口</x:v>
      </x:c>
      <x:c r="L28" s="18" t="str">
        <x:v>/Users/mac/Documents/智囊团/video_analysis/Top_Tycoon新号流程_20260804/frames/TT_NEW_03/TT_NEW_03_t000010.jpg</x:v>
      </x:c>
      <x:c r="M28" s="17" t="n">
        <x:v>10</x:v>
      </x:c>
      <x:c r="N28" s="17" t="str">
        <x:v>已确认</x:v>
      </x:c>
      <x:c r="O28" s="17" t="str">
        <x:v>OCR 命中建造/Site tasks 词</x:v>
      </x:c>
      <x:c r="P28" s="17" t="str">
        <x:v>92000 | 920,054 | Sky Plunge | 38000/57000 | Showrewards | 3600 | Drop Tower | Complete site tasks(o/5) | NEXT TASKCOST | 66,200 | ● | Site | 101000 | 85,724 | Sky Plunge | 00/57000 | show rewards | ower | 2400 | FerrisWheel | Insufficient coins | Complete sitetasks(5/5)+ | NEXTTASKCOST | 128,800 | Site</x:v>
      </x:c>
    </x:row>
    <x:row r="29">
      <x:c r="A29" s="17" t="str">
        <x:v>SEG_03_002</x:v>
      </x:c>
      <x:c r="B29" s="17" t="str">
        <x:v>TT_NEW_03</x:v>
      </x:c>
      <x:c r="C29" s="17" t="n">
        <x:v>20</x:v>
      </x:c>
      <x:c r="D29" s="17" t="n">
        <x:v>29</x:v>
      </x:c>
      <x:c r="E29" s="17" t="str">
        <x:v>00:00:20</x:v>
      </x:c>
      <x:c r="F29" s="17" t="str">
        <x:v>00:00:29</x:v>
      </x:c>
      <x:c r="G29" s="17" t="n">
        <x:v>10</x:v>
      </x:c>
      <x:c r="H29" s="17" t="str">
        <x:v>礼包</x:v>
      </x:c>
      <x:c r="I29" s="17" t="str">
        <x:v>价格/内容可能可见；未观察购买后余额</x:v>
      </x:c>
      <x:c r="J29" s="17" t="str">
        <x:v>否</x:v>
      </x:c>
      <x:c r="K29" s="17" t="str">
        <x:v>保留 offer_shown；无购买前后闭环</x:v>
      </x:c>
      <x:c r="L29" s="18" t="str">
        <x:v>/Users/mac/Documents/智囊团/video_analysis/Top_Tycoon新号流程_20260804/frames/TT_NEW_03/TT_NEW_03_t000020.jpg</x:v>
      </x:c>
      <x:c r="M29" s="17" t="n">
        <x:v>20</x:v>
      </x:c>
      <x:c r="N29" s="17" t="str">
        <x:v>已确认</x:v>
      </x:c>
      <x:c r="O29" s="17" t="str">
        <x:v>OCR 命中价格/商店词</x:v>
      </x:c>
      <x:c r="P29" s="17" t="str">
        <x:v>101000 | 85,724 | 58 | FREE GIFT | FREE | CHAPTER PRIZE | UP TO | 2.06K | HK$40.00 | Activate | MISSION PASS | UP TO | 4K | HK$55.90 | Activate | ADS | 130 | 60K | Ads Removal Pack | HK$40.00 | Shop</x:v>
      </x:c>
    </x:row>
    <x:row r="30">
      <x:c r="A30" s="17" t="str">
        <x:v>SEG_03_003</x:v>
      </x:c>
      <x:c r="B30" s="17" t="str">
        <x:v>TT_NEW_03</x:v>
      </x:c>
      <x:c r="C30" s="17" t="n">
        <x:v>30</x:v>
      </x:c>
      <x:c r="D30" s="17" t="n">
        <x:v>39</x:v>
      </x:c>
      <x:c r="E30" s="17" t="str">
        <x:v>00:00:30</x:v>
      </x:c>
      <x:c r="F30" s="17" t="str">
        <x:v>00:00:39</x:v>
      </x:c>
      <x:c r="G30" s="17" t="n">
        <x:v>10</x:v>
      </x:c>
      <x:c r="H30" s="17" t="str">
        <x:v>建造</x:v>
      </x:c>
      <x:c r="I30" s="17" t="str">
        <x:v>金币可见；Site tasks/Next task cost 依画面</x:v>
      </x:c>
      <x:c r="J30" s="17" t="str">
        <x:v>否</x:v>
      </x:c>
      <x:c r="K30" s="17" t="str">
        <x:v>保留机制；待建造余额闭合</x:v>
      </x:c>
      <x:c r="L30" s="18" t="str">
        <x:v>/Users/mac/Documents/智囊团/video_analysis/Top_Tycoon新号流程_20260804/frames/TT_NEW_03/TT_NEW_03_t000030.jpg</x:v>
      </x:c>
      <x:c r="M30" s="17" t="n">
        <x:v>30</x:v>
      </x:c>
      <x:c r="N30" s="17" t="str">
        <x:v>已确认</x:v>
      </x:c>
      <x:c r="O30" s="17" t="str">
        <x:v>OCR 命中建造/Site tasks 词</x:v>
      </x:c>
      <x:c r="P30" s="17" t="str">
        <x:v>101000 | 135,724 | QUES | LLots | 15 | 0% | +66 | 48% | 06d18h | 14d18h | 01d18h | + 5,000 | 3 | 01d18h | 福 | 165/200 | 06d18h | 05d18h | 400 | FREE | 08d12h | BETx5 | 43/50 | 5 spins in 29:59 | SPIN | HOLD FOR AUTO | Complete site tasks(5/5) | Game</x:v>
      </x:c>
    </x:row>
    <x:row r="31">
      <x:c r="A31" s="17" t="str">
        <x:v>SEG_03_004</x:v>
      </x:c>
      <x:c r="B31" s="17" t="str">
        <x:v>TT_NEW_03</x:v>
      </x:c>
      <x:c r="C31" s="17" t="n">
        <x:v>40</x:v>
      </x:c>
      <x:c r="D31" s="17" t="n">
        <x:v>49</x:v>
      </x:c>
      <x:c r="E31" s="17" t="str">
        <x:v>00:00:40</x:v>
      </x:c>
      <x:c r="F31" s="17" t="str">
        <x:v>00:00:49</x:v>
      </x:c>
      <x:c r="G31" s="17" t="n">
        <x:v>10</x:v>
      </x:c>
      <x:c r="H31" s="17" t="str">
        <x:v>Slot</x:v>
      </x:c>
      <x:c r="I31" s="17" t="str">
        <x:v>BET/能量/金币/主进度通常可见；以事件帧为准</x:v>
      </x:c>
      <x:c r="J31" s="17" t="str">
        <x:v>是</x:v>
      </x:c>
      <x:c r="K31" s="17" t="str">
        <x:v>保留：Slot 样本</x:v>
      </x:c>
      <x:c r="L31" s="18" t="str">
        <x:v>/Users/mac/Documents/智囊团/video_analysis/Top_Tycoon新号流程_20260804/frames/TT_NEW_03/TT_NEW_03_t000040.jpg</x:v>
      </x:c>
      <x:c r="M31" s="17" t="n">
        <x:v>40</x:v>
      </x:c>
      <x:c r="N31" s="17" t="str">
        <x:v>已确认</x:v>
      </x:c>
      <x:c r="O31" s="17" t="str">
        <x:v>OCR 命中 SPIN/BET 词</x:v>
      </x:c>
      <x:c r="P31" s="17" t="str">
        <x:v>101000 | 144,224 | QUES | ZLoTs | 15 | 0% | +66 | 52% | 06d18h | 14d18h | 01d18h | + 2,500 | 3 | 01d18h | 165/200 | 06d18h | 400 | FREE | 08d12h | 0 | BETx5 | 34/50 | 5 spins in 29:48 | SPIN | HOLD FOR AUTO | Clear Tycoon Quests (o/3) | Game</x:v>
      </x:c>
    </x:row>
    <x:row r="32">
      <x:c r="A32" s="17" t="str">
        <x:v>SEG_03_005</x:v>
      </x:c>
      <x:c r="B32" s="17" t="str">
        <x:v>TT_NEW_03</x:v>
      </x:c>
      <x:c r="C32" s="17" t="n">
        <x:v>50</x:v>
      </x:c>
      <x:c r="D32" s="17" t="n">
        <x:v>59</x:v>
      </x:c>
      <x:c r="E32" s="17" t="str">
        <x:v>00:00:50</x:v>
      </x:c>
      <x:c r="F32" s="17" t="str">
        <x:v>00:00:59</x:v>
      </x:c>
      <x:c r="G32" s="17" t="n">
        <x:v>10</x:v>
      </x:c>
      <x:c r="H32" s="17" t="str">
        <x:v>小游戏</x:v>
      </x:c>
      <x:c r="I32" s="17" t="str">
        <x:v>玩法/奖励依画面；主资源常不全显</x:v>
      </x:c>
      <x:c r="J32" s="17" t="str">
        <x:v>否</x:v>
      </x:c>
      <x:c r="K32" s="17" t="str">
        <x:v>保留机制；完整核账窗口不足</x:v>
      </x:c>
      <x:c r="L32" s="18" t="str">
        <x:v>/Users/mac/Documents/智囊团/video_analysis/Top_Tycoon新号流程_20260804/frames/TT_NEW_03/TT_NEW_03_t000050.jpg</x:v>
      </x:c>
      <x:c r="M32" s="17" t="n">
        <x:v>50</x:v>
      </x:c>
      <x:c r="N32" s="17" t="str">
        <x:v>已确认</x:v>
      </x:c>
      <x:c r="O32" s="17" t="str">
        <x:v>OCR 命中小游戏名称/玩法词</x:v>
      </x:c>
      <x:c r="P32" s="17" t="str">
        <x:v>Attack! | Tiina</x:v>
      </x:c>
    </x:row>
    <x:row r="33">
      <x:c r="A33" s="17" t="str">
        <x:v>SEG_03_006</x:v>
      </x:c>
      <x:c r="B33" s="17" t="str">
        <x:v>TT_NEW_03</x:v>
      </x:c>
      <x:c r="C33" s="17" t="n">
        <x:v>60</x:v>
      </x:c>
      <x:c r="D33" s="17" t="n">
        <x:v>69</x:v>
      </x:c>
      <x:c r="E33" s="17" t="str">
        <x:v>00:01:00</x:v>
      </x:c>
      <x:c r="F33" s="17" t="str">
        <x:v>00:01:09</x:v>
      </x:c>
      <x:c r="G33" s="17" t="n">
        <x:v>10</x:v>
      </x:c>
      <x:c r="H33" s="17" t="str">
        <x:v>建造</x:v>
      </x:c>
      <x:c r="I33" s="17" t="str">
        <x:v>金币可见；Site tasks/Next task cost 依画面</x:v>
      </x:c>
      <x:c r="J33" s="17" t="str">
        <x:v>否</x:v>
      </x:c>
      <x:c r="K33" s="17" t="str">
        <x:v>保留机制；待建造余额闭合</x:v>
      </x:c>
      <x:c r="L33" s="18" t="str">
        <x:v>/Users/mac/Documents/智囊团/video_analysis/Top_Tycoon新号流程_20260804/frames/TT_NEW_03/TT_NEW_03_t000060.jpg</x:v>
      </x:c>
      <x:c r="M33" s="17" t="n">
        <x:v>60</x:v>
      </x:c>
      <x:c r="N33" s="17" t="str">
        <x:v>待复核</x:v>
      </x:c>
      <x:c r="O33" s="17" t="str">
        <x:v>画面原型近邻；margin=0.0070</x:v>
      </x:c>
      <x:c r="P33" s="17" t="n">
        <x:v>518</x:v>
      </x:c>
    </x:row>
    <x:row r="34">
      <x:c r="A34" s="17" t="str">
        <x:v>SEG_03_007</x:v>
      </x:c>
      <x:c r="B34" s="17" t="str">
        <x:v>TT_NEW_03</x:v>
      </x:c>
      <x:c r="C34" s="17" t="n">
        <x:v>70</x:v>
      </x:c>
      <x:c r="D34" s="17" t="n">
        <x:v>109</x:v>
      </x:c>
      <x:c r="E34" s="17" t="str">
        <x:v>00:01:10</x:v>
      </x:c>
      <x:c r="F34" s="17" t="str">
        <x:v>00:01:49</x:v>
      </x:c>
      <x:c r="G34" s="17" t="n">
        <x:v>40</x:v>
      </x:c>
      <x:c r="H34" s="17" t="str">
        <x:v>Slot</x:v>
      </x:c>
      <x:c r="I34" s="17" t="str">
        <x:v>BET/能量/金币/主进度通常可见；以事件帧为准</x:v>
      </x:c>
      <x:c r="J34" s="17" t="str">
        <x:v>是</x:v>
      </x:c>
      <x:c r="K34" s="17" t="str">
        <x:v>保留：Slot 样本</x:v>
      </x:c>
      <x:c r="L34" s="18" t="str">
        <x:v>/Users/mac/Documents/智囊团/video_analysis/Top_Tycoon新号流程_20260804/frames/TT_NEW_03/TT_NEW_03_t000090.jpg</x:v>
      </x:c>
      <x:c r="M34" s="17" t="n">
        <x:v>90</x:v>
      </x:c>
      <x:c r="N34" s="17" t="str">
        <x:v>已确认</x:v>
      </x:c>
      <x:c r="O34" s="17" t="str">
        <x:v>OCR 命中 SPIN/BET 词</x:v>
      </x:c>
      <x:c r="P34" s="17" t="str">
        <x:v>101000 | 161,724 | QUES | LLots | 15 | 0% | +66 | 56% | 06d18h | 14d18h | 01d18h | ATTACK | 3 | 01d18h | 175/200 | 05d18h | 06d18h | 400 | FREE | 08d12h | BETx5 | 29/50 | 5 spins in 29:17 | SPIN | HOLD FOR AUTO | Clear Tycoon Quests (o/3) | Game | 101000 | 195,342 | 3/3 | QUEs 15 | Lots | 0% | +66 | 61% | 06d18h | 14d18h | 01d18h | 5Shields | H | 3 | 01d18h | 175/200 | 06d18h | 05d18h | 400 | FREE | 08d12h | BETX5 | 9/50 | 5 spins in 29:07 | SPIN | HOLD FOR AUTO | +1200 | Cle</x:v>
      </x:c>
    </x:row>
    <x:row r="35">
      <x:c r="A35" s="17" t="str">
        <x:v>SEG_03_008</x:v>
      </x:c>
      <x:c r="B35" s="17" t="str">
        <x:v>TT_NEW_03</x:v>
      </x:c>
      <x:c r="C35" s="17" t="n">
        <x:v>110</x:v>
      </x:c>
      <x:c r="D35" s="17" t="n">
        <x:v>129</x:v>
      </x:c>
      <x:c r="E35" s="17" t="str">
        <x:v>00:01:50</x:v>
      </x:c>
      <x:c r="F35" s="17" t="str">
        <x:v>00:02:09</x:v>
      </x:c>
      <x:c r="G35" s="17" t="n">
        <x:v>20</x:v>
      </x:c>
      <x:c r="H35" s="17" t="str">
        <x:v>礼包</x:v>
      </x:c>
      <x:c r="I35" s="17" t="str">
        <x:v>价格/内容可能可见；未观察购买后余额</x:v>
      </x:c>
      <x:c r="J35" s="17" t="str">
        <x:v>否</x:v>
      </x:c>
      <x:c r="K35" s="17" t="str">
        <x:v>保留 offer_shown；无购买前后闭环</x:v>
      </x:c>
      <x:c r="L35" s="18" t="str">
        <x:v>/Users/mac/Documents/智囊团/video_analysis/Top_Tycoon新号流程_20260804/frames/TT_NEW_03/TT_NEW_03_t000120.jpg</x:v>
      </x:c>
      <x:c r="M35" s="17" t="n">
        <x:v>120</x:v>
      </x:c>
      <x:c r="N35" s="17" t="str">
        <x:v>已确认</x:v>
      </x:c>
      <x:c r="O35" s="17" t="str">
        <x:v>OCR 命中价格/商店词</x:v>
      </x:c>
      <x:c r="P35" s="17" t="str">
        <x:v>101000 | 228,424 | FREE GIFT | FREE | CHAPTER PRIZE | UP TO | 2.06K | HK$40.00 | Activate | MISSION PASS | UP TO | 4K | HK$55.90 | Activate | ADS | 130 | 60K | Ads Removal Pack | HK$40.00 | 222 | Shop | 101000 | 228,424 | Champion's Pack | HK$788.00 | 2.4K | 1.2M | Ultra Pack | HK$549.00 | 1.3K | 610K | Mega Pack | HK$318.00 | 590 | 280K | Super Pack | HK$158.00 | 2 | Shop</x:v>
      </x:c>
    </x:row>
    <x:row r="36">
      <x:c r="A36" s="17" t="str">
        <x:v>SEG_03_009</x:v>
      </x:c>
      <x:c r="B36" s="17" t="str">
        <x:v>TT_NEW_03</x:v>
      </x:c>
      <x:c r="C36" s="17" t="n">
        <x:v>130</x:v>
      </x:c>
      <x:c r="D36" s="17" t="n">
        <x:v>139</x:v>
      </x:c>
      <x:c r="E36" s="17" t="str">
        <x:v>00:02:10</x:v>
      </x:c>
      <x:c r="F36" s="17" t="str">
        <x:v>00:02:19</x:v>
      </x:c>
      <x:c r="G36" s="17" t="n">
        <x:v>10</x:v>
      </x:c>
      <x:c r="H36" s="17" t="str">
        <x:v>Slot</x:v>
      </x:c>
      <x:c r="I36" s="17" t="str">
        <x:v>BET/能量/金币/主进度通常可见；以事件帧为准</x:v>
      </x:c>
      <x:c r="J36" s="17" t="str">
        <x:v>否</x:v>
      </x:c>
      <x:c r="K36" s="17" t="str">
        <x:v>保留机制；缺逐 Spin 前后快照</x:v>
      </x:c>
      <x:c r="L36" s="18" t="str">
        <x:v>/Users/mac/Documents/智囊团/video_analysis/Top_Tycoon新号流程_20260804/frames/TT_NEW_03/TT_NEW_03_t000130.jpg</x:v>
      </x:c>
      <x:c r="M36" s="17" t="n">
        <x:v>130</x:v>
      </x:c>
      <x:c r="N36" s="17" t="str">
        <x:v>已确认</x:v>
      </x:c>
      <x:c r="O36" s="17" t="str">
        <x:v>OCR 命中 SPIN/BET 词</x:v>
      </x:c>
      <x:c r="P36" s="17" t="str">
        <x:v>101000 | 228,424 | 3/3 | UES | 15 | LOTS | 5 | 0% | +66 | 67% | 06d18 | 4d18h | 01d18 | + 5,000 | H | 3 | 00 | 01d18h | 175/200 | 6d18h | 05d18 | FREE | 08d12 | BETx5 | 4/50 | 5 spins in 28:17 | SPIN | HOLD FOR AUTO | Clear Tycoon Quests (o/3) | 772 | Game</x:v>
      </x:c>
    </x:row>
    <x:row r="37">
      <x:c r="A37" s="17" t="str">
        <x:v>SEG_03_010</x:v>
      </x:c>
      <x:c r="B37" s="17" t="str">
        <x:v>TT_NEW_03</x:v>
      </x:c>
      <x:c r="C37" s="17" t="n">
        <x:v>140</x:v>
      </x:c>
      <x:c r="D37" s="17" t="n">
        <x:v>149</x:v>
      </x:c>
      <x:c r="E37" s="17" t="str">
        <x:v>00:02:20</x:v>
      </x:c>
      <x:c r="F37" s="17" t="str">
        <x:v>00:02:29</x:v>
      </x:c>
      <x:c r="G37" s="17" t="n">
        <x:v>10</x:v>
      </x:c>
      <x:c r="H37" s="17" t="str">
        <x:v>建造</x:v>
      </x:c>
      <x:c r="I37" s="17" t="str">
        <x:v>金币可见；Site tasks/Next task cost 依画面</x:v>
      </x:c>
      <x:c r="J37" s="17" t="str">
        <x:v>否</x:v>
      </x:c>
      <x:c r="K37" s="17" t="str">
        <x:v>保留机制；待建造余额闭合</x:v>
      </x:c>
      <x:c r="L37" s="18" t="str">
        <x:v>/Users/mac/Documents/智囊团/video_analysis/Top_Tycoon新号流程_20260804/frames/TT_NEW_03/TT_NEW_03_t000140.jpg</x:v>
      </x:c>
      <x:c r="M37" s="17" t="n">
        <x:v>140</x:v>
      </x:c>
      <x:c r="N37" s="17" t="str">
        <x:v>已确认</x:v>
      </x:c>
      <x:c r="O37" s="17" t="str">
        <x:v>OCR 命中建造/Site tasks 词</x:v>
      </x:c>
      <x:c r="P37" s="17" t="str">
        <x:v>101000 | 228,424 | QUES15 | Lead Pursuit | 2 | 05d18h | GLD | 600K | 170 | 310 | 600 | 1200 | 1800 | 2400 | 3000 | 80/3200 | Earn 25Bonus pts | 80% | 40 | 20K | Attack1times | 80 | Credit | ab1times | 100 | 20k | SPIN | Use 9 spins in thslots | 100 | 20K | Complete 10 site tasks | 9/10 | 20K | 120 | DAY1 | DAY2 DAY3 DAY4 DAY5 DAY6 | 8 | 8 | 8 | 8 | 8 | Clear Tycoon Quests(o/3) | 777 | Game</x:v>
      </x:c>
    </x:row>
    <x:row r="38">
      <x:c r="A38" s="17" t="str">
        <x:v>SEG_03_011</x:v>
      </x:c>
      <x:c r="B38" s="17" t="str">
        <x:v>TT_NEW_03</x:v>
      </x:c>
      <x:c r="C38" s="17" t="n">
        <x:v>150</x:v>
      </x:c>
      <x:c r="D38" s="17" t="n">
        <x:v>169</x:v>
      </x:c>
      <x:c r="E38" s="17" t="str">
        <x:v>00:02:30</x:v>
      </x:c>
      <x:c r="F38" s="17" t="str">
        <x:v>00:02:49</x:v>
      </x:c>
      <x:c r="G38" s="17" t="n">
        <x:v>20</x:v>
      </x:c>
      <x:c r="H38" s="17" t="str">
        <x:v>Slot</x:v>
      </x:c>
      <x:c r="I38" s="17" t="str">
        <x:v>BET/能量/金币/主进度通常可见；以事件帧为准</x:v>
      </x:c>
      <x:c r="J38" s="17" t="str">
        <x:v>否</x:v>
      </x:c>
      <x:c r="K38" s="17" t="str">
        <x:v>保留机制；缺逐 Spin 前后快照</x:v>
      </x:c>
      <x:c r="L38" s="18" t="str">
        <x:v>/Users/mac/Documents/智囊团/video_analysis/Top_Tycoon新号流程_20260804/frames/TT_NEW_03/TT_NEW_03_t000160.jpg</x:v>
      </x:c>
      <x:c r="M38" s="17" t="n">
        <x:v>160</x:v>
      </x:c>
      <x:c r="N38" s="17" t="str">
        <x:v>已确认</x:v>
      </x:c>
      <x:c r="O38" s="17" t="str">
        <x:v>OCR 命中 SPIN/BET 词</x:v>
      </x:c>
      <x:c r="P38" s="17" t="str">
        <x:v>101000 | 268,424 | +5,000 | 01d18h | 175/200 | BETx5 | 4/50 | SPIN | Clear Tycoon Quests(0/3) | Game | 101000 | 268,424 | QUES | LLots | 15 | 40% | +66 | 67% | 06d18h | 14d18h | 01d18h | + 5,000 | 01d18h | 175/200 | 06d18h | 05d18h | oot | FREE | 08d12h | BETx5 | 4/50 | 5 spins in 27:47 | SPIN | HOLD FOR AUTO | Collect Tycoon Album cards(2/2) | Game</x:v>
      </x:c>
    </x:row>
    <x:row r="39">
      <x:c r="A39" s="17" t="str">
        <x:v>SEG_03_012</x:v>
      </x:c>
      <x:c r="B39" s="17" t="str">
        <x:v>TT_NEW_03</x:v>
      </x:c>
      <x:c r="C39" s="17" t="n">
        <x:v>170</x:v>
      </x:c>
      <x:c r="D39" s="17" t="n">
        <x:v>199</x:v>
      </x:c>
      <x:c r="E39" s="17" t="str">
        <x:v>00:02:50</x:v>
      </x:c>
      <x:c r="F39" s="17" t="str">
        <x:v>00:03:19</x:v>
      </x:c>
      <x:c r="G39" s="17" t="n">
        <x:v>30</x:v>
      </x:c>
      <x:c r="H39" s="17" t="str">
        <x:v>礼包</x:v>
      </x:c>
      <x:c r="I39" s="17" t="str">
        <x:v>价格/内容可能可见；未观察购买后余额</x:v>
      </x:c>
      <x:c r="J39" s="17" t="str">
        <x:v>否</x:v>
      </x:c>
      <x:c r="K39" s="17" t="str">
        <x:v>保留 offer_shown；无购买前后闭环</x:v>
      </x:c>
      <x:c r="L39" s="18" t="str">
        <x:v>/Users/mac/Documents/智囊团/video_analysis/Top_Tycoon新号流程_20260804/frames/TT_NEW_03/TT_NEW_03_t000180.jpg</x:v>
      </x:c>
      <x:c r="M39" s="17" t="n">
        <x:v>180</x:v>
      </x:c>
      <x:c r="N39" s="17" t="str">
        <x:v>已确认</x:v>
      </x:c>
      <x:c r="O39" s="17" t="str">
        <x:v>OCR 命中价格/商店词</x:v>
      </x:c>
      <x:c r="P39" s="17" t="str">
        <x:v>101000 | 268,424 | FREE GIFT | FREE | CHAPTER PRIZE | UPTO | 2.06K | HK$40.00 | Activate | MISSION PASS | UP TO | 4K | HK$55.90 | Activate | ADS | 130 | 60K | Ads Removal Pack | HK$40.00 | 222 | Shop | 101000 | 268,424 | FREE GIFT | MiSSiON | FREE | PASS | X | 3655% | Unlock extra rewards | and more earnings! | UNLoCk Gold PaSs, win up | GOLDPASS | TO | 4000 | SEASON VAULT | HK$55.90 | 02d12h | 60K | Ads Removal Pack | HK$40.00 | Shop | 101000 | 268,424 | 130 | 60K | Beginner</x:v>
      </x:c>
    </x:row>
    <x:row r="40">
      <x:c r="A40" s="17" t="str">
        <x:v>SEG_03_013</x:v>
      </x:c>
      <x:c r="B40" s="17" t="str">
        <x:v>TT_NEW_03</x:v>
      </x:c>
      <x:c r="C40" s="17" t="n">
        <x:v>200</x:v>
      </x:c>
      <x:c r="D40" s="17" t="n">
        <x:v>219</x:v>
      </x:c>
      <x:c r="E40" s="17" t="str">
        <x:v>00:03:20</x:v>
      </x:c>
      <x:c r="F40" s="17" t="str">
        <x:v>00:03:39</x:v>
      </x:c>
      <x:c r="G40" s="17" t="n">
        <x:v>20</x:v>
      </x:c>
      <x:c r="H40" s="17" t="str">
        <x:v>Slot</x:v>
      </x:c>
      <x:c r="I40" s="17" t="str">
        <x:v>BET/能量/金币/主进度通常可见；以事件帧为准</x:v>
      </x:c>
      <x:c r="J40" s="17" t="str">
        <x:v>否</x:v>
      </x:c>
      <x:c r="K40" s="17" t="str">
        <x:v>保留机制；缺逐 Spin 前后快照</x:v>
      </x:c>
      <x:c r="L40" s="18" t="str">
        <x:v>/Users/mac/Documents/智囊团/video_analysis/Top_Tycoon新号流程_20260804/frames/TT_NEW_03/TT_NEW_03_t000210.jpg</x:v>
      </x:c>
      <x:c r="M40" s="17" t="n">
        <x:v>210</x:v>
      </x:c>
      <x:c r="N40" s="17" t="str">
        <x:v>已确认</x:v>
      </x:c>
      <x:c r="O40" s="17" t="str">
        <x:v>OCR 命中 SPIN/BET 词</x:v>
      </x:c>
      <x:c r="P40" s="17" t="str">
        <x:v>101000 | 268,424 | QUES | LLots | 15 | 40% | +66 | 67% | 06d18h | 14d18h | 01d18h | + 5,000 | 01d18h | 福 | 175/200 | 06d18h | 05d18h | 400 | FREE | 08d12h | BETx5 | 4/50 | 5 spins in 27:08 | SPIN | HOLD FOR AUTO | Collect Tycoon Album cards(2/2) | Game | FRIENDSHID | TOWER | Use code | +20 SPINS | Enter code here | Enter text... | OK | Use code | Invite | 08d 12h</x:v>
      </x:c>
    </x:row>
    <x:row r="41">
      <x:c r="A41" s="17" t="str">
        <x:v>SEG_03_014</x:v>
      </x:c>
      <x:c r="B41" s="17" t="str">
        <x:v>TT_NEW_03</x:v>
      </x:c>
      <x:c r="C41" s="17" t="n">
        <x:v>220</x:v>
      </x:c>
      <x:c r="D41" s="17" t="n">
        <x:v>229</x:v>
      </x:c>
      <x:c r="E41" s="17" t="str">
        <x:v>00:03:40</x:v>
      </x:c>
      <x:c r="F41" s="17" t="str">
        <x:v>00:03:49</x:v>
      </x:c>
      <x:c r="G41" s="17" t="n">
        <x:v>10</x:v>
      </x:c>
      <x:c r="H41" s="17" t="str">
        <x:v>小游戏</x:v>
      </x:c>
      <x:c r="I41" s="17" t="str">
        <x:v>玩法/奖励依画面；主资源常不全显</x:v>
      </x:c>
      <x:c r="J41" s="17" t="str">
        <x:v>否</x:v>
      </x:c>
      <x:c r="K41" s="17" t="str">
        <x:v>保留机制；完整核账窗口不足</x:v>
      </x:c>
      <x:c r="L41" s="18" t="str">
        <x:v>/Users/mac/Documents/智囊团/video_analysis/Top_Tycoon新号流程_20260804/frames/TT_NEW_03/TT_NEW_03_t000220.jpg</x:v>
      </x:c>
      <x:c r="M41" s="17" t="n">
        <x:v>220</x:v>
      </x:c>
      <x:c r="N41" s="17" t="str">
        <x:v>已确认</x:v>
      </x:c>
      <x:c r="O41" s="17" t="str">
        <x:v>OCR 命中小游戏名称/玩法词</x:v>
      </x:c>
      <x:c r="P41" s="17" t="str">
        <x:v>101000 | 268,424 | QUES15 | FRIENDSHIP | TOWER | 20 | 日 | 1000 | 20 | 10 | 8 | 420 | 10 | 8 | 日 | 210 | 5 | 日 | 170 | 2 | 日 | 40 | 日 | 40 | Invited | nc33cwe21n | Copycode | Use code | Invite | 08d12h | Collect Tycoon Album cards(2/2) | 777 | Game</x:v>
      </x:c>
    </x:row>
    <x:row r="42">
      <x:c r="A42" s="17" t="str">
        <x:v>SEG_03_015</x:v>
      </x:c>
      <x:c r="B42" s="17" t="str">
        <x:v>TT_NEW_03</x:v>
      </x:c>
      <x:c r="C42" s="17" t="n">
        <x:v>230</x:v>
      </x:c>
      <x:c r="D42" s="17" t="n">
        <x:v>239</x:v>
      </x:c>
      <x:c r="E42" s="17" t="str">
        <x:v>00:03:50</x:v>
      </x:c>
      <x:c r="F42" s="17" t="str">
        <x:v>00:03:59</x:v>
      </x:c>
      <x:c r="G42" s="17" t="n">
        <x:v>10</x:v>
      </x:c>
      <x:c r="H42" s="17" t="str">
        <x:v>Slot</x:v>
      </x:c>
      <x:c r="I42" s="17" t="str">
        <x:v>BET/能量/金币/主进度通常可见；以事件帧为准</x:v>
      </x:c>
      <x:c r="J42" s="17" t="str">
        <x:v>否</x:v>
      </x:c>
      <x:c r="K42" s="17" t="str">
        <x:v>保留机制；缺逐 Spin 前后快照</x:v>
      </x:c>
      <x:c r="L42" s="18" t="str">
        <x:v>/Users/mac/Documents/智囊团/video_analysis/Top_Tycoon新号流程_20260804/frames/TT_NEW_03/TT_NEW_03_t000230.jpg</x:v>
      </x:c>
      <x:c r="M42" s="17" t="n">
        <x:v>230</x:v>
      </x:c>
      <x:c r="N42" s="17" t="str">
        <x:v>已确认</x:v>
      </x:c>
      <x:c r="O42" s="17" t="str">
        <x:v>OCR 命中 SPIN/BET 词</x:v>
      </x:c>
      <x:c r="P42" s="17" t="str">
        <x:v>101000 | 268,424 | QUES | LLots | 15 | 40% | +66 | 67% | Use267spinsinthe | slots | 06d18h | 14d18h | 01d18h | + 5,000 | 01d18h | 175/200 | 06d18h | 05d18h | 400 | FREE | 08d12h | BETx5 | 4/50 | 5 spins in 26:38 | SPIN | HOLD FOR AUTO | Collect Tycoon Album cards(2/2) | Game</x:v>
      </x:c>
    </x:row>
    <x:row r="43">
      <x:c r="A43" s="17" t="str">
        <x:v>SEG_03_016</x:v>
      </x:c>
      <x:c r="B43" s="17" t="str">
        <x:v>TT_NEW_03</x:v>
      </x:c>
      <x:c r="C43" s="17" t="n">
        <x:v>240</x:v>
      </x:c>
      <x:c r="D43" s="17" t="n">
        <x:v>299</x:v>
      </x:c>
      <x:c r="E43" s="17" t="str">
        <x:v>00:04:00</x:v>
      </x:c>
      <x:c r="F43" s="17" t="str">
        <x:v>00:04:59</x:v>
      </x:c>
      <x:c r="G43" s="17" t="n">
        <x:v>60</x:v>
      </x:c>
      <x:c r="H43" s="17" t="str">
        <x:v>礼包</x:v>
      </x:c>
      <x:c r="I43" s="17" t="str">
        <x:v>价格/内容可能可见；未观察购买后余额</x:v>
      </x:c>
      <x:c r="J43" s="17" t="str">
        <x:v>否</x:v>
      </x:c>
      <x:c r="K43" s="17" t="str">
        <x:v>保留 offer_shown；无购买前后闭环</x:v>
      </x:c>
      <x:c r="L43" s="18" t="str">
        <x:v>/Users/mac/Documents/智囊团/video_analysis/Top_Tycoon新号流程_20260804/frames/TT_NEW_03/TT_NEW_03_t000270.jpg</x:v>
      </x:c>
      <x:c r="M43" s="17" t="n">
        <x:v>270</x:v>
      </x:c>
      <x:c r="N43" s="17" t="str">
        <x:v>已确认</x:v>
      </x:c>
      <x:c r="O43" s="17" t="str">
        <x:v>OCR 命中价格/商店词; 相邻两侧同模块，平滑孤立原型误差</x:v>
      </x:c>
      <x:c r="P43" s="17" t="str">
        <x:v>101000 | 268,424 | FREE GIFT | OFREE | CHAPTER PRIZE | UP TO | 2.06K | HK$40.00 | Activate | MISSION PASS | UP TO | 4K | HK$55.90 | Activate | ADS | 130 | 60K | Ads Removal Pack | HK$40.00 | 22 | Shop | REWFREBS | X | 5800% | Unlock extra rewards | and more earnings! | ACTIVATE GOLD PASS 8 | GOLD PASS | WIN UPTO | 2065! | HK$40.00 | 60K | Ads Removal Pack | HK$40.00 | 7:33 | 82 | X | 5800% | Unlock extra rewards | and more earnings! | ACTIVATE GOLD PASS8 | GOLD PASS | WINUPTO</x:v>
      </x:c>
    </x:row>
    <x:row r="44">
      <x:c r="A44" s="17" t="str">
        <x:v>SEG_03_017</x:v>
      </x:c>
      <x:c r="B44" s="17" t="str">
        <x:v>TT_NEW_03</x:v>
      </x:c>
      <x:c r="C44" s="17" t="n">
        <x:v>300</x:v>
      </x:c>
      <x:c r="D44" s="17" t="n">
        <x:v>329</x:v>
      </x:c>
      <x:c r="E44" s="17" t="str">
        <x:v>00:05:00</x:v>
      </x:c>
      <x:c r="F44" s="17" t="str">
        <x:v>00:05:29</x:v>
      </x:c>
      <x:c r="G44" s="17" t="n">
        <x:v>30</x:v>
      </x:c>
      <x:c r="H44" s="17" t="str">
        <x:v>Slot</x:v>
      </x:c>
      <x:c r="I44" s="17" t="str">
        <x:v>BET/能量/金币/主进度通常可见；以事件帧为准</x:v>
      </x:c>
      <x:c r="J44" s="17" t="str">
        <x:v>是</x:v>
      </x:c>
      <x:c r="K44" s="17" t="str">
        <x:v>保留：Slot 样本</x:v>
      </x:c>
      <x:c r="L44" s="18" t="str">
        <x:v>/Users/mac/Documents/智囊团/video_analysis/Top_Tycoon新号流程_20260804/frames/TT_NEW_03/TT_NEW_03_t000310.jpg</x:v>
      </x:c>
      <x:c r="M44" s="17" t="n">
        <x:v>310</x:v>
      </x:c>
      <x:c r="N44" s="17" t="str">
        <x:v>已确认</x:v>
      </x:c>
      <x:c r="O44" s="17" t="str">
        <x:v>OCR 命中 SPIN/BET 词</x:v>
      </x:c>
      <x:c r="P44" s="17" t="str">
        <x:v>101000 | 488,424 | QUES | LLots | 15 | 40% | +66 | 71% | 06d18h | 14d18h | 01d18h | H | 2 | 01d18h | 福 | 195/200 | 06d18h | 05d18h | 400 | FREE | 08d12h | BETx5 | 50/50 | +39 | SPIN | HOLD FOR AUTO | Collect Tycoon Album cards(2/2) | 772 | Game | 101000 | PAX-BOY | RUSH | QUES15 | 14d18h | +2.500 | H | 01d18h | 5/70 | 200K | FREE | BETx5 | 50/50 | SPIN | Collect Tycoon Album cards(2/2） | Game | 101000 | 518,924 | Rues | LLOTS | 15 | 40% | +66 | 80% | 06d18h | 14d18h | 01d18h </x:v>
      </x:c>
    </x:row>
    <x:row r="45">
      <x:c r="A45" s="17" t="str">
        <x:v>SEG_03_018</x:v>
      </x:c>
      <x:c r="B45" s="17" t="str">
        <x:v>TT_NEW_03</x:v>
      </x:c>
      <x:c r="C45" s="17" t="n">
        <x:v>330</x:v>
      </x:c>
      <x:c r="D45" s="17" t="n">
        <x:v>339</x:v>
      </x:c>
      <x:c r="E45" s="17" t="str">
        <x:v>00:05:30</x:v>
      </x:c>
      <x:c r="F45" s="17" t="str">
        <x:v>00:05:39</x:v>
      </x:c>
      <x:c r="G45" s="17" t="n">
        <x:v>10</x:v>
      </x:c>
      <x:c r="H45" s="17" t="str">
        <x:v>小游戏</x:v>
      </x:c>
      <x:c r="I45" s="17" t="str">
        <x:v>玩法/奖励依画面；主资源常不全显</x:v>
      </x:c>
      <x:c r="J45" s="17" t="str">
        <x:v>否</x:v>
      </x:c>
      <x:c r="K45" s="17" t="str">
        <x:v>保留机制；完整核账窗口不足</x:v>
      </x:c>
      <x:c r="L45" s="18" t="str">
        <x:v>/Users/mac/Documents/智囊团/video_analysis/Top_Tycoon新号流程_20260804/frames/TT_NEW_03/TT_NEW_03_t000330.jpg</x:v>
      </x:c>
      <x:c r="M45" s="17" t="n">
        <x:v>330</x:v>
      </x:c>
      <x:c r="N45" s="17" t="str">
        <x:v>已确认</x:v>
      </x:c>
      <x:c r="O45" s="17" t="str">
        <x:v>OCR 命中小游戏名称/玩法词</x:v>
      </x:c>
      <x:c r="P45" s="17" t="str">
        <x:v>Credit Grab! | Select Target: | Becca | Bellmondo | Erica Neathery | 48,000 | 96,000 | 67,000 | Potential Loot | Potential Loot | Potential Loot | Select | Select | Select | Auto-Selectin5s</x:v>
      </x:c>
    </x:row>
    <x:row r="46">
      <x:c r="A46" s="17" t="str">
        <x:v>SEG_03_019</x:v>
      </x:c>
      <x:c r="B46" s="17" t="str">
        <x:v>TT_NEW_03</x:v>
      </x:c>
      <x:c r="C46" s="17" t="n">
        <x:v>340</x:v>
      </x:c>
      <x:c r="D46" s="17" t="n">
        <x:v>349</x:v>
      </x:c>
      <x:c r="E46" s="17" t="str">
        <x:v>00:05:40</x:v>
      </x:c>
      <x:c r="F46" s="17" t="str">
        <x:v>00:05:49</x:v>
      </x:c>
      <x:c r="G46" s="17" t="n">
        <x:v>10</x:v>
      </x:c>
      <x:c r="H46" s="17" t="str">
        <x:v>转场/加载</x:v>
      </x:c>
      <x:c r="I46" s="17" t="str">
        <x:v>数值不可读或不适用</x:v>
      </x:c>
      <x:c r="J46" s="17" t="str">
        <x:v>否</x:v>
      </x:c>
      <x:c r="K46" s="17" t="str">
        <x:v>排除：转场/加载，不进入数值统计</x:v>
      </x:c>
      <x:c r="L46" s="18" t="str">
        <x:v>/Users/mac/Documents/智囊团/video_analysis/Top_Tycoon新号流程_20260804/frames/TT_NEW_03/TT_NEW_03_t000340.jpg</x:v>
      </x:c>
      <x:c r="M46" s="17" t="n">
        <x:v>340</x:v>
      </x:c>
      <x:c r="N46" s="17" t="str">
        <x:v>待复核</x:v>
      </x:c>
      <x:c r="O46" s="17" t="str">
        <x:v>画面原型近邻；margin=0.0217</x:v>
      </x:c>
      <x:c r="P46" s="17" t="str">
        <x:v>Bellmondo'sBank | 36,850 | COINS | Z | TOTAL LOOT | 36,850 | COINS</x:v>
      </x:c>
    </x:row>
    <x:row r="47">
      <x:c r="A47" s="17" t="str">
        <x:v>SEG_03_020</x:v>
      </x:c>
      <x:c r="B47" s="17" t="str">
        <x:v>TT_NEW_03</x:v>
      </x:c>
      <x:c r="C47" s="17" t="n">
        <x:v>350</x:v>
      </x:c>
      <x:c r="D47" s="17" t="n">
        <x:v>429</x:v>
      </x:c>
      <x:c r="E47" s="17" t="str">
        <x:v>00:05:50</x:v>
      </x:c>
      <x:c r="F47" s="17" t="str">
        <x:v>00:07:09</x:v>
      </x:c>
      <x:c r="G47" s="17" t="n">
        <x:v>80</x:v>
      </x:c>
      <x:c r="H47" s="17" t="str">
        <x:v>Slot</x:v>
      </x:c>
      <x:c r="I47" s="17" t="str">
        <x:v>BET/能量/金币/主进度通常可见；以事件帧为准</x:v>
      </x:c>
      <x:c r="J47" s="17" t="str">
        <x:v>是</x:v>
      </x:c>
      <x:c r="K47" s="17" t="str">
        <x:v>保留：Slot 样本</x:v>
      </x:c>
      <x:c r="L47" s="18" t="str">
        <x:v>/Users/mac/Documents/智囊团/video_analysis/Top_Tycoon新号流程_20260804/frames/TT_NEW_03/TT_NEW_03_t000390.jpg</x:v>
      </x:c>
      <x:c r="M47" s="17" t="n">
        <x:v>390</x:v>
      </x:c>
      <x:c r="N47" s="17" t="str">
        <x:v>已确认</x:v>
      </x:c>
      <x:c r="O47" s="17" t="str">
        <x:v>OCR 命中 SPIN/BET 词; 画面原型近邻；margin=0.0115; 相邻两侧同模块，平滑孤立原型误差</x:v>
      </x:c>
      <x:c r="P47" s="17" t="str">
        <x:v>Bellmondo'sBank | GRAB | LARGE | YOU STOLE | 291,704 | COINS | 700 | 101000 | 878,924 | 3/3 | QUEs | ZLOTS | 15 | 40% | +66 | 84% | 06d18h | 14d18h | 01d18h | ATTACK | 2 | 01d18h | 15/70 | 06d18h | 05d18h | 200K | FREE | 08d12h | 50/50 | +404 | SPIN | HOLDFOR AUTO | Collect Tycoon Album cards (2/2) | ZZL | Game | 101000 | 878,924 | 3/3 | QUES | ZLOTS | 15 | 40% | +66 | 84% | 06d18h | 14d18h | 01d18h | ATTACK | 2 | 01d18h | 15/70 | 05d18h | 06d18h | 200K | FREE | 08d12h | BETx</x:v>
      </x:c>
    </x:row>
    <x:row r="48">
      <x:c r="A48" s="17" t="str">
        <x:v>SEG_03_021</x:v>
      </x:c>
      <x:c r="B48" s="17" t="str">
        <x:v>TT_NEW_03</x:v>
      </x:c>
      <x:c r="C48" s="17" t="n">
        <x:v>430</x:v>
      </x:c>
      <x:c r="D48" s="17" t="n">
        <x:v>439</x:v>
      </x:c>
      <x:c r="E48" s="17" t="str">
        <x:v>00:07:10</x:v>
      </x:c>
      <x:c r="F48" s="17" t="str">
        <x:v>00:07:19</x:v>
      </x:c>
      <x:c r="G48" s="17" t="n">
        <x:v>10</x:v>
      </x:c>
      <x:c r="H48" s="17" t="str">
        <x:v>建造</x:v>
      </x:c>
      <x:c r="I48" s="17" t="str">
        <x:v>金币可见；Site tasks/Next task cost 依画面</x:v>
      </x:c>
      <x:c r="J48" s="17" t="str">
        <x:v>否</x:v>
      </x:c>
      <x:c r="K48" s="17" t="str">
        <x:v>保留机制；待建造余额闭合</x:v>
      </x:c>
      <x:c r="L48" s="18" t="str">
        <x:v>/Users/mac/Documents/智囊团/video_analysis/Top_Tycoon新号流程_20260804/frames/TT_NEW_03/TT_NEW_03_t000430.jpg</x:v>
      </x:c>
      <x:c r="M48" s="17" t="n">
        <x:v>430</x:v>
      </x:c>
      <x:c r="N48" s="17" t="str">
        <x:v>待复核</x:v>
      </x:c>
      <x:c r="O48" s="17" t="str">
        <x:v>画面原型近邻；margin=0.0057</x:v>
      </x:c>
      <x:c r="P48" s="17" t="str">
        <x:v>tycoon401's Site | x10 | Random | Revenge</x:v>
      </x:c>
    </x:row>
    <x:row r="49">
      <x:c r="A49" s="17" t="str">
        <x:v>SEG_03_022</x:v>
      </x:c>
      <x:c r="B49" s="17" t="str">
        <x:v>TT_NEW_03</x:v>
      </x:c>
      <x:c r="C49" s="17" t="n">
        <x:v>440</x:v>
      </x:c>
      <x:c r="D49" s="17" t="n">
        <x:v>449</x:v>
      </x:c>
      <x:c r="E49" s="17" t="str">
        <x:v>00:07:20</x:v>
      </x:c>
      <x:c r="F49" s="17" t="str">
        <x:v>00:07:29</x:v>
      </x:c>
      <x:c r="G49" s="17" t="n">
        <x:v>10</x:v>
      </x:c>
      <x:c r="H49" s="17" t="str">
        <x:v>小游戏</x:v>
      </x:c>
      <x:c r="I49" s="17" t="str">
        <x:v>玩法/奖励依画面；主资源常不全显</x:v>
      </x:c>
      <x:c r="J49" s="17" t="str">
        <x:v>否</x:v>
      </x:c>
      <x:c r="K49" s="17" t="str">
        <x:v>保留机制；完整核账窗口不足</x:v>
      </x:c>
      <x:c r="L49" s="18" t="str">
        <x:v>/Users/mac/Documents/智囊团/video_analysis/Top_Tycoon新号流程_20260804/frames/TT_NEW_03/TT_NEW_03_t000440.jpg</x:v>
      </x:c>
      <x:c r="M49" s="17" t="n">
        <x:v>440</x:v>
      </x:c>
      <x:c r="N49" s="17" t="str">
        <x:v>已确认</x:v>
      </x:c>
      <x:c r="O49" s="17" t="str">
        <x:v>OCR 命中小游戏名称/玩法词</x:v>
      </x:c>
      <x:c r="P49" s="17" t="str">
        <x:v>tycoon401's Site | Rand | NICE ATTACK | Damage | 25% | x10 | 220,303 | COLLECT</x:v>
      </x:c>
    </x:row>
    <x:row r="50">
      <x:c r="A50" s="17" t="str">
        <x:v>SEG_03_023</x:v>
      </x:c>
      <x:c r="B50" s="17" t="str">
        <x:v>TT_NEW_03</x:v>
      </x:c>
      <x:c r="C50" s="17" t="n">
        <x:v>450</x:v>
      </x:c>
      <x:c r="D50" s="17" t="n">
        <x:v>459</x:v>
      </x:c>
      <x:c r="E50" s="17" t="str">
        <x:v>00:07:30</x:v>
      </x:c>
      <x:c r="F50" s="17" t="str">
        <x:v>00:07:39</x:v>
      </x:c>
      <x:c r="G50" s="17" t="n">
        <x:v>10</x:v>
      </x:c>
      <x:c r="H50" s="17" t="str">
        <x:v>Slot</x:v>
      </x:c>
      <x:c r="I50" s="17" t="str">
        <x:v>BET/能量/金币/主进度通常可见；以事件帧为准</x:v>
      </x:c>
      <x:c r="J50" s="17" t="str">
        <x:v>是</x:v>
      </x:c>
      <x:c r="K50" s="17" t="str">
        <x:v>保留：Slot 样本</x:v>
      </x:c>
      <x:c r="L50" s="18" t="str">
        <x:v>/Users/mac/Documents/智囊团/video_analysis/Top_Tycoon新号流程_20260804/frames/TT_NEW_03/TT_NEW_03_t000450.jpg</x:v>
      </x:c>
      <x:c r="M50" s="17" t="n">
        <x:v>450</x:v>
      </x:c>
      <x:c r="N50" s="17" t="str">
        <x:v>已确认</x:v>
      </x:c>
      <x:c r="O50" s="17" t="str">
        <x:v>OCR 命中 SPIN/BET 词</x:v>
      </x:c>
      <x:c r="P50" s="17" t="str">
        <x:v>101000 | 1,225,424 | 3/3 | QUES | CLots | 19 | 40% | +66 | 5% | 06d18h | 30% | 14d18h | 01d18h | 01d18h | 35/70 | 06d18h | 百 | 05d18h | 200K | FREE | 08d12h | 0 | BETx10 | 50/50 | SPIN | HOLD FOR AUTO | Collect Tycoon,Album cards(2/2) | Game</x:v>
      </x:c>
    </x:row>
    <x:row r="51">
      <x:c r="A51" s="17" t="str">
        <x:v>SEG_03_024</x:v>
      </x:c>
      <x:c r="B51" s="17" t="str">
        <x:v>TT_NEW_03</x:v>
      </x:c>
      <x:c r="C51" s="17" t="n">
        <x:v>460</x:v>
      </x:c>
      <x:c r="D51" s="17" t="n">
        <x:v>469</x:v>
      </x:c>
      <x:c r="E51" s="17" t="str">
        <x:v>00:07:40</x:v>
      </x:c>
      <x:c r="F51" s="17" t="str">
        <x:v>00:07:49</x:v>
      </x:c>
      <x:c r="G51" s="17" t="n">
        <x:v>10</x:v>
      </x:c>
      <x:c r="H51" s="17" t="str">
        <x:v>小游戏</x:v>
      </x:c>
      <x:c r="I51" s="17" t="str">
        <x:v>玩法/奖励依画面；主资源常不全显</x:v>
      </x:c>
      <x:c r="J51" s="17" t="str">
        <x:v>否</x:v>
      </x:c>
      <x:c r="K51" s="17" t="str">
        <x:v>保留机制；完整核账窗口不足</x:v>
      </x:c>
      <x:c r="L51" s="18" t="str">
        <x:v>/Users/mac/Documents/智囊团/video_analysis/Top_Tycoon新号流程_20260804/frames/TT_NEW_03/TT_NEW_03_t000460.jpg</x:v>
      </x:c>
      <x:c r="M51" s="17" t="n">
        <x:v>460</x:v>
      </x:c>
      <x:c r="N51" s="17" t="str">
        <x:v>已确认</x:v>
      </x:c>
      <x:c r="O51" s="17" t="str">
        <x:v>OCR 命中小游戏名称/玩法词</x:v>
      </x:c>
      <x:c r="P51" s="17" t="str">
        <x:v>Credit Grab! | Select Target:</x:v>
      </x:c>
    </x:row>
    <x:row r="52">
      <x:c r="A52" s="17" t="str">
        <x:v>SEG_03_025</x:v>
      </x:c>
      <x:c r="B52" s="17" t="str">
        <x:v>TT_NEW_03</x:v>
      </x:c>
      <x:c r="C52" s="17" t="n">
        <x:v>470</x:v>
      </x:c>
      <x:c r="D52" s="17" t="n">
        <x:v>479</x:v>
      </x:c>
      <x:c r="E52" s="17" t="str">
        <x:v>00:07:50</x:v>
      </x:c>
      <x:c r="F52" s="17" t="str">
        <x:v>00:07:59</x:v>
      </x:c>
      <x:c r="G52" s="17" t="n">
        <x:v>10</x:v>
      </x:c>
      <x:c r="H52" s="17" t="str">
        <x:v>建造</x:v>
      </x:c>
      <x:c r="I52" s="17" t="str">
        <x:v>金币可见；Site tasks/Next task cost 依画面</x:v>
      </x:c>
      <x:c r="J52" s="17" t="str">
        <x:v>否</x:v>
      </x:c>
      <x:c r="K52" s="17" t="str">
        <x:v>保留机制；待建造余额闭合</x:v>
      </x:c>
      <x:c r="L52" s="18" t="str">
        <x:v>/Users/mac/Documents/智囊团/video_analysis/Top_Tycoon新号流程_20260804/frames/TT_NEW_03/TT_NEW_03_t000470.jpg</x:v>
      </x:c>
      <x:c r="M52" s="17" t="n">
        <x:v>470</x:v>
      </x:c>
      <x:c r="N52" s="17" t="str">
        <x:v>待复核</x:v>
      </x:c>
      <x:c r="O52" s="17" t="str">
        <x:v>画面原型近邻；margin=0.0035</x:v>
      </x:c>
      <x:c r="P52" s="17" t="str">
        <x:v>Austin's Bank | Z | TOTAL LOOT | . | COINS</x:v>
      </x:c>
    </x:row>
    <x:row r="53">
      <x:c r="A53" s="17" t="str">
        <x:v>SEG_03_026</x:v>
      </x:c>
      <x:c r="B53" s="17" t="str">
        <x:v>TT_NEW_03</x:v>
      </x:c>
      <x:c r="C53" s="17" t="n">
        <x:v>480</x:v>
      </x:c>
      <x:c r="D53" s="17" t="n">
        <x:v>559</x:v>
      </x:c>
      <x:c r="E53" s="17" t="str">
        <x:v>00:08:00</x:v>
      </x:c>
      <x:c r="F53" s="17" t="str">
        <x:v>00:09:19</x:v>
      </x:c>
      <x:c r="G53" s="17" t="n">
        <x:v>80</x:v>
      </x:c>
      <x:c r="H53" s="17" t="str">
        <x:v>Slot</x:v>
      </x:c>
      <x:c r="I53" s="17" t="str">
        <x:v>BET/能量/金币/主进度通常可见；以事件帧为准</x:v>
      </x:c>
      <x:c r="J53" s="17" t="str">
        <x:v>是</x:v>
      </x:c>
      <x:c r="K53" s="17" t="str">
        <x:v>保留：Slot 样本</x:v>
      </x:c>
      <x:c r="L53" s="18" t="str">
        <x:v>/Users/mac/Documents/智囊团/video_analysis/Top_Tycoon新号流程_20260804/frames/TT_NEW_03/TT_NEW_03_t000520.jpg</x:v>
      </x:c>
      <x:c r="M53" s="17" t="n">
        <x:v>520</x:v>
      </x:c>
      <x:c r="N53" s="17" t="str">
        <x:v>已确认</x:v>
      </x:c>
      <x:c r="O53" s="17" t="str">
        <x:v>OCR 命中 SPIN/BET 词; 画面原型近邻；margin=0.0103; 相邻两侧同模块，平滑孤立原型误差</x:v>
      </x:c>
      <x:c r="P53" s="17" t="str">
        <x:v>Austin's Bank | 64,800 | COINS | 151,200 | 54,000 | COINS | COINS | TOTAL LOOT | 270,000 | COINS | 101000 | 1,496,424 | 3/3 | QUES | cLots | 19 | 40% | +66 | 11% | 06d18h | 57% | 14d18h | 01d18h | CREDIT GRAB | 4 | 01d18h | 福 | 55/70 | 06d18h | 05d18h | 200K | FREE | 08d12h | do | BETx10 | 50/50 | +3270 | SPIN | HOLD FOR AUTO | Collect Tycoon Album cards(2/2) | Game | 101000 | 1,597,424 | 3/3 | QUES | cLots | 19 | 40% | +66 | 17% | 06d18h | 67% | 14d18h | 01d18h | + 2,000 | H</x:v>
      </x:c>
    </x:row>
    <x:row r="54">
      <x:c r="A54" s="17" t="str">
        <x:v>SEG_03_027</x:v>
      </x:c>
      <x:c r="B54" s="17" t="str">
        <x:v>TT_NEW_03</x:v>
      </x:c>
      <x:c r="C54" s="17" t="n">
        <x:v>560</x:v>
      </x:c>
      <x:c r="D54" s="17" t="n">
        <x:v>569</x:v>
      </x:c>
      <x:c r="E54" s="17" t="str">
        <x:v>00:09:20</x:v>
      </x:c>
      <x:c r="F54" s="17" t="str">
        <x:v>00:09:29</x:v>
      </x:c>
      <x:c r="G54" s="17" t="n">
        <x:v>10</x:v>
      </x:c>
      <x:c r="H54" s="17" t="str">
        <x:v>建造</x:v>
      </x:c>
      <x:c r="I54" s="17" t="str">
        <x:v>金币可见；Site tasks/Next task cost 依画面</x:v>
      </x:c>
      <x:c r="J54" s="17" t="str">
        <x:v>否</x:v>
      </x:c>
      <x:c r="K54" s="17" t="str">
        <x:v>保留机制；待建造余额闭合</x:v>
      </x:c>
      <x:c r="L54" s="18" t="str">
        <x:v>/Users/mac/Documents/智囊团/video_analysis/Top_Tycoon新号流程_20260804/frames/TT_NEW_03/TT_NEW_03_t000560.jpg</x:v>
      </x:c>
      <x:c r="M54" s="17" t="n">
        <x:v>560</x:v>
      </x:c>
      <x:c r="N54" s="17" t="str">
        <x:v>待复核</x:v>
      </x:c>
      <x:c r="O54" s="17" t="str">
        <x:v>画面原型近邻；margin=0.0045</x:v>
      </x:c>
      <x:c r="P54" s="17"/>
    </x:row>
    <x:row r="55">
      <x:c r="A55" s="17" t="str">
        <x:v>SEG_03_028</x:v>
      </x:c>
      <x:c r="B55" s="17" t="str">
        <x:v>TT_NEW_03</x:v>
      </x:c>
      <x:c r="C55" s="17" t="n">
        <x:v>570</x:v>
      </x:c>
      <x:c r="D55" s="17" t="n">
        <x:v>579</x:v>
      </x:c>
      <x:c r="E55" s="17" t="str">
        <x:v>00:09:30</x:v>
      </x:c>
      <x:c r="F55" s="17" t="str">
        <x:v>00:09:39</x:v>
      </x:c>
      <x:c r="G55" s="17" t="n">
        <x:v>10</x:v>
      </x:c>
      <x:c r="H55" s="17" t="str">
        <x:v>转场/加载</x:v>
      </x:c>
      <x:c r="I55" s="17" t="str">
        <x:v>数值不可读或不适用</x:v>
      </x:c>
      <x:c r="J55" s="17" t="str">
        <x:v>否</x:v>
      </x:c>
      <x:c r="K55" s="17" t="str">
        <x:v>排除：转场/加载，不进入数值统计</x:v>
      </x:c>
      <x:c r="L55" s="18" t="str">
        <x:v>/Users/mac/Documents/智囊团/video_analysis/Top_Tycoon新号流程_20260804/frames/TT_NEW_03/TT_NEW_03_t000570.jpg</x:v>
      </x:c>
      <x:c r="M55" s="17" t="n">
        <x:v>570</x:v>
      </x:c>
      <x:c r="N55" s="17" t="str">
        <x:v>待复核</x:v>
      </x:c>
      <x:c r="O55" s="17" t="str">
        <x:v>画面原型近邻；margin=0.0170</x:v>
      </x:c>
      <x:c r="P55" s="17" t="str">
        <x:v>Lage log top'sBank | 46,500 | COINS | Z | Z | TOTAL LOOT | 96,100 | COINS</x:v>
      </x:c>
    </x:row>
    <x:row r="56">
      <x:c r="A56" s="17" t="str">
        <x:v>SEG_03_029</x:v>
      </x:c>
      <x:c r="B56" s="17" t="str">
        <x:v>TT_NEW_03</x:v>
      </x:c>
      <x:c r="C56" s="17" t="n">
        <x:v>580</x:v>
      </x:c>
      <x:c r="D56" s="17" t="n">
        <x:v>619</x:v>
      </x:c>
      <x:c r="E56" s="17" t="str">
        <x:v>00:09:40</x:v>
      </x:c>
      <x:c r="F56" s="17" t="str">
        <x:v>00:10:19</x:v>
      </x:c>
      <x:c r="G56" s="17" t="n">
        <x:v>40</x:v>
      </x:c>
      <x:c r="H56" s="17" t="str">
        <x:v>Slot</x:v>
      </x:c>
      <x:c r="I56" s="17" t="str">
        <x:v>BET/能量/金币/主进度通常可见；以事件帧为准</x:v>
      </x:c>
      <x:c r="J56" s="17" t="str">
        <x:v>是</x:v>
      </x:c>
      <x:c r="K56" s="17" t="str">
        <x:v>保留：Slot 样本</x:v>
      </x:c>
      <x:c r="L56" s="18" t="str">
        <x:v>/Users/mac/Documents/智囊团/video_analysis/Top_Tycoon新号流程_20260804/frames/TT_NEW_03/TT_NEW_03_t000600.jpg</x:v>
      </x:c>
      <x:c r="M56" s="17" t="n">
        <x:v>600</x:v>
      </x:c>
      <x:c r="N56" s="17" t="str">
        <x:v>已确认</x:v>
      </x:c>
      <x:c r="O56" s="17" t="str">
        <x:v>OCR 命中 SPIN/BET 词; 画面原型近邻；margin=0.0132</x:v>
      </x:c>
      <x:c r="P56" s="17" t="str">
        <x:v>Lage log top's Bank | GRAB | GREAT | YOU STOLE | 294,614 | COINS | 101000 | 2,063,624 | 3/3 | QUES | cLots | 19 | 40% | +66 | 37% | 06d18h | 14d18h | 01d18h | H | 5 | 01d18h | 55/70 | 06d18h | 05d18h | 200K | FREE | 08d12h | BETx10 | 50/50 | +1870 | SPIN | HOLD FORAUTO | Clear Tycoon Quests(3/3) | 172 | Game | 101000 | 2,090,924 | 3/3 | QUES | cLots | 19 | 40% | +66 | 43% | 06d18h | 14d18h | 01d18h | H | 5 | 01d18h | 福 | 55/70 | 06d18h | 05d18h | 200K | FREE | 08d12h | BETx10</x:v>
      </x:c>
    </x:row>
    <x:row r="57">
      <x:c r="A57" s="17" t="str">
        <x:v>SEG_03_030</x:v>
      </x:c>
      <x:c r="B57" s="17" t="str">
        <x:v>TT_NEW_03</x:v>
      </x:c>
      <x:c r="C57" s="17" t="n">
        <x:v>620</x:v>
      </x:c>
      <x:c r="D57" s="17" t="n">
        <x:v>629</x:v>
      </x:c>
      <x:c r="E57" s="17" t="str">
        <x:v>00:10:20</x:v>
      </x:c>
      <x:c r="F57" s="17" t="str">
        <x:v>00:10:29</x:v>
      </x:c>
      <x:c r="G57" s="17" t="n">
        <x:v>10</x:v>
      </x:c>
      <x:c r="H57" s="17" t="str">
        <x:v>礼包</x:v>
      </x:c>
      <x:c r="I57" s="17" t="str">
        <x:v>价格/内容可能可见；未观察购买后余额</x:v>
      </x:c>
      <x:c r="J57" s="17" t="str">
        <x:v>否</x:v>
      </x:c>
      <x:c r="K57" s="17" t="str">
        <x:v>保留 offer_shown；无购买前后闭环</x:v>
      </x:c>
      <x:c r="L57" s="18" t="str">
        <x:v>/Users/mac/Documents/智囊团/video_analysis/Top_Tycoon新号流程_20260804/frames/TT_NEW_03/TT_NEW_03_t000620.jpg</x:v>
      </x:c>
      <x:c r="M57" s="17" t="n">
        <x:v>620</x:v>
      </x:c>
      <x:c r="N57" s="17" t="str">
        <x:v>已确认</x:v>
      </x:c>
      <x:c r="O57" s="17" t="str">
        <x:v>OCR 命中价格/商店词</x:v>
      </x:c>
      <x:c r="P57" s="17" t="str">
        <x:v>101000 | 2,341,924 | 188 | FREE GIFT | FREE | MISSION PASS | UPTO | 4K | HK$55.90 | Agtivate | 3.7K | 1.8M | Champion's Pack | HK$788.00 | 2.4K | 1.2M | Ultra Pack | Hkt5aa 00 | UnlocksatSite4 | 222 | Shop</x:v>
      </x:c>
    </x:row>
    <x:row r="58">
      <x:c r="A58" s="17" t="str">
        <x:v>SEG_03_031</x:v>
      </x:c>
      <x:c r="B58" s="17" t="str">
        <x:v>TT_NEW_03</x:v>
      </x:c>
      <x:c r="C58" s="17" t="n">
        <x:v>630</x:v>
      </x:c>
      <x:c r="D58" s="17" t="n">
        <x:v>649</x:v>
      </x:c>
      <x:c r="E58" s="17" t="str">
        <x:v>00:10:30</x:v>
      </x:c>
      <x:c r="F58" s="17" t="str">
        <x:v>00:10:49</x:v>
      </x:c>
      <x:c r="G58" s="17" t="n">
        <x:v>20</x:v>
      </x:c>
      <x:c r="H58" s="17" t="str">
        <x:v>建造</x:v>
      </x:c>
      <x:c r="I58" s="17" t="str">
        <x:v>金币可见；Site tasks/Next task cost 依画面</x:v>
      </x:c>
      <x:c r="J58" s="17" t="str">
        <x:v>是</x:v>
      </x:c>
      <x:c r="K58" s="17" t="str">
        <x:v>保留：建造金币核账窗口</x:v>
      </x:c>
      <x:c r="L58" s="18" t="str">
        <x:v>/Users/mac/Documents/智囊团/video_analysis/Top_Tycoon新号流程_20260804/frames/TT_NEW_03/TT_NEW_03_t000640.jpg</x:v>
      </x:c>
      <x:c r="M58" s="17" t="n">
        <x:v>640</x:v>
      </x:c>
      <x:c r="N58" s="17" t="str">
        <x:v>已确认</x:v>
      </x:c>
      <x:c r="O58" s="17" t="str">
        <x:v>OCR 命中建造/Site tasks 词; 画面原型近邻；margin=0.0052</x:v>
      </x:c>
      <x:c r="P58" s="17" t="str">
        <x:v>107000 | 1,354,336 | Sky Plunge | 51000/57000 | Showrewards | 1812 | Drop Tower | 2400 | Ferris Wheel | Clear Tycoon Quests(3/3) | NEXT TASKCOST | 273,200 | Site | 111000 | 774 | 3/3 | Sky Plunge | 57000/57000 | Showrewards | Drop Tower | 6 | FerrisWheel | Clear Tycoon Quests(3/3) | Site</x:v>
      </x:c>
    </x:row>
    <x:row r="59">
      <x:c r="A59" s="17" t="str">
        <x:v>SEG_03_032</x:v>
      </x:c>
      <x:c r="B59" s="17" t="str">
        <x:v>TT_NEW_03</x:v>
      </x:c>
      <x:c r="C59" s="17" t="n">
        <x:v>650</x:v>
      </x:c>
      <x:c r="D59" s="17" t="n">
        <x:v>669</x:v>
      </x:c>
      <x:c r="E59" s="17" t="str">
        <x:v>00:10:50</x:v>
      </x:c>
      <x:c r="F59" s="17" t="str">
        <x:v>00:11:09</x:v>
      </x:c>
      <x:c r="G59" s="17" t="n">
        <x:v>20</x:v>
      </x:c>
      <x:c r="H59" s="17" t="str">
        <x:v>小游戏</x:v>
      </x:c>
      <x:c r="I59" s="17" t="str">
        <x:v>玩法/奖励依画面；主资源常不全显</x:v>
      </x:c>
      <x:c r="J59" s="17" t="str">
        <x:v>否</x:v>
      </x:c>
      <x:c r="K59" s="17" t="str">
        <x:v>保留机制；完整核账窗口不足</x:v>
      </x:c>
      <x:c r="L59" s="18" t="str">
        <x:v>/Users/mac/Documents/智囊团/video_analysis/Top_Tycoon新号流程_20260804/frames/TT_NEW_03/TT_NEW_03_t000660.jpg</x:v>
      </x:c>
      <x:c r="M59" s="17" t="n">
        <x:v>660</x:v>
      </x:c>
      <x:c r="N59" s="17" t="str">
        <x:v>待复核</x:v>
      </x:c>
      <x:c r="O59" s="17" t="str">
        <x:v>画面原型近邻；margin=0.0234; 画面原型近邻；margin=0.0394</x:v>
      </x:c>
      <x:c r="P59" s="17" t="str">
        <x:v>111000 | 774 | Drop Tower | Ferris Wheel | Bauble | Clear Tycoon Quests (3/3) | T100 | PRIDE HALL | 200/1400 | 500 | 100 | Thermal Soar | 111000 | Dream Chaser-1ooK | 200 | -TYGOON | COMPLETED! | Sky Plunge | COMPLETED!</x:v>
      </x:c>
    </x:row>
    <x:row r="60">
      <x:c r="A60" s="17" t="str">
        <x:v>SEG_03_033</x:v>
      </x:c>
      <x:c r="B60" s="17" t="str">
        <x:v>TT_NEW_03</x:v>
      </x:c>
      <x:c r="C60" s="17" t="n">
        <x:v>670</x:v>
      </x:c>
      <x:c r="D60" s="17" t="n">
        <x:v>749</x:v>
      </x:c>
      <x:c r="E60" s="17" t="str">
        <x:v>00:11:10</x:v>
      </x:c>
      <x:c r="F60" s="17" t="str">
        <x:v>00:12:29</x:v>
      </x:c>
      <x:c r="G60" s="17" t="n">
        <x:v>80</x:v>
      </x:c>
      <x:c r="H60" s="17" t="str">
        <x:v>建造</x:v>
      </x:c>
      <x:c r="I60" s="17" t="str">
        <x:v>金币可见；Site tasks/Next task cost 依画面</x:v>
      </x:c>
      <x:c r="J60" s="17" t="str">
        <x:v>是</x:v>
      </x:c>
      <x:c r="K60" s="17" t="str">
        <x:v>保留：建造金币核账窗口</x:v>
      </x:c>
      <x:c r="L60" s="18" t="str">
        <x:v>/Users/mac/Documents/智囊团/video_analysis/Top_Tycoon新号流程_20260804/frames/TT_NEW_03/TT_NEW_03_t000710.jpg</x:v>
      </x:c>
      <x:c r="M60" s="17" t="n">
        <x:v>710</x:v>
      </x:c>
      <x:c r="N60" s="17" t="str">
        <x:v>已确认</x:v>
      </x:c>
      <x:c r="O60" s="17" t="str">
        <x:v>OCR 命中建造/Site tasks 词; 画面原型近邻；margin=0.0091; 画面原型近邻；margin=0.0144; 相邻两侧同模块，平滑孤立原型误差</x:v>
      </x:c>
      <x:c r="P60" s="17" t="str">
        <x:v>111000 | 774 | ThermalSoar | 0/29000 | Showrewards | 1100000 | 33600 | Roller Coaster | Clear Tycoon Quests(3/3) | NEXT TASKCOST | 0275 | Site | YOUR NAME | Pick a name | Charles Brown | OK | YOUR NAME | Pick a name | lady21 | OK | YOUR NAME | Pick a name | ali.f | OK | ali.f | OK | 111000 | 774 | 3/3 | Thermal Soar | 0/29000 | Show rewards | Jack | Roller Coaster | 三 | LCOME | Clear Tycoon Quests(3/3) | NEXT TASK COST | TOTAL EARNINGS | 119.310 | 0275 | +57/Sec | Site | 1110</x:v>
      </x:c>
    </x:row>
    <x:row r="61">
      <x:c r="A61" s="17" t="str">
        <x:v>SEG_03_034</x:v>
      </x:c>
      <x:c r="B61" s="17" t="str">
        <x:v>TT_NEW_03</x:v>
      </x:c>
      <x:c r="C61" s="17" t="n">
        <x:v>750</x:v>
      </x:c>
      <x:c r="D61" s="17" t="n">
        <x:v>759</x:v>
      </x:c>
      <x:c r="E61" s="17" t="str">
        <x:v>00:12:30</x:v>
      </x:c>
      <x:c r="F61" s="17" t="str">
        <x:v>00:12:39</x:v>
      </x:c>
      <x:c r="G61" s="17" t="n">
        <x:v>10</x:v>
      </x:c>
      <x:c r="H61" s="17" t="str">
        <x:v>主进度</x:v>
      </x:c>
      <x:c r="I61" s="17" t="str">
        <x:v>阶段进度/奖励可见；BET 可能不可见</x:v>
      </x:c>
      <x:c r="J61" s="17" t="str">
        <x:v>否</x:v>
      </x:c>
      <x:c r="K61" s="17" t="str">
        <x:v>保留：主进度节点；缺完整起止则不算成本</x:v>
      </x:c>
      <x:c r="L61" s="18" t="str">
        <x:v>/Users/mac/Documents/智囊团/video_analysis/Top_Tycoon新号流程_20260804/frames/TT_NEW_03/TT_NEW_03_t000750.jpg</x:v>
      </x:c>
      <x:c r="M61" s="17" t="n">
        <x:v>750</x:v>
      </x:c>
      <x:c r="N61" s="17" t="str">
        <x:v>已确认</x:v>
      </x:c>
      <x:c r="O61" s="17" t="str">
        <x:v>OCR 命中进度/阶段奖励词</x:v>
      </x:c>
      <x:c r="P61" s="17" t="str">
        <x:v>X | 5800% | CHAPTER PRIZE | 16000/29000 | 3 | 9 | 50 | 150 | 750K | 4 | 10 | 50 | 4 | 11 | 4 | 160 | 900K | 12 | 4 | 170 | 13 | 60 | 4 | 7 | S | 14 | 6 | 270</x:v>
      </x:c>
    </x:row>
    <x:row r="62">
      <x:c r="A62" s="17" t="str">
        <x:v>SEG_03_035</x:v>
      </x:c>
      <x:c r="B62" s="17" t="str">
        <x:v>TT_NEW_03</x:v>
      </x:c>
      <x:c r="C62" s="17" t="n">
        <x:v>760</x:v>
      </x:c>
      <x:c r="D62" s="17" t="n">
        <x:v>779</x:v>
      </x:c>
      <x:c r="E62" s="17" t="str">
        <x:v>00:12:40</x:v>
      </x:c>
      <x:c r="F62" s="17" t="str">
        <x:v>00:12:59</x:v>
      </x:c>
      <x:c r="G62" s="17" t="n">
        <x:v>20</x:v>
      </x:c>
      <x:c r="H62" s="17" t="str">
        <x:v>建造</x:v>
      </x:c>
      <x:c r="I62" s="17" t="str">
        <x:v>金币可见；Site tasks/Next task cost 依画面</x:v>
      </x:c>
      <x:c r="J62" s="17" t="str">
        <x:v>否</x:v>
      </x:c>
      <x:c r="K62" s="17" t="str">
        <x:v>保留机制；待建造余额闭合</x:v>
      </x:c>
      <x:c r="L62" s="18" t="str">
        <x:v>/Users/mac/Documents/智囊团/video_analysis/Top_Tycoon新号流程_20260804/frames/TT_NEW_03/TT_NEW_03_t000770.jpg</x:v>
      </x:c>
      <x:c r="M62" s="17" t="n">
        <x:v>770</x:v>
      </x:c>
      <x:c r="N62" s="17" t="str">
        <x:v>已确认</x:v>
      </x:c>
      <x:c r="O62" s="17" t="str">
        <x:v>OCR 命中建造/Site tasks 词; 画面原型近邻；margin=0.0047</x:v>
      </x:c>
      <x:c r="P62" s="17" t="str">
        <x:v>127000 | 16,540 | QUES19 | Good Job! | TEAM | New Feature Live! | GO NOW! | Clear Tycoon Quests(3/3) | Game | 127000 | 16,540 | QUES19 | Lead Pursuit | X | 05d18h | ILD | 600K | 170 | 310 | 600 | 1200 | 1800 | 2400 | 3000 | 280/3200 | claim | Earn 25 Bonus pts | 40 | 20K | Attack1times | 80 | Credit Grab 1times | 100 | 20K | Use 9 spins in the slots | 100 | 20K | claim | Complete 10 site tasks | 120 | DAY1 | DAY2 | DAY3 DAY4 DAY5 DAY6 | 8 | 8 | 8 | 8 | 8 | Clear Tycoon Quests</x:v>
      </x:c>
    </x:row>
    <x:row r="63">
      <x:c r="A63" s="17" t="str">
        <x:v>SEG_03_036</x:v>
      </x:c>
      <x:c r="B63" s="17" t="str">
        <x:v>TT_NEW_03</x:v>
      </x:c>
      <x:c r="C63" s="17" t="n">
        <x:v>780</x:v>
      </x:c>
      <x:c r="D63" s="17" t="n">
        <x:v>819</x:v>
      </x:c>
      <x:c r="E63" s="17" t="str">
        <x:v>00:13:00</x:v>
      </x:c>
      <x:c r="F63" s="17" t="str">
        <x:v>00:13:39</x:v>
      </x:c>
      <x:c r="G63" s="17" t="n">
        <x:v>40</x:v>
      </x:c>
      <x:c r="H63" s="17" t="str">
        <x:v>Slot</x:v>
      </x:c>
      <x:c r="I63" s="17" t="str">
        <x:v>BET/能量/金币/主进度通常可见；以事件帧为准</x:v>
      </x:c>
      <x:c r="J63" s="17" t="str">
        <x:v>否</x:v>
      </x:c>
      <x:c r="K63" s="17" t="str">
        <x:v>保留机制；缺逐 Spin 前后快照</x:v>
      </x:c>
      <x:c r="L63" s="18" t="str">
        <x:v>/Users/mac/Documents/智囊团/video_analysis/Top_Tycoon新号流程_20260804/frames/TT_NEW_03/TT_NEW_03_t000800.jpg</x:v>
      </x:c>
      <x:c r="M63" s="17" t="n">
        <x:v>800</x:v>
      </x:c>
      <x:c r="N63" s="17" t="str">
        <x:v>已确认</x:v>
      </x:c>
      <x:c r="O63" s="17" t="str">
        <x:v>OCR 命中 SPIN/BET 词</x:v>
      </x:c>
      <x:c r="P63" s="17" t="str">
        <x:v>127000 | 36,540 | QUES 19 | 49% | +1,000 | H | 01d18h | 5/540 | BETx10 | 50/50 | SPIN | Clear Tycoor | 127000 | 36,540 | 3/3 | QUES | CLOTS | 19 | 12:18:04 | 6 | 49% | 100% | +66 | 14d18h | 06d18h | H | 5 | 01d18h | 5/540 | 06d18h | 05d18h | 1.2K | FREE | 08d12h | BETx10 | 50/50 | +317 | SPIN | HOLD FOR AUTO | Clear Tycoon Quests(3/3) | Game | 127000 | 37,740 | 3/3 | QUES | LLots | 19 | 12:17:54 | 55% | 100% | +66 | 14d18h | 06d18h | 5 | 01d18h | 5/540 | 06d18h | 05d18h | 1.2</x:v>
      </x:c>
    </x:row>
    <x:row r="64">
      <x:c r="A64" s="17" t="str">
        <x:v>SEG_03_037</x:v>
      </x:c>
      <x:c r="B64" s="17" t="str">
        <x:v>TT_NEW_03</x:v>
      </x:c>
      <x:c r="C64" s="17" t="n">
        <x:v>820</x:v>
      </x:c>
      <x:c r="D64" s="17" t="n">
        <x:v>879</x:v>
      </x:c>
      <x:c r="E64" s="17" t="str">
        <x:v>00:13:40</x:v>
      </x:c>
      <x:c r="F64" s="17" t="str">
        <x:v>00:14:39</x:v>
      </x:c>
      <x:c r="G64" s="17" t="n">
        <x:v>60</x:v>
      </x:c>
      <x:c r="H64" s="17" t="str">
        <x:v>建造</x:v>
      </x:c>
      <x:c r="I64" s="17" t="str">
        <x:v>金币可见；Site tasks/Next task cost 依画面</x:v>
      </x:c>
      <x:c r="J64" s="17" t="str">
        <x:v>否</x:v>
      </x:c>
      <x:c r="K64" s="17" t="str">
        <x:v>保留机制；待建造余额闭合</x:v>
      </x:c>
      <x:c r="L64" s="18" t="str">
        <x:v>/Users/mac/Documents/智囊团/video_analysis/Top_Tycoon新号流程_20260804/frames/TT_NEW_03/TT_NEW_03_t000850.jpg</x:v>
      </x:c>
      <x:c r="M64" s="17" t="n">
        <x:v>850</x:v>
      </x:c>
      <x:c r="N64" s="17" t="str">
        <x:v>已确认</x:v>
      </x:c>
      <x:c r="O64" s="17" t="str">
        <x:v>OCR 命中建造/Site tasks 词; 画面原型近邻；margin=0.0050; 画面原型近邻；margin=0.0087</x:v>
      </x:c>
      <x:c r="P64" s="17" t="str">
        <x:v>127000 | 101,340 | 3/3 | QUEs 19 | SLots | 12:17:34 | 6 | 66% | 100% | +66 | 14d18h | 06d18h | +1,200 | 5 | 01d18h | 105/540 | 06d18h | 05d18h | FREE | 08d12h | BETx10 | 50/50 | +257亩 | SPIN | HOLD FOR AUTO | Complete site tasks(0/5) | Game | 127000 | 234,540 | 3/3 | QUES | ZLots | 19 | 12:17:24 | 6 | 71% | 100% | +66 | 14d18h | 06d18h | H | 5 | 01d18h | 福 | 125/540 | 06d18h | 05d18h | 1.2K | FREE | 08d12h | 0 | QQ | 0 | BETx10 | 50/50 | +2270 | SPIN | HOLD FOR AUTO | Complet</x:v>
      </x:c>
    </x:row>
    <x:row r="65">
      <x:c r="A65" s="17" t="str">
        <x:v>SEG_03_038</x:v>
      </x:c>
      <x:c r="B65" s="17" t="str">
        <x:v>TT_NEW_03</x:v>
      </x:c>
      <x:c r="C65" s="17" t="n">
        <x:v>880</x:v>
      </x:c>
      <x:c r="D65" s="17" t="n">
        <x:v>889</x:v>
      </x:c>
      <x:c r="E65" s="17" t="str">
        <x:v>00:14:40</x:v>
      </x:c>
      <x:c r="F65" s="17" t="str">
        <x:v>00:14:49</x:v>
      </x:c>
      <x:c r="G65" s="17" t="n">
        <x:v>10</x:v>
      </x:c>
      <x:c r="H65" s="17" t="str">
        <x:v>Slot</x:v>
      </x:c>
      <x:c r="I65" s="17" t="str">
        <x:v>BET/能量/金币/主进度通常可见；以事件帧为准</x:v>
      </x:c>
      <x:c r="J65" s="17" t="str">
        <x:v>否</x:v>
      </x:c>
      <x:c r="K65" s="17" t="str">
        <x:v>保留机制；缺逐 Spin 前后快照</x:v>
      </x:c>
      <x:c r="L65" s="18" t="str">
        <x:v>/Users/mac/Documents/智囊团/video_analysis/Top_Tycoon新号流程_20260804/frames/TT_NEW_03/TT_NEW_03_t000880.jpg</x:v>
      </x:c>
      <x:c r="M65" s="17" t="n">
        <x:v>880</x:v>
      </x:c>
      <x:c r="N65" s="17" t="str">
        <x:v>已确认</x:v>
      </x:c>
      <x:c r="O65" s="17" t="str">
        <x:v>OCR 命中 SPIN/BET 词</x:v>
      </x:c>
      <x:c r="P65" s="17" t="str">
        <x:v>127000 | 355,940 | SPORT | QUES19 | TOURNAMENT | Rewards Collected 1/20 | J.R.Fetzer | 170K | 470 | 378 | Teri A.Hagen | 120K | 230 | 246 | JYeakel | 84K | 120 | 216 | 4 | BetsyChapman | 59K | 180 | John R.Moreman | 59K | 180 | 6 | iane. | auttman | 15 | ali.f | 20 | 12:16:33 | Game</x:v>
      </x:c>
    </x:row>
    <x:row r="66">
      <x:c r="A66" s="17" t="str">
        <x:v>SEG_03_039</x:v>
      </x:c>
      <x:c r="B66" s="17" t="str">
        <x:v>TT_NEW_03</x:v>
      </x:c>
      <x:c r="C66" s="17" t="n">
        <x:v>890</x:v>
      </x:c>
      <x:c r="D66" s="17" t="n">
        <x:v>899</x:v>
      </x:c>
      <x:c r="E66" s="17" t="str">
        <x:v>00:14:50</x:v>
      </x:c>
      <x:c r="F66" s="17" t="str">
        <x:v>00:14:59</x:v>
      </x:c>
      <x:c r="G66" s="17" t="n">
        <x:v>10</x:v>
      </x:c>
      <x:c r="H66" s="17" t="str">
        <x:v>小游戏</x:v>
      </x:c>
      <x:c r="I66" s="17" t="str">
        <x:v>玩法/奖励依画面；主资源常不全显</x:v>
      </x:c>
      <x:c r="J66" s="17" t="str">
        <x:v>否</x:v>
      </x:c>
      <x:c r="K66" s="17" t="str">
        <x:v>保留机制；完整核账窗口不足</x:v>
      </x:c>
      <x:c r="L66" s="18" t="str">
        <x:v>/Users/mac/Documents/智囊团/video_analysis/Top_Tycoon新号流程_20260804/frames/TT_NEW_03/TT_NEW_03_t000890.jpg</x:v>
      </x:c>
      <x:c r="M66" s="17" t="n">
        <x:v>890</x:v>
      </x:c>
      <x:c r="N66" s="17" t="str">
        <x:v>已确认</x:v>
      </x:c>
      <x:c r="O66" s="17" t="str">
        <x:v>OCR 命中小游戏名称/玩法词</x:v>
      </x:c>
      <x:c r="P66" s="17" t="str">
        <x:v>Credit Grab! | Select Target:</x:v>
      </x:c>
    </x:row>
    <x:row r="67">
      <x:c r="A67" s="17" t="str">
        <x:v>SEG_03_040</x:v>
      </x:c>
      <x:c r="B67" s="17" t="str">
        <x:v>TT_NEW_03</x:v>
      </x:c>
      <x:c r="C67" s="17" t="n">
        <x:v>900</x:v>
      </x:c>
      <x:c r="D67" s="17" t="n">
        <x:v>909</x:v>
      </x:c>
      <x:c r="E67" s="17" t="str">
        <x:v>00:15:00</x:v>
      </x:c>
      <x:c r="F67" s="17" t="str">
        <x:v>00:15:09</x:v>
      </x:c>
      <x:c r="G67" s="17" t="n">
        <x:v>10</x:v>
      </x:c>
      <x:c r="H67" s="17" t="str">
        <x:v>建造</x:v>
      </x:c>
      <x:c r="I67" s="17" t="str">
        <x:v>金币可见；Site tasks/Next task cost 依画面</x:v>
      </x:c>
      <x:c r="J67" s="17" t="str">
        <x:v>否</x:v>
      </x:c>
      <x:c r="K67" s="17" t="str">
        <x:v>保留机制；待建造余额闭合</x:v>
      </x:c>
      <x:c r="L67" s="18" t="str">
        <x:v>/Users/mac/Documents/智囊团/video_analysis/Top_Tycoon新号流程_20260804/frames/TT_NEW_03/TT_NEW_03_t000900.jpg</x:v>
      </x:c>
      <x:c r="M67" s="17" t="n">
        <x:v>900</x:v>
      </x:c>
      <x:c r="N67" s="17" t="str">
        <x:v>待复核</x:v>
      </x:c>
      <x:c r="O67" s="17" t="str">
        <x:v>画面原型近邻；margin=0.0033</x:v>
      </x:c>
      <x:c r="P67" s="17" t="str">
        <x:v>MRT'sBank | Z | Z | TOTAL LOOT | . | COINS</x:v>
      </x:c>
    </x:row>
    <x:row r="68">
      <x:c r="A68" s="17" t="str">
        <x:v>SEG_03_041</x:v>
      </x:c>
      <x:c r="B68" s="17" t="str">
        <x:v>TT_NEW_03</x:v>
      </x:c>
      <x:c r="C68" s="17" t="n">
        <x:v>910</x:v>
      </x:c>
      <x:c r="D68" s="17" t="n">
        <x:v>929</x:v>
      </x:c>
      <x:c r="E68" s="17" t="str">
        <x:v>00:15:10</x:v>
      </x:c>
      <x:c r="F68" s="17" t="str">
        <x:v>00:15:29</x:v>
      </x:c>
      <x:c r="G68" s="17" t="n">
        <x:v>20</x:v>
      </x:c>
      <x:c r="H68" s="17" t="str">
        <x:v>转场/加载</x:v>
      </x:c>
      <x:c r="I68" s="17" t="str">
        <x:v>数值不可读或不适用</x:v>
      </x:c>
      <x:c r="J68" s="17" t="str">
        <x:v>否</x:v>
      </x:c>
      <x:c r="K68" s="17" t="str">
        <x:v>排除：转场/加载，不进入数值统计</x:v>
      </x:c>
      <x:c r="L68" s="18" t="str">
        <x:v>/Users/mac/Documents/智囊团/video_analysis/Top_Tycoon新号流程_20260804/frames/TT_NEW_03/TT_NEW_03_t000920.jpg</x:v>
      </x:c>
      <x:c r="M68" s="17" t="n">
        <x:v>920</x:v>
      </x:c>
      <x:c r="N68" s="17" t="str">
        <x:v>待复核</x:v>
      </x:c>
      <x:c r="O68" s="17" t="str">
        <x:v>画面原型近邻；margin=0.0014; 画面原型近邻；margin=0.0050</x:v>
      </x:c>
      <x:c r="P68" s="17" t="str">
        <x:v>MRT'sBank | 26,000 | 39,000 | COINS | COINS | 9,100 | COINS | 7 | Z | TOTAL LOOT | 74,100 | COINS</x:v>
      </x:c>
    </x:row>
    <x:row r="69">
      <x:c r="A69" s="17" t="str">
        <x:v>SEG_03_042</x:v>
      </x:c>
      <x:c r="B69" s="17" t="str">
        <x:v>TT_NEW_03</x:v>
      </x:c>
      <x:c r="C69" s="17" t="n">
        <x:v>930</x:v>
      </x:c>
      <x:c r="D69" s="17" t="n">
        <x:v>979</x:v>
      </x:c>
      <x:c r="E69" s="17" t="str">
        <x:v>00:15:30</x:v>
      </x:c>
      <x:c r="F69" s="17" t="str">
        <x:v>00:16:19</x:v>
      </x:c>
      <x:c r="G69" s="17" t="n">
        <x:v>50</x:v>
      </x:c>
      <x:c r="H69" s="17" t="str">
        <x:v>Slot</x:v>
      </x:c>
      <x:c r="I69" s="17" t="str">
        <x:v>BET/能量/金币/主进度通常可见；以事件帧为准</x:v>
      </x:c>
      <x:c r="J69" s="17" t="str">
        <x:v>否</x:v>
      </x:c>
      <x:c r="K69" s="17" t="str">
        <x:v>保留机制；缺逐 Spin 前后快照</x:v>
      </x:c>
      <x:c r="L69" s="18" t="str">
        <x:v>/Users/mac/Documents/智囊团/video_analysis/Top_Tycoon新号流程_20260804/frames/TT_NEW_03/TT_NEW_03_t000950.jpg</x:v>
      </x:c>
      <x:c r="M69" s="17" t="n">
        <x:v>950</x:v>
      </x:c>
      <x:c r="N69" s="17" t="str">
        <x:v>已确认</x:v>
      </x:c>
      <x:c r="O69" s="17" t="str">
        <x:v>OCR 命中 SPIN/BET 词; 相邻两侧同模块，平滑孤立原型误差</x:v>
      </x:c>
      <x:c r="P69" s="17" t="str">
        <x:v>127000 | 508,940 | 3/3 | QUES | SLOTS | 19 | 12:15:44 | 6 | 85% | 100% | +66 | 14d18h | 06d18h | CREDIT GRAB | 6 | 01d18h | 245/540 | 05d18h | 06d18h | 1.2K | FREE | 08d12h | da | BETx10 | 50/50 | +2330 | SPIN | HOLD FOR AUTO | Credit.Grabs.(1/1) | Game | 127000 | 628,940 | 3/3 | QUES | cLots | 19 | 12:15:34 | %48 | 100% | +66 | 14d18h | 06d18h | +60,000 | H | 6 | 01d18h | 245/54 | 06d18h | 05d18h | FREE | 08d12h | BETx10 | 50/50 | +2130 | SPIN | HOLD FOR AUTO | Credit Grabs </x:v>
      </x:c>
    </x:row>
    <x:row r="70">
      <x:c r="A70" s="17" t="str">
        <x:v>SEG_03_043</x:v>
      </x:c>
      <x:c r="B70" s="17" t="str">
        <x:v>TT_NEW_03</x:v>
      </x:c>
      <x:c r="C70" s="17" t="n">
        <x:v>980</x:v>
      </x:c>
      <x:c r="D70" s="17" t="n">
        <x:v>1009</x:v>
      </x:c>
      <x:c r="E70" s="17" t="str">
        <x:v>00:16:20</x:v>
      </x:c>
      <x:c r="F70" s="17" t="str">
        <x:v>00:16:49</x:v>
      </x:c>
      <x:c r="G70" s="17" t="n">
        <x:v>30</x:v>
      </x:c>
      <x:c r="H70" s="17" t="str">
        <x:v>建造</x:v>
      </x:c>
      <x:c r="I70" s="17" t="str">
        <x:v>金币可见；Site tasks/Next task cost 依画面</x:v>
      </x:c>
      <x:c r="J70" s="17" t="str">
        <x:v>否</x:v>
      </x:c>
      <x:c r="K70" s="17" t="str">
        <x:v>保留机制；待建造余额闭合</x:v>
      </x:c>
      <x:c r="L70" s="18" t="str">
        <x:v>/Users/mac/Documents/智囊团/video_analysis/Top_Tycoon新号流程_20260804/frames/TT_NEW_03/TT_NEW_03_t000990.jpg</x:v>
      </x:c>
      <x:c r="M70" s="17" t="n">
        <x:v>990</x:v>
      </x:c>
      <x:c r="N70" s="17" t="str">
        <x:v>已确认</x:v>
      </x:c>
      <x:c r="O70" s="17" t="str">
        <x:v>OCR 命中建造/Site tasks 词; 画面原型近邻；margin=0.0058</x:v>
      </x:c>
      <x:c r="P70" s="17" t="str">
        <x:v>127000 | 1,091,140 | 3/3 | QUES | cLots | 19 | 12:14:54 | %56 | 100% | +66 | 14d18h | 06d18h | +6,000 | 6 | 01d18h | 福 | 245/540 | 06d18h | 05d18h | 1.2K | FREE | 08d12h | 0 | BETx10 | 50/50 | +183日 | SPIN | HOLD FOR AUTO | Complete sitetasks(o/5) | 127000 | 1,158,340 | 3/3 | QUES | cLots | 19 | 12:14:44 | %66 | 100% | +66 | 14d18h | 06d18h | + 2,400 | H | 6 | 01d18h | 265/540 | 06d18h | 05d18h | 1.2K | FREE | 08d12h | 0 | BETx10 | 50/50 | +153口 | SPIN | HOLD FOR AUTO | Compl</x:v>
      </x:c>
    </x:row>
    <x:row r="71">
      <x:c r="A71" s="17" t="str">
        <x:v>SEG_03_044</x:v>
      </x:c>
      <x:c r="B71" s="17" t="str">
        <x:v>TT_NEW_03</x:v>
      </x:c>
      <x:c r="C71" s="17" t="n">
        <x:v>1010</x:v>
      </x:c>
      <x:c r="D71" s="17" t="n">
        <x:v>1019</x:v>
      </x:c>
      <x:c r="E71" s="17" t="str">
        <x:v>00:16:50</x:v>
      </x:c>
      <x:c r="F71" s="17" t="str">
        <x:v>00:16:59</x:v>
      </x:c>
      <x:c r="G71" s="17" t="n">
        <x:v>10</x:v>
      </x:c>
      <x:c r="H71" s="17" t="str">
        <x:v>礼包</x:v>
      </x:c>
      <x:c r="I71" s="17" t="str">
        <x:v>价格/内容可能可见；未观察购买后余额</x:v>
      </x:c>
      <x:c r="J71" s="17" t="str">
        <x:v>否</x:v>
      </x:c>
      <x:c r="K71" s="17" t="str">
        <x:v>保留 offer_shown；无购买前后闭环</x:v>
      </x:c>
      <x:c r="L71" s="18" t="str">
        <x:v>/Users/mac/Documents/智囊团/video_analysis/Top_Tycoon新号流程_20260804/frames/TT_NEW_03/TT_NEW_03_t001010.jpg</x:v>
      </x:c>
      <x:c r="M71" s="17" t="n">
        <x:v>1010</x:v>
      </x:c>
      <x:c r="N71" s="17" t="str">
        <x:v>已确认</x:v>
      </x:c>
      <x:c r="O71" s="17" t="str">
        <x:v>OCR 命中价格/商店词</x:v>
      </x:c>
      <x:c r="P71" s="17" t="str">
        <x:v>4215% | 1.31K | TYCOON PAS | TOTAL | 14d18h | 25/60 | 21 | HK$40.00 | 20 | 9K | 180K | Locked | 21 | 9K | 22 | 180K | 23 | 9K | 180K | 24 | 10K | 80 | CLAIM ALL</x:v>
      </x:c>
    </x:row>
    <x:row r="72">
      <x:c r="A72" s="17" t="str">
        <x:v>SEG_03_045</x:v>
      </x:c>
      <x:c r="B72" s="17" t="str">
        <x:v>TT_NEW_03</x:v>
      </x:c>
      <x:c r="C72" s="17" t="n">
        <x:v>1020</x:v>
      </x:c>
      <x:c r="D72" s="17" t="n">
        <x:v>1029</x:v>
      </x:c>
      <x:c r="E72" s="17" t="str">
        <x:v>00:17:00</x:v>
      </x:c>
      <x:c r="F72" s="17" t="str">
        <x:v>00:17:09</x:v>
      </x:c>
      <x:c r="G72" s="17" t="n">
        <x:v>10</x:v>
      </x:c>
      <x:c r="H72" s="17" t="str">
        <x:v>Slot</x:v>
      </x:c>
      <x:c r="I72" s="17" t="str">
        <x:v>BET/能量/金币/主进度通常可见；以事件帧为准</x:v>
      </x:c>
      <x:c r="J72" s="17" t="str">
        <x:v>否</x:v>
      </x:c>
      <x:c r="K72" s="17" t="str">
        <x:v>保留机制；缺逐 Spin 前后快照</x:v>
      </x:c>
      <x:c r="L72" s="18" t="str">
        <x:v>/Users/mac/Documents/智囊团/video_analysis/Top_Tycoon新号流程_20260804/frames/TT_NEW_03/TT_NEW_03_t001020.jpg</x:v>
      </x:c>
      <x:c r="M72" s="17" t="n">
        <x:v>1020</x:v>
      </x:c>
      <x:c r="N72" s="17" t="str">
        <x:v>已确认</x:v>
      </x:c>
      <x:c r="O72" s="17" t="str">
        <x:v>OCR 命中 SPIN/BET 词</x:v>
      </x:c>
      <x:c r="P72" s="17" t="str">
        <x:v>X | TYCOON PASS | 25/60 | 21 | 14d18h | 5 | Now! | theTHREE | SPIN | 4 | PHASE1</x:v>
      </x:c>
    </x:row>
    <x:row r="73">
      <x:c r="A73" s="17" t="str">
        <x:v>SEG_03_046</x:v>
      </x:c>
      <x:c r="B73" s="17" t="str">
        <x:v>TT_NEW_03</x:v>
      </x:c>
      <x:c r="C73" s="17" t="n">
        <x:v>1030</x:v>
      </x:c>
      <x:c r="D73" s="17" t="n">
        <x:v>1089</x:v>
      </x:c>
      <x:c r="E73" s="17" t="str">
        <x:v>00:17:10</x:v>
      </x:c>
      <x:c r="F73" s="17" t="str">
        <x:v>00:18:09</x:v>
      </x:c>
      <x:c r="G73" s="17" t="n">
        <x:v>60</x:v>
      </x:c>
      <x:c r="H73" s="17" t="str">
        <x:v>建造</x:v>
      </x:c>
      <x:c r="I73" s="17" t="str">
        <x:v>金币可见；Site tasks/Next task cost 依画面</x:v>
      </x:c>
      <x:c r="J73" s="17" t="str">
        <x:v>否</x:v>
      </x:c>
      <x:c r="K73" s="17" t="str">
        <x:v>保留机制；待建造余额闭合</x:v>
      </x:c>
      <x:c r="L73" s="18" t="str">
        <x:v>/Users/mac/Documents/智囊团/video_analysis/Top_Tycoon新号流程_20260804/frames/TT_NEW_03/TT_NEW_03_t001060.jpg</x:v>
      </x:c>
      <x:c r="M73" s="17" t="n">
        <x:v>1060</x:v>
      </x:c>
      <x:c r="N73" s="17" t="str">
        <x:v>已确认</x:v>
      </x:c>
      <x:c r="O73" s="17" t="str">
        <x:v>OCR 命中建造/Site tasks 词; 画面原型近邻；margin=0.0071; 相邻两侧同模块，平滑孤立原型误差</x:v>
      </x:c>
      <x:c r="P73" s="17" t="str">
        <x:v>127000 | 1,266,440 | QUEST | CLots | 0% | 12:14:04 | 2% | 100% | 0% | +66 | 14d18h | 06d18h | 6 | 01d18h | 305/540 | 06d18h | 05d18h | .21 | FREE | 08d12h | BETx10 | 50/50 | +2130 | SPIN | HOLD FOR AUTO | Complete site tasks(o/5) | Game | 127000 | 1,327,640 | QUEST | CLots | 3% | 12:13:54 | 7% | 100% | 0% | +66 | 14d18h | 06d18h | H | 6 | 01d18h | 325/540 | 06d18h | 05d18h | 1.2K | FREE | 08d12h | BETx10 | 50/50 | +173 | SPIN | HOLD FORAUTO | Complete site tasks(o/5) | Game |</x:v>
      </x:c>
    </x:row>
    <x:row r="74">
      <x:c r="A74" s="17" t="str">
        <x:v>SEG_03_047</x:v>
      </x:c>
      <x:c r="B74" s="17" t="str">
        <x:v>TT_NEW_03</x:v>
      </x:c>
      <x:c r="C74" s="17" t="n">
        <x:v>1090</x:v>
      </x:c>
      <x:c r="D74" s="17" t="n">
        <x:v>1099</x:v>
      </x:c>
      <x:c r="E74" s="17" t="str">
        <x:v>00:18:10</x:v>
      </x:c>
      <x:c r="F74" s="17" t="str">
        <x:v>00:18:19</x:v>
      </x:c>
      <x:c r="G74" s="17" t="n">
        <x:v>10</x:v>
      </x:c>
      <x:c r="H74" s="17" t="str">
        <x:v>Slot</x:v>
      </x:c>
      <x:c r="I74" s="17" t="str">
        <x:v>BET/能量/金币/主进度通常可见；以事件帧为准</x:v>
      </x:c>
      <x:c r="J74" s="17" t="str">
        <x:v>否</x:v>
      </x:c>
      <x:c r="K74" s="17" t="str">
        <x:v>保留机制；缺逐 Spin 前后快照</x:v>
      </x:c>
      <x:c r="L74" s="18" t="str">
        <x:v>/Users/mac/Documents/智囊团/video_analysis/Top_Tycoon新号流程_20260804/frames/TT_NEW_03/TT_NEW_03_t001090.jpg</x:v>
      </x:c>
      <x:c r="M74" s="17" t="n">
        <x:v>1090</x:v>
      </x:c>
      <x:c r="N74" s="17" t="str">
        <x:v>已确认</x:v>
      </x:c>
      <x:c r="O74" s="17" t="str">
        <x:v>OCR 命中 SPIN/BET 词</x:v>
      </x:c>
      <x:c r="P74" s="17" t="str">
        <x:v>127000 | 1,822,840 | 27% | 17% | 60 | ATTACK | 01d18h | 345/540 | BETX10 | 50/50 | SPIN | omplete sitetasksO/5 | Game</x:v>
      </x:c>
    </x:row>
    <x:row r="75">
      <x:c r="A75" s="17" t="str">
        <x:v>SEG_03_048</x:v>
      </x:c>
      <x:c r="B75" s="17" t="str">
        <x:v>TT_NEW_03</x:v>
      </x:c>
      <x:c r="C75" s="17" t="n">
        <x:v>1100</x:v>
      </x:c>
      <x:c r="D75" s="17" t="n">
        <x:v>1109</x:v>
      </x:c>
      <x:c r="E75" s="17" t="str">
        <x:v>00:18:20</x:v>
      </x:c>
      <x:c r="F75" s="17" t="str">
        <x:v>00:18:29</x:v>
      </x:c>
      <x:c r="G75" s="17" t="n">
        <x:v>10</x:v>
      </x:c>
      <x:c r="H75" s="17" t="str">
        <x:v>建造</x:v>
      </x:c>
      <x:c r="I75" s="17" t="str">
        <x:v>金币可见；Site tasks/Next task cost 依画面</x:v>
      </x:c>
      <x:c r="J75" s="17" t="str">
        <x:v>否</x:v>
      </x:c>
      <x:c r="K75" s="17" t="str">
        <x:v>保留机制；待建造余额闭合</x:v>
      </x:c>
      <x:c r="L75" s="18" t="str">
        <x:v>/Users/mac/Documents/智囊团/video_analysis/Top_Tycoon新号流程_20260804/frames/TT_NEW_03/TT_NEW_03_t001100.jpg</x:v>
      </x:c>
      <x:c r="M75" s="17" t="n">
        <x:v>1100</x:v>
      </x:c>
      <x:c r="N75" s="17" t="str">
        <x:v>已确认</x:v>
      </x:c>
      <x:c r="O75" s="17" t="str">
        <x:v>OCR 命中建造/Site tasks 词</x:v>
      </x:c>
      <x:c r="P75" s="17" t="str">
        <x:v>127000 | 1,888,840 | SUEST | CLots | 31% | 12:12:54 | 20% | 100% | 0% | +66 | 14d18h | 06d18h | 01d18h | 345/540 | 06d18h | 1.2K | FREE | 08d12h | 0 | BETx10 | 50/50 | +1090 | SPIN | HOLD FORAUTO | Complete site tasks(o/5) | Game</x:v>
      </x:c>
    </x:row>
    <x:row r="76">
      <x:c r="A76" s="17" t="str">
        <x:v>SEG_03_049</x:v>
      </x:c>
      <x:c r="B76" s="17" t="str">
        <x:v>TT_NEW_03</x:v>
      </x:c>
      <x:c r="C76" s="17" t="n">
        <x:v>1110</x:v>
      </x:c>
      <x:c r="D76" s="17" t="n">
        <x:v>1119</x:v>
      </x:c>
      <x:c r="E76" s="17" t="str">
        <x:v>00:18:30</x:v>
      </x:c>
      <x:c r="F76" s="17" t="str">
        <x:v>00:18:39</x:v>
      </x:c>
      <x:c r="G76" s="17" t="n">
        <x:v>10</x:v>
      </x:c>
      <x:c r="H76" s="17" t="str">
        <x:v>小游戏</x:v>
      </x:c>
      <x:c r="I76" s="17" t="str">
        <x:v>玩法/奖励依画面；主资源常不全显</x:v>
      </x:c>
      <x:c r="J76" s="17" t="str">
        <x:v>否</x:v>
      </x:c>
      <x:c r="K76" s="17" t="str">
        <x:v>保留机制；完整核账窗口不足</x:v>
      </x:c>
      <x:c r="L76" s="18" t="str">
        <x:v>/Users/mac/Documents/智囊团/video_analysis/Top_Tycoon新号流程_20260804/frames/TT_NEW_03/TT_NEW_03_t001110.jpg</x:v>
      </x:c>
      <x:c r="M76" s="17" t="n">
        <x:v>1110</x:v>
      </x:c>
      <x:c r="N76" s="17" t="str">
        <x:v>已确认</x:v>
      </x:c>
      <x:c r="O76" s="17" t="str">
        <x:v>OCR 命中小游戏名称/玩法词</x:v>
      </x:c>
      <x:c r="P76" s="17" t="str">
        <x:v>Attack! | ALEX REY</x:v>
      </x:c>
    </x:row>
    <x:row r="77">
      <x:c r="A77" s="17" t="str">
        <x:v>SEG_03_050</x:v>
      </x:c>
      <x:c r="B77" s="17" t="str">
        <x:v>TT_NEW_03</x:v>
      </x:c>
      <x:c r="C77" s="17" t="n">
        <x:v>1120</x:v>
      </x:c>
      <x:c r="D77" s="17" t="n">
        <x:v>1269</x:v>
      </x:c>
      <x:c r="E77" s="17" t="str">
        <x:v>00:18:40</x:v>
      </x:c>
      <x:c r="F77" s="17" t="str">
        <x:v>00:21:09</x:v>
      </x:c>
      <x:c r="G77" s="17" t="n">
        <x:v>150</x:v>
      </x:c>
      <x:c r="H77" s="17" t="str">
        <x:v>建造</x:v>
      </x:c>
      <x:c r="I77" s="17" t="str">
        <x:v>金币可见；Site tasks/Next task cost 依画面</x:v>
      </x:c>
      <x:c r="J77" s="17" t="str">
        <x:v>是</x:v>
      </x:c>
      <x:c r="K77" s="17" t="str">
        <x:v>保留：建造金币核账窗口</x:v>
      </x:c>
      <x:c r="L77" s="18" t="str">
        <x:v>/Users/mac/Documents/智囊团/video_analysis/Top_Tycoon新号流程_20260804/frames/TT_NEW_03/TT_NEW_03_t001190.jpg</x:v>
      </x:c>
      <x:c r="M77" s="17" t="n">
        <x:v>1190</x:v>
      </x:c>
      <x:c r="N77" s="17" t="str">
        <x:v>已确认</x:v>
      </x:c>
      <x:c r="O77" s="17" t="str">
        <x:v>OCR 命中建造/Site tasks 词; 画面原型近邻；margin=0.0025; 画面原型近邻；margin=0.0037; 相邻两侧同模块，平滑孤立原型误差</x:v>
      </x:c>
      <x:c r="P77" s="17" t="str">
        <x:v>424.0 | 127000 | 2,238,840 | DUEST | CLots | 48% | 12:12:24 | 23% | 100% | 0% | +66 | 14d18h | 06d18h | ATTACK | 01d18h | 福 | 385/540 | 06d18h | .2K | FREE | 08d12h | +40 | BETx10 | 50/50 | 66+ | SPIN | HOLD FORAUTO | Complete site tasks(o/5) | Game | 127000 | 2,298,840 | QUEST | CLots | 51% | 12:12:14 | 26% | 100% | 0% | +66 | 14d18h | 06d18h | 01d18h | 385/540 | 06d18h | 05d18h | 1.2K | FREE | 08d12h | BETx10 | 50/50 | 69+ | SPIN | HOLD FOR AUTO | Complete site tasks(o/5) |</x:v>
      </x:c>
    </x:row>
    <x:row r="78">
      <x:c r="A78" s="17" t="str">
        <x:v>SEG_03_051</x:v>
      </x:c>
      <x:c r="B78" s="17" t="str">
        <x:v>TT_NEW_03</x:v>
      </x:c>
      <x:c r="C78" s="17" t="n">
        <x:v>1270</x:v>
      </x:c>
      <x:c r="D78" s="17" t="n">
        <x:v>1289</x:v>
      </x:c>
      <x:c r="E78" s="17" t="str">
        <x:v>00:21:10</x:v>
      </x:c>
      <x:c r="F78" s="17" t="str">
        <x:v>00:21:29</x:v>
      </x:c>
      <x:c r="G78" s="17" t="n">
        <x:v>20</x:v>
      </x:c>
      <x:c r="H78" s="17" t="str">
        <x:v>小游戏</x:v>
      </x:c>
      <x:c r="I78" s="17" t="str">
        <x:v>玩法/奖励依画面；主资源常不全显</x:v>
      </x:c>
      <x:c r="J78" s="17" t="str">
        <x:v>否</x:v>
      </x:c>
      <x:c r="K78" s="17" t="str">
        <x:v>保留机制；完整核账窗口不足</x:v>
      </x:c>
      <x:c r="L78" s="18" t="str">
        <x:v>/Users/mac/Documents/智囊团/video_analysis/Top_Tycoon新号流程_20260804/frames/TT_NEW_03/TT_NEW_03_t001280.jpg</x:v>
      </x:c>
      <x:c r="M78" s="17" t="n">
        <x:v>1280</x:v>
      </x:c>
      <x:c r="N78" s="17" t="str">
        <x:v>已确认</x:v>
      </x:c>
      <x:c r="O78" s="17" t="str">
        <x:v>OCR 命中小游戏名称/玩法词</x:v>
      </x:c>
      <x:c r="P78" s="17" t="str">
        <x:v>140000 | 1,812,404 | Thermal Soar | 29000/29000 | Showrewards | Hot Air Balloon | 米 | 784 | RollerCoaster | Clear Tycoon Quests (1/3) | TOTALEARNINGS | 53,301 | +140/Sec | Site | 140000 | 2,042,035 | Hot Air Balloon | 1036 | Roller Coaster | Clear Tycoon Quests (1/3 | 54,701 | Site</x:v>
      </x:c>
    </x:row>
    <x:row r="79">
      <x:c r="A79" s="17" t="str">
        <x:v>SEG_03_052</x:v>
      </x:c>
      <x:c r="B79" s="17" t="str">
        <x:v>TT_NEW_03</x:v>
      </x:c>
      <x:c r="C79" s="17" t="n">
        <x:v>1290</x:v>
      </x:c>
      <x:c r="D79" s="17" t="n">
        <x:v>1299</x:v>
      </x:c>
      <x:c r="E79" s="17" t="str">
        <x:v>00:21:30</x:v>
      </x:c>
      <x:c r="F79" s="17" t="str">
        <x:v>00:21:39</x:v>
      </x:c>
      <x:c r="G79" s="17" t="n">
        <x:v>10</x:v>
      </x:c>
      <x:c r="H79" s="17" t="str">
        <x:v>转场/加载</x:v>
      </x:c>
      <x:c r="I79" s="17" t="str">
        <x:v>数值不可读或不适用</x:v>
      </x:c>
      <x:c r="J79" s="17" t="str">
        <x:v>否</x:v>
      </x:c>
      <x:c r="K79" s="17" t="str">
        <x:v>排除：转场/加载，不进入数值统计</x:v>
      </x:c>
      <x:c r="L79" s="18" t="str">
        <x:v>/Users/mac/Documents/智囊团/video_analysis/Top_Tycoon新号流程_20260804/frames/TT_NEW_03/TT_NEW_03_t001290.jpg</x:v>
      </x:c>
      <x:c r="M79" s="17" t="n">
        <x:v>1290</x:v>
      </x:c>
      <x:c r="N79" s="17" t="str">
        <x:v>已确认</x:v>
      </x:c>
      <x:c r="O79" s="17" t="str">
        <x:v>低亮度/低饱和转场</x:v>
      </x:c>
      <x:c r="P79" s="17" t="str">
        <x:v>Thank you so | much for your | efforts-We had | a great time | Lao | Wait...whatunholy | parchment is this?!A | government demolition | notice?! | Tycoon | Notice is hereby given that | Rainbow Paradise will be | demolished thismonth. | city council | Not This agonizing news | must never reach Ava's ears! | must findaway..to stop | this impending catastrophel | Tycoon | 56,125</x:v>
      </x:c>
    </x:row>
    <x:row r="80">
      <x:c r="A80" s="17" t="str">
        <x:v>SEG_03_053</x:v>
      </x:c>
      <x:c r="B80" s="17" t="str">
        <x:v>TT_NEW_03</x:v>
      </x:c>
      <x:c r="C80" s="17" t="n">
        <x:v>1300</x:v>
      </x:c>
      <x:c r="D80" s="17" t="n">
        <x:v>1409</x:v>
      </x:c>
      <x:c r="E80" s="17" t="str">
        <x:v>00:21:40</x:v>
      </x:c>
      <x:c r="F80" s="17" t="str">
        <x:v>00:23:29</x:v>
      </x:c>
      <x:c r="G80" s="17" t="n">
        <x:v>110</x:v>
      </x:c>
      <x:c r="H80" s="17" t="str">
        <x:v>建造</x:v>
      </x:c>
      <x:c r="I80" s="17" t="str">
        <x:v>金币可见；Site tasks/Next task cost 依画面</x:v>
      </x:c>
      <x:c r="J80" s="17" t="str">
        <x:v>是</x:v>
      </x:c>
      <x:c r="K80" s="17" t="str">
        <x:v>保留：建造金币核账窗口</x:v>
      </x:c>
      <x:c r="L80" s="18" t="str">
        <x:v>/Users/mac/Documents/智囊团/video_analysis/Top_Tycoon新号流程_20260804/frames/TT_NEW_03/TT_NEW_03_t001350.jpg</x:v>
      </x:c>
      <x:c r="M80" s="17" t="n">
        <x:v>1350</x:v>
      </x:c>
      <x:c r="N80" s="17" t="str">
        <x:v>已确认</x:v>
      </x:c>
      <x:c r="O80" s="17" t="str">
        <x:v>OCR 命中建造/Site tasks 词; 画面原型近邻；margin=0.0032; 画面原型近邻；margin=0.0061; 相邻两侧同模块，平滑孤立原型误差</x:v>
      </x:c>
      <x:c r="P80" s="17" t="str">
        <x:v>bfjoy!wny..wnyv | you tear it down?! | Tycoon | WI | The municipal government,Mr. | Tycoon,has made itsdecision.That | land,yourland,hasbeendesignated | for James Company.A newfactory.a | beacon of progress, will rise there. | Grimes | You understand,don't | you?We actonlyfor the | greater good of this town. | Grimes | Iunderstand the call for | economic development.1 | 'op | Tycoon | But this amusement park... it | cradlesthedreamsandthe | very happiness of countless | child</x:v>
      </x:c>
    </x:row>
    <x:row r="81">
      <x:c r="A81" s="17" t="str">
        <x:v>SEG_03_054</x:v>
      </x:c>
      <x:c r="B81" s="17" t="str">
        <x:v>TT_NEW_03</x:v>
      </x:c>
      <x:c r="C81" s="17" t="n">
        <x:v>1410</x:v>
      </x:c>
      <x:c r="D81" s="17" t="n">
        <x:v>1429</x:v>
      </x:c>
      <x:c r="E81" s="17" t="str">
        <x:v>00:23:30</x:v>
      </x:c>
      <x:c r="F81" s="17" t="str">
        <x:v>00:23:49</x:v>
      </x:c>
      <x:c r="G81" s="17" t="n">
        <x:v>20</x:v>
      </x:c>
      <x:c r="H81" s="17" t="str">
        <x:v>小游戏</x:v>
      </x:c>
      <x:c r="I81" s="17" t="str">
        <x:v>玩法/奖励依画面；主资源常不全显</x:v>
      </x:c>
      <x:c r="J81" s="17" t="str">
        <x:v>否</x:v>
      </x:c>
      <x:c r="K81" s="17" t="str">
        <x:v>保留机制；完整核账窗口不足</x:v>
      </x:c>
      <x:c r="L81" s="18" t="str">
        <x:v>/Users/mac/Documents/智囊团/video_analysis/Top_Tycoon新号流程_20260804/frames/TT_NEW_03/TT_NEW_03_t001420.jpg</x:v>
      </x:c>
      <x:c r="M81" s="17" t="n">
        <x:v>1420</x:v>
      </x:c>
      <x:c r="N81" s="17" t="str">
        <x:v>待复核</x:v>
      </x:c>
      <x:c r="O81" s="17" t="str">
        <x:v>画面原型近邻；margin=0.0113; 画面原型近邻；margin=0.0115</x:v>
      </x:c>
      <x:c r="P81" s="17" t="str">
        <x:v>190000 | 149,433 | 659 | MISSIONPASS | 02d 12h | Get 300%points! | x300 | Lastchance to level up | and win rewards  4000. | LAST FEW HOURS | Clear Tycoon Quests( | Game | 190000 | 149,433 | ARUSH | Punch the boxes for impactful | prizes! | GONOW! | 02d 12h | oon cuesfsi | Game</x:v>
      </x:c>
    </x:row>
    <x:row r="82">
      <x:c r="A82" s="17" t="str">
        <x:v>SEG_03_055</x:v>
      </x:c>
      <x:c r="B82" s="17" t="str">
        <x:v>TT_NEW_03</x:v>
      </x:c>
      <x:c r="C82" s="17" t="n">
        <x:v>1430</x:v>
      </x:c>
      <x:c r="D82" s="17" t="n">
        <x:v>1439</x:v>
      </x:c>
      <x:c r="E82" s="17" t="str">
        <x:v>00:23:50</x:v>
      </x:c>
      <x:c r="F82" s="17" t="str">
        <x:v>00:23:59</x:v>
      </x:c>
      <x:c r="G82" s="17" t="n">
        <x:v>10</x:v>
      </x:c>
      <x:c r="H82" s="17" t="str">
        <x:v>礼包</x:v>
      </x:c>
      <x:c r="I82" s="17" t="str">
        <x:v>价格/内容可能可见；未观察购买后余额</x:v>
      </x:c>
      <x:c r="J82" s="17" t="str">
        <x:v>否</x:v>
      </x:c>
      <x:c r="K82" s="17" t="str">
        <x:v>保留 offer_shown；无购买前后闭环</x:v>
      </x:c>
      <x:c r="L82" s="18" t="str">
        <x:v>/Users/mac/Documents/智囊团/video_analysis/Top_Tycoon新号流程_20260804/frames/TT_NEW_03/TT_NEW_03_t001430.jpg</x:v>
      </x:c>
      <x:c r="M82" s="17" t="n">
        <x:v>1430</x:v>
      </x:c>
      <x:c r="N82" s="17" t="str">
        <x:v>已确认</x:v>
      </x:c>
      <x:c r="O82" s="17" t="str">
        <x:v>OCR 命中价格/商店词</x:v>
      </x:c>
      <x:c r="P82" s="17" t="str">
        <x:v>ONLY | ONE | PICK | Choose wisely, only one | pick! | CREDITG | 20 | 190 | 330K | 100 | 20m | 20m | 130K | HK$16.00 | HK$25.00 | HK$40.00 | 35% | BUY ALL HK$48.00 | OFF | 12h 07m</x:v>
      </x:c>
    </x:row>
    <x:row r="83">
      <x:c r="A83" s="17" t="str">
        <x:v>SEG_03_056</x:v>
      </x:c>
      <x:c r="B83" s="17" t="str">
        <x:v>TT_NEW_03</x:v>
      </x:c>
      <x:c r="C83" s="17" t="n">
        <x:v>1440</x:v>
      </x:c>
      <x:c r="D83" s="17" t="n">
        <x:v>1449</x:v>
      </x:c>
      <x:c r="E83" s="17" t="str">
        <x:v>00:24:00</x:v>
      </x:c>
      <x:c r="F83" s="17" t="str">
        <x:v>00:24:09</x:v>
      </x:c>
      <x:c r="G83" s="17" t="n">
        <x:v>10</x:v>
      </x:c>
      <x:c r="H83" s="17" t="str">
        <x:v>Slot</x:v>
      </x:c>
      <x:c r="I83" s="17" t="str">
        <x:v>BET/能量/金币/主进度通常可见；以事件帧为准</x:v>
      </x:c>
      <x:c r="J83" s="17" t="str">
        <x:v>否</x:v>
      </x:c>
      <x:c r="K83" s="17" t="str">
        <x:v>保留机制；缺逐 Spin 前后快照</x:v>
      </x:c>
      <x:c r="L83" s="18" t="str">
        <x:v>/Users/mac/Documents/智囊团/video_analysis/Top_Tycoon新号流程_20260804/frames/TT_NEW_03/TT_NEW_03_t001440.jpg</x:v>
      </x:c>
      <x:c r="M83" s="17" t="n">
        <x:v>1440</x:v>
      </x:c>
      <x:c r="N83" s="17" t="str">
        <x:v>已确认</x:v>
      </x:c>
      <x:c r="O83" s="17" t="str">
        <x:v>OCR 命中 SPIN/BET 词</x:v>
      </x:c>
      <x:c r="P83" s="17" t="str">
        <x:v>190000 | 149,433 | 65% | 12:07:14 | 44% | 100% | 12% | +66 | 14d18h | 06d18h | CREDIT GRAB | H | 01d18h | PACK | 485/540 | 0/9 | 06d18h | 02d12h | 1.2K | 6 | Salel | 01d12h | 05d18h | PiCK ONE | 0% | 12h07m | 05d12h | 02d12h | BETx10 | 50/50 | 0% | 02d12h | +158 | SPIN | FREE | 08d12h | HOLD FOR AUTO | Clear Tycoon Quests (1/3) | Game</x:v>
      </x:c>
    </x:row>
    <x:row r="84">
      <x:c r="A84" s="17" t="str">
        <x:v>SEG_03_057</x:v>
      </x:c>
      <x:c r="B84" s="17" t="str">
        <x:v>TT_NEW_03</x:v>
      </x:c>
      <x:c r="C84" s="17" t="n">
        <x:v>1450</x:v>
      </x:c>
      <x:c r="D84" s="17" t="n">
        <x:v>1459</x:v>
      </x:c>
      <x:c r="E84" s="17" t="str">
        <x:v>00:24:10</x:v>
      </x:c>
      <x:c r="F84" s="17" t="str">
        <x:v>00:24:19</x:v>
      </x:c>
      <x:c r="G84" s="17" t="n">
        <x:v>10</x:v>
      </x:c>
      <x:c r="H84" s="17" t="str">
        <x:v>小游戏</x:v>
      </x:c>
      <x:c r="I84" s="17" t="str">
        <x:v>玩法/奖励依画面；主资源常不全显</x:v>
      </x:c>
      <x:c r="J84" s="17" t="str">
        <x:v>否</x:v>
      </x:c>
      <x:c r="K84" s="17" t="str">
        <x:v>保留机制；完整核账窗口不足</x:v>
      </x:c>
      <x:c r="L84" s="18" t="str">
        <x:v>/Users/mac/Documents/智囊团/video_analysis/Top_Tycoon新号流程_20260804/frames/TT_NEW_03/TT_NEW_03_t001450.jpg</x:v>
      </x:c>
      <x:c r="M84" s="17" t="n">
        <x:v>1450</x:v>
      </x:c>
      <x:c r="N84" s="17" t="str">
        <x:v>已确认</x:v>
      </x:c>
      <x:c r="O84" s="17" t="str">
        <x:v>OCR 命中小游戏名称/玩法词</x:v>
      </x:c>
      <x:c r="P84" s="17" t="str">
        <x:v>0/1 | Jackpot | 60 | 0/3 | 360 | 0/3 | 0/3 | 5 | 10</x:v>
      </x:c>
    </x:row>
    <x:row r="85">
      <x:c r="A85" s="17" t="str">
        <x:v>SEG_03_058</x:v>
      </x:c>
      <x:c r="B85" s="17" t="str">
        <x:v>TT_NEW_03</x:v>
      </x:c>
      <x:c r="C85" s="17" t="n">
        <x:v>1460</x:v>
      </x:c>
      <x:c r="D85" s="17" t="n">
        <x:v>1469</x:v>
      </x:c>
      <x:c r="E85" s="17" t="str">
        <x:v>00:24:20</x:v>
      </x:c>
      <x:c r="F85" s="17" t="str">
        <x:v>00:24:29</x:v>
      </x:c>
      <x:c r="G85" s="17" t="n">
        <x:v>10</x:v>
      </x:c>
      <x:c r="H85" s="17" t="str">
        <x:v>礼包</x:v>
      </x:c>
      <x:c r="I85" s="17" t="str">
        <x:v>价格/内容可能可见；未观察购买后余额</x:v>
      </x:c>
      <x:c r="J85" s="17" t="str">
        <x:v>否</x:v>
      </x:c>
      <x:c r="K85" s="17" t="str">
        <x:v>保留 offer_shown；无购买前后闭环</x:v>
      </x:c>
      <x:c r="L85" s="18" t="str">
        <x:v>/Users/mac/Documents/智囊团/video_analysis/Top_Tycoon新号流程_20260804/frames/TT_NEW_03/TT_NEW_03_t001460.jpg</x:v>
      </x:c>
      <x:c r="M85" s="17" t="n">
        <x:v>1460</x:v>
      </x:c>
      <x:c r="N85" s="17" t="str">
        <x:v>已确认</x:v>
      </x:c>
      <x:c r="O85" s="17" t="str">
        <x:v>OCR 命中价格/商店词</x:v>
      </x:c>
      <x:c r="P85" s="17" t="str">
        <x:v>940 | BOXING PAS | TOTAL | 02d12h | 0/1 | 3 | HK$40.00 | 1.5K | 7.5K | Locked | 3 | 7.5K | 23K | 5 | 10 | 20 | 6 | 23K | CLAIM ALL</x:v>
      </x:c>
    </x:row>
    <x:row r="86">
      <x:c r="A86" s="17" t="str">
        <x:v>SEG_03_059</x:v>
      </x:c>
      <x:c r="B86" s="17" t="str">
        <x:v>TT_NEW_03</x:v>
      </x:c>
      <x:c r="C86" s="17" t="n">
        <x:v>1470</x:v>
      </x:c>
      <x:c r="D86" s="17" t="n">
        <x:v>1479</x:v>
      </x:c>
      <x:c r="E86" s="17" t="str">
        <x:v>00:24:30</x:v>
      </x:c>
      <x:c r="F86" s="17" t="str">
        <x:v>00:24:39</x:v>
      </x:c>
      <x:c r="G86" s="17" t="n">
        <x:v>10</x:v>
      </x:c>
      <x:c r="H86" s="17" t="str">
        <x:v>小游戏</x:v>
      </x:c>
      <x:c r="I86" s="17" t="str">
        <x:v>玩法/奖励依画面；主资源常不全显</x:v>
      </x:c>
      <x:c r="J86" s="17" t="str">
        <x:v>否</x:v>
      </x:c>
      <x:c r="K86" s="17" t="str">
        <x:v>保留机制；完整核账窗口不足</x:v>
      </x:c>
      <x:c r="L86" s="18" t="str">
        <x:v>/Users/mac/Documents/智囊团/video_analysis/Top_Tycoon新号流程_20260804/frames/TT_NEW_03/TT_NEW_03_t001470.jpg</x:v>
      </x:c>
      <x:c r="M86" s="17" t="n">
        <x:v>1470</x:v>
      </x:c>
      <x:c r="N86" s="17" t="str">
        <x:v>已确认</x:v>
      </x:c>
      <x:c r="O86" s="17" t="str">
        <x:v>OCR 命中小游戏名称/玩法词</x:v>
      </x:c>
      <x:c r="P86" s="17" t="str">
        <x:v>0/1 | 3 | Jackpot | 60 | 1/3 | 360 | 0/3 | 1.3K | 0/3 | 3 | 10</x:v>
      </x:c>
    </x:row>
    <x:row r="87">
      <x:c r="A87" s="17" t="str">
        <x:v>SEG_03_060</x:v>
      </x:c>
      <x:c r="B87" s="17" t="str">
        <x:v>TT_NEW_03</x:v>
      </x:c>
      <x:c r="C87" s="17" t="n">
        <x:v>1480</x:v>
      </x:c>
      <x:c r="D87" s="17" t="n">
        <x:v>1499</x:v>
      </x:c>
      <x:c r="E87" s="17" t="str">
        <x:v>00:24:40</x:v>
      </x:c>
      <x:c r="F87" s="17" t="str">
        <x:v>00:24:59</x:v>
      </x:c>
      <x:c r="G87" s="17" t="n">
        <x:v>20</x:v>
      </x:c>
      <x:c r="H87" s="17" t="str">
        <x:v>礼包</x:v>
      </x:c>
      <x:c r="I87" s="17" t="str">
        <x:v>价格/内容可能可见；未观察购买后余额</x:v>
      </x:c>
      <x:c r="J87" s="17" t="str">
        <x:v>否</x:v>
      </x:c>
      <x:c r="K87" s="17" t="str">
        <x:v>保留 offer_shown；无购买前后闭环</x:v>
      </x:c>
      <x:c r="L87" s="18" t="str">
        <x:v>/Users/mac/Documents/智囊团/video_analysis/Top_Tycoon新号流程_20260804/frames/TT_NEW_03/TT_NEW_03_t001490.jpg</x:v>
      </x:c>
      <x:c r="M87" s="17" t="n">
        <x:v>1490</x:v>
      </x:c>
      <x:c r="N87" s="17" t="str">
        <x:v>已确认</x:v>
      </x:c>
      <x:c r="O87" s="17" t="str">
        <x:v>OCR 命中价格/商店词</x:v>
      </x:c>
      <x:c r="P87" s="17" t="str">
        <x:v>190000 | 174,333 | 1200% | H | Value | 02d12h | Buy now to claim rewards you've earned! | Clear Tycoon Quests | Game | 190000 | 174,333 | PACK | X | 1200% | Earn up to 1165 | Value | Buy now to claim | HKSZI | rewards you've | HK$55.90 | earned! | SPIN | Use 70 spins | 0/70 | SPIN | Use 170 spins | 0/170 | SPIN | Use 310 spins | 0/310 | SPIN | Use500 spins | 0/500 | SPIN | Use 760 spins | 0/760 | 02d 12h | Buy now to claim rewardsyou've earned! | learTycoonQuests | 177 | Game</x:v>
      </x:c>
    </x:row>
    <x:row r="88">
      <x:c r="A88" s="17" t="str">
        <x:v>SEG_03_061</x:v>
      </x:c>
      <x:c r="B88" s="17" t="str">
        <x:v>TT_NEW_03</x:v>
      </x:c>
      <x:c r="C88" s="17" t="n">
        <x:v>1500</x:v>
      </x:c>
      <x:c r="D88" s="17" t="n">
        <x:v>1509</x:v>
      </x:c>
      <x:c r="E88" s="17" t="str">
        <x:v>00:25:00</x:v>
      </x:c>
      <x:c r="F88" s="17" t="str">
        <x:v>00:25:09</x:v>
      </x:c>
      <x:c r="G88" s="17" t="n">
        <x:v>10</x:v>
      </x:c>
      <x:c r="H88" s="17" t="str">
        <x:v>Slot</x:v>
      </x:c>
      <x:c r="I88" s="17" t="str">
        <x:v>BET/能量/金币/主进度通常可见；以事件帧为准</x:v>
      </x:c>
      <x:c r="J88" s="17" t="str">
        <x:v>否</x:v>
      </x:c>
      <x:c r="K88" s="17" t="str">
        <x:v>保留机制；缺逐 Spin 前后快照</x:v>
      </x:c>
      <x:c r="L88" s="18" t="str">
        <x:v>/Users/mac/Documents/智囊团/video_analysis/Top_Tycoon新号流程_20260804/frames/TT_NEW_03/TT_NEW_03_t001500.jpg</x:v>
      </x:c>
      <x:c r="M88" s="17" t="n">
        <x:v>1500</x:v>
      </x:c>
      <x:c r="N88" s="17" t="str">
        <x:v>已确认</x:v>
      </x:c>
      <x:c r="O88" s="17" t="str">
        <x:v>OCR 命中 SPIN/BET 词</x:v>
      </x:c>
      <x:c r="P88" s="17" t="str">
        <x:v>190000 | 174,333 | 65% | 12:06:14 | 44% | 100% | 12% | +66 | 14d18h | 06d18h | CREDIT GRAB | 01d18h | PACK | 485/540 | 0/9 | 06d18h | 02d12h | 1.2K | 6 | Salel | 01d12h | 05d18h | PiCK ONE | 0% | 12h06m | 05d12h | 02d12h | BETx10 | 50/50 | 0% | 02d12h | +158 | SPIN | FREE | 08d12h | HOLD FOR AUTO | Clear Tycoon Quests (1/3) | Game</x:v>
      </x:c>
    </x:row>
    <x:row r="89">
      <x:c r="A89" s="17" t="str">
        <x:v>SEG_03_062</x:v>
      </x:c>
      <x:c r="B89" s="17" t="str">
        <x:v>TT_NEW_03</x:v>
      </x:c>
      <x:c r="C89" s="17" t="n">
        <x:v>1510</x:v>
      </x:c>
      <x:c r="D89" s="17" t="n">
        <x:v>1519</x:v>
      </x:c>
      <x:c r="E89" s="17" t="str">
        <x:v>00:25:10</x:v>
      </x:c>
      <x:c r="F89" s="17" t="str">
        <x:v>00:25:19</x:v>
      </x:c>
      <x:c r="G89" s="17" t="n">
        <x:v>10</x:v>
      </x:c>
      <x:c r="H89" s="17" t="str">
        <x:v>建造</x:v>
      </x:c>
      <x:c r="I89" s="17" t="str">
        <x:v>金币可见；Site tasks/Next task cost 依画面</x:v>
      </x:c>
      <x:c r="J89" s="17" t="str">
        <x:v>否</x:v>
      </x:c>
      <x:c r="K89" s="17" t="str">
        <x:v>保留机制；待建造余额闭合</x:v>
      </x:c>
      <x:c r="L89" s="18" t="str">
        <x:v>/Users/mac/Documents/智囊团/video_analysis/Top_Tycoon新号流程_20260804/frames/TT_NEW_03/TT_NEW_03_t001510.jpg</x:v>
      </x:c>
      <x:c r="M89" s="17" t="n">
        <x:v>1510</x:v>
      </x:c>
      <x:c r="N89" s="17" t="str">
        <x:v>待复核</x:v>
      </x:c>
      <x:c r="O89" s="17" t="str">
        <x:v>画面原型近邻；margin=0.0170</x:v>
      </x:c>
      <x:c r="P89" s="17" t="str">
        <x:v>WONDERLAND | 3TNER | Defeatallenemiestowin the grandprize! | WONDERLANDPARTNERS | AUTO-MATCH | OFF | Invite partners to start! | Recommendedpartners | DISMISS | INVITE | DISMISS | INVITE | DISMISS | INVITE</x:v>
      </x:c>
    </x:row>
    <x:row r="90">
      <x:c r="A90" s="17" t="str">
        <x:v>SEG_03_063</x:v>
      </x:c>
      <x:c r="B90" s="17" t="str">
        <x:v>TT_NEW_03</x:v>
      </x:c>
      <x:c r="C90" s="17" t="n">
        <x:v>1520</x:v>
      </x:c>
      <x:c r="D90" s="17" t="n">
        <x:v>1539</x:v>
      </x:c>
      <x:c r="E90" s="17" t="str">
        <x:v>00:25:20</x:v>
      </x:c>
      <x:c r="F90" s="17" t="str">
        <x:v>00:25:39</x:v>
      </x:c>
      <x:c r="G90" s="17" t="n">
        <x:v>20</x:v>
      </x:c>
      <x:c r="H90" s="17" t="str">
        <x:v>礼包</x:v>
      </x:c>
      <x:c r="I90" s="17" t="str">
        <x:v>价格/内容可能可见；未观察购买后余额</x:v>
      </x:c>
      <x:c r="J90" s="17" t="str">
        <x:v>否</x:v>
      </x:c>
      <x:c r="K90" s="17" t="str">
        <x:v>保留 offer_shown；无购买前后闭环</x:v>
      </x:c>
      <x:c r="L90" s="18" t="str">
        <x:v>/Users/mac/Documents/智囊团/video_analysis/Top_Tycoon新号流程_20260804/frames/TT_NEW_03/TT_NEW_03_t001530.jpg</x:v>
      </x:c>
      <x:c r="M90" s="17" t="n">
        <x:v>1530</x:v>
      </x:c>
      <x:c r="N90" s="17" t="str">
        <x:v>待复核</x:v>
      </x:c>
      <x:c r="O90" s="17" t="str">
        <x:v>画面原型近邻；margin=0.0024; 画面原型近邻；margin=0.0039</x:v>
      </x:c>
      <x:c r="P90" s="17" t="str">
        <x:v>WONDERLAND | PARTNERS | Defeat allenemies to win the grand prize! | 730 | 05d12h | NONDERLAND | PARTNERS | Defeat allenemies to win the grandprize! | 730 | 05d12h</x:v>
      </x:c>
    </x:row>
    <x:row r="91">
      <x:c r="A91" s="17" t="str">
        <x:v>SEG_03_064</x:v>
      </x:c>
      <x:c r="B91" s="17" t="str">
        <x:v>TT_NEW_03</x:v>
      </x:c>
      <x:c r="C91" s="17" t="n">
        <x:v>1540</x:v>
      </x:c>
      <x:c r="D91" s="17" t="n">
        <x:v>1549</x:v>
      </x:c>
      <x:c r="E91" s="17" t="str">
        <x:v>00:25:40</x:v>
      </x:c>
      <x:c r="F91" s="17" t="str">
        <x:v>00:25:49</x:v>
      </x:c>
      <x:c r="G91" s="17" t="n">
        <x:v>10</x:v>
      </x:c>
      <x:c r="H91" s="17" t="str">
        <x:v>Slot</x:v>
      </x:c>
      <x:c r="I91" s="17" t="str">
        <x:v>BET/能量/金币/主进度通常可见；以事件帧为准</x:v>
      </x:c>
      <x:c r="J91" s="17" t="str">
        <x:v>否</x:v>
      </x:c>
      <x:c r="K91" s="17" t="str">
        <x:v>保留机制；缺逐 Spin 前后快照</x:v>
      </x:c>
      <x:c r="L91" s="18" t="str">
        <x:v>/Users/mac/Documents/智囊团/video_analysis/Top_Tycoon新号流程_20260804/frames/TT_NEW_03/TT_NEW_03_t001540.jpg</x:v>
      </x:c>
      <x:c r="M91" s="17" t="n">
        <x:v>1540</x:v>
      </x:c>
      <x:c r="N91" s="17" t="str">
        <x:v>已确认</x:v>
      </x:c>
      <x:c r="O91" s="17" t="str">
        <x:v>OCR 命中 SPIN/BET 词</x:v>
      </x:c>
      <x:c r="P91" s="17" t="str">
        <x:v>190000 | 174,333 | 65% | 12:05:34 | 44% | 100% | 12% | +66 | 14d18h | 06d18h | CREDIT GRAB | 01d18h | PACK | 485/540 | 0/9 | 06d18h | 福 | 02d12h | 1.2K | 6 | Sale | 01d12h | 05d18h | PiCKONE | 0% | 12h05m | 05d12h | 02d12h | BETx10 | 50/50 | 0% | 02d12h | +158 | SPIN | FREE | 08d12h | HOLD FOR AUTO | Clear Tycoon Quests (1/3) | Game</x:v>
      </x:c>
    </x:row>
    <x:row r="92">
      <x:c r="A92" s="17" t="str">
        <x:v>SEG_03_065</x:v>
      </x:c>
      <x:c r="B92" s="17" t="str">
        <x:v>TT_NEW_03</x:v>
      </x:c>
      <x:c r="C92" s="17" t="n">
        <x:v>1550</x:v>
      </x:c>
      <x:c r="D92" s="17" t="n">
        <x:v>1559</x:v>
      </x:c>
      <x:c r="E92" s="17" t="str">
        <x:v>00:25:50</x:v>
      </x:c>
      <x:c r="F92" s="17" t="str">
        <x:v>00:25:59</x:v>
      </x:c>
      <x:c r="G92" s="17" t="n">
        <x:v>10</x:v>
      </x:c>
      <x:c r="H92" s="17" t="str">
        <x:v>小游戏</x:v>
      </x:c>
      <x:c r="I92" s="17" t="str">
        <x:v>玩法/奖励依画面；主资源常不全显</x:v>
      </x:c>
      <x:c r="J92" s="17" t="str">
        <x:v>否</x:v>
      </x:c>
      <x:c r="K92" s="17" t="str">
        <x:v>保留机制；完整核账窗口不足</x:v>
      </x:c>
      <x:c r="L92" s="18" t="str">
        <x:v>/Users/mac/Documents/智囊团/video_analysis/Top_Tycoon新号流程_20260804/frames/TT_NEW_03/TT_NEW_03_t001550.jpg</x:v>
      </x:c>
      <x:c r="M92" s="17" t="n">
        <x:v>1550</x:v>
      </x:c>
      <x:c r="N92" s="17" t="str">
        <x:v>待复核</x:v>
      </x:c>
      <x:c r="O92" s="17" t="str">
        <x:v>画面原型近邻；margin=0.0524</x:v>
      </x:c>
      <x:c r="P92" s="17"/>
    </x:row>
    <x:row r="93">
      <x:c r="A93" s="17" t="str">
        <x:v>SEG_03_066</x:v>
      </x:c>
      <x:c r="B93" s="17" t="str">
        <x:v>TT_NEW_03</x:v>
      </x:c>
      <x:c r="C93" s="17" t="n">
        <x:v>1560</x:v>
      </x:c>
      <x:c r="D93" s="17" t="n">
        <x:v>1569</x:v>
      </x:c>
      <x:c r="E93" s="17" t="str">
        <x:v>00:26:00</x:v>
      </x:c>
      <x:c r="F93" s="17" t="str">
        <x:v>00:26:09</x:v>
      </x:c>
      <x:c r="G93" s="17" t="n">
        <x:v>10</x:v>
      </x:c>
      <x:c r="H93" s="17" t="str">
        <x:v>建造</x:v>
      </x:c>
      <x:c r="I93" s="17" t="str">
        <x:v>金币可见；Site tasks/Next task cost 依画面</x:v>
      </x:c>
      <x:c r="J93" s="17" t="str">
        <x:v>否</x:v>
      </x:c>
      <x:c r="K93" s="17" t="str">
        <x:v>保留机制；待建造余额闭合</x:v>
      </x:c>
      <x:c r="L93" s="18" t="str">
        <x:v>/Users/mac/Documents/智囊团/video_analysis/Top_Tycoon新号流程_20260804/frames/TT_NEW_03/TT_NEW_03_t001560.jpg</x:v>
      </x:c>
      <x:c r="M93" s="17" t="n">
        <x:v>1560</x:v>
      </x:c>
      <x:c r="N93" s="17" t="str">
        <x:v>待复核</x:v>
      </x:c>
      <x:c r="O93" s="17" t="str">
        <x:v>画面原型近邻；margin=0.0158</x:v>
      </x:c>
      <x:c r="P93" s="17" t="str">
        <x:v>X | 02d12h | PACK | 0/9 | 02d12h | 500K | 8 | 20m | FI | LEVEL1 | LEVEL2 | LEVEL3 | LEVEL4 | LEVEL5</x:v>
      </x:c>
    </x:row>
    <x:row r="94">
      <x:c r="A94" s="17" t="str">
        <x:v>SEG_03_067</x:v>
      </x:c>
      <x:c r="B94" s="17" t="str">
        <x:v>TT_NEW_03</x:v>
      </x:c>
      <x:c r="C94" s="17" t="n">
        <x:v>1570</x:v>
      </x:c>
      <x:c r="D94" s="17" t="n">
        <x:v>1579</x:v>
      </x:c>
      <x:c r="E94" s="17" t="str">
        <x:v>00:26:10</x:v>
      </x:c>
      <x:c r="F94" s="17" t="str">
        <x:v>00:26:19</x:v>
      </x:c>
      <x:c r="G94" s="17" t="n">
        <x:v>10</x:v>
      </x:c>
      <x:c r="H94" s="17" t="str">
        <x:v>礼包</x:v>
      </x:c>
      <x:c r="I94" s="17" t="str">
        <x:v>价格/内容可能可见；未观察购买后余额</x:v>
      </x:c>
      <x:c r="J94" s="17" t="str">
        <x:v>否</x:v>
      </x:c>
      <x:c r="K94" s="17" t="str">
        <x:v>保留 offer_shown；无购买前后闭环</x:v>
      </x:c>
      <x:c r="L94" s="18" t="str">
        <x:v>/Users/mac/Documents/智囊团/video_analysis/Top_Tycoon新号流程_20260804/frames/TT_NEW_03/TT_NEW_03_t001570.jpg</x:v>
      </x:c>
      <x:c r="M94" s="17" t="n">
        <x:v>1570</x:v>
      </x:c>
      <x:c r="N94" s="17" t="str">
        <x:v>已确认</x:v>
      </x:c>
      <x:c r="O94" s="17" t="str">
        <x:v>OCR 命中价格/商店词</x:v>
      </x:c>
      <x:c r="P94" s="17" t="str">
        <x:v>X | 02d12h | PACE | 0/9 | 02d12h | X | ADVENTURE | 80K | 12 | HK$16.00 | HK$63.00 | 10% | OFF | BUY ALL HK$70.9 | 02d 12h</x:v>
      </x:c>
    </x:row>
    <x:row r="95">
      <x:c r="A95" s="17" t="str">
        <x:v>SEG_03_068</x:v>
      </x:c>
      <x:c r="B95" s="17" t="str">
        <x:v>TT_NEW_03</x:v>
      </x:c>
      <x:c r="C95" s="17" t="n">
        <x:v>1580</x:v>
      </x:c>
      <x:c r="D95" s="17" t="n">
        <x:v>1599</x:v>
      </x:c>
      <x:c r="E95" s="17" t="str">
        <x:v>00:26:20</x:v>
      </x:c>
      <x:c r="F95" s="17" t="str">
        <x:v>00:26:39</x:v>
      </x:c>
      <x:c r="G95" s="17" t="n">
        <x:v>20</x:v>
      </x:c>
      <x:c r="H95" s="17" t="str">
        <x:v>Slot</x:v>
      </x:c>
      <x:c r="I95" s="17" t="str">
        <x:v>BET/能量/金币/主进度通常可见；以事件帧为准</x:v>
      </x:c>
      <x:c r="J95" s="17" t="str">
        <x:v>否</x:v>
      </x:c>
      <x:c r="K95" s="17" t="str">
        <x:v>保留机制；缺逐 Spin 前后快照</x:v>
      </x:c>
      <x:c r="L95" s="18" t="str">
        <x:v>/Users/mac/Documents/智囊团/video_analysis/Top_Tycoon新号流程_20260804/frames/TT_NEW_03/TT_NEW_03_t001590.jpg</x:v>
      </x:c>
      <x:c r="M95" s="17" t="n">
        <x:v>1590</x:v>
      </x:c>
      <x:c r="N95" s="17" t="str">
        <x:v>已确认</x:v>
      </x:c>
      <x:c r="O95" s="17" t="str">
        <x:v>OCR 命中 SPIN/BET 词</x:v>
      </x:c>
      <x:c r="P95" s="17" t="str">
        <x:v>190000 | 174,333 | 65% | 12:04:54 | 44% | 100% | 12% | +66 | 14d18h | 06d18h | CREDIT GRAB | 01d18h | PACK | 485/540 | 0/9 | 06d18h | 02d12h | 1.2K | Sale | 01d12h | 05d18h | PiCKONE | 0% | 12h04m | 05d12h | 02d12h | BETx10 | 50/50 | 0% | 02d12h | +158日 | SPIN | FREE | 08d12h | HOLD FOR AUTO | Clear Tycoon Quests (1/3) | Game | 190000 | 175,633 | 65% | 12:04:44 | 46% | 100% | 12% | +66 | 14d18h | 06d18h | 01d18h | PACK | 485/540 | 0/9 | 06d18h | 02d12h | 1.2K | 6 | Sale | 01d</x:v>
      </x:c>
    </x:row>
    <x:row r="96">
      <x:c r="A96" s="17" t="str">
        <x:v>SEG_03_069</x:v>
      </x:c>
      <x:c r="B96" s="17" t="str">
        <x:v>TT_NEW_03</x:v>
      </x:c>
      <x:c r="C96" s="17" t="n">
        <x:v>1600</x:v>
      </x:c>
      <x:c r="D96" s="17" t="n">
        <x:v>1609</x:v>
      </x:c>
      <x:c r="E96" s="17" t="str">
        <x:v>00:26:40</x:v>
      </x:c>
      <x:c r="F96" s="17" t="str">
        <x:v>00:26:49</x:v>
      </x:c>
      <x:c r="G96" s="17" t="n">
        <x:v>10</x:v>
      </x:c>
      <x:c r="H96" s="17" t="str">
        <x:v>小游戏</x:v>
      </x:c>
      <x:c r="I96" s="17" t="str">
        <x:v>玩法/奖励依画面；主资源常不全显</x:v>
      </x:c>
      <x:c r="J96" s="17" t="str">
        <x:v>否</x:v>
      </x:c>
      <x:c r="K96" s="17" t="str">
        <x:v>保留机制；完整核账窗口不足</x:v>
      </x:c>
      <x:c r="L96" s="18" t="str">
        <x:v>/Users/mac/Documents/智囊团/video_analysis/Top_Tycoon新号流程_20260804/frames/TT_NEW_03/TT_NEW_03_t001600.jpg</x:v>
      </x:c>
      <x:c r="M96" s="17" t="n">
        <x:v>1600</x:v>
      </x:c>
      <x:c r="N96" s="17" t="str">
        <x:v>已确认</x:v>
      </x:c>
      <x:c r="O96" s="17" t="str">
        <x:v>OCR 命中小游戏名称/玩法词</x:v>
      </x:c>
      <x:c r="P96" s="17" t="str">
        <x:v>Credit Grab! | Select Target: | Megan | S.Potter | Srbija-R.Srpska</x:v>
      </x:c>
    </x:row>
    <x:row r="97">
      <x:c r="A97" s="17" t="str">
        <x:v>SEG_03_070</x:v>
      </x:c>
      <x:c r="B97" s="17" t="str">
        <x:v>TT_NEW_03</x:v>
      </x:c>
      <x:c r="C97" s="17" t="n">
        <x:v>1610</x:v>
      </x:c>
      <x:c r="D97" s="17" t="n">
        <x:v>1619</x:v>
      </x:c>
      <x:c r="E97" s="17" t="str">
        <x:v>00:26:50</x:v>
      </x:c>
      <x:c r="F97" s="17" t="str">
        <x:v>00:26:59</x:v>
      </x:c>
      <x:c r="G97" s="17" t="n">
        <x:v>10</x:v>
      </x:c>
      <x:c r="H97" s="17" t="str">
        <x:v>转场/加载</x:v>
      </x:c>
      <x:c r="I97" s="17" t="str">
        <x:v>数值不可读或不适用</x:v>
      </x:c>
      <x:c r="J97" s="17" t="str">
        <x:v>否</x:v>
      </x:c>
      <x:c r="K97" s="17" t="str">
        <x:v>排除：转场/加载，不进入数值统计</x:v>
      </x:c>
      <x:c r="L97" s="18" t="str">
        <x:v>/Users/mac/Documents/智囊团/video_analysis/Top_Tycoon新号流程_20260804/frames/TT_NEW_03/TT_NEW_03_t001610.jpg</x:v>
      </x:c>
      <x:c r="M97" s="17" t="n">
        <x:v>1610</x:v>
      </x:c>
      <x:c r="N97" s="17" t="str">
        <x:v>待复核</x:v>
      </x:c>
      <x:c r="O97" s="17" t="str">
        <x:v>画面原型近邻；margin=0.0185</x:v>
      </x:c>
      <x:c r="P97" s="17" t="str">
        <x:v>Srbija-R.Srpska's Bank | Z | Z | TOTAL LOOT | COINS</x:v>
      </x:c>
    </x:row>
    <x:row r="98">
      <x:c r="A98" s="17" t="str">
        <x:v>SEG_03_071</x:v>
      </x:c>
      <x:c r="B98" s="17" t="str">
        <x:v>TT_NEW_03</x:v>
      </x:c>
      <x:c r="C98" s="17" t="n">
        <x:v>1620</x:v>
      </x:c>
      <x:c r="D98" s="17" t="n">
        <x:v>1669</x:v>
      </x:c>
      <x:c r="E98" s="17" t="str">
        <x:v>00:27:00</x:v>
      </x:c>
      <x:c r="F98" s="17" t="str">
        <x:v>00:27:49</x:v>
      </x:c>
      <x:c r="G98" s="17" t="n">
        <x:v>50</x:v>
      </x:c>
      <x:c r="H98" s="17" t="str">
        <x:v>Slot</x:v>
      </x:c>
      <x:c r="I98" s="17" t="str">
        <x:v>BET/能量/金币/主进度通常可见；以事件帧为准</x:v>
      </x:c>
      <x:c r="J98" s="17" t="str">
        <x:v>否</x:v>
      </x:c>
      <x:c r="K98" s="17" t="str">
        <x:v>保留机制；缺逐 Spin 前后快照</x:v>
      </x:c>
      <x:c r="L98" s="18" t="str">
        <x:v>/Users/mac/Documents/智囊团/video_analysis/Top_Tycoon新号流程_20260804/frames/TT_NEW_03/TT_NEW_03_t001640.jpg</x:v>
      </x:c>
      <x:c r="M98" s="17" t="n">
        <x:v>1640</x:v>
      </x:c>
      <x:c r="N98" s="17" t="str">
        <x:v>已确认</x:v>
      </x:c>
      <x:c r="O98" s="17" t="str">
        <x:v>OCR 命中 SPIN/BET 词; 画面原型近邻；margin=0.0138</x:v>
      </x:c>
      <x:c r="P98" s="17" t="str">
        <x:v>Srbija-R.Srpska's Bank | LARGE GRAB | 640 | 190000 | 828,633 | 98% | CREDIT GRAB | H | 01d18h | 485/540 | PiCKONI | BET | 50/50 | NIS | 177 | Game | 190000 | 828,633 | LLots | %86 | 12:03:54 | 55% | 100% | 76% | +66 | 14d18h | 06d18h | 20 Shields | 01d18h | PACK | 485/540 | 2/9 | 06d18h | 福 | 02d12h | Sale | 01d12h | 05d18h | PiCK ONE | 0% | 12h03m | 05d12h | 02d12h | BETX20 | 50/50 | 0% | +128位 | 02d12h | SPIN | FREE | 08d12h | HOLD FOR AUTO | Clear Tycoon Quests (1/3) | Gam</x:v>
      </x:c>
    </x:row>
    <x:row r="99">
      <x:c r="A99" s="17" t="str">
        <x:v>SEG_03_072</x:v>
      </x:c>
      <x:c r="B99" s="17" t="str">
        <x:v>TT_NEW_03</x:v>
      </x:c>
      <x:c r="C99" s="17" t="n">
        <x:v>1670</x:v>
      </x:c>
      <x:c r="D99" s="17" t="n">
        <x:v>1679</x:v>
      </x:c>
      <x:c r="E99" s="17" t="str">
        <x:v>00:27:50</x:v>
      </x:c>
      <x:c r="F99" s="17" t="str">
        <x:v>00:27:59</x:v>
      </x:c>
      <x:c r="G99" s="17" t="n">
        <x:v>10</x:v>
      </x:c>
      <x:c r="H99" s="17" t="str">
        <x:v>小游戏</x:v>
      </x:c>
      <x:c r="I99" s="17" t="str">
        <x:v>玩法/奖励依画面；主资源常不全显</x:v>
      </x:c>
      <x:c r="J99" s="17" t="str">
        <x:v>否</x:v>
      </x:c>
      <x:c r="K99" s="17" t="str">
        <x:v>保留机制；完整核账窗口不足</x:v>
      </x:c>
      <x:c r="L99" s="18" t="str">
        <x:v>/Users/mac/Documents/智囊团/video_analysis/Top_Tycoon新号流程_20260804/frames/TT_NEW_03/TT_NEW_03_t001670.jpg</x:v>
      </x:c>
      <x:c r="M99" s="17" t="n">
        <x:v>1670</x:v>
      </x:c>
      <x:c r="N99" s="17" t="str">
        <x:v>已确认</x:v>
      </x:c>
      <x:c r="O99" s="17" t="str">
        <x:v>OCR 命中小游戏名称/玩法词</x:v>
      </x:c>
      <x:c r="P99" s="17" t="str">
        <x:v>Attack! | Michael Lo</x:v>
      </x:c>
    </x:row>
    <x:row r="100">
      <x:c r="A100" s="17" t="str">
        <x:v>SEG_03_073</x:v>
      </x:c>
      <x:c r="B100" s="17" t="str">
        <x:v>TT_NEW_03</x:v>
      </x:c>
      <x:c r="C100" s="17" t="n">
        <x:v>1680</x:v>
      </x:c>
      <x:c r="D100" s="17" t="n">
        <x:v>1689</x:v>
      </x:c>
      <x:c r="E100" s="17" t="str">
        <x:v>00:28:00</x:v>
      </x:c>
      <x:c r="F100" s="17" t="str">
        <x:v>00:28:09</x:v>
      </x:c>
      <x:c r="G100" s="17" t="n">
        <x:v>10</x:v>
      </x:c>
      <x:c r="H100" s="17" t="str">
        <x:v>建造</x:v>
      </x:c>
      <x:c r="I100" s="17" t="str">
        <x:v>金币可见；Site tasks/Next task cost 依画面</x:v>
      </x:c>
      <x:c r="J100" s="17" t="str">
        <x:v>否</x:v>
      </x:c>
      <x:c r="K100" s="17" t="str">
        <x:v>保留机制；待建造余额闭合</x:v>
      </x:c>
      <x:c r="L100" s="18" t="str">
        <x:v>/Users/mac/Documents/智囊团/video_analysis/Top_Tycoon新号流程_20260804/frames/TT_NEW_03/TT_NEW_03_t001680.jpg</x:v>
      </x:c>
      <x:c r="M100" s="17" t="n">
        <x:v>1680</x:v>
      </x:c>
      <x:c r="N100" s="17" t="str">
        <x:v>待复核</x:v>
      </x:c>
      <x:c r="O100" s="17" t="str">
        <x:v>画面原型近邻；margin=0.0026</x:v>
      </x:c>
      <x:c r="P100" s="17" t="n">
        <x:v>510</x:v>
      </x:c>
    </x:row>
    <x:row r="101">
      <x:c r="A101" s="17" t="str">
        <x:v>SEG_03_074</x:v>
      </x:c>
      <x:c r="B101" s="17" t="str">
        <x:v>TT_NEW_03</x:v>
      </x:c>
      <x:c r="C101" s="17" t="n">
        <x:v>1690</x:v>
      </x:c>
      <x:c r="D101" s="17" t="n">
        <x:v>1779</x:v>
      </x:c>
      <x:c r="E101" s="17" t="str">
        <x:v>00:28:10</x:v>
      </x:c>
      <x:c r="F101" s="17" t="str">
        <x:v>00:29:39</x:v>
      </x:c>
      <x:c r="G101" s="17" t="n">
        <x:v>90</x:v>
      </x:c>
      <x:c r="H101" s="17" t="str">
        <x:v>Slot</x:v>
      </x:c>
      <x:c r="I101" s="17" t="str">
        <x:v>BET/能量/金币/主进度通常可见；以事件帧为准</x:v>
      </x:c>
      <x:c r="J101" s="17" t="str">
        <x:v>否</x:v>
      </x:c>
      <x:c r="K101" s="17" t="str">
        <x:v>保留机制；缺逐 Spin 前后快照</x:v>
      </x:c>
      <x:c r="L101" s="18" t="str">
        <x:v>/Users/mac/Documents/智囊团/video_analysis/Top_Tycoon新号流程_20260804/frames/TT_NEW_03/TT_NEW_03_t001730.jpg</x:v>
      </x:c>
      <x:c r="M101" s="17" t="n">
        <x:v>1730</x:v>
      </x:c>
      <x:c r="N101" s="17" t="str">
        <x:v>已确认</x:v>
      </x:c>
      <x:c r="O101" s="17" t="str">
        <x:v>OCR 命中 SPIN/BET 词; 画面原型近邻；margin=0.0025; 相邻两侧同模块，平滑孤立原型误差</x:v>
      </x:c>
      <x:c r="P101" s="17" t="str">
        <x:v>190000 | 1,254,133 | Lots | 12:03:04 | 68% | 100% | 76% | +66 | 14d18h | 06d18h | ATTACK | H | 01d18h | PACK | 485/540 | 2/9 | 06d18h | 福 | 02d12h | Sale! | 01d12h | 05d18h | PiCK ONE | 70% | 12h03m | +40 | 05d12h | 02d12h | BETx10 | 50/50 | 0% | 02d12h | +68 | SPIN | FREE | 08d12h | HOLD FOR AUTO | Clear Tycoon Quests(2/3) | Game | 190000 | 1,256,733 | 12:02:54 | 70% | 100% | 76% | +66 | 14d18h | 06d18h | 3 | 01d18h | PACK | 485/540 | 3/9 | 06d18h | 02d12h | 6 | Sale | 01d12</x:v>
      </x:c>
    </x:row>
    <x:row r="102">
      <x:c r="A102" s="17" t="str">
        <x:v>SEG_03_075</x:v>
      </x:c>
      <x:c r="B102" s="17" t="str">
        <x:v>TT_NEW_03</x:v>
      </x:c>
      <x:c r="C102" s="17" t="n">
        <x:v>1780</x:v>
      </x:c>
      <x:c r="D102" s="17" t="n">
        <x:v>1789</x:v>
      </x:c>
      <x:c r="E102" s="17" t="str">
        <x:v>00:29:40</x:v>
      </x:c>
      <x:c r="F102" s="17" t="str">
        <x:v>00:29:49</x:v>
      </x:c>
      <x:c r="G102" s="17" t="n">
        <x:v>10</x:v>
      </x:c>
      <x:c r="H102" s="17" t="str">
        <x:v>礼包</x:v>
      </x:c>
      <x:c r="I102" s="17" t="str">
        <x:v>价格/内容可能可见；未观察购买后余额</x:v>
      </x:c>
      <x:c r="J102" s="17" t="str">
        <x:v>否</x:v>
      </x:c>
      <x:c r="K102" s="17" t="str">
        <x:v>保留 offer_shown；无购买前后闭环</x:v>
      </x:c>
      <x:c r="L102" s="18" t="str">
        <x:v>/Users/mac/Documents/智囊团/video_analysis/Top_Tycoon新号流程_20260804/frames/TT_NEW_03/TT_NEW_03_t001780.jpg</x:v>
      </x:c>
      <x:c r="M102" s="17" t="n">
        <x:v>1780</x:v>
      </x:c>
      <x:c r="N102" s="17" t="str">
        <x:v>已确认</x:v>
      </x:c>
      <x:c r="O102" s="17" t="str">
        <x:v>OCR 命中价格/商店词</x:v>
      </x:c>
      <x:c r="P102" s="17" t="str">
        <x:v>190000 | 1,502,933 | BOUNTY | SWEEP | 6 | 840 | FREE | 5 | HK$55.90 | 660 | 10 | 4 | HK$40.00 | 420 | 3 | HK$40.00 | 410 | 2 | HK$40.00 | 1 | HK$40.00 | 065 | 212.00 | BUYALL | HK$188.00 | 01d12h | Clear Tycoon Quests | 777 | Game</x:v>
      </x:c>
    </x:row>
    <x:row r="103">
      <x:c r="A103" s="17" t="str">
        <x:v>SEG_03_076</x:v>
      </x:c>
      <x:c r="B103" s="17" t="str">
        <x:v>TT_NEW_03</x:v>
      </x:c>
      <x:c r="C103" s="17" t="n">
        <x:v>1790</x:v>
      </x:c>
      <x:c r="D103" s="17" t="n">
        <x:v>1799</x:v>
      </x:c>
      <x:c r="E103" s="17" t="str">
        <x:v>00:29:50</x:v>
      </x:c>
      <x:c r="F103" s="17" t="str">
        <x:v>00:29:59</x:v>
      </x:c>
      <x:c r="G103" s="17" t="n">
        <x:v>10</x:v>
      </x:c>
      <x:c r="H103" s="17" t="str">
        <x:v>小游戏</x:v>
      </x:c>
      <x:c r="I103" s="17" t="str">
        <x:v>玩法/奖励依画面；主资源常不全显</x:v>
      </x:c>
      <x:c r="J103" s="17" t="str">
        <x:v>否</x:v>
      </x:c>
      <x:c r="K103" s="17" t="str">
        <x:v>保留机制；完整核账窗口不足</x:v>
      </x:c>
      <x:c r="L103" s="18" t="str">
        <x:v>/Users/mac/Documents/智囊团/video_analysis/Top_Tycoon新号流程_20260804/frames/TT_NEW_03/TT_NEW_03_t001790.jpg</x:v>
      </x:c>
      <x:c r="M103" s="17" t="n">
        <x:v>1790</x:v>
      </x:c>
      <x:c r="N103" s="17" t="str">
        <x:v>已确认</x:v>
      </x:c>
      <x:c r="O103" s="17" t="str">
        <x:v>OCR 命中小游戏名称/玩法词</x:v>
      </x:c>
      <x:c r="P103" s="17" t="str">
        <x:v>190000 | 1,502,933 | FRIENDSHIP | TOWER | 20 | 日 | 1000 | 20 | 10 | 8 | 420 | 10 | 8 | 日 | 210 | 5 | 日 | 170 | 2 | 日 | 日 | 40 | Invited | nc33cwe21n | Copy code | Use code | Invite | 08d12h | Clear Tycoon Quests | Game</x:v>
      </x:c>
    </x:row>
    <x:row r="104">
      <x:c r="A104" s="17" t="str">
        <x:v>SEG_03_077</x:v>
      </x:c>
      <x:c r="B104" s="17" t="str">
        <x:v>TT_NEW_03</x:v>
      </x:c>
      <x:c r="C104" s="17" t="n">
        <x:v>1800</x:v>
      </x:c>
      <x:c r="D104" s="17" t="n">
        <x:v>1819</x:v>
      </x:c>
      <x:c r="E104" s="17" t="str">
        <x:v>00:30:00</x:v>
      </x:c>
      <x:c r="F104" s="17" t="str">
        <x:v>00:30:19</x:v>
      </x:c>
      <x:c r="G104" s="17" t="n">
        <x:v>20</x:v>
      </x:c>
      <x:c r="H104" s="17" t="str">
        <x:v>礼包</x:v>
      </x:c>
      <x:c r="I104" s="17" t="str">
        <x:v>价格/内容可能可见；未观察购买后余额</x:v>
      </x:c>
      <x:c r="J104" s="17" t="str">
        <x:v>否</x:v>
      </x:c>
      <x:c r="K104" s="17" t="str">
        <x:v>保留 offer_shown；无购买前后闭环</x:v>
      </x:c>
      <x:c r="L104" s="18" t="str">
        <x:v>/Users/mac/Documents/智囊团/video_analysis/Top_Tycoon新号流程_20260804/frames/TT_NEW_03/TT_NEW_03_t001810.jpg</x:v>
      </x:c>
      <x:c r="M104" s="17" t="n">
        <x:v>1810</x:v>
      </x:c>
      <x:c r="N104" s="17" t="str">
        <x:v>已确认</x:v>
      </x:c>
      <x:c r="O104" s="17" t="str">
        <x:v>OCR 命中价格/商店词</x:v>
      </x:c>
      <x:c r="P104" s="17" t="str">
        <x:v>ONLY | ONE | PICK | Choose wisely, only one | pick! | 420 | 190 | 330K | 100 | 20m | 20m | 130K | HK$16.00 | HK$25.00 | HK$40.00 | 35% | BUY ALL HK$48.00 | OFF | 12h 01m | ONLY | ONE | PICK | Choose wisely, only one | pick! | 420 | 190 | 330K | 100 | 20m | 20m | 130K | HK$16.00 | HK$25.00 | HK$40.00 | 35% | BUY ALLHK$48.00 | OFF | 12h 01m</x:v>
      </x:c>
    </x:row>
    <x:row r="105">
      <x:c r="A105" s="17" t="str">
        <x:v>SEG_03_078</x:v>
      </x:c>
      <x:c r="B105" s="17" t="str">
        <x:v>TT_NEW_03</x:v>
      </x:c>
      <x:c r="C105" s="17" t="n">
        <x:v>1820</x:v>
      </x:c>
      <x:c r="D105" s="17" t="n">
        <x:v>1829</x:v>
      </x:c>
      <x:c r="E105" s="17" t="str">
        <x:v>00:30:20</x:v>
      </x:c>
      <x:c r="F105" s="17" t="str">
        <x:v>00:30:29</x:v>
      </x:c>
      <x:c r="G105" s="17" t="n">
        <x:v>10</x:v>
      </x:c>
      <x:c r="H105" s="17" t="str">
        <x:v>建造</x:v>
      </x:c>
      <x:c r="I105" s="17" t="str">
        <x:v>金币可见；Site tasks/Next task cost 依画面</x:v>
      </x:c>
      <x:c r="J105" s="17" t="str">
        <x:v>否</x:v>
      </x:c>
      <x:c r="K105" s="17" t="str">
        <x:v>保留机制；待建造余额闭合</x:v>
      </x:c>
      <x:c r="L105" s="18" t="str">
        <x:v>/Users/mac/Documents/智囊团/video_analysis/Top_Tycoon新号流程_20260804/frames/TT_NEW_03/TT_NEW_03_t001820.jpg</x:v>
      </x:c>
      <x:c r="M105" s="17" t="n">
        <x:v>1820</x:v>
      </x:c>
      <x:c r="N105" s="17" t="str">
        <x:v>待复核</x:v>
      </x:c>
      <x:c r="O105" s="17" t="str">
        <x:v>画面原型近邻；margin=0.0002</x:v>
      </x:c>
      <x:c r="P105" s="17" t="str">
        <x:v>7:59 | e 8 | 5.72 | ? | RONLY | ONE | PICK | Choose wisely, only one | pick! | 420 | 190 | 330K | 100 | 20m | 20m | 130K | Google Play | Payment successful</x:v>
      </x:c>
    </x:row>
    <x:row r="106">
      <x:c r="A106" s="17" t="str">
        <x:v>SEG_03_079</x:v>
      </x:c>
      <x:c r="B106" s="17" t="str">
        <x:v>TT_NEW_03</x:v>
      </x:c>
      <x:c r="C106" s="17" t="n">
        <x:v>1830</x:v>
      </x:c>
      <x:c r="D106" s="17" t="n">
        <x:v>1839</x:v>
      </x:c>
      <x:c r="E106" s="17" t="str">
        <x:v>00:30:30</x:v>
      </x:c>
      <x:c r="F106" s="17" t="str">
        <x:v>00:30:39</x:v>
      </x:c>
      <x:c r="G106" s="17" t="n">
        <x:v>10</x:v>
      </x:c>
      <x:c r="H106" s="17" t="str">
        <x:v>小游戏</x:v>
      </x:c>
      <x:c r="I106" s="17" t="str">
        <x:v>玩法/奖励依画面；主资源常不全显</x:v>
      </x:c>
      <x:c r="J106" s="17" t="str">
        <x:v>否</x:v>
      </x:c>
      <x:c r="K106" s="17" t="str">
        <x:v>保留机制；完整核账窗口不足</x:v>
      </x:c>
      <x:c r="L106" s="18" t="str">
        <x:v>/Users/mac/Documents/智囊团/video_analysis/Top_Tycoon新号流程_20260804/frames/TT_NEW_03/TT_NEW_03_t001830.jpg</x:v>
      </x:c>
      <x:c r="M106" s="17" t="n">
        <x:v>1830</x:v>
      </x:c>
      <x:c r="N106" s="17" t="str">
        <x:v>待复核</x:v>
      </x:c>
      <x:c r="O106" s="17" t="str">
        <x:v>画面原型近邻；margin=0.0403</x:v>
      </x:c>
      <x:c r="P106" s="17" t="str">
        <x:v>190000 | 1,993,933 | H | 31K | PiCKONI | Game</x:v>
      </x:c>
    </x:row>
    <x:row r="107">
      <x:c r="A107" s="17" t="str">
        <x:v>SEG_03_080</x:v>
      </x:c>
      <x:c r="B107" s="17" t="str">
        <x:v>TT_NEW_03</x:v>
      </x:c>
      <x:c r="C107" s="17" t="n">
        <x:v>1840</x:v>
      </x:c>
      <x:c r="D107" s="17" t="n">
        <x:v>1859</x:v>
      </x:c>
      <x:c r="E107" s="17" t="str">
        <x:v>00:30:40</x:v>
      </x:c>
      <x:c r="F107" s="17" t="str">
        <x:v>00:30:59</x:v>
      </x:c>
      <x:c r="G107" s="17" t="n">
        <x:v>20</x:v>
      </x:c>
      <x:c r="H107" s="17" t="str">
        <x:v>礼包</x:v>
      </x:c>
      <x:c r="I107" s="17" t="str">
        <x:v>价格/内容可能可见；未观察购买后余额</x:v>
      </x:c>
      <x:c r="J107" s="17" t="str">
        <x:v>否</x:v>
      </x:c>
      <x:c r="K107" s="17" t="str">
        <x:v>保留 offer_shown；无购买前后闭环</x:v>
      </x:c>
      <x:c r="L107" s="18" t="str">
        <x:v>/Users/mac/Documents/智囊团/video_analysis/Top_Tycoon新号流程_20260804/frames/TT_NEW_03/TT_NEW_03_t001850.jpg</x:v>
      </x:c>
      <x:c r="M107" s="17" t="n">
        <x:v>1850</x:v>
      </x:c>
      <x:c r="N107" s="17" t="str">
        <x:v>已确认</x:v>
      </x:c>
      <x:c r="O107" s="17" t="str">
        <x:v>OCR 命中价格/商店词</x:v>
      </x:c>
      <x:c r="P107" s="17" t="str">
        <x:v>190000 | 1,993,933 | 753 | FREE | MISSION PASS | UPTO | 4K | HK$55.90 | Agtivate | 3.7水 | 2.3M | 100 | Champion's Pack | HK$788.00 | 2.4K | 1.5M | 70 | Ultra Pack | HK$549.00 | 222 | Shop | 190000 | 1,993,933 | 753 | 590 | 360K | 20 | Super Pack | HK$158.00 | 270 | 170K | 10 | Architect Pack | HK$78.00 | 130 | 78K | Beginner's Pack | HK$40.00 | 40 | 130 | 270 | HK$16.00 | HK$40.00 | HK$78.00 | 590 | 1.7K | 3.7K | 222 | Shop</x:v>
      </x:c>
    </x:row>
    <x:row r="108">
      <x:c r="A108" s="17" t="str">
        <x:v>SEG_03_081</x:v>
      </x:c>
      <x:c r="B108" s="17" t="str">
        <x:v>TT_NEW_03</x:v>
      </x:c>
      <x:c r="C108" s="17" t="n">
        <x:v>1860</x:v>
      </x:c>
      <x:c r="D108" s="17" t="n">
        <x:v>1939</x:v>
      </x:c>
      <x:c r="E108" s="17" t="str">
        <x:v>00:31:00</x:v>
      </x:c>
      <x:c r="F108" s="17" t="str">
        <x:v>00:32:19</x:v>
      </x:c>
      <x:c r="G108" s="17" t="n">
        <x:v>80</x:v>
      </x:c>
      <x:c r="H108" s="17" t="str">
        <x:v>Slot</x:v>
      </x:c>
      <x:c r="I108" s="17" t="str">
        <x:v>BET/能量/金币/主进度通常可见；以事件帧为准</x:v>
      </x:c>
      <x:c r="J108" s="17" t="str">
        <x:v>否</x:v>
      </x:c>
      <x:c r="K108" s="17" t="str">
        <x:v>保留机制；缺逐 Spin 前后快照</x:v>
      </x:c>
      <x:c r="L108" s="18" t="str">
        <x:v>/Users/mac/Documents/智囊团/video_analysis/Top_Tycoon新号流程_20260804/frames/TT_NEW_03/TT_NEW_03_t001900.jpg</x:v>
      </x:c>
      <x:c r="M108" s="17" t="n">
        <x:v>1900</x:v>
      </x:c>
      <x:c r="N108" s="17" t="str">
        <x:v>已确认</x:v>
      </x:c>
      <x:c r="O108" s="17" t="str">
        <x:v>OCR 命中 SPIN/BET 词</x:v>
      </x:c>
      <x:c r="P108" s="17" t="str">
        <x:v>190000 | 1,993,933 | 12:00:14 | 85% | 100% | 91% | +66 | 14d18h | 06d18h | + 2,600 | 3 | 01d18h | PACK | 505/540 | 3/9 | 06d18h | 02d12h | 10 | Sale | 01d12h | 05d18h | PiCK ONE | 83% | 12h00m | 05d12h | 02d12h | BETx10 | 5 | 50/50 | 44% | +703 | 02d12h | SPIN | FREE | HOLD FOR AUTO | Clear Tycoon Quests(2/3) | Game | 190000 | 1,996,533 | 12:00:04 | 91% | 100% | 91% | +66 | 14d18h | 06d18h | +2,600 | PACK | 01d18h | 505/540 | 4/9 | 06d18h | 福 | 02d12h | 1.2K | 10 | 01d12h | 0</x:v>
      </x:c>
    </x:row>
    <x:row r="109">
      <x:c r="A109" s="17" t="str">
        <x:v>SEG_03_082</x:v>
      </x:c>
      <x:c r="B109" s="17" t="str">
        <x:v>TT_NEW_03</x:v>
      </x:c>
      <x:c r="C109" s="17" t="n">
        <x:v>1940</x:v>
      </x:c>
      <x:c r="D109" s="17" t="n">
        <x:v>1949</x:v>
      </x:c>
      <x:c r="E109" s="17" t="str">
        <x:v>00:32:20</x:v>
      </x:c>
      <x:c r="F109" s="17" t="str">
        <x:v>00:32:29</x:v>
      </x:c>
      <x:c r="G109" s="17" t="n">
        <x:v>10</x:v>
      </x:c>
      <x:c r="H109" s="17" t="str">
        <x:v>建造</x:v>
      </x:c>
      <x:c r="I109" s="17" t="str">
        <x:v>金币可见；Site tasks/Next task cost 依画面</x:v>
      </x:c>
      <x:c r="J109" s="17" t="str">
        <x:v>否</x:v>
      </x:c>
      <x:c r="K109" s="17" t="str">
        <x:v>保留机制；待建造余额闭合</x:v>
      </x:c>
      <x:c r="L109" s="18" t="str">
        <x:v>/Users/mac/Documents/智囊团/video_analysis/Top_Tycoon新号流程_20260804/frames/TT_NEW_03/TT_NEW_03_t001940.jpg</x:v>
      </x:c>
      <x:c r="M109" s="17" t="n">
        <x:v>1940</x:v>
      </x:c>
      <x:c r="N109" s="17" t="str">
        <x:v>待复核</x:v>
      </x:c>
      <x:c r="O109" s="17" t="str">
        <x:v>画面原型近邻；margin=0.0051</x:v>
      </x:c>
      <x:c r="P109" s="17" t="str">
        <x:v>Twoapennything | 40,000 | Potential Loot | Select</x:v>
      </x:c>
    </x:row>
    <x:row r="110">
      <x:c r="A110" s="17" t="str">
        <x:v>SEG_03_083</x:v>
      </x:c>
      <x:c r="B110" s="17" t="str">
        <x:v>TT_NEW_03</x:v>
      </x:c>
      <x:c r="C110" s="17" t="n">
        <x:v>1950</x:v>
      </x:c>
      <x:c r="D110" s="17" t="n">
        <x:v>1969</x:v>
      </x:c>
      <x:c r="E110" s="17" t="str">
        <x:v>00:32:30</x:v>
      </x:c>
      <x:c r="F110" s="17" t="str">
        <x:v>00:32:49</x:v>
      </x:c>
      <x:c r="G110" s="17" t="n">
        <x:v>20</x:v>
      </x:c>
      <x:c r="H110" s="17" t="str">
        <x:v>转场/加载</x:v>
      </x:c>
      <x:c r="I110" s="17" t="str">
        <x:v>数值不可读或不适用</x:v>
      </x:c>
      <x:c r="J110" s="17" t="str">
        <x:v>否</x:v>
      </x:c>
      <x:c r="K110" s="17" t="str">
        <x:v>排除：转场/加载，不进入数值统计</x:v>
      </x:c>
      <x:c r="L110" s="18" t="str">
        <x:v>/Users/mac/Documents/智囊团/video_analysis/Top_Tycoon新号流程_20260804/frames/TT_NEW_03/TT_NEW_03_t001960.jpg</x:v>
      </x:c>
      <x:c r="M110" s="17" t="n">
        <x:v>1960</x:v>
      </x:c>
      <x:c r="N110" s="17" t="str">
        <x:v>待复核</x:v>
      </x:c>
      <x:c r="O110" s="17" t="str">
        <x:v>画面原型近邻；margin=0.0024; 画面原型近邻；margin=0.0203</x:v>
      </x:c>
      <x:c r="P110" s="17" t="str">
        <x:v>Twoapennything's | Bank | 348,000 | COINS | L | Z | TOTAL LOOT | 348,000 | COINS</x:v>
      </x:c>
    </x:row>
    <x:row r="111">
      <x:c r="A111" s="17" t="str">
        <x:v>SEG_03_084</x:v>
      </x:c>
      <x:c r="B111" s="17" t="str">
        <x:v>TT_NEW_03</x:v>
      </x:c>
      <x:c r="C111" s="17" t="n">
        <x:v>1970</x:v>
      </x:c>
      <x:c r="D111" s="17" t="n">
        <x:v>1999</x:v>
      </x:c>
      <x:c r="E111" s="17" t="str">
        <x:v>00:32:50</x:v>
      </x:c>
      <x:c r="F111" s="17" t="str">
        <x:v>00:33:19</x:v>
      </x:c>
      <x:c r="G111" s="17" t="n">
        <x:v>30</x:v>
      </x:c>
      <x:c r="H111" s="17" t="str">
        <x:v>Slot</x:v>
      </x:c>
      <x:c r="I111" s="17" t="str">
        <x:v>BET/能量/金币/主进度通常可见；以事件帧为准</x:v>
      </x:c>
      <x:c r="J111" s="17" t="str">
        <x:v>否</x:v>
      </x:c>
      <x:c r="K111" s="17" t="str">
        <x:v>保留机制；缺逐 Spin 前后快照</x:v>
      </x:c>
      <x:c r="L111" s="18" t="str">
        <x:v>/Users/mac/Documents/智囊团/video_analysis/Top_Tycoon新号流程_20260804/frames/TT_NEW_03/TT_NEW_03_t001980.jpg</x:v>
      </x:c>
      <x:c r="M111" s="17" t="n">
        <x:v>1980</x:v>
      </x:c>
      <x:c r="N111" s="17" t="str">
        <x:v>已确认</x:v>
      </x:c>
      <x:c r="O111" s="17" t="str">
        <x:v>OCR 命中 SPIN/BET 词; 相邻两侧同模块，平滑孤立原型误差</x:v>
      </x:c>
      <x:c r="P111" s="17" t="str">
        <x:v>190000 | 3,467,733 | SLOTS | cnplet | CREDIT GRAB | 01d 18h | 45/120 | 901 | Sale | PiCKONE | +600 | BETX100 | 50/50 | SPIN | clear Tycoon Quests 3/ | COLLECT | 14d18h | 45 | 190000 | 3,467,733 | CLOTs | 0% | 11:58:04 | 0% | 100% | 0% | +66 | 14d18h | 06d18h | ATTACK | 6 | 01d18h | PACK | 45/120 | 6/9 | 06d18h | 福 | 02d11h | 390K | 12 | Sale! | 01d11h | 05d18h | PiCKONE | 72% | 11h58m | 05d11h | 12 | 02d11h | BETx100 | 39 | 50/50 | 88% | 02d11h | +1419 | SPIN | FREE | HOLD FO</x:v>
      </x:c>
    </x:row>
    <x:row r="112">
      <x:c r="A112" s="17" t="str">
        <x:v>SEG_03_085</x:v>
      </x:c>
      <x:c r="B112" s="17" t="str">
        <x:v>TT_NEW_03</x:v>
      </x:c>
      <x:c r="C112" s="17" t="n">
        <x:v>2000</x:v>
      </x:c>
      <x:c r="D112" s="17" t="n">
        <x:v>2019</x:v>
      </x:c>
      <x:c r="E112" s="17" t="str">
        <x:v>00:33:20</x:v>
      </x:c>
      <x:c r="F112" s="17" t="str">
        <x:v>00:33:39</x:v>
      </x:c>
      <x:c r="G112" s="17" t="n">
        <x:v>20</x:v>
      </x:c>
      <x:c r="H112" s="17" t="str">
        <x:v>建造</x:v>
      </x:c>
      <x:c r="I112" s="17" t="str">
        <x:v>金币可见；Site tasks/Next task cost 依画面</x:v>
      </x:c>
      <x:c r="J112" s="17" t="str">
        <x:v>否</x:v>
      </x:c>
      <x:c r="K112" s="17" t="str">
        <x:v>保留机制；待建造余额闭合</x:v>
      </x:c>
      <x:c r="L112" s="18" t="str">
        <x:v>/Users/mac/Documents/智囊团/video_analysis/Top_Tycoon新号流程_20260804/frames/TT_NEW_03/TT_NEW_03_t002010.jpg</x:v>
      </x:c>
      <x:c r="M112" s="17" t="n">
        <x:v>2010</x:v>
      </x:c>
      <x:c r="N112" s="17" t="str">
        <x:v>待复核</x:v>
      </x:c>
      <x:c r="O112" s="17" t="str">
        <x:v>画面原型近邻；margin=0.0012; 画面原型近邻；margin=0.0021</x:v>
      </x:c>
      <x:c r="P112" s="17" t="n">
        <x:v>437</x:v>
      </x:c>
    </x:row>
    <x:row r="113">
      <x:c r="A113" s="17" t="str">
        <x:v>SEG_03_086</x:v>
      </x:c>
      <x:c r="B113" s="17" t="str">
        <x:v>TT_NEW_03</x:v>
      </x:c>
      <x:c r="C113" s="17" t="n">
        <x:v>2020</x:v>
      </x:c>
      <x:c r="D113" s="17" t="n">
        <x:v>2029</x:v>
      </x:c>
      <x:c r="E113" s="17" t="str">
        <x:v>00:33:40</x:v>
      </x:c>
      <x:c r="F113" s="17" t="str">
        <x:v>00:33:49</x:v>
      </x:c>
      <x:c r="G113" s="17" t="n">
        <x:v>10</x:v>
      </x:c>
      <x:c r="H113" s="17" t="str">
        <x:v>礼包</x:v>
      </x:c>
      <x:c r="I113" s="17" t="str">
        <x:v>价格/内容可能可见；未观察购买后余额</x:v>
      </x:c>
      <x:c r="J113" s="17" t="str">
        <x:v>否</x:v>
      </x:c>
      <x:c r="K113" s="17" t="str">
        <x:v>保留 offer_shown；无购买前后闭环</x:v>
      </x:c>
      <x:c r="L113" s="18" t="str">
        <x:v>/Users/mac/Documents/智囊团/video_analysis/Top_Tycoon新号流程_20260804/frames/TT_NEW_03/TT_NEW_03_t002020.jpg</x:v>
      </x:c>
      <x:c r="M113" s="17" t="n">
        <x:v>2020</x:v>
      </x:c>
      <x:c r="N113" s="17" t="str">
        <x:v>已确认</x:v>
      </x:c>
      <x:c r="O113" s="17" t="str">
        <x:v>OCR 命中价格/商店词</x:v>
      </x:c>
      <x:c r="P113" s="17" t="str">
        <x:v>190000 | 7,358,733 | BOUNTY | SWEEP | HK$40.00 | 3 | HK$40.00 | 2 | HK$40.00 | 1 | HK$40.00 | BUYALL | HK$188.00 | 01d11h | 777 | Game</x:v>
      </x:c>
    </x:row>
    <x:row r="114">
      <x:c r="A114" s="17" t="str">
        <x:v>SEG_03_087</x:v>
      </x:c>
      <x:c r="B114" s="17" t="str">
        <x:v>TT_NEW_03</x:v>
      </x:c>
      <x:c r="C114" s="17" t="n">
        <x:v>2030</x:v>
      </x:c>
      <x:c r="D114" s="17" t="n">
        <x:v>2139</x:v>
      </x:c>
      <x:c r="E114" s="17" t="str">
        <x:v>00:33:50</x:v>
      </x:c>
      <x:c r="F114" s="17" t="str">
        <x:v>00:35:39</x:v>
      </x:c>
      <x:c r="G114" s="17" t="n">
        <x:v>110</x:v>
      </x:c>
      <x:c r="H114" s="17" t="str">
        <x:v>Slot</x:v>
      </x:c>
      <x:c r="I114" s="17" t="str">
        <x:v>BET/能量/金币/主进度通常可见；以事件帧为准</x:v>
      </x:c>
      <x:c r="J114" s="17" t="str">
        <x:v>否</x:v>
      </x:c>
      <x:c r="K114" s="17" t="str">
        <x:v>保留机制；缺逐 Spin 前后快照</x:v>
      </x:c>
      <x:c r="L114" s="18" t="str">
        <x:v>/Users/mac/Documents/智囊团/video_analysis/Top_Tycoon新号流程_20260804/frames/TT_NEW_03/TT_NEW_03_t002080.jpg</x:v>
      </x:c>
      <x:c r="M114" s="17" t="n">
        <x:v>2080</x:v>
      </x:c>
      <x:c r="N114" s="17" t="str">
        <x:v>已确认</x:v>
      </x:c>
      <x:c r="O114" s="17" t="str">
        <x:v>OCR 命中 SPIN/BET 词</x:v>
      </x:c>
      <x:c r="P114" s="17" t="str">
        <x:v>190000 | 7,358,733 | ZLOTS | 1 | 0% | 11:57:24 | 10% | 100% | 95% | +66 | 14d18h | 06d18h | ATTACK | 6 | 01d18h | PACK | 45/120 | 6/9 | 06d18h | 福 | 02d11h | 390K | 13 | Sale | 01d11h | 05d18h | PiCK ONE | 72% | 11h57m | 05d11h | 12 | 02d11h | BETx100 | 39 | 50/50 | 88% | 02d11h | +1419 | SPIN | FREE | HOLD FOR AUTO | Clear Tycoon Quests (3/3) | Game | 190000 | 7,741,543 | PAX-BOY | RUSH | 0% | 20% | H | 01d18h | 125/900 | PiCKONI | BETx100 | 50/50 | SPIN | lear Tycoon Quests</x:v>
      </x:c>
    </x:row>
    <x:row r="115">
      <x:c r="A115" s="17" t="str">
        <x:v>SEG_03_088</x:v>
      </x:c>
      <x:c r="B115" s="17" t="str">
        <x:v>TT_NEW_03</x:v>
      </x:c>
      <x:c r="C115" s="17" t="n">
        <x:v>2140</x:v>
      </x:c>
      <x:c r="D115" s="17" t="n">
        <x:v>2149</x:v>
      </x:c>
      <x:c r="E115" s="17" t="str">
        <x:v>00:35:40</x:v>
      </x:c>
      <x:c r="F115" s="17" t="str">
        <x:v>00:35:49</x:v>
      </x:c>
      <x:c r="G115" s="17" t="n">
        <x:v>10</x:v>
      </x:c>
      <x:c r="H115" s="17" t="str">
        <x:v>小游戏</x:v>
      </x:c>
      <x:c r="I115" s="17" t="str">
        <x:v>玩法/奖励依画面；主资源常不全显</x:v>
      </x:c>
      <x:c r="J115" s="17" t="str">
        <x:v>否</x:v>
      </x:c>
      <x:c r="K115" s="17" t="str">
        <x:v>保留机制；完整核账窗口不足</x:v>
      </x:c>
      <x:c r="L115" s="18" t="str">
        <x:v>/Users/mac/Documents/智囊团/video_analysis/Top_Tycoon新号流程_20260804/frames/TT_NEW_03/TT_NEW_03_t002140.jpg</x:v>
      </x:c>
      <x:c r="M115" s="17" t="n">
        <x:v>2140</x:v>
      </x:c>
      <x:c r="N115" s="17" t="str">
        <x:v>已确认</x:v>
      </x:c>
      <x:c r="O115" s="17" t="str">
        <x:v>OCR 命中小游戏名称/玩法词</x:v>
      </x:c>
      <x:c r="P115" s="17" t="str">
        <x:v>Attack! | TICHET</x:v>
      </x:c>
    </x:row>
    <x:row r="116">
      <x:c r="A116" s="17" t="str">
        <x:v>SEG_03_089</x:v>
      </x:c>
      <x:c r="B116" s="17" t="str">
        <x:v>TT_NEW_03</x:v>
      </x:c>
      <x:c r="C116" s="17" t="n">
        <x:v>2150</x:v>
      </x:c>
      <x:c r="D116" s="17" t="n">
        <x:v>2159</x:v>
      </x:c>
      <x:c r="E116" s="17" t="str">
        <x:v>00:35:50</x:v>
      </x:c>
      <x:c r="F116" s="17" t="str">
        <x:v>00:35:59</x:v>
      </x:c>
      <x:c r="G116" s="17" t="n">
        <x:v>10</x:v>
      </x:c>
      <x:c r="H116" s="17" t="str">
        <x:v>建造</x:v>
      </x:c>
      <x:c r="I116" s="17" t="str">
        <x:v>金币可见；Site tasks/Next task cost 依画面</x:v>
      </x:c>
      <x:c r="J116" s="17" t="str">
        <x:v>否</x:v>
      </x:c>
      <x:c r="K116" s="17" t="str">
        <x:v>保留机制；待建造余额闭合</x:v>
      </x:c>
      <x:c r="L116" s="18" t="str">
        <x:v>/Users/mac/Documents/智囊团/video_analysis/Top_Tycoon新号流程_20260804/frames/TT_NEW_03/TT_NEW_03_t002150.jpg</x:v>
      </x:c>
      <x:c r="M116" s="17" t="n">
        <x:v>2150</x:v>
      </x:c>
      <x:c r="N116" s="17" t="str">
        <x:v>待复核</x:v>
      </x:c>
      <x:c r="O116" s="17" t="str">
        <x:v>画面原型近邻；margin=0.0194</x:v>
      </x:c>
      <x:c r="P116" s="17" t="str">
        <x:v>Blocked | 价 | Damage | 10% | 1,818</x:v>
      </x:c>
    </x:row>
    <x:row r="117">
      <x:c r="A117" s="17" t="str">
        <x:v>SEG_03_090</x:v>
      </x:c>
      <x:c r="B117" s="17" t="str">
        <x:v>TT_NEW_03</x:v>
      </x:c>
      <x:c r="C117" s="17" t="n">
        <x:v>2160</x:v>
      </x:c>
      <x:c r="D117" s="17" t="n">
        <x:v>2209</x:v>
      </x:c>
      <x:c r="E117" s="17" t="str">
        <x:v>00:36:00</x:v>
      </x:c>
      <x:c r="F117" s="17" t="str">
        <x:v>00:36:49</x:v>
      </x:c>
      <x:c r="G117" s="17" t="n">
        <x:v>50</x:v>
      </x:c>
      <x:c r="H117" s="17" t="str">
        <x:v>Slot</x:v>
      </x:c>
      <x:c r="I117" s="17" t="str">
        <x:v>BET/能量/金币/主进度通常可见；以事件帧为准</x:v>
      </x:c>
      <x:c r="J117" s="17" t="str">
        <x:v>否</x:v>
      </x:c>
      <x:c r="K117" s="17" t="str">
        <x:v>保留机制；缺逐 Spin 前后快照</x:v>
      </x:c>
      <x:c r="L117" s="18" t="str">
        <x:v>/Users/mac/Documents/智囊团/video_analysis/Top_Tycoon新号流程_20260804/frames/TT_NEW_03/TT_NEW_03_t002180.jpg</x:v>
      </x:c>
      <x:c r="M117" s="17" t="n">
        <x:v>2180</x:v>
      </x:c>
      <x:c r="N117" s="17" t="str">
        <x:v>已确认</x:v>
      </x:c>
      <x:c r="O117" s="17" t="str">
        <x:v>OCR 命中 SPIN/BET 词</x:v>
      </x:c>
      <x:c r="P117" s="17" t="str">
        <x:v>190000 | 9,523,733 | 0% | ATTACK | H | 01d18h | 325/900 | 8 | Sale | PiCK ONE | T1h | BETx100 | 50/50 | SPIN | Ashley | You lost a shield! | 抖音 | 8:04PM | HK4709号航班坠毁，机上人员全部遇难&gt;&gt; | SLoTs | 0% | 11:55:04 | 100% | +66 | 14d18h | 06d18h | +130.000 | 9 | 01d18h | PACK | 325/900 | 6/6 | 06d18h | 福 | 02d11h | 1.8K | 15 | Sale | 01d11h | 05d18h | 62 | PiCKONE | 86% | 11h55m | 05d11h | 12 | 02d11h | BETx100 | 66 | 50/50 | 77% | +24亩 | 02d11h | SPIN | FREE | HOLDFORAUTO | Clear Tycoon </x:v>
      </x:c>
    </x:row>
    <x:row r="118">
      <x:c r="A118" s="17" t="str">
        <x:v>SEG_03_091</x:v>
      </x:c>
      <x:c r="B118" s="17" t="str">
        <x:v>TT_NEW_03</x:v>
      </x:c>
      <x:c r="C118" s="17" t="n">
        <x:v>2210</x:v>
      </x:c>
      <x:c r="D118" s="17" t="n">
        <x:v>2509</x:v>
      </x:c>
      <x:c r="E118" s="17" t="str">
        <x:v>00:36:50</x:v>
      </x:c>
      <x:c r="F118" s="17" t="str">
        <x:v>00:41:49</x:v>
      </x:c>
      <x:c r="G118" s="17" t="n">
        <x:v>300</x:v>
      </x:c>
      <x:c r="H118" s="17" t="str">
        <x:v>建造</x:v>
      </x:c>
      <x:c r="I118" s="17" t="str">
        <x:v>金币可见；Site tasks/Next task cost 依画面</x:v>
      </x:c>
      <x:c r="J118" s="17" t="str">
        <x:v>否</x:v>
      </x:c>
      <x:c r="K118" s="17" t="str">
        <x:v>保留机制；待建造余额闭合</x:v>
      </x:c>
      <x:c r="L118" s="18" t="str">
        <x:v>/Users/mac/Documents/智囊团/video_analysis/Top_Tycoon新号流程_20260804/frames/TT_NEW_03/TT_NEW_03_t002360.jpg</x:v>
      </x:c>
      <x:c r="M118" s="17" t="n">
        <x:v>2360</x:v>
      </x:c>
      <x:c r="N118" s="17" t="str">
        <x:v>待复核</x:v>
      </x:c>
      <x:c r="O118" s="17" t="str">
        <x:v>画面原型近邻；margin=0.0010; 画面原型近邻；margin=0.0037; 画面原型近邻；margin=0.0043; 画面原型近邻；margin=0.0049; 画面原型近邻；margin=0.0052; 画面原型近邻；margin=0.0058; 画面原型近邻；margin=0.0066; 画面原型近邻；margin=0.0068; 画面原型近邻；margin=0.0071; 画面原型近邻；margin=0.0084; 画面原型近邻；margin=0.0088; 画面原型近邻；margin=0.0090; 画面原型近邻；margin=0.0093; 画面原型近邻；margin=0.0094; 画面原型近邻；margin=0.0097; 画面原型近邻；margin=0.0099; 画面原型近邻；margin=0.0116; 画面原型近邻；margin=0.0124; 画面原型近邻；margin=0.0131; 画面原型近邻；margin=0.0134; 画面原型近邻；margin=0.0163; 画面原型近邻；margin=0.01</x:v>
      </x:c>
      <x:c r="P118" s="17" t="str">
        <x:v>433.0 | X | 02d11h | 6 | PACK | 9/9 | 02d11h | n | FIND ALL THE PROPS TO WIN | LEVEL1 | LEVEL2 | LEVEL3 | LEVEL4 | LEVEL5 | 100 | 02d11h | 9 | PACK | 9/9 | 02d11h | FIND ALL THE PROPS TO WIN | LEVEL1 | LEVEL2 | LEVEL3 | LEVEL4 | LEVEL5 | 98 | 02d11h | 9 | PACK | 9/9 | 02d11h | FIND ALL THE PROPS TO WIN | LEVEL1 | LEVEL2 | LEVEL3 | LEVEL4 | LEVEL5 | 94 | 02d11h | 9 | PACK | 9/9 | 02d11h | FIND ALL THE PROPS TO WIN | LEVEL1 | LEVEL 2 | LEVEL3 | LEVEL4 | LEVEL5 | L6 | 02d11h | 6</x:v>
      </x:c>
    </x:row>
    <x:row r="119">
      <x:c r="A119" s="17" t="str">
        <x:v>SEG_03_092</x:v>
      </x:c>
      <x:c r="B119" s="17" t="str">
        <x:v>TT_NEW_03</x:v>
      </x:c>
      <x:c r="C119" s="17" t="n">
        <x:v>2510</x:v>
      </x:c>
      <x:c r="D119" s="17" t="n">
        <x:v>2529</x:v>
      </x:c>
      <x:c r="E119" s="17" t="str">
        <x:v>00:41:50</x:v>
      </x:c>
      <x:c r="F119" s="17" t="str">
        <x:v>00:42:09</x:v>
      </x:c>
      <x:c r="G119" s="17" t="n">
        <x:v>20</x:v>
      </x:c>
      <x:c r="H119" s="17" t="str">
        <x:v>小游戏</x:v>
      </x:c>
      <x:c r="I119" s="17" t="str">
        <x:v>玩法/奖励依画面；主资源常不全显</x:v>
      </x:c>
      <x:c r="J119" s="17" t="str">
        <x:v>否</x:v>
      </x:c>
      <x:c r="K119" s="17" t="str">
        <x:v>保留机制；完整核账窗口不足</x:v>
      </x:c>
      <x:c r="L119" s="18" t="str">
        <x:v>/Users/mac/Documents/智囊团/video_analysis/Top_Tycoon新号流程_20260804/frames/TT_NEW_03/TT_NEW_03_t002520.jpg</x:v>
      </x:c>
      <x:c r="M119" s="17" t="n">
        <x:v>2520</x:v>
      </x:c>
      <x:c r="N119" s="17" t="str">
        <x:v>待复核</x:v>
      </x:c>
      <x:c r="O119" s="17" t="str">
        <x:v>画面原型近邻；margin=0.0146; 画面原型近邻；margin=0.0179</x:v>
      </x:c>
      <x:c r="P119" s="17" t="str">
        <x:v>COMPLETED | 20m | Bauble | LET'S GO AGAIN! | Great job! Let's go for | another more REWARDING | round! | SURE!</x:v>
      </x:c>
    </x:row>
    <x:row r="120">
      <x:c r="A120" s="17" t="str">
        <x:v>SEG_03_093</x:v>
      </x:c>
      <x:c r="B120" s="17" t="str">
        <x:v>TT_NEW_03</x:v>
      </x:c>
      <x:c r="C120" s="17" t="n">
        <x:v>2530</x:v>
      </x:c>
      <x:c r="D120" s="17" t="n">
        <x:v>2539</x:v>
      </x:c>
      <x:c r="E120" s="17" t="str">
        <x:v>00:42:10</x:v>
      </x:c>
      <x:c r="F120" s="17" t="str">
        <x:v>00:42:19</x:v>
      </x:c>
      <x:c r="G120" s="17" t="n">
        <x:v>10</x:v>
      </x:c>
      <x:c r="H120" s="17" t="str">
        <x:v>建造</x:v>
      </x:c>
      <x:c r="I120" s="17" t="str">
        <x:v>金币可见；Site tasks/Next task cost 依画面</x:v>
      </x:c>
      <x:c r="J120" s="17" t="str">
        <x:v>否</x:v>
      </x:c>
      <x:c r="K120" s="17" t="str">
        <x:v>保留机制；待建造余额闭合</x:v>
      </x:c>
      <x:c r="L120" s="18" t="str">
        <x:v>/Users/mac/Documents/智囊团/video_analysis/Top_Tycoon新号流程_20260804/frames/TT_NEW_03/TT_NEW_03_t002530.jpg</x:v>
      </x:c>
      <x:c r="M120" s="17" t="n">
        <x:v>2530</x:v>
      </x:c>
      <x:c r="N120" s="17" t="str">
        <x:v>待复核</x:v>
      </x:c>
      <x:c r="O120" s="17" t="str">
        <x:v>画面原型近邻；margin=0.0068</x:v>
      </x:c>
      <x:c r="P120" s="17" t="str">
        <x:v>X | 02d11h | 9 | PACK | 9/9 | 02d11h | n | FIND ALL THE PROPS TO WIN | LEVEL1 | LEVEL2 | LEVEL3 | LEVEL4 | LEVEL5 | 2</x:v>
      </x:c>
    </x:row>
    <x:row r="121">
      <x:c r="A121" s="17" t="str">
        <x:v>SEG_03_094</x:v>
      </x:c>
      <x:c r="B121" s="17" t="str">
        <x:v>TT_NEW_03</x:v>
      </x:c>
      <x:c r="C121" s="17" t="n">
        <x:v>2540</x:v>
      </x:c>
      <x:c r="D121" s="17" t="n">
        <x:v>2589</x:v>
      </x:c>
      <x:c r="E121" s="17" t="str">
        <x:v>00:42:20</x:v>
      </x:c>
      <x:c r="F121" s="17" t="str">
        <x:v>00:43:09</x:v>
      </x:c>
      <x:c r="G121" s="17" t="n">
        <x:v>50</x:v>
      </x:c>
      <x:c r="H121" s="17" t="str">
        <x:v>礼包</x:v>
      </x:c>
      <x:c r="I121" s="17" t="str">
        <x:v>价格/内容可能可见；未观察购买后余额</x:v>
      </x:c>
      <x:c r="J121" s="17" t="str">
        <x:v>否</x:v>
      </x:c>
      <x:c r="K121" s="17" t="str">
        <x:v>保留 offer_shown；无购买前后闭环</x:v>
      </x:c>
      <x:c r="L121" s="18" t="str">
        <x:v>/Users/mac/Documents/智囊团/video_analysis/Top_Tycoon新号流程_20260804/frames/TT_NEW_03/TT_NEW_03_t002560.jpg</x:v>
      </x:c>
      <x:c r="M121" s="17" t="n">
        <x:v>2560</x:v>
      </x:c>
      <x:c r="N121" s="17" t="str">
        <x:v>已确认</x:v>
      </x:c>
      <x:c r="O121" s="17" t="str">
        <x:v>OCR 命中价格/商店词</x:v>
      </x:c>
      <x:c r="P121" s="17" t="str">
        <x:v>PACK | 1200% | Value | Earn up to 1165 | Buynow to claim | rewards you've | HK$55.90 | earned! | SPIN | Use 20 spins | Claim | SPIN | Use 70 spins | claim | SPIN | Use 170 spins | Claim | SPIN | Use 310 spins | Claim | SPIN | Use 500 spins | Claim | 02d11h | Buynowto claim rewardsyou'veearned! | PACK | X | 1200% | Earn up to 1165 | Value | Buy nowto claim | HKSZI | rewards you've | HK$55.90 | earned! | SPIN | Use 20 spins | claim | SPIN | Use 70 spins | claim | SPIN | Use170s</x:v>
      </x:c>
    </x:row>
    <x:row r="122">
      <x:c r="A122" s="17" t="str">
        <x:v>SEG_03_095</x:v>
      </x:c>
      <x:c r="B122" s="17" t="str">
        <x:v>TT_NEW_03</x:v>
      </x:c>
      <x:c r="C122" s="17" t="n">
        <x:v>2590</x:v>
      </x:c>
      <x:c r="D122" s="17" t="n">
        <x:v>2609</x:v>
      </x:c>
      <x:c r="E122" s="17" t="str">
        <x:v>00:43:10</x:v>
      </x:c>
      <x:c r="F122" s="17" t="str">
        <x:v>00:43:29</x:v>
      </x:c>
      <x:c r="G122" s="17" t="n">
        <x:v>20</x:v>
      </x:c>
      <x:c r="H122" s="17" t="str">
        <x:v>Slot</x:v>
      </x:c>
      <x:c r="I122" s="17" t="str">
        <x:v>BET/能量/金币/主进度通常可见；以事件帧为准</x:v>
      </x:c>
      <x:c r="J122" s="17" t="str">
        <x:v>否</x:v>
      </x:c>
      <x:c r="K122" s="17" t="str">
        <x:v>保留机制；缺逐 Spin 前后快照</x:v>
      </x:c>
      <x:c r="L122" s="18" t="str">
        <x:v>/Users/mac/Documents/智囊团/video_analysis/Top_Tycoon新号流程_20260804/frames/TT_NEW_03/TT_NEW_03_t002600.jpg</x:v>
      </x:c>
      <x:c r="M122" s="17" t="n">
        <x:v>2600</x:v>
      </x:c>
      <x:c r="N122" s="17" t="str">
        <x:v>已确认</x:v>
      </x:c>
      <x:c r="O122" s="17" t="str">
        <x:v>OCR 命中 SPIN/BET 词; 画面原型近邻；margin=0.0225</x:v>
      </x:c>
      <x:c r="P122" s="17" t="str">
        <x:v>190000 | 10,686,233 | LoTs | 2 | 0% | 11:48:04 | 100% | +66 | 14d18h | 06d18h | ATTACK | 6 | 01d17h | PACK | 325/900 | 6/6 | 06d17h | 福 | 02d11h | 1.8K | 15 | Sale | 01d11h | 05d17h | 62 | PiCKONE | 86% | 11h48m | 05d11h | 12 | 02d11h | BETx10 | 50/50 | 48% | 02d11h | +1184 | SPIN | FREE | HOLD FOR AUTO SPIN | Clear Tycoon Quests (3/3) | 6 | Game | X | 02d11h | 6 | PACK | 9/9 | 02d11h | n | FIND ALL THE PROPS TO WIN | LEVEL1 | LEVEL2 | LEVEL3 | LEVEL4 | LEVEL5</x:v>
      </x:c>
    </x:row>
    <x:row r="123">
      <x:c r="A123" s="17" t="str">
        <x:v>SEG_03_096</x:v>
      </x:c>
      <x:c r="B123" s="17" t="str">
        <x:v>TT_NEW_03</x:v>
      </x:c>
      <x:c r="C123" s="17" t="n">
        <x:v>2610</x:v>
      </x:c>
      <x:c r="D123" s="17" t="n">
        <x:v>2629</x:v>
      </x:c>
      <x:c r="E123" s="17" t="str">
        <x:v>00:43:30</x:v>
      </x:c>
      <x:c r="F123" s="17" t="str">
        <x:v>00:43:49</x:v>
      </x:c>
      <x:c r="G123" s="17" t="n">
        <x:v>20</x:v>
      </x:c>
      <x:c r="H123" s="17" t="str">
        <x:v>小游戏</x:v>
      </x:c>
      <x:c r="I123" s="17" t="str">
        <x:v>玩法/奖励依画面；主资源常不全显</x:v>
      </x:c>
      <x:c r="J123" s="17" t="str">
        <x:v>否</x:v>
      </x:c>
      <x:c r="K123" s="17" t="str">
        <x:v>保留机制；完整核账窗口不足</x:v>
      </x:c>
      <x:c r="L123" s="18" t="str">
        <x:v>/Users/mac/Documents/智囊团/video_analysis/Top_Tycoon新号流程_20260804/frames/TT_NEW_03/TT_NEW_03_t002620.jpg</x:v>
      </x:c>
      <x:c r="M123" s="17" t="n">
        <x:v>2620</x:v>
      </x:c>
      <x:c r="N123" s="17" t="str">
        <x:v>已确认</x:v>
      </x:c>
      <x:c r="O123" s="17" t="str">
        <x:v>OCR 命中小游戏名称/玩法词</x:v>
      </x:c>
      <x:c r="P123" s="17" t="str">
        <x:v>0/1 | 3 | Jackpot | 60 | 1/3 | 360 | 0/3 | 0/3 | 12 | 10 | 0/1 | 3 | Jackpot | 60 | 1/3 | 360 | 0/3 | 0/3 | 12 | 10</x:v>
      </x:c>
    </x:row>
    <x:row r="124">
      <x:c r="A124" s="17" t="str">
        <x:v>SEG_03_097</x:v>
      </x:c>
      <x:c r="B124" s="17" t="str">
        <x:v>TT_NEW_03</x:v>
      </x:c>
      <x:c r="C124" s="17" t="n">
        <x:v>2630</x:v>
      </x:c>
      <x:c r="D124" s="17" t="n">
        <x:v>2659</x:v>
      </x:c>
      <x:c r="E124" s="17" t="str">
        <x:v>00:43:50</x:v>
      </x:c>
      <x:c r="F124" s="17" t="str">
        <x:v>00:44:19</x:v>
      </x:c>
      <x:c r="G124" s="17" t="n">
        <x:v>30</x:v>
      </x:c>
      <x:c r="H124" s="17" t="str">
        <x:v>礼包</x:v>
      </x:c>
      <x:c r="I124" s="17" t="str">
        <x:v>价格/内容可能可见；未观察购买后余额</x:v>
      </x:c>
      <x:c r="J124" s="17" t="str">
        <x:v>否</x:v>
      </x:c>
      <x:c r="K124" s="17" t="str">
        <x:v>保留 offer_shown；无购买前后闭环</x:v>
      </x:c>
      <x:c r="L124" s="18" t="str">
        <x:v>/Users/mac/Documents/智囊团/video_analysis/Top_Tycoon新号流程_20260804/frames/TT_NEW_03/TT_NEW_03_t002640.jpg</x:v>
      </x:c>
      <x:c r="M124" s="17" t="n">
        <x:v>2640</x:v>
      </x:c>
      <x:c r="N124" s="17" t="str">
        <x:v>已确认</x:v>
      </x:c>
      <x:c r="O124" s="17" t="str">
        <x:v>OCR 命中价格/商店词</x:v>
      </x:c>
      <x:c r="P124" s="17" t="str">
        <x:v>10 | 0/5 | 13 | Jackpot | SNIXOO | RUSH | X | 50% | OFF | 150 | 590 | 238.00 | HK$40.00 | HK$118.00 | 02d 11h | X | 940 | BOXING PAS | TOTAL | 02d11h | 0/5 | 13 | HK$40.00 | 45K | 10 | 11 | 75K | 12 | 75K | Locked | 13 | 110K | 1o | CLAIM ALL | BOXING PASS | 02d11h | 0/5 | 13 | HK$40.00 | [10 | 20 | 30 | 11 | 75K | 12 | 75K | Locked | 13 | 110K | 14 | 190K | 100 | CLAIM ALL</x:v>
      </x:c>
    </x:row>
    <x:row r="125">
      <x:c r="A125" s="17" t="str">
        <x:v>SEG_03_098</x:v>
      </x:c>
      <x:c r="B125" s="17" t="str">
        <x:v>TT_NEW_03</x:v>
      </x:c>
      <x:c r="C125" s="17" t="n">
        <x:v>2660</x:v>
      </x:c>
      <x:c r="D125" s="17" t="n">
        <x:v>2819</x:v>
      </x:c>
      <x:c r="E125" s="17" t="str">
        <x:v>00:44:20</x:v>
      </x:c>
      <x:c r="F125" s="17" t="str">
        <x:v>00:46:59</x:v>
      </x:c>
      <x:c r="G125" s="17" t="n">
        <x:v>160</x:v>
      </x:c>
      <x:c r="H125" s="17" t="str">
        <x:v>Slot</x:v>
      </x:c>
      <x:c r="I125" s="17" t="str">
        <x:v>BET/能量/金币/主进度通常可见；以事件帧为准</x:v>
      </x:c>
      <x:c r="J125" s="17" t="str">
        <x:v>否</x:v>
      </x:c>
      <x:c r="K125" s="17" t="str">
        <x:v>保留机制；缺逐 Spin 前后快照</x:v>
      </x:c>
      <x:c r="L125" s="18" t="str">
        <x:v>/Users/mac/Documents/智囊团/video_analysis/Top_Tycoon新号流程_20260804/frames/TT_NEW_03/TT_NEW_03_t002740.jpg</x:v>
      </x:c>
      <x:c r="M125" s="17" t="n">
        <x:v>2740</x:v>
      </x:c>
      <x:c r="N125" s="17" t="str">
        <x:v>已确认</x:v>
      </x:c>
      <x:c r="O125" s="17" t="str">
        <x:v>OCR 命中 SPIN/BET 词; 画面原型近邻；margin=0.0223; 相邻两侧同模块，平滑孤立原型误差</x:v>
      </x:c>
      <x:c r="P125" s="17" t="str">
        <x:v>WONDERLAND | X | PARTNERS | Defeat allenemies to win the grand prize! | 730 | 05d11h | A Poeng | 1/5 | 0% | 20K | marley | 1/5 | 0% | 20K | 62 | ali.f | APoeng | 20 | om | 90 | 500 | 500 | 宜 | 500 | SPIN | BETx1 | 62 | ali.f | APoeng | X | 500 | 20K | 10m | 90 | +500 | 500 | 宜 | MORE | MORE | FREE | FREE | 180 | 200 | SPIN | BETx1 | 60 | ali.f | APoeng | X | 1280 | 20 | 10m | 90 | 220 | SPIN | BET*1 | 59 | ali.f | APoeng | 1500 | 10m | 90 | MORE | FREE | 40 | SPIN | BET*1 | 5</x:v>
      </x:c>
    </x:row>
    <x:row r="126">
      <x:c r="A126" s="17" t="str">
        <x:v>SEG_03_099</x:v>
      </x:c>
      <x:c r="B126" s="17" t="str">
        <x:v>TT_NEW_03</x:v>
      </x:c>
      <x:c r="C126" s="17" t="n">
        <x:v>2820</x:v>
      </x:c>
      <x:c r="D126" s="17" t="n">
        <x:v>2829</x:v>
      </x:c>
      <x:c r="E126" s="17" t="str">
        <x:v>00:47:00</x:v>
      </x:c>
      <x:c r="F126" s="17" t="str">
        <x:v>00:47:09</x:v>
      </x:c>
      <x:c r="G126" s="17" t="n">
        <x:v>10</x:v>
      </x:c>
      <x:c r="H126" s="17" t="str">
        <x:v>转场/加载</x:v>
      </x:c>
      <x:c r="I126" s="17" t="str">
        <x:v>数值不可读或不适用</x:v>
      </x:c>
      <x:c r="J126" s="17" t="str">
        <x:v>否</x:v>
      </x:c>
      <x:c r="K126" s="17" t="str">
        <x:v>排除：转场/加载，不进入数值统计</x:v>
      </x:c>
      <x:c r="L126" s="18" t="str">
        <x:v>/Users/mac/Documents/智囊团/video_analysis/Top_Tycoon新号流程_20260804/frames/TT_NEW_03/TT_NEW_03_t002820.jpg</x:v>
      </x:c>
      <x:c r="M126" s="17" t="n">
        <x:v>2820</x:v>
      </x:c>
      <x:c r="N126" s="17" t="str">
        <x:v>待复核</x:v>
      </x:c>
      <x:c r="O126" s="17" t="str">
        <x:v>画面原型近邻；margin=0.0011</x:v>
      </x:c>
      <x:c r="P126" s="17" t="str">
        <x:v>WONDERLAND | PARTNERS | Defeat all enemies to win the grand prize! | 730 | 05d 11h | A Poeng | 5/5 | 43% | 190 | marley | 1/5 | 0% | 20K</x:v>
      </x:c>
    </x:row>
    <x:row r="127">
      <x:c r="A127" s="17" t="str">
        <x:v>SEG_03_100</x:v>
      </x:c>
      <x:c r="B127" s="17" t="str">
        <x:v>TT_NEW_03</x:v>
      </x:c>
      <x:c r="C127" s="17" t="n">
        <x:v>2830</x:v>
      </x:c>
      <x:c r="D127" s="17" t="n">
        <x:v>2839</x:v>
      </x:c>
      <x:c r="E127" s="17" t="str">
        <x:v>00:47:10</x:v>
      </x:c>
      <x:c r="F127" s="17" t="str">
        <x:v>00:47:19</x:v>
      </x:c>
      <x:c r="G127" s="17" t="n">
        <x:v>10</x:v>
      </x:c>
      <x:c r="H127" s="17" t="str">
        <x:v>建造</x:v>
      </x:c>
      <x:c r="I127" s="17" t="str">
        <x:v>金币可见；Site tasks/Next task cost 依画面</x:v>
      </x:c>
      <x:c r="J127" s="17" t="str">
        <x:v>否</x:v>
      </x:c>
      <x:c r="K127" s="17" t="str">
        <x:v>保留机制；待建造余额闭合</x:v>
      </x:c>
      <x:c r="L127" s="18" t="str">
        <x:v>/Users/mac/Documents/智囊团/video_analysis/Top_Tycoon新号流程_20260804/frames/TT_NEW_03/TT_NEW_03_t002830.jpg</x:v>
      </x:c>
      <x:c r="M127" s="17" t="n">
        <x:v>2830</x:v>
      </x:c>
      <x:c r="N127" s="17" t="str">
        <x:v>已确认</x:v>
      </x:c>
      <x:c r="O127" s="17" t="str">
        <x:v>OCR 命中建造/Site tasks 词</x:v>
      </x:c>
      <x:c r="P127" s="17" t="str">
        <x:v>190000 | 10,714,633 | Lead Pursuit | 05d17h | 600K | 170 | 310 | 600 | 1200 | 1800 | 2400 | 3000 | 440/3200 | Earn 25Bonus pts | 40 | 201 | Attack1times | 80 | Credit Grab1times | 100 | 20K | Use 9 spins in the slots | 100 | 20K | Complete 10 site tasks | 120 | DAY1 | DAY2 | DAY3 | DAY4 DAY5 DAY6 | 8 | 8 | 8 | 8 | 8 | cooneuesfsl | 777 | Game</x:v>
      </x:c>
    </x:row>
    <x:row r="128">
      <x:c r="A128" s="17" t="str">
        <x:v>SEG_03_101</x:v>
      </x:c>
      <x:c r="B128" s="17" t="str">
        <x:v>TT_NEW_03</x:v>
      </x:c>
      <x:c r="C128" s="17" t="n">
        <x:v>2840</x:v>
      </x:c>
      <x:c r="D128" s="17" t="n">
        <x:v>2849</x:v>
      </x:c>
      <x:c r="E128" s="17" t="str">
        <x:v>00:47:20</x:v>
      </x:c>
      <x:c r="F128" s="17" t="str">
        <x:v>00:47:29</x:v>
      </x:c>
      <x:c r="G128" s="17" t="n">
        <x:v>10</x:v>
      </x:c>
      <x:c r="H128" s="17" t="str">
        <x:v>Slot</x:v>
      </x:c>
      <x:c r="I128" s="17" t="str">
        <x:v>BET/能量/金币/主进度通常可见；以事件帧为准</x:v>
      </x:c>
      <x:c r="J128" s="17" t="str">
        <x:v>否</x:v>
      </x:c>
      <x:c r="K128" s="17" t="str">
        <x:v>保留机制；缺逐 Spin 前后快照</x:v>
      </x:c>
      <x:c r="L128" s="18" t="str">
        <x:v>/Users/mac/Documents/智囊团/video_analysis/Top_Tycoon新号流程_20260804/frames/TT_NEW_03/TT_NEW_03_t002840.jpg</x:v>
      </x:c>
      <x:c r="M128" s="17" t="n">
        <x:v>2840</x:v>
      </x:c>
      <x:c r="N128" s="17" t="str">
        <x:v>已确认</x:v>
      </x:c>
      <x:c r="O128" s="17" t="str">
        <x:v>OCR 命中 SPIN/BET 词</x:v>
      </x:c>
      <x:c r="P128" s="17" t="str">
        <x:v>190000 | 10,714,633 | LLOTS | 2 | 0% | 11:43:54 | 100% | +66 | 14d17h | 06d18h | ATTACK | 6 | 01d17h | PACK | 325/900 | 9/9 | 06d17h | 福 | 02d11h | 1.8K | 15 | Sale | 01d11h | 05d17h | PiCK ONE | 86% | 11h43m | 05d11h | 10 | 02d11h | BETx10 | 50/50 | 48% | +1266 | 02d11h | SPIN | FREE | HOLD FOR AUTO SPIN | Clear Tycoon Quests (3/3) | 6 | Game</x:v>
      </x:c>
    </x:row>
    <x:row r="129">
      <x:c r="A129" s="17" t="str">
        <x:v>SEG_03_102</x:v>
      </x:c>
      <x:c r="B129" s="17" t="str">
        <x:v>TT_NEW_03</x:v>
      </x:c>
      <x:c r="C129" s="17" t="n">
        <x:v>2850</x:v>
      </x:c>
      <x:c r="D129" s="17" t="n">
        <x:v>2859</x:v>
      </x:c>
      <x:c r="E129" s="17" t="str">
        <x:v>00:47:30</x:v>
      </x:c>
      <x:c r="F129" s="17" t="str">
        <x:v>00:47:39</x:v>
      </x:c>
      <x:c r="G129" s="17" t="n">
        <x:v>10</x:v>
      </x:c>
      <x:c r="H129" s="17" t="str">
        <x:v>礼包</x:v>
      </x:c>
      <x:c r="I129" s="17" t="str">
        <x:v>价格/内容可能可见；未观察购买后余额</x:v>
      </x:c>
      <x:c r="J129" s="17" t="str">
        <x:v>否</x:v>
      </x:c>
      <x:c r="K129" s="17" t="str">
        <x:v>保留 offer_shown；无购买前后闭环</x:v>
      </x:c>
      <x:c r="L129" s="18" t="str">
        <x:v>/Users/mac/Documents/智囊团/video_analysis/Top_Tycoon新号流程_20260804/frames/TT_NEW_03/TT_NEW_03_t002850.jpg</x:v>
      </x:c>
      <x:c r="M129" s="17" t="n">
        <x:v>2850</x:v>
      </x:c>
      <x:c r="N129" s="17" t="str">
        <x:v>已确认</x:v>
      </x:c>
      <x:c r="O129" s="17" t="str">
        <x:v>OCR 命中价格/商店词</x:v>
      </x:c>
      <x:c r="P129" s="17" t="str">
        <x:v>10,774,633 | TREASURE | X | Grand Prize | H | 630 | 3M | 2314 | 200K | 8 | 130 | HK$25.00 | 90K | 6 | 06d18h</x:v>
      </x:c>
    </x:row>
    <x:row r="130">
      <x:c r="A130" s="17" t="str">
        <x:v>SEG_03_103</x:v>
      </x:c>
      <x:c r="B130" s="17" t="str">
        <x:v>TT_NEW_03</x:v>
      </x:c>
      <x:c r="C130" s="17" t="n">
        <x:v>2860</x:v>
      </x:c>
      <x:c r="D130" s="17" t="n">
        <x:v>2899</x:v>
      </x:c>
      <x:c r="E130" s="17" t="str">
        <x:v>00:47:40</x:v>
      </x:c>
      <x:c r="F130" s="17" t="str">
        <x:v>00:48:19</x:v>
      </x:c>
      <x:c r="G130" s="17" t="n">
        <x:v>40</x:v>
      </x:c>
      <x:c r="H130" s="17" t="str">
        <x:v>Slot</x:v>
      </x:c>
      <x:c r="I130" s="17" t="str">
        <x:v>BET/能量/金币/主进度通常可见；以事件帧为准</x:v>
      </x:c>
      <x:c r="J130" s="17" t="str">
        <x:v>否</x:v>
      </x:c>
      <x:c r="K130" s="17" t="str">
        <x:v>保留机制；缺逐 Spin 前后快照</x:v>
      </x:c>
      <x:c r="L130" s="18" t="str">
        <x:v>/Users/mac/Documents/智囊团/video_analysis/Top_Tycoon新号流程_20260804/frames/TT_NEW_03/TT_NEW_03_t002880.jpg</x:v>
      </x:c>
      <x:c r="M130" s="17" t="n">
        <x:v>2880</x:v>
      </x:c>
      <x:c r="N130" s="17" t="str">
        <x:v>已确认</x:v>
      </x:c>
      <x:c r="O130" s="17" t="str">
        <x:v>OCR 命中 SPIN/BET 词</x:v>
      </x:c>
      <x:c r="P130" s="17" t="str">
        <x:v>190000 | 10,864,633 | Lots | 2 | 0% | 11:43:34 | 100% | +66 | 14d17h | 06d18h | ATTACK | 6 | 01d17h | PACK | 325/900 | 6/6 | 06d17h | 福 | 02d11h | 1.8K | 15 | Sale | 01d11h | 05d17h | PiCK ONE | 86% | 11h43m | YLLPSO | 10 | 02d11h | BETx10 | 50/50 | 48% | +1266 | 02d11h | SPIN | FREE | HOLD FOR AUTO SPIN | Clear Tycoon Quests (3/3) | 6 | Game | 190000 | 10,864,633 | ELots | 2 | 0% | 11:43:24 | 100% | +66 | 14d17h | 06d18h | ATTACK | 6 | 01d17h | PACK | 325/900 | 6/6 | 06d17h </x:v>
      </x:c>
    </x:row>
    <x:row r="131">
      <x:c r="A131" s="17" t="str">
        <x:v>SEG_03_104</x:v>
      </x:c>
      <x:c r="B131" s="17" t="str">
        <x:v>TT_NEW_03</x:v>
      </x:c>
      <x:c r="C131" s="17" t="n">
        <x:v>2900</x:v>
      </x:c>
      <x:c r="D131" s="17" t="n">
        <x:v>2909</x:v>
      </x:c>
      <x:c r="E131" s="17" t="str">
        <x:v>00:48:20</x:v>
      </x:c>
      <x:c r="F131" s="17" t="str">
        <x:v>00:48:29</x:v>
      </x:c>
      <x:c r="G131" s="17" t="n">
        <x:v>10</x:v>
      </x:c>
      <x:c r="H131" s="17" t="str">
        <x:v>小游戏</x:v>
      </x:c>
      <x:c r="I131" s="17" t="str">
        <x:v>玩法/奖励依画面；主资源常不全显</x:v>
      </x:c>
      <x:c r="J131" s="17" t="str">
        <x:v>否</x:v>
      </x:c>
      <x:c r="K131" s="17" t="str">
        <x:v>保留机制；完整核账窗口不足</x:v>
      </x:c>
      <x:c r="L131" s="18" t="str">
        <x:v>/Users/mac/Documents/智囊团/video_analysis/Top_Tycoon新号流程_20260804/frames/TT_NEW_03/TT_NEW_03_t002900.jpg</x:v>
      </x:c>
      <x:c r="M131" s="17" t="n">
        <x:v>2900</x:v>
      </x:c>
      <x:c r="N131" s="17" t="str">
        <x:v>已确认</x:v>
      </x:c>
      <x:c r="O131" s="17" t="str">
        <x:v>OCR 命中小游戏名称/玩法词</x:v>
      </x:c>
      <x:c r="P131" s="17" t="str">
        <x:v>Credit Grab! | Select Target: | Paams09 | JERRY REITH | kYpondman | 120,000 | 84,000 | 60,000 | Potential Loot | Potential Loot | Potential Loot | Select | Select | Select | Auto-Selectin5s</x:v>
      </x:c>
    </x:row>
    <x:row r="132">
      <x:c r="A132" s="17" t="str">
        <x:v>SEG_03_105</x:v>
      </x:c>
      <x:c r="B132" s="17" t="str">
        <x:v>TT_NEW_03</x:v>
      </x:c>
      <x:c r="C132" s="17" t="n">
        <x:v>2910</x:v>
      </x:c>
      <x:c r="D132" s="17" t="n">
        <x:v>2919</x:v>
      </x:c>
      <x:c r="E132" s="17" t="str">
        <x:v>00:48:30</x:v>
      </x:c>
      <x:c r="F132" s="17" t="str">
        <x:v>00:48:39</x:v>
      </x:c>
      <x:c r="G132" s="17" t="n">
        <x:v>10</x:v>
      </x:c>
      <x:c r="H132" s="17" t="str">
        <x:v>转场/加载</x:v>
      </x:c>
      <x:c r="I132" s="17" t="str">
        <x:v>数值不可读或不适用</x:v>
      </x:c>
      <x:c r="J132" s="17" t="str">
        <x:v>否</x:v>
      </x:c>
      <x:c r="K132" s="17" t="str">
        <x:v>排除：转场/加载，不进入数值统计</x:v>
      </x:c>
      <x:c r="L132" s="18" t="str">
        <x:v>/Users/mac/Documents/智囊团/video_analysis/Top_Tycoon新号流程_20260804/frames/TT_NEW_03/TT_NEW_03_t002910.jpg</x:v>
      </x:c>
      <x:c r="M132" s="17" t="n">
        <x:v>2910</x:v>
      </x:c>
      <x:c r="N132" s="17" t="str">
        <x:v>待复核</x:v>
      </x:c>
      <x:c r="O132" s="17" t="str">
        <x:v>画面原型近邻；margin=0.0129</x:v>
      </x:c>
      <x:c r="P132" s="17" t="str">
        <x:v>Paamso9'sBank | 604,800 | COINS | Z | Z | TOTAL LOOT | 604,800 | COINS</x:v>
      </x:c>
    </x:row>
    <x:row r="133">
      <x:c r="A133" s="17" t="str">
        <x:v>SEG_03_106</x:v>
      </x:c>
      <x:c r="B133" s="17" t="str">
        <x:v>TT_NEW_03</x:v>
      </x:c>
      <x:c r="C133" s="17" t="n">
        <x:v>2920</x:v>
      </x:c>
      <x:c r="D133" s="17" t="n">
        <x:v>2939</x:v>
      </x:c>
      <x:c r="E133" s="17" t="str">
        <x:v>00:48:40</x:v>
      </x:c>
      <x:c r="F133" s="17" t="str">
        <x:v>00:48:59</x:v>
      </x:c>
      <x:c r="G133" s="17" t="n">
        <x:v>20</x:v>
      </x:c>
      <x:c r="H133" s="17" t="str">
        <x:v>Slot</x:v>
      </x:c>
      <x:c r="I133" s="17" t="str">
        <x:v>BET/能量/金币/主进度通常可见；以事件帧为准</x:v>
      </x:c>
      <x:c r="J133" s="17" t="str">
        <x:v>否</x:v>
      </x:c>
      <x:c r="K133" s="17" t="str">
        <x:v>保留机制；缺逐 Spin 前后快照</x:v>
      </x:c>
      <x:c r="L133" s="18" t="str">
        <x:v>/Users/mac/Documents/智囊团/video_analysis/Top_Tycoon新号流程_20260804/frames/TT_NEW_03/TT_NEW_03_t002930.jpg</x:v>
      </x:c>
      <x:c r="M133" s="17" t="n">
        <x:v>2930</x:v>
      </x:c>
      <x:c r="N133" s="17" t="str">
        <x:v>已确认</x:v>
      </x:c>
      <x:c r="O133" s="17" t="str">
        <x:v>OCR 命中 SPIN/BET 词; 画面原型近邻；margin=0.0039</x:v>
      </x:c>
      <x:c r="P133" s="17" t="str">
        <x:v>Paamso9'sBank | 3,074,40( | COINS | 1,360,800 | 604,800 | COINS | COINS | TOTAL LOOT | 5,040,000 | COINS | 190000 | 16,852,633 | CREDIT GRAB | 01d 17h | 325/900 | .8K | Sale | PiCK ONE | 91K | BETx50 | 50/50 | SPIN | Clear Tycoon Quests(3/ | COLLECT</x:v>
      </x:c>
    </x:row>
    <x:row r="134">
      <x:c r="A134" s="17" t="str">
        <x:v>SEG_03_107</x:v>
      </x:c>
      <x:c r="B134" s="17" t="str">
        <x:v>TT_NEW_03</x:v>
      </x:c>
      <x:c r="C134" s="17" t="n">
        <x:v>2940</x:v>
      </x:c>
      <x:c r="D134" s="17" t="n">
        <x:v>2949</x:v>
      </x:c>
      <x:c r="E134" s="17" t="str">
        <x:v>00:49:00</x:v>
      </x:c>
      <x:c r="F134" s="17" t="str">
        <x:v>00:49:09</x:v>
      </x:c>
      <x:c r="G134" s="17" t="n">
        <x:v>10</x:v>
      </x:c>
      <x:c r="H134" s="17" t="str">
        <x:v>小游戏</x:v>
      </x:c>
      <x:c r="I134" s="17" t="str">
        <x:v>玩法/奖励依画面；主资源常不全显</x:v>
      </x:c>
      <x:c r="J134" s="17" t="str">
        <x:v>否</x:v>
      </x:c>
      <x:c r="K134" s="17" t="str">
        <x:v>保留机制；完整核账窗口不足</x:v>
      </x:c>
      <x:c r="L134" s="18" t="str">
        <x:v>/Users/mac/Documents/智囊团/video_analysis/Top_Tycoon新号流程_20260804/frames/TT_NEW_03/TT_NEW_03_t002940.jpg</x:v>
      </x:c>
      <x:c r="M134" s="17" t="n">
        <x:v>2940</x:v>
      </x:c>
      <x:c r="N134" s="17" t="str">
        <x:v>已确认</x:v>
      </x:c>
      <x:c r="O134" s="17" t="str">
        <x:v>OCR 命中小游戏名称/玩法词</x:v>
      </x:c>
      <x:c r="P134" s="17" t="str">
        <x:v>X | TYCOON PASS | 10/60 | 23 | 2 | 14d 17h | 6 | HAWATL | 5 | PHASE1</x:v>
      </x:c>
    </x:row>
    <x:row r="135">
      <x:c r="A135" s="17" t="str">
        <x:v>SEG_03_108</x:v>
      </x:c>
      <x:c r="B135" s="17" t="str">
        <x:v>TT_NEW_03</x:v>
      </x:c>
      <x:c r="C135" s="17" t="n">
        <x:v>2950</x:v>
      </x:c>
      <x:c r="D135" s="17" t="n">
        <x:v>3029</x:v>
      </x:c>
      <x:c r="E135" s="17" t="str">
        <x:v>00:49:10</x:v>
      </x:c>
      <x:c r="F135" s="17" t="str">
        <x:v>00:50:29</x:v>
      </x:c>
      <x:c r="G135" s="17" t="n">
        <x:v>80</x:v>
      </x:c>
      <x:c r="H135" s="17" t="str">
        <x:v>Slot</x:v>
      </x:c>
      <x:c r="I135" s="17" t="str">
        <x:v>BET/能量/金币/主进度通常可见；以事件帧为准</x:v>
      </x:c>
      <x:c r="J135" s="17" t="str">
        <x:v>否</x:v>
      </x:c>
      <x:c r="K135" s="17" t="str">
        <x:v>保留机制；缺逐 Spin 前后快照</x:v>
      </x:c>
      <x:c r="L135" s="18" t="str">
        <x:v>/Users/mac/Documents/智囊团/video_analysis/Top_Tycoon新号流程_20260804/frames/TT_NEW_03/TT_NEW_03_t002990.jpg</x:v>
      </x:c>
      <x:c r="M135" s="17" t="n">
        <x:v>2990</x:v>
      </x:c>
      <x:c r="N135" s="17" t="str">
        <x:v>已确认</x:v>
      </x:c>
      <x:c r="O135" s="17" t="str">
        <x:v>OCR 命中 SPIN/BET 词; 画面原型近邻；margin=0.0210; 相邻两侧同模块，平滑孤立原型误差</x:v>
      </x:c>
      <x:c r="P135" s="17" t="str">
        <x:v>190000 | 16,943,633 | SPORT | TOURNAMENT | ? | 80 | Rewards Collected 11/20 | ali.f | 170K | 470 | 1650 | Teri A.Hagen | 230 | 411 | J.R.Fetzer | 84K | 120 | 390 | 4 | JYeakel | 59K | 70 | 232 | 5 | John R.Moreman | 59K | 45 | 220 | 6 | Betsy Chapman | 59K | 30 | 198 | 11:42:04 | 177 | Game | 190000 | 16,943,633 | 2 | 0% | 11:41:54 | 0% | 100% | 0% | +66 | 14d17h | 06d18h | 10 | 6 | PACK | 325/900 | 6/6 | 06d17h | 02d11h | 1.8K | 15 | Sale | 01d11h | 05d17h | PiCK ONE | 89% |</x:v>
      </x:c>
    </x:row>
    <x:row r="136">
      <x:c r="A136" s="17" t="str">
        <x:v>SEG_03_109</x:v>
      </x:c>
      <x:c r="B136" s="17" t="str">
        <x:v>TT_NEW_03</x:v>
      </x:c>
      <x:c r="C136" s="17" t="n">
        <x:v>3030</x:v>
      </x:c>
      <x:c r="D136" s="17" t="n">
        <x:v>3079</x:v>
      </x:c>
      <x:c r="E136" s="17" t="str">
        <x:v>00:50:30</x:v>
      </x:c>
      <x:c r="F136" s="17" t="str">
        <x:v>00:51:19</x:v>
      </x:c>
      <x:c r="G136" s="17" t="n">
        <x:v>50</x:v>
      </x:c>
      <x:c r="H136" s="17" t="str">
        <x:v>建造</x:v>
      </x:c>
      <x:c r="I136" s="17" t="str">
        <x:v>金币可见；Site tasks/Next task cost 依画面</x:v>
      </x:c>
      <x:c r="J136" s="17" t="str">
        <x:v>是</x:v>
      </x:c>
      <x:c r="K136" s="17" t="str">
        <x:v>保留：建造金币核账窗口</x:v>
      </x:c>
      <x:c r="L136" s="18" t="str">
        <x:v>/Users/mac/Documents/智囊团/video_analysis/Top_Tycoon新号流程_20260804/frames/TT_NEW_03/TT_NEW_03_t003050.jpg</x:v>
      </x:c>
      <x:c r="M136" s="17" t="n">
        <x:v>3050</x:v>
      </x:c>
      <x:c r="N136" s="17" t="str">
        <x:v>待复核</x:v>
      </x:c>
      <x:c r="O136" s="17" t="str">
        <x:v>OCR 命中建造/Site tasks 词; 画面原型近邻；margin=0.0020; 画面原型近邻；margin=0.0031; 相邻两侧同模块，平滑孤立原型误差</x:v>
      </x:c>
      <x:c r="P136" s="17" t="str">
        <x:v>190000 | 17,163,833 | 2,459 | Create | Shop | Suggested | Friends | Enter team name here | X | Search | Germanen | Members | Join | 1/50 | ·LOW | luna | Members | Join | 46/50 | HIGH | zeekel | Members | Join | 1/50 | LOW | Chill And Play Members | Join | 19/50 | LOW | Kakma Chubby | Members | Join | 21/50 | ·HIGH | les tuches | Members | Join | 1/50 | ·LOW | YoBro | Members | Join | 4/50 | LOW | Forever | Members | Join | 3/50 | ·LOW | 22 | Team | Chill And Play | Members | </x:v>
      </x:c>
    </x:row>
    <x:row r="137">
      <x:c r="A137" s="17" t="str">
        <x:v>SEG_03_110</x:v>
      </x:c>
      <x:c r="B137" s="17" t="str">
        <x:v>TT_NEW_03</x:v>
      </x:c>
      <x:c r="C137" s="17" t="n">
        <x:v>3080</x:v>
      </x:c>
      <x:c r="D137" s="17" t="n">
        <x:v>3089</x:v>
      </x:c>
      <x:c r="E137" s="17" t="str">
        <x:v>00:51:20</x:v>
      </x:c>
      <x:c r="F137" s="17" t="str">
        <x:v>00:51:29</x:v>
      </x:c>
      <x:c r="G137" s="17" t="n">
        <x:v>10</x:v>
      </x:c>
      <x:c r="H137" s="17" t="str">
        <x:v>转场/加载</x:v>
      </x:c>
      <x:c r="I137" s="17" t="str">
        <x:v>数值不可读或不适用</x:v>
      </x:c>
      <x:c r="J137" s="17" t="str">
        <x:v>否</x:v>
      </x:c>
      <x:c r="K137" s="17" t="str">
        <x:v>排除：转场/加载，不进入数值统计</x:v>
      </x:c>
      <x:c r="L137" s="18" t="str">
        <x:v>/Users/mac/Documents/智囊团/video_analysis/Top_Tycoon新号流程_20260804/frames/TT_NEW_03/TT_NEW_03_t003080.jpg</x:v>
      </x:c>
      <x:c r="M137" s="17" t="n">
        <x:v>3080</x:v>
      </x:c>
      <x:c r="N137" s="17" t="str">
        <x:v>待复核</x:v>
      </x:c>
      <x:c r="O137" s="17" t="str">
        <x:v>画面原型近邻；margin=0.0025</x:v>
      </x:c>
      <x:c r="P137" s="17" t="str">
        <x:v>204000 | CONGRATULAT | Dream | 160 | Clear Tycoon Quests (3/3) | 215,610 | 68/Sec | Site</x:v>
      </x:c>
    </x:row>
    <x:row r="138">
      <x:c r="A138" s="17" t="str">
        <x:v>SEG_03_111</x:v>
      </x:c>
      <x:c r="B138" s="17" t="str">
        <x:v>TT_NEW_03</x:v>
      </x:c>
      <x:c r="C138" s="17" t="n">
        <x:v>3090</x:v>
      </x:c>
      <x:c r="D138" s="17" t="n">
        <x:v>3099</x:v>
      </x:c>
      <x:c r="E138" s="17" t="str">
        <x:v>00:51:30</x:v>
      </x:c>
      <x:c r="F138" s="17" t="str">
        <x:v>00:51:39</x:v>
      </x:c>
      <x:c r="G138" s="17" t="n">
        <x:v>10</x:v>
      </x:c>
      <x:c r="H138" s="17" t="str">
        <x:v>小游戏</x:v>
      </x:c>
      <x:c r="I138" s="17" t="str">
        <x:v>玩法/奖励依画面；主资源常不全显</x:v>
      </x:c>
      <x:c r="J138" s="17" t="str">
        <x:v>否</x:v>
      </x:c>
      <x:c r="K138" s="17" t="str">
        <x:v>保留机制；完整核账窗口不足</x:v>
      </x:c>
      <x:c r="L138" s="18" t="str">
        <x:v>/Users/mac/Documents/智囊团/video_analysis/Top_Tycoon新号流程_20260804/frames/TT_NEW_03/TT_NEW_03_t003090.jpg</x:v>
      </x:c>
      <x:c r="M138" s="17" t="n">
        <x:v>3090</x:v>
      </x:c>
      <x:c r="N138" s="17" t="str">
        <x:v>待复核</x:v>
      </x:c>
      <x:c r="O138" s="17" t="str">
        <x:v>画面原型近邻；margin=0.0181</x:v>
      </x:c>
      <x:c r="P138" s="17" t="str">
        <x:v>CONGRATULATIONS! | Dream | NEW | Sleigh | Clear Tycoon Quests(3/3) | 216,289 | 68/Sec | Site</x:v>
      </x:c>
    </x:row>
    <x:row r="139">
      <x:c r="A139" s="17" t="str">
        <x:v>SEG_03_112</x:v>
      </x:c>
      <x:c r="B139" s="17" t="str">
        <x:v>TT_NEW_03</x:v>
      </x:c>
      <x:c r="C139" s="17" t="n">
        <x:v>3100</x:v>
      </x:c>
      <x:c r="D139" s="17" t="n">
        <x:v>3119</x:v>
      </x:c>
      <x:c r="E139" s="17" t="str">
        <x:v>00:51:40</x:v>
      </x:c>
      <x:c r="F139" s="17" t="str">
        <x:v>00:51:59</x:v>
      </x:c>
      <x:c r="G139" s="17" t="n">
        <x:v>20</x:v>
      </x:c>
      <x:c r="H139" s="17" t="str">
        <x:v>礼包</x:v>
      </x:c>
      <x:c r="I139" s="17" t="str">
        <x:v>价格/内容可能可见；未观察购买后余额</x:v>
      </x:c>
      <x:c r="J139" s="17" t="str">
        <x:v>否</x:v>
      </x:c>
      <x:c r="K139" s="17" t="str">
        <x:v>保留 offer_shown；无购买前后闭环</x:v>
      </x:c>
      <x:c r="L139" s="18" t="str">
        <x:v>/Users/mac/Documents/智囊团/video_analysis/Top_Tycoon新号流程_20260804/frames/TT_NEW_03/TT_NEW_03_t003110.jpg</x:v>
      </x:c>
      <x:c r="M139" s="17" t="n">
        <x:v>3110</x:v>
      </x:c>
      <x:c r="N139" s="17" t="str">
        <x:v>待复核</x:v>
      </x:c>
      <x:c r="O139" s="17" t="str">
        <x:v>画面原型近邻；margin=0.0062; 画面原型近邻；margin=0.0105</x:v>
      </x:c>
      <x:c r="P139" s="17" t="str">
        <x:v>13,491,461 | 亚 | StarryGate | 0/61000 | What if we made tourists | scream with delightbefore | they even stepped inside? | A prelude to the magic! | Ava | 217,000 | 0187 | 206000 | 13,708,495 | Starry Gate | 30 | 1000/61000 | rean | Showrewards | 3 | 125% | 23h39m | BUFF | 米 | Clear Tycoon Quests（3/3） | +1/SecGs | NEXTTASKCOST | 620 | 0562 | +205/Sec | 11 | 22 | Site</x:v>
      </x:c>
    </x:row>
    <x:row r="140">
      <x:c r="A140" s="17" t="str">
        <x:v>SEG_03_113</x:v>
      </x:c>
      <x:c r="B140" s="17" t="str">
        <x:v>TT_NEW_03</x:v>
      </x:c>
      <x:c r="C140" s="17" t="n">
        <x:v>3120</x:v>
      </x:c>
      <x:c r="D140" s="17" t="n">
        <x:v>3129</x:v>
      </x:c>
      <x:c r="E140" s="17" t="str">
        <x:v>00:52:00</x:v>
      </x:c>
      <x:c r="F140" s="17" t="str">
        <x:v>00:52:09</x:v>
      </x:c>
      <x:c r="G140" s="17" t="n">
        <x:v>10</x:v>
      </x:c>
      <x:c r="H140" s="17" t="str">
        <x:v>建造</x:v>
      </x:c>
      <x:c r="I140" s="17" t="str">
        <x:v>金币可见；Site tasks/Next task cost 依画面</x:v>
      </x:c>
      <x:c r="J140" s="17" t="str">
        <x:v>否</x:v>
      </x:c>
      <x:c r="K140" s="17" t="str">
        <x:v>保留机制；待建造余额闭合</x:v>
      </x:c>
      <x:c r="L140" s="18" t="str">
        <x:v>/Users/mac/Documents/智囊团/video_analysis/Top_Tycoon新号流程_20260804/frames/TT_NEW_03/TT_NEW_03_t003120.jpg</x:v>
      </x:c>
      <x:c r="M140" s="17" t="n">
        <x:v>3120</x:v>
      </x:c>
      <x:c r="N140" s="17" t="str">
        <x:v>已确认</x:v>
      </x:c>
      <x:c r="O140" s="17" t="str">
        <x:v>OCR 命中建造/Site tasks 词</x:v>
      </x:c>
      <x:c r="P140" s="17" t="str">
        <x:v>225000 | 13,567,760 | Starry Gate | 19000/61000 | Show rewards | 5 | 84% | 23h39m | BUFF | 9 | icket Gate | 国 | Clear Tycoon Quests(3/3) | NEXTTASKCOST | TOTAL EARNINGS | 2,986 | 019,875 | +225/Sec | 11 | Site</x:v>
      </x:c>
    </x:row>
    <x:row r="141">
      <x:c r="A141" s="17" t="str">
        <x:v>SEG_03_114</x:v>
      </x:c>
      <x:c r="B141" s="17" t="str">
        <x:v>TT_NEW_03</x:v>
      </x:c>
      <x:c r="C141" s="17" t="n">
        <x:v>3130</x:v>
      </x:c>
      <x:c r="D141" s="17" t="n">
        <x:v>3149</x:v>
      </x:c>
      <x:c r="E141" s="17" t="str">
        <x:v>00:52:10</x:v>
      </x:c>
      <x:c r="F141" s="17" t="str">
        <x:v>00:52:29</x:v>
      </x:c>
      <x:c r="G141" s="17" t="n">
        <x:v>20</x:v>
      </x:c>
      <x:c r="H141" s="17" t="str">
        <x:v>转场/加载</x:v>
      </x:c>
      <x:c r="I141" s="17" t="str">
        <x:v>数值不可读或不适用</x:v>
      </x:c>
      <x:c r="J141" s="17" t="str">
        <x:v>否</x:v>
      </x:c>
      <x:c r="K141" s="17" t="str">
        <x:v>排除：转场/加载，不进入数值统计</x:v>
      </x:c>
      <x:c r="L141" s="18" t="str">
        <x:v>/Users/mac/Documents/智囊团/video_analysis/Top_Tycoon新号流程_20260804/frames/TT_NEW_03/TT_NEW_03_t003140.jpg</x:v>
      </x:c>
      <x:c r="M141" s="17" t="n">
        <x:v>3140</x:v>
      </x:c>
      <x:c r="N141" s="17" t="str">
        <x:v>待复核</x:v>
      </x:c>
      <x:c r="O141" s="17" t="str">
        <x:v>画面原型近邻；margin=0.0003; 画面原型近邻；margin=0.0088</x:v>
      </x:c>
      <x:c r="P141" s="17" t="str">
        <x:v>242000 | 12,990,156 | Starry Gate | 33000/61000 | vards | 17% | 23h39m | BUFF | 60 | 2 | Ticket Gate | Clear Tycoon Quests(3/3) | +1/SeCGs | NEXTTASKCOST | TO | 5,338 | 59,812 | +242/Sec | 11 | 222 | Site | 255000 | 11,929,645 | Starry Gate | 49000/61000 | Showrewards | 55% | 23h38m | BUFF | Ticket | P | Clear Tycoon Quests(3/3) | NEXTTASKCOST | TOTA | EARNINGS | 7,600 | 130,129 | +254/Sec | 11 | 222 | Site</x:v>
      </x:c>
    </x:row>
    <x:row r="142">
      <x:c r="A142" s="17" t="str">
        <x:v>SEG_03_115</x:v>
      </x:c>
      <x:c r="B142" s="17" t="str">
        <x:v>TT_NEW_03</x:v>
      </x:c>
      <x:c r="C142" s="17" t="n">
        <x:v>3150</x:v>
      </x:c>
      <x:c r="D142" s="17" t="n">
        <x:v>3159</x:v>
      </x:c>
      <x:c r="E142" s="17" t="str">
        <x:v>00:52:30</x:v>
      </x:c>
      <x:c r="F142" s="17" t="str">
        <x:v>00:52:39</x:v>
      </x:c>
      <x:c r="G142" s="17" t="n">
        <x:v>10</x:v>
      </x:c>
      <x:c r="H142" s="17" t="str">
        <x:v>建造</x:v>
      </x:c>
      <x:c r="I142" s="17" t="str">
        <x:v>金币可见；Site tasks/Next task cost 依画面</x:v>
      </x:c>
      <x:c r="J142" s="17" t="str">
        <x:v>否</x:v>
      </x:c>
      <x:c r="K142" s="17" t="str">
        <x:v>保留机制；待建造余额闭合</x:v>
      </x:c>
      <x:c r="L142" s="18" t="str">
        <x:v>/Users/mac/Documents/智囊团/video_analysis/Top_Tycoon新号流程_20260804/frames/TT_NEW_03/TT_NEW_03_t003150.jpg</x:v>
      </x:c>
      <x:c r="M142" s="17" t="n">
        <x:v>3150</x:v>
      </x:c>
      <x:c r="N142" s="17" t="str">
        <x:v>已确认</x:v>
      </x:c>
      <x:c r="O142" s="17" t="str">
        <x:v>OCR 命中建造/Site tasks 词</x:v>
      </x:c>
      <x:c r="P142" s="17" t="str">
        <x:v>265000 | 9,898,668 | Starry Gate | 61000/61000 | /Show | reward | 82% | 23h38m | BUFF | 2 | 145 | Ticket Gate | 61 | Gate | WELCOA | Clear Tycoon Quests(3/3) | TOTAL EARNINGS | 10,198 | +265/Sec | 11 | Site</x:v>
      </x:c>
    </x:row>
    <x:row r="143">
      <x:c r="A143" s="17" t="str">
        <x:v>SEG_03_116</x:v>
      </x:c>
      <x:c r="B143" s="17" t="str">
        <x:v>TT_NEW_03</x:v>
      </x:c>
      <x:c r="C143" s="17" t="n">
        <x:v>3160</x:v>
      </x:c>
      <x:c r="D143" s="17" t="n">
        <x:v>3169</x:v>
      </x:c>
      <x:c r="E143" s="17" t="str">
        <x:v>00:52:40</x:v>
      </x:c>
      <x:c r="F143" s="17" t="str">
        <x:v>00:52:49</x:v>
      </x:c>
      <x:c r="G143" s="17" t="n">
        <x:v>10</x:v>
      </x:c>
      <x:c r="H143" s="17" t="str">
        <x:v>小游戏</x:v>
      </x:c>
      <x:c r="I143" s="17" t="str">
        <x:v>玩法/奖励依画面；主资源常不全显</x:v>
      </x:c>
      <x:c r="J143" s="17" t="str">
        <x:v>否</x:v>
      </x:c>
      <x:c r="K143" s="17" t="str">
        <x:v>保留机制；完整核账窗口不足</x:v>
      </x:c>
      <x:c r="L143" s="18" t="str">
        <x:v>/Users/mac/Documents/智囊团/video_analysis/Top_Tycoon新号流程_20260804/frames/TT_NEW_03/TT_NEW_03_t003160.jpg</x:v>
      </x:c>
      <x:c r="M143" s="17" t="n">
        <x:v>3160</x:v>
      </x:c>
      <x:c r="N143" s="17" t="str">
        <x:v>待复核</x:v>
      </x:c>
      <x:c r="O143" s="17" t="str">
        <x:v>画面原型近邻；margin=0.0546</x:v>
      </x:c>
      <x:c r="P143" s="17" t="str">
        <x:v>2650 | 298,668 | BUFF | Ticket Gate | 100 | Gate | 三 | Clear Tycoon Quests (3/3) | 12,854 | +265/Sec | LL | 副必 | Site</x:v>
      </x:c>
    </x:row>
    <x:row r="144">
      <x:c r="A144" s="17" t="str">
        <x:v>SEG_03_117</x:v>
      </x:c>
      <x:c r="B144" s="17" t="str">
        <x:v>TT_NEW_03</x:v>
      </x:c>
      <x:c r="C144" s="17" t="n">
        <x:v>3170</x:v>
      </x:c>
      <x:c r="D144" s="17" t="n">
        <x:v>3199</x:v>
      </x:c>
      <x:c r="E144" s="17" t="str">
        <x:v>00:52:50</x:v>
      </x:c>
      <x:c r="F144" s="17" t="str">
        <x:v>00:53:19</x:v>
      </x:c>
      <x:c r="G144" s="17" t="n">
        <x:v>30</x:v>
      </x:c>
      <x:c r="H144" s="17" t="str">
        <x:v>转场/加载</x:v>
      </x:c>
      <x:c r="I144" s="17" t="str">
        <x:v>数值不可读或不适用</x:v>
      </x:c>
      <x:c r="J144" s="17" t="str">
        <x:v>否</x:v>
      </x:c>
      <x:c r="K144" s="17" t="str">
        <x:v>排除：转场/加载，不进入数值统计</x:v>
      </x:c>
      <x:c r="L144" s="18" t="str">
        <x:v>/Users/mac/Documents/智囊团/video_analysis/Top_Tycoon新号流程_20260804/frames/TT_NEW_03/TT_NEW_03_t003180.jpg</x:v>
      </x:c>
      <x:c r="M144" s="17" t="n">
        <x:v>3180</x:v>
      </x:c>
      <x:c r="N144" s="17" t="str">
        <x:v>待复核</x:v>
      </x:c>
      <x:c r="O144" s="17" t="str">
        <x:v>低亮度/低饱和转场; 画面原型近邻；margin=0.0011; 相邻两侧同模块，平滑孤立原型误差</x:v>
      </x:c>
      <x:c r="P144" s="17" t="str">
        <x:v>nightmare! | Ava | Ihope you understand, | MissAva.Thatwill be all | for our call today.Good | day. | Grimes | Ava,mydear!Thechildren | absolutelyadore thenew | fairy-tale castle we built! | Tycoon | This is utterly despicable, | Tycoon! Howcouldyou?! | Ava | I placed my trust in you, | my faith! And you...you | hid the truth about the | park's imminent demise! | Ava | 240 | 266000 | 10,298,453 | Green Dock | 0/30000 | Showrewards:ket Gate | 7 | 83% | 23h38m | BUFF | 172 | Ga</x:v>
      </x:c>
    </x:row>
    <x:row r="145">
      <x:c r="A145" s="17" t="str">
        <x:v>SEG_03_118</x:v>
      </x:c>
      <x:c r="B145" s="17" t="str">
        <x:v>TT_NEW_03</x:v>
      </x:c>
      <x:c r="C145" s="17" t="n">
        <x:v>3200</x:v>
      </x:c>
      <x:c r="D145" s="17" t="n">
        <x:v>3219</x:v>
      </x:c>
      <x:c r="E145" s="17" t="str">
        <x:v>00:53:20</x:v>
      </x:c>
      <x:c r="F145" s="17" t="str">
        <x:v>00:53:39</x:v>
      </x:c>
      <x:c r="G145" s="17" t="n">
        <x:v>20</x:v>
      </x:c>
      <x:c r="H145" s="17" t="str">
        <x:v>礼包</x:v>
      </x:c>
      <x:c r="I145" s="17" t="str">
        <x:v>价格/内容可能可见；未观察购买后余额</x:v>
      </x:c>
      <x:c r="J145" s="17" t="str">
        <x:v>否</x:v>
      </x:c>
      <x:c r="K145" s="17" t="str">
        <x:v>保留 offer_shown；无购买前后闭环</x:v>
      </x:c>
      <x:c r="L145" s="18" t="str">
        <x:v>/Users/mac/Documents/智囊团/video_analysis/Top_Tycoon新号流程_20260804/frames/TT_NEW_03/TT_NEW_03_t003210.jpg</x:v>
      </x:c>
      <x:c r="M145" s="17" t="n">
        <x:v>3210</x:v>
      </x:c>
      <x:c r="N145" s="17" t="str">
        <x:v>待复核</x:v>
      </x:c>
      <x:c r="O145" s="17" t="str">
        <x:v>画面原型近邻；margin=0.0033; 画面原型近邻；margin=0.0099</x:v>
      </x:c>
      <x:c r="P145" s="17" t="str">
        <x:v>Hot Air Balloon | 294000 | 9,554,124 | 三 | Green Dock | 27000/30000 | Showrewards | Gate | 6 | 37% | 23h37m | BUFF | Clear Tycoon Quests (3/3) | +1/Sec | NEXTTASKCOST | To | 24,026 | 122,400 | +294/Sec | 11 | Site | 295000 | 9,410,108 | Cruise Ship | 175 | Clear Tycoon Quests (3/3) | 26,554 | +295/Sec | 11 | Site</x:v>
      </x:c>
    </x:row>
    <x:row r="146">
      <x:c r="A146" s="17" t="str">
        <x:v>SEG_03_119</x:v>
      </x:c>
      <x:c r="B146" s="17" t="str">
        <x:v>TT_NEW_03</x:v>
      </x:c>
      <x:c r="C146" s="17" t="n">
        <x:v>3220</x:v>
      </x:c>
      <x:c r="D146" s="17" t="n">
        <x:v>3279</x:v>
      </x:c>
      <x:c r="E146" s="17" t="str">
        <x:v>00:53:40</x:v>
      </x:c>
      <x:c r="F146" s="17" t="str">
        <x:v>00:54:39</x:v>
      </x:c>
      <x:c r="G146" s="17" t="n">
        <x:v>60</x:v>
      </x:c>
      <x:c r="H146" s="17" t="str">
        <x:v>建造</x:v>
      </x:c>
      <x:c r="I146" s="17" t="str">
        <x:v>金币可见；Site tasks/Next task cost 依画面</x:v>
      </x:c>
      <x:c r="J146" s="17" t="str">
        <x:v>是</x:v>
      </x:c>
      <x:c r="K146" s="17" t="str">
        <x:v>保留：建造金币核账窗口</x:v>
      </x:c>
      <x:c r="L146" s="18" t="str">
        <x:v>/Users/mac/Documents/智囊团/video_analysis/Top_Tycoon新号流程_20260804/frames/TT_NEW_03/TT_NEW_03_t003250.jpg</x:v>
      </x:c>
      <x:c r="M146" s="17" t="n">
        <x:v>3250</x:v>
      </x:c>
      <x:c r="N146" s="17" t="str">
        <x:v>已确认</x:v>
      </x:c>
      <x:c r="O146" s="17" t="str">
        <x:v>OCR 命中建造/Site tasks 词; 相邻两侧同模块，平滑孤立原型误差</x:v>
      </x:c>
      <x:c r="P146" s="17" t="str">
        <x:v>295000 | 9,410,108 | Circus Mirage | 0/67000 | Show rewards | 6 | 42% | 23h37m | BUFF | 424 | Clear Tycoon Quests(3/3) | 340 | NEXTTASKCOST | TOTAL EARNINGS | 29,588 | 0187 | +295/Sec | 13 | 222 | Site | 299000 | 9,409,357 | Circus Mirage | 000/67000 | nowrewards | 47% | 23h37m | BUFF | 9 | Ticket( | 376 | Clear Tycoon Quests(3/3) | Gate | +1/Sec | NEXTTASKCOST | TO | +1/SecNGS | 32,424 | 01,312 | 1. | +299/Sec | 13 | 222 | Site | 315000 | 9,292,057 | Circus Mirage | 20000/67</x:v>
      </x:c>
    </x:row>
    <x:row r="147">
      <x:c r="A147" s="17" t="str">
        <x:v>SEG_03_120</x:v>
      </x:c>
      <x:c r="B147" s="17" t="str">
        <x:v>TT_NEW_03</x:v>
      </x:c>
      <x:c r="C147" s="17" t="n">
        <x:v>3280</x:v>
      </x:c>
      <x:c r="D147" s="17" t="n">
        <x:v>3289</x:v>
      </x:c>
      <x:c r="E147" s="17" t="str">
        <x:v>00:54:40</x:v>
      </x:c>
      <x:c r="F147" s="17" t="str">
        <x:v>00:54:49</x:v>
      </x:c>
      <x:c r="G147" s="17" t="n">
        <x:v>10</x:v>
      </x:c>
      <x:c r="H147" s="17" t="str">
        <x:v>小游戏</x:v>
      </x:c>
      <x:c r="I147" s="17" t="str">
        <x:v>玩法/奖励依画面；主资源常不全显</x:v>
      </x:c>
      <x:c r="J147" s="17" t="str">
        <x:v>否</x:v>
      </x:c>
      <x:c r="K147" s="17" t="str">
        <x:v>保留机制；完整核账窗口不足</x:v>
      </x:c>
      <x:c r="L147" s="18" t="str">
        <x:v>/Users/mac/Documents/智囊团/video_analysis/Top_Tycoon新号流程_20260804/frames/TT_NEW_03/TT_NEW_03_t003280.jpg</x:v>
      </x:c>
      <x:c r="M147" s="17" t="n">
        <x:v>3280</x:v>
      </x:c>
      <x:c r="N147" s="17" t="str">
        <x:v>待复核</x:v>
      </x:c>
      <x:c r="O147" s="17" t="str">
        <x:v>画面原型近邻；margin=0.0234</x:v>
      </x:c>
      <x:c r="P147" s="17" t="str">
        <x:v>5,053,612 | octo-whif | 0/96000 | Ava, get this! The carousel | has reached2o0% | capacity! A huge success! | Tycoon | The children's smiles mean | just as much to me. Let me | help, please. | Tycoon | Tycoon... | Ava | NEXTTASK | 49,170 | O112</x:v>
      </x:c>
    </x:row>
    <x:row r="148">
      <x:c r="A148" s="17" t="str">
        <x:v>SEG_03_121</x:v>
      </x:c>
      <x:c r="B148" s="17" t="str">
        <x:v>TT_NEW_03</x:v>
      </x:c>
      <x:c r="C148" s="17" t="n">
        <x:v>3290</x:v>
      </x:c>
      <x:c r="D148" s="17" t="n">
        <x:v>3299</x:v>
      </x:c>
      <x:c r="E148" s="17" t="str">
        <x:v>00:54:50</x:v>
      </x:c>
      <x:c r="F148" s="17" t="str">
        <x:v>00:54:59</x:v>
      </x:c>
      <x:c r="G148" s="17" t="n">
        <x:v>10</x:v>
      </x:c>
      <x:c r="H148" s="17" t="str">
        <x:v>礼包</x:v>
      </x:c>
      <x:c r="I148" s="17" t="str">
        <x:v>价格/内容可能可见；未观察购买后余额</x:v>
      </x:c>
      <x:c r="J148" s="17" t="str">
        <x:v>否</x:v>
      </x:c>
      <x:c r="K148" s="17" t="str">
        <x:v>保留 offer_shown；无购买前后闭环</x:v>
      </x:c>
      <x:c r="L148" s="18" t="str">
        <x:v>/Users/mac/Documents/智囊团/video_analysis/Top_Tycoon新号流程_20260804/frames/TT_NEW_03/TT_NEW_03_t003290.jpg</x:v>
      </x:c>
      <x:c r="M148" s="17" t="n">
        <x:v>3290</x:v>
      </x:c>
      <x:c r="N148" s="17" t="str">
        <x:v>待复核</x:v>
      </x:c>
      <x:c r="O148" s="17" t="str">
        <x:v>画面原型近邻；margin=0.0079</x:v>
      </x:c>
      <x:c r="P148" s="17" t="str">
        <x:v>366000 | 5,052,803 | Octo-Whirl | 2000/96000 | Showrewards | 12 | 14% | 23h36m | BUFF | 324 | Carousel | 米 | Clear Tycoon Quests(3/3) | +1/SeGGs | NEXTTASKCOST | TO | 52,739 | 0787 | +366/Sec | 13 | 22 | Site</x:v>
      </x:c>
    </x:row>
    <x:row r="149">
      <x:c r="A149" s="17" t="str">
        <x:v>SEG_03_122</x:v>
      </x:c>
      <x:c r="B149" s="17" t="str">
        <x:v>TT_NEW_03</x:v>
      </x:c>
      <x:c r="C149" s="17" t="n">
        <x:v>3300</x:v>
      </x:c>
      <x:c r="D149" s="17" t="n">
        <x:v>3309</x:v>
      </x:c>
      <x:c r="E149" s="17" t="str">
        <x:v>00:55:00</x:v>
      </x:c>
      <x:c r="F149" s="17" t="str">
        <x:v>00:55:09</x:v>
      </x:c>
      <x:c r="G149" s="17" t="n">
        <x:v>10</x:v>
      </x:c>
      <x:c r="H149" s="17" t="str">
        <x:v>建造</x:v>
      </x:c>
      <x:c r="I149" s="17" t="str">
        <x:v>金币可见；Site tasks/Next task cost 依画面</x:v>
      </x:c>
      <x:c r="J149" s="17" t="str">
        <x:v>否</x:v>
      </x:c>
      <x:c r="K149" s="17" t="str">
        <x:v>保留机制；待建造余额闭合</x:v>
      </x:c>
      <x:c r="L149" s="18" t="str">
        <x:v>/Users/mac/Documents/智囊团/video_analysis/Top_Tycoon新号流程_20260804/frames/TT_NEW_03/TT_NEW_03_t003300.jpg</x:v>
      </x:c>
      <x:c r="M149" s="17" t="n">
        <x:v>3300</x:v>
      </x:c>
      <x:c r="N149" s="17" t="str">
        <x:v>已确认</x:v>
      </x:c>
      <x:c r="O149" s="17" t="str">
        <x:v>OCR 命中建造/Site tasks 词</x:v>
      </x:c>
      <x:c r="P149" s="17" t="str">
        <x:v>386000 | 4,932,413 | Octo-Whirl | 21000/96000 | Showrewards | 37% | 23h36m | BUFF | 378 | Circus | Clear Tycoon Quests(3/3) | +1/Sec | NEXT TASKCOST | TO | EARNINGS | 56,699 | 015,187 | 1. | +386/Sec | 13 | 222 | Site</x:v>
      </x:c>
    </x:row>
    <x:row r="150">
      <x:c r="A150" s="17" t="str">
        <x:v>SEG_03_123</x:v>
      </x:c>
      <x:c r="B150" s="17" t="str">
        <x:v>TT_NEW_03</x:v>
      </x:c>
      <x:c r="C150" s="17" t="n">
        <x:v>3310</x:v>
      </x:c>
      <x:c r="D150" s="17" t="n">
        <x:v>3349</x:v>
      </x:c>
      <x:c r="E150" s="17" t="str">
        <x:v>00:55:10</x:v>
      </x:c>
      <x:c r="F150" s="17" t="str">
        <x:v>00:55:49</x:v>
      </x:c>
      <x:c r="G150" s="17" t="n">
        <x:v>40</x:v>
      </x:c>
      <x:c r="H150" s="17" t="str">
        <x:v>Slot</x:v>
      </x:c>
      <x:c r="I150" s="17" t="str">
        <x:v>BET/能量/金币/主进度通常可见；以事件帧为准</x:v>
      </x:c>
      <x:c r="J150" s="17" t="str">
        <x:v>否</x:v>
      </x:c>
      <x:c r="K150" s="17" t="str">
        <x:v>保留机制；缺逐 Spin 前后快照</x:v>
      </x:c>
      <x:c r="L150" s="18" t="str">
        <x:v>/Users/mac/Documents/智囊团/video_analysis/Top_Tycoon新号流程_20260804/frames/TT_NEW_03/TT_NEW_03_t003330.jpg</x:v>
      </x:c>
      <x:c r="M150" s="17" t="n">
        <x:v>3330</x:v>
      </x:c>
      <x:c r="N150" s="17" t="str">
        <x:v>已确认</x:v>
      </x:c>
      <x:c r="O150" s="17" t="str">
        <x:v>OCR 命中 SPIN/BET 词</x:v>
      </x:c>
      <x:c r="P150" s="17" t="str">
        <x:v>400000 | 4,644,440 | Octo-Whir | 35000/96000 | Showrewards | 13 | 67% | 23h36m | BUFF | P | Earncoinsin the slots(o/48K) | +i/see | NEXTTASKCOST | TO | 60.179 | 035,887 | +397/Sec | 13 | 222 | Site | 418000 | 3,720,792 | Octo-Whirl | 52000/96000 | Show rewards | 15 | MAX | 23h35m | BUFF | Swinger | 米 | 2121 | Dream Ca | Earn coins in the slotsCo/48K) | +1/sec | NEXTTASKCOST | TO | EARNINGS | 64.903 | 075,712 | +417/Sec | 13 | D | Site | 438000 | 1,662,496 | Octo-Whirl | 71000</x:v>
      </x:c>
    </x:row>
    <x:row r="151">
      <x:c r="A151" s="17" t="str">
        <x:v>SEG_03_124</x:v>
      </x:c>
      <x:c r="B151" s="17" t="str">
        <x:v>TT_NEW_03</x:v>
      </x:c>
      <x:c r="C151" s="17" t="n">
        <x:v>3350</x:v>
      </x:c>
      <x:c r="D151" s="17" t="n">
        <x:v>3359</x:v>
      </x:c>
      <x:c r="E151" s="17" t="str">
        <x:v>00:55:50</x:v>
      </x:c>
      <x:c r="F151" s="17" t="str">
        <x:v>00:55:59</x:v>
      </x:c>
      <x:c r="G151" s="17" t="n">
        <x:v>10</x:v>
      </x:c>
      <x:c r="H151" s="17" t="str">
        <x:v>建造</x:v>
      </x:c>
      <x:c r="I151" s="17" t="str">
        <x:v>金币可见；Site tasks/Next task cost 依画面</x:v>
      </x:c>
      <x:c r="J151" s="17" t="str">
        <x:v>否</x:v>
      </x:c>
      <x:c r="K151" s="17" t="str">
        <x:v>保留机制；待建造余额闭合</x:v>
      </x:c>
      <x:c r="L151" s="18" t="str">
        <x:v>/Users/mac/Documents/智囊团/video_analysis/Top_Tycoon新号流程_20260804/frames/TT_NEW_03/TT_NEW_03_t003350.jpg</x:v>
      </x:c>
      <x:c r="M151" s="17" t="n">
        <x:v>3350</x:v>
      </x:c>
      <x:c r="N151" s="17" t="str">
        <x:v>已确认</x:v>
      </x:c>
      <x:c r="O151" s="17" t="str">
        <x:v>OCR 命中建造/Site tasks 词</x:v>
      </x:c>
      <x:c r="P151" s="17" t="str">
        <x:v>447000 | 152,112 | Octo-Whil | 85000/96000 | Showrewards | 15 | MAX | 23h35m | BUFF | Swinger | Insufficient coins | 米 | 2390 | Drear | Earn coinsin the slots(o/48k) | NEXT TASK COST | TOTAL EARNINGS | 77.288 | 4 | 192,375 | +447/Sec | 13 | Site</x:v>
      </x:c>
    </x:row>
    <x:row r="152">
      <x:c r="A152" s="17" t="str">
        <x:v>SEG_03_125</x:v>
      </x:c>
      <x:c r="B152" s="17" t="str">
        <x:v>TT_NEW_03</x:v>
      </x:c>
      <x:c r="C152" s="17" t="n">
        <x:v>3360</x:v>
      </x:c>
      <x:c r="D152" s="17" t="n">
        <x:v>3369</x:v>
      </x:c>
      <x:c r="E152" s="17" t="str">
        <x:v>00:56:00</x:v>
      </x:c>
      <x:c r="F152" s="17" t="str">
        <x:v>00:56:09</x:v>
      </x:c>
      <x:c r="G152" s="17" t="n">
        <x:v>10</x:v>
      </x:c>
      <x:c r="H152" s="17" t="str">
        <x:v>Slot</x:v>
      </x:c>
      <x:c r="I152" s="17" t="str">
        <x:v>BET/能量/金币/主进度通常可见；以事件帧为准</x:v>
      </x:c>
      <x:c r="J152" s="17" t="str">
        <x:v>否</x:v>
      </x:c>
      <x:c r="K152" s="17" t="str">
        <x:v>保留机制；缺逐 Spin 前后快照</x:v>
      </x:c>
      <x:c r="L152" s="18" t="str">
        <x:v>/Users/mac/Documents/智囊团/video_analysis/Top_Tycoon新号流程_20260804/frames/TT_NEW_03/TT_NEW_03_t003360.jpg</x:v>
      </x:c>
      <x:c r="M152" s="17" t="n">
        <x:v>3360</x:v>
      </x:c>
      <x:c r="N152" s="17" t="str">
        <x:v>已确认</x:v>
      </x:c>
      <x:c r="O152" s="17" t="str">
        <x:v>OCR 命中 SPIN/BET 词</x:v>
      </x:c>
      <x:c r="P152" s="17" t="str">
        <x:v>447000 | 152,112 | Octo-Whir | 85000/96000 | Showrewards | 15 | MAX | 23h35m | BUFF | 仓 | 9 | 506 | Ferris Wheel | Earn coins in the slots (o/48K) | NEXTTASKCOST | TOTALEARNINGS | 4 | 81,750 | 192,379 | +447/Sec | 13 | 222 | Site</x:v>
      </x:c>
    </x:row>
    <x:row r="153">
      <x:c r="A153" s="17" t="str">
        <x:v>SEG_03_126</x:v>
      </x:c>
      <x:c r="B153" s="17" t="str">
        <x:v>TT_NEW_03</x:v>
      </x:c>
      <x:c r="C153" s="17" t="n">
        <x:v>3370</x:v>
      </x:c>
      <x:c r="D153" s="17" t="n">
        <x:v>3419</x:v>
      </x:c>
      <x:c r="E153" s="17" t="str">
        <x:v>00:56:10</x:v>
      </x:c>
      <x:c r="F153" s="17" t="str">
        <x:v>00:56:59</x:v>
      </x:c>
      <x:c r="G153" s="17" t="n">
        <x:v>50</x:v>
      </x:c>
      <x:c r="H153" s="17" t="str">
        <x:v>建造</x:v>
      </x:c>
      <x:c r="I153" s="17" t="str">
        <x:v>金币可见；Site tasks/Next task cost 依画面</x:v>
      </x:c>
      <x:c r="J153" s="17" t="str">
        <x:v>否</x:v>
      </x:c>
      <x:c r="K153" s="17" t="str">
        <x:v>保留机制；待建造余额闭合</x:v>
      </x:c>
      <x:c r="L153" s="18" t="str">
        <x:v>/Users/mac/Documents/智囊团/video_analysis/Top_Tycoon新号流程_20260804/frames/TT_NEW_03/TT_NEW_03_t003390.jpg</x:v>
      </x:c>
      <x:c r="M153" s="17" t="n">
        <x:v>3390</x:v>
      </x:c>
      <x:c r="N153" s="17" t="str">
        <x:v>待复核</x:v>
      </x:c>
      <x:c r="O153" s="17" t="str">
        <x:v>OCR 命中建造/Site tasks 词; 画面原型近邻；margin=0.0020; 画面原型近邻；margin=0.0023; 画面原型近邻；margin=0.0025; 相邻两侧同模块，平滑孤立原型误差</x:v>
      </x:c>
      <x:c r="P153" s="17" t="str">
        <x:v>447000 | 161,234 | 三 | Swin | Octo-whil | 85000/96000 | Showrewards | 15 | MAX | 23h35m | BUFF | 810 | Care | Circus | 米 | 556 | Ticket | Earn coins in the slots(o/48K). | TOTAL EARNINGS | NEXTTASKCOST | 77.124 | 192,375 | +447/Sec | 13 | Site | JACK | BEANSTALK | X | 日5 | OL= | 23h 34m | 3 | 10/10 | JACK | BEANSTALK | 85 | OL= | 23h 34m | 6 | 20/20 | JACK | BEANSTALK | X | 85 | =10 | 23h 34m | 30/30 | 6 | JACK | BEANSTALK | 85 | OL= | 23h 34m | 13 | 12 | 11 | 30/30</x:v>
      </x:c>
    </x:row>
    <x:row r="154">
      <x:c r="A154" s="17" t="str">
        <x:v>SEG_03_127</x:v>
      </x:c>
      <x:c r="B154" s="17" t="str">
        <x:v>TT_NEW_03</x:v>
      </x:c>
      <x:c r="C154" s="17" t="n">
        <x:v>3420</x:v>
      </x:c>
      <x:c r="D154" s="17" t="n">
        <x:v>3429</x:v>
      </x:c>
      <x:c r="E154" s="17" t="str">
        <x:v>00:57:00</x:v>
      </x:c>
      <x:c r="F154" s="17" t="str">
        <x:v>00:57:09</x:v>
      </x:c>
      <x:c r="G154" s="17" t="n">
        <x:v>10</x:v>
      </x:c>
      <x:c r="H154" s="17" t="str">
        <x:v>转场/加载</x:v>
      </x:c>
      <x:c r="I154" s="17" t="str">
        <x:v>数值不可读或不适用</x:v>
      </x:c>
      <x:c r="J154" s="17" t="str">
        <x:v>否</x:v>
      </x:c>
      <x:c r="K154" s="17" t="str">
        <x:v>排除：转场/加载，不进入数值统计</x:v>
      </x:c>
      <x:c r="L154" s="18" t="str">
        <x:v>/Users/mac/Documents/智囊团/video_analysis/Top_Tycoon新号流程_20260804/frames/TT_NEW_03/TT_NEW_03_t003420.jpg</x:v>
      </x:c>
      <x:c r="M154" s="17" t="n">
        <x:v>3420</x:v>
      </x:c>
      <x:c r="N154" s="17" t="str">
        <x:v>待复核</x:v>
      </x:c>
      <x:c r="O154" s="17" t="str">
        <x:v>画面原型近邻；margin=0.0000</x:v>
      </x:c>
      <x:c r="P154" s="17" t="str">
        <x:v>JACK | BEANSTALK | X | 日5 | OL= | 23h 34m | Grand | Prize | 14 | 200/200 | 13</x:v>
      </x:c>
    </x:row>
    <x:row r="155">
      <x:c r="A155" s="17" t="str">
        <x:v>SEG_03_128</x:v>
      </x:c>
      <x:c r="B155" s="17" t="str">
        <x:v>TT_NEW_03</x:v>
      </x:c>
      <x:c r="C155" s="17" t="n">
        <x:v>3430</x:v>
      </x:c>
      <x:c r="D155" s="17" t="n">
        <x:v>3439</x:v>
      </x:c>
      <x:c r="E155" s="17" t="str">
        <x:v>00:57:10</x:v>
      </x:c>
      <x:c r="F155" s="17" t="str">
        <x:v>00:57:19</x:v>
      </x:c>
      <x:c r="G155" s="17" t="n">
        <x:v>10</x:v>
      </x:c>
      <x:c r="H155" s="17" t="str">
        <x:v>Slot</x:v>
      </x:c>
      <x:c r="I155" s="17" t="str">
        <x:v>BET/能量/金币/主进度通常可见；以事件帧为准</x:v>
      </x:c>
      <x:c r="J155" s="17" t="str">
        <x:v>否</x:v>
      </x:c>
      <x:c r="K155" s="17" t="str">
        <x:v>保留机制；缺逐 Spin 前后快照</x:v>
      </x:c>
      <x:c r="L155" s="18" t="str">
        <x:v>/Users/mac/Documents/智囊团/video_analysis/Top_Tycoon新号流程_20260804/frames/TT_NEW_03/TT_NEW_03_t003430.jpg</x:v>
      </x:c>
      <x:c r="M155" s="17" t="n">
        <x:v>3430</x:v>
      </x:c>
      <x:c r="N155" s="17" t="str">
        <x:v>已确认</x:v>
      </x:c>
      <x:c r="O155" s="17" t="str">
        <x:v>OCR 命中 SPIN/BET 词</x:v>
      </x:c>
      <x:c r="P155" s="17" t="str">
        <x:v>447000 | 165,056 | 85000/96000 | Showrewards | 17K | 17K | 17K | 20 | 13K | 13K | Earn coinsin the slots(o/48k) | NEXTTASKCOST | 103,018 | 192,375 | Site</x:v>
      </x:c>
    </x:row>
    <x:row r="156">
      <x:c r="A156" s="17" t="str">
        <x:v>SEG_03_129</x:v>
      </x:c>
      <x:c r="B156" s="17" t="str">
        <x:v>TT_NEW_03</x:v>
      </x:c>
      <x:c r="C156" s="17" t="n">
        <x:v>3440</x:v>
      </x:c>
      <x:c r="D156" s="17" t="n">
        <x:v>3449</x:v>
      </x:c>
      <x:c r="E156" s="17" t="str">
        <x:v>00:57:20</x:v>
      </x:c>
      <x:c r="F156" s="17" t="str">
        <x:v>00:57:29</x:v>
      </x:c>
      <x:c r="G156" s="17" t="n">
        <x:v>10</x:v>
      </x:c>
      <x:c r="H156" s="17" t="str">
        <x:v>主进度</x:v>
      </x:c>
      <x:c r="I156" s="17" t="str">
        <x:v>阶段进度/奖励可见；BET 可能不可见</x:v>
      </x:c>
      <x:c r="J156" s="17" t="str">
        <x:v>否</x:v>
      </x:c>
      <x:c r="K156" s="17" t="str">
        <x:v>保留：主进度节点；缺完整起止则不算成本</x:v>
      </x:c>
      <x:c r="L156" s="18" t="str">
        <x:v>/Users/mac/Documents/智囊团/video_analysis/Top_Tycoon新号流程_20260804/frames/TT_NEW_03/TT_NEW_03_t003440.jpg</x:v>
      </x:c>
      <x:c r="M156" s="17" t="n">
        <x:v>3440</x:v>
      </x:c>
      <x:c r="N156" s="17" t="str">
        <x:v>已确认</x:v>
      </x:c>
      <x:c r="O156" s="17" t="str">
        <x:v>OCR 命中进度/阶段奖励词</x:v>
      </x:c>
      <x:c r="P156" s="17" t="str">
        <x:v>447000 | 285,056 | Octo-whil | 85000/96000 | + | Show rewards | BUFF | PO | Stuffed Bread | NEXTTASK | COS | 107,491 | 447/Sec | 4</x:v>
      </x:c>
    </x:row>
    <x:row r="157">
      <x:c r="A157" s="17" t="str">
        <x:v>SEG_03_130</x:v>
      </x:c>
      <x:c r="B157" s="17" t="str">
        <x:v>TT_NEW_03</x:v>
      </x:c>
      <x:c r="C157" s="17" t="n">
        <x:v>3450</x:v>
      </x:c>
      <x:c r="D157" s="17" t="n">
        <x:v>3479</x:v>
      </x:c>
      <x:c r="E157" s="17" t="str">
        <x:v>00:57:30</x:v>
      </x:c>
      <x:c r="F157" s="17" t="str">
        <x:v>00:57:59</x:v>
      </x:c>
      <x:c r="G157" s="17" t="n">
        <x:v>30</x:v>
      </x:c>
      <x:c r="H157" s="17" t="str">
        <x:v>建造</x:v>
      </x:c>
      <x:c r="I157" s="17" t="str">
        <x:v>金币可见；Site tasks/Next task cost 依画面</x:v>
      </x:c>
      <x:c r="J157" s="17" t="str">
        <x:v>否</x:v>
      </x:c>
      <x:c r="K157" s="17" t="str">
        <x:v>保留机制；待建造余额闭合</x:v>
      </x:c>
      <x:c r="L157" s="18" t="str">
        <x:v>/Users/mac/Documents/智囊团/video_analysis/Top_Tycoon新号流程_20260804/frames/TT_NEW_03/TT_NEW_03_t003460.jpg</x:v>
      </x:c>
      <x:c r="M157" s="17" t="n">
        <x:v>3460</x:v>
      </x:c>
      <x:c r="N157" s="17" t="str">
        <x:v>已确认</x:v>
      </x:c>
      <x:c r="O157" s="17" t="str">
        <x:v>OCR 命中建造/Site tasks 词</x:v>
      </x:c>
      <x:c r="P157" s="17" t="str">
        <x:v>447000 | 378,056 | Octo-whi | + | 85000/96000 | Show rewards | BUFF | Collect Tycoon Album cards (2/2) | NEXT TASKCOST | 11,955 | 192,37 | +447/Sec | 14 | 447000 | 378,056 | 85000/96000 | Showrewards | 23h33m | BUFF | 31K | 31K | 10m | 45 | 31K | 31K | 25 | Collect Tycoon Album cards(2/2) | NEXT TASKCOST | TOTALEARNINGS | 116,418 | 192,37 | +447/Sec | 14 | COLLECT | 447000 | 440,056 | Octo-whi | 85000/96000 | 7+ | Show rewards | BUFR | PC | Saddle | cardsi | NEXT TASK COST | </x:v>
      </x:c>
    </x:row>
    <x:row r="158">
      <x:c r="A158" s="17" t="str">
        <x:v>SEG_03_131</x:v>
      </x:c>
      <x:c r="B158" s="17" t="str">
        <x:v>TT_NEW_03</x:v>
      </x:c>
      <x:c r="C158" s="17" t="n">
        <x:v>3480</x:v>
      </x:c>
      <x:c r="D158" s="17" t="n">
        <x:v>3499</x:v>
      </x:c>
      <x:c r="E158" s="17" t="str">
        <x:v>00:58:00</x:v>
      </x:c>
      <x:c r="F158" s="17" t="str">
        <x:v>00:58:19</x:v>
      </x:c>
      <x:c r="G158" s="17" t="n">
        <x:v>20</x:v>
      </x:c>
      <x:c r="H158" s="17" t="str">
        <x:v>小游戏</x:v>
      </x:c>
      <x:c r="I158" s="17" t="str">
        <x:v>玩法/奖励依画面；主资源常不全显</x:v>
      </x:c>
      <x:c r="J158" s="17" t="str">
        <x:v>否</x:v>
      </x:c>
      <x:c r="K158" s="17" t="str">
        <x:v>保留机制；完整核账窗口不足</x:v>
      </x:c>
      <x:c r="L158" s="18" t="str">
        <x:v>/Users/mac/Documents/智囊团/video_analysis/Top_Tycoon新号流程_20260804/frames/TT_NEW_03/TT_NEW_03_t003490.jpg</x:v>
      </x:c>
      <x:c r="M158" s="17" t="n">
        <x:v>3490</x:v>
      </x:c>
      <x:c r="N158" s="17" t="str">
        <x:v>待复核</x:v>
      </x:c>
      <x:c r="O158" s="17" t="str">
        <x:v>画面原型近邻；margin=0.0112; 画面原型近邻；margin=0.0210</x:v>
      </x:c>
      <x:c r="P158" s="17" t="str">
        <x:v>447000 | 536,056 | Octo-whirl | 85000/96000 | + | Showrewards | BUFF | CollectTycoon Album cards(2/2） | NEXTTASKCOST | 125,366 | 192,37 | 447/Sec | SL | Site | 447000 | 536,056 | Octo-whil | 85000/96000 | Showrewards | BUFF | NEW | Carrot Muffin | oon Album cards (2/2） | NEXTTASKCOST | 129,835 | 192,375 | 447/Sec | 777 | Site</x:v>
      </x:c>
    </x:row>
    <x:row r="159">
      <x:c r="A159" s="17" t="str">
        <x:v>SEG_03_132</x:v>
      </x:c>
      <x:c r="B159" s="17" t="str">
        <x:v>TT_NEW_03</x:v>
      </x:c>
      <x:c r="C159" s="17" t="n">
        <x:v>3500</x:v>
      </x:c>
      <x:c r="D159" s="17" t="n">
        <x:v>3509</x:v>
      </x:c>
      <x:c r="E159" s="17" t="str">
        <x:v>00:58:20</x:v>
      </x:c>
      <x:c r="F159" s="17" t="str">
        <x:v>00:58:29</x:v>
      </x:c>
      <x:c r="G159" s="17" t="n">
        <x:v>10</x:v>
      </x:c>
      <x:c r="H159" s="17" t="str">
        <x:v>主进度</x:v>
      </x:c>
      <x:c r="I159" s="17" t="str">
        <x:v>阶段进度/奖励可见；BET 可能不可见</x:v>
      </x:c>
      <x:c r="J159" s="17" t="str">
        <x:v>否</x:v>
      </x:c>
      <x:c r="K159" s="17" t="str">
        <x:v>保留：主进度节点；缺完整起止则不算成本</x:v>
      </x:c>
      <x:c r="L159" s="18" t="str">
        <x:v>/Users/mac/Documents/智囊团/video_analysis/Top_Tycoon新号流程_20260804/frames/TT_NEW_03/TT_NEW_03_t003500.jpg</x:v>
      </x:c>
      <x:c r="M159" s="17" t="n">
        <x:v>3500</x:v>
      </x:c>
      <x:c r="N159" s="17" t="str">
        <x:v>已确认</x:v>
      </x:c>
      <x:c r="O159" s="17" t="str">
        <x:v>OCR 命中进度/阶段奖励词</x:v>
      </x:c>
      <x:c r="P159" s="17" t="str">
        <x:v>447000 | 579,056 | Octo-whil | 85000/96000 | 7+ | Show rewards | Saddle | NEXT | 134,301 | 15</x:v>
      </x:c>
    </x:row>
    <x:row r="160">
      <x:c r="A160" s="17" t="str">
        <x:v>SEG_03_133</x:v>
      </x:c>
      <x:c r="B160" s="17" t="str">
        <x:v>TT_NEW_03</x:v>
      </x:c>
      <x:c r="C160" s="17" t="n">
        <x:v>3510</x:v>
      </x:c>
      <x:c r="D160" s="17" t="n">
        <x:v>3519</x:v>
      </x:c>
      <x:c r="E160" s="17" t="str">
        <x:v>00:58:30</x:v>
      </x:c>
      <x:c r="F160" s="17" t="str">
        <x:v>00:58:39</x:v>
      </x:c>
      <x:c r="G160" s="17" t="n">
        <x:v>10</x:v>
      </x:c>
      <x:c r="H160" s="17" t="str">
        <x:v>建造</x:v>
      </x:c>
      <x:c r="I160" s="17" t="str">
        <x:v>金币可见；Site tasks/Next task cost 依画面</x:v>
      </x:c>
      <x:c r="J160" s="17" t="str">
        <x:v>否</x:v>
      </x:c>
      <x:c r="K160" s="17" t="str">
        <x:v>保留机制；待建造余额闭合</x:v>
      </x:c>
      <x:c r="L160" s="18" t="str">
        <x:v>/Users/mac/Documents/智囊团/video_analysis/Top_Tycoon新号流程_20260804/frames/TT_NEW_03/TT_NEW_03_t003510.jpg</x:v>
      </x:c>
      <x:c r="M160" s="17" t="n">
        <x:v>3510</x:v>
      </x:c>
      <x:c r="N160" s="17" t="str">
        <x:v>已确认</x:v>
      </x:c>
      <x:c r="O160" s="17" t="str">
        <x:v>OCR 命中建造/Site tasks 词</x:v>
      </x:c>
      <x:c r="P160" s="17" t="str">
        <x:v>447000 | 579,056 | Octo-whil | 85000/96000 | Showrewards | BUFF | PC | BUFF | +20% | 11:56 | 09:51 | Collect Tycoon Album cards(2/2） | NEXT TASKCOST | 138,774 | 192,37 | 15 | Site</x:v>
      </x:c>
    </x:row>
    <x:row r="161">
      <x:c r="A161" s="17" t="str">
        <x:v>SEG_03_134</x:v>
      </x:c>
      <x:c r="B161" s="17" t="str">
        <x:v>TT_NEW_03</x:v>
      </x:c>
      <x:c r="C161" s="17" t="n">
        <x:v>3520</x:v>
      </x:c>
      <x:c r="D161" s="17" t="n">
        <x:v>3539</x:v>
      </x:c>
      <x:c r="E161" s="17" t="str">
        <x:v>00:58:40</x:v>
      </x:c>
      <x:c r="F161" s="17" t="str">
        <x:v>00:58:59</x:v>
      </x:c>
      <x:c r="G161" s="17" t="n">
        <x:v>20</x:v>
      </x:c>
      <x:c r="H161" s="17" t="str">
        <x:v>转场/加载</x:v>
      </x:c>
      <x:c r="I161" s="17" t="str">
        <x:v>数值不可读或不适用</x:v>
      </x:c>
      <x:c r="J161" s="17" t="str">
        <x:v>否</x:v>
      </x:c>
      <x:c r="K161" s="17" t="str">
        <x:v>排除：转场/加载，不进入数值统计</x:v>
      </x:c>
      <x:c r="L161" s="18" t="str">
        <x:v>/Users/mac/Documents/智囊团/video_analysis/Top_Tycoon新号流程_20260804/frames/TT_NEW_03/TT_NEW_03_t003530.jpg</x:v>
      </x:c>
      <x:c r="M161" s="17" t="n">
        <x:v>3530</x:v>
      </x:c>
      <x:c r="N161" s="17" t="str">
        <x:v>待复核</x:v>
      </x:c>
      <x:c r="O161" s="17" t="str">
        <x:v>画面原型近邻；margin=0.0005; 画面原型近邻；margin=0.0019</x:v>
      </x:c>
      <x:c r="P161" s="17" t="str">
        <x:v>447000 | 579,056 | Octo-WhirI | 85000/96000 | Showrewards | 0% | 23h32m | BUFF | Collect TycoonAlbum cards(2/2) | NEXTTASKCOST | TOTALEARNINGS | 143,244 | 192,37 | +447/Sec | 15 | 22 | Site | 449000 | 186,784 | Octo-Whir | 87000/96000 | Showrewards | 0% | 23h32m | BUFF | 1246 | Swinger | 米 | Collect Tycoon Album cards(2/2) | NEXTTASKCOST | TOTALEARNINGS | 147,830 | 207,900 | +449/Sec | tl | 15 | 2 | Site</x:v>
      </x:c>
    </x:row>
    <x:row r="162">
      <x:c r="A162" s="17" t="str">
        <x:v>SEG_03_135</x:v>
      </x:c>
      <x:c r="B162" s="17" t="str">
        <x:v>TT_NEW_03</x:v>
      </x:c>
      <x:c r="C162" s="17" t="n">
        <x:v>3540</x:v>
      </x:c>
      <x:c r="D162" s="17" t="n">
        <x:v>3549</x:v>
      </x:c>
      <x:c r="E162" s="17" t="str">
        <x:v>00:59:00</x:v>
      </x:c>
      <x:c r="F162" s="17" t="str">
        <x:v>00:59:09</x:v>
      </x:c>
      <x:c r="G162" s="17" t="n">
        <x:v>10</x:v>
      </x:c>
      <x:c r="H162" s="17" t="str">
        <x:v>礼包</x:v>
      </x:c>
      <x:c r="I162" s="17" t="str">
        <x:v>价格/内容可能可见；未观察购买后余额</x:v>
      </x:c>
      <x:c r="J162" s="17" t="str">
        <x:v>否</x:v>
      </x:c>
      <x:c r="K162" s="17" t="str">
        <x:v>保留 offer_shown；无购买前后闭环</x:v>
      </x:c>
      <x:c r="L162" s="18" t="str">
        <x:v>/Users/mac/Documents/智囊团/video_analysis/Top_Tycoon新号流程_20260804/frames/TT_NEW_03/TT_NEW_03_t003540.jpg</x:v>
      </x:c>
      <x:c r="M162" s="17" t="n">
        <x:v>3540</x:v>
      </x:c>
      <x:c r="N162" s="17" t="str">
        <x:v>待复核</x:v>
      </x:c>
      <x:c r="O162" s="17" t="str">
        <x:v>画面原型近邻；margin=0.0008</x:v>
      </x:c>
      <x:c r="P162" s="17" t="str">
        <x:v>449000 | 194,069 | Octo-Whir | 87000/96000 | Showrewards | 0% | 23h32m | BUFF | 米 | 1299 | Drop Towe | Collect Tycoon Album cards(2/2) | NEXTTASKCOST | TOTALEARNINGS | 144,925 | 207,900 | +449/Sec | oaster | 15 | Site</x:v>
      </x:c>
    </x:row>
    <x:row r="163">
      <x:c r="A163" s="17" t="str">
        <x:v>SEG_03_136</x:v>
      </x:c>
      <x:c r="B163" s="17" t="str">
        <x:v>TT_NEW_03</x:v>
      </x:c>
      <x:c r="C163" s="17" t="n">
        <x:v>3550</x:v>
      </x:c>
      <x:c r="D163" s="17" t="n">
        <x:v>3559</x:v>
      </x:c>
      <x:c r="E163" s="17" t="str">
        <x:v>00:59:10</x:v>
      </x:c>
      <x:c r="F163" s="17" t="str">
        <x:v>00:59:19</x:v>
      </x:c>
      <x:c r="G163" s="17" t="n">
        <x:v>10</x:v>
      </x:c>
      <x:c r="H163" s="17" t="str">
        <x:v>Slot</x:v>
      </x:c>
      <x:c r="I163" s="17" t="str">
        <x:v>BET/能量/金币/主进度通常可见；以事件帧为准</x:v>
      </x:c>
      <x:c r="J163" s="17" t="str">
        <x:v>否</x:v>
      </x:c>
      <x:c r="K163" s="17" t="str">
        <x:v>保留机制；缺逐 Spin 前后快照</x:v>
      </x:c>
      <x:c r="L163" s="18" t="str">
        <x:v>/Users/mac/Documents/智囊团/video_analysis/Top_Tycoon新号流程_20260804/frames/TT_NEW_03/TT_NEW_03_t003550.jpg</x:v>
      </x:c>
      <x:c r="M163" s="17" t="n">
        <x:v>3550</x:v>
      </x:c>
      <x:c r="N163" s="17" t="str">
        <x:v>已确认</x:v>
      </x:c>
      <x:c r="O163" s="17" t="str">
        <x:v>OCR 命中 SPIN/BET 词</x:v>
      </x:c>
      <x:c r="P163" s="17" t="str">
        <x:v>449000 | 195,371 | 11h32m | X | FORTUNE | 13HM | 600 | 570 | 570 | 2,600 | SPIN FOR | FREE | 15 | Game</x:v>
      </x:c>
    </x:row>
    <x:row r="164">
      <x:c r="A164" s="17" t="str">
        <x:v>SEG_03_137</x:v>
      </x:c>
      <x:c r="B164" s="17" t="str">
        <x:v>TT_NEW_03</x:v>
      </x:c>
      <x:c r="C164" s="17" t="n">
        <x:v>3560</x:v>
      </x:c>
      <x:c r="D164" s="17" t="n">
        <x:v>3569</x:v>
      </x:c>
      <x:c r="E164" s="17" t="str">
        <x:v>00:59:20</x:v>
      </x:c>
      <x:c r="F164" s="17" t="str">
        <x:v>00:59:29</x:v>
      </x:c>
      <x:c r="G164" s="17" t="n">
        <x:v>10</x:v>
      </x:c>
      <x:c r="H164" s="17" t="str">
        <x:v>礼包</x:v>
      </x:c>
      <x:c r="I164" s="17" t="str">
        <x:v>价格/内容可能可见；未观察购买后余额</x:v>
      </x:c>
      <x:c r="J164" s="17" t="str">
        <x:v>否</x:v>
      </x:c>
      <x:c r="K164" s="17" t="str">
        <x:v>保留 offer_shown；无购买前后闭环</x:v>
      </x:c>
      <x:c r="L164" s="18" t="str">
        <x:v>/Users/mac/Documents/智囊团/video_analysis/Top_Tycoon新号流程_20260804/frames/TT_NEW_03/TT_NEW_03_t003560.jpg</x:v>
      </x:c>
      <x:c r="M164" s="17" t="n">
        <x:v>3560</x:v>
      </x:c>
      <x:c r="N164" s="17" t="str">
        <x:v>已确认</x:v>
      </x:c>
      <x:c r="O164" s="17" t="str">
        <x:v>OCR 命中价格/商店词</x:v>
      </x:c>
      <x:c r="P164" s="17" t="str">
        <x:v>449000 | 195,371 | 11h31m | X | FORTUNE | 35% | 0% | 600 | H | 50 | 1,100 | 2,600 | 760 | 8 | PiCKONI | 11h | SPIN FOR | HK$25.00 | ollectTycoonAlbumcare | 15 | 777 | Game</x:v>
      </x:c>
    </x:row>
    <x:row r="165">
      <x:c r="A165" s="17" t="str">
        <x:v>SEG_03_138</x:v>
      </x:c>
      <x:c r="B165" s="17" t="str">
        <x:v>TT_NEW_03</x:v>
      </x:c>
      <x:c r="C165" s="17" t="n">
        <x:v>3570</x:v>
      </x:c>
      <x:c r="D165" s="17" t="n">
        <x:v>3579</x:v>
      </x:c>
      <x:c r="E165" s="17" t="str">
        <x:v>00:59:30</x:v>
      </x:c>
      <x:c r="F165" s="17" t="str">
        <x:v>00:59:39</x:v>
      </x:c>
      <x:c r="G165" s="17" t="n">
        <x:v>10</x:v>
      </x:c>
      <x:c r="H165" s="17" t="str">
        <x:v>Slot</x:v>
      </x:c>
      <x:c r="I165" s="17" t="str">
        <x:v>BET/能量/金币/主进度通常可见；以事件帧为准</x:v>
      </x:c>
      <x:c r="J165" s="17" t="str">
        <x:v>否</x:v>
      </x:c>
      <x:c r="K165" s="17" t="str">
        <x:v>保留机制；缺逐 Spin 前后快照</x:v>
      </x:c>
      <x:c r="L165" s="18" t="str">
        <x:v>/Users/mac/Documents/智囊团/video_analysis/Top_Tycoon新号流程_20260804/frames/TT_NEW_03/TT_NEW_03_t003570.jpg</x:v>
      </x:c>
      <x:c r="M165" s="17" t="n">
        <x:v>3570</x:v>
      </x:c>
      <x:c r="N165" s="17" t="str">
        <x:v>已确认</x:v>
      </x:c>
      <x:c r="O165" s="17" t="str">
        <x:v>OCR 命中 SPIN/BET 词</x:v>
      </x:c>
      <x:c r="P165" s="17" t="str">
        <x:v>449000 | 195,371 | 2 | 4% | 11:31:44 | 35% | 100% | 0% | +66 | 14d17h | 06d17h | 6 | 01d17h | PACL | 225/310 | 9/9 | 06d17h | 02d11h | 650K | 16 | Sale | 01d11h | 05d17h | 0 | QQ | 0 | 8 | HEE | 91% | 11h31m | YLLPSO | 23 | 01d11h | 02d11h | BETx50 | 14 | 50/50 | PicKONE | 69% | 11h31m | +3627 | 02d11h | SPIN | FREE | HOLD FOR AUTO SPIN | Collect Tycoon Album cards(2/2) | 15 | Game</x:v>
      </x:c>
    </x:row>
    <x:row r="166">
      <x:c r="A166" s="17" t="str">
        <x:v>SEG_03_139</x:v>
      </x:c>
      <x:c r="B166" s="17" t="str">
        <x:v>TT_NEW_03</x:v>
      </x:c>
      <x:c r="C166" s="17" t="n">
        <x:v>3580</x:v>
      </x:c>
      <x:c r="D166" s="17" t="n">
        <x:v>3589</x:v>
      </x:c>
      <x:c r="E166" s="17" t="str">
        <x:v>00:59:40</x:v>
      </x:c>
      <x:c r="F166" s="17" t="str">
        <x:v>00:59:49</x:v>
      </x:c>
      <x:c r="G166" s="17" t="n">
        <x:v>10</x:v>
      </x:c>
      <x:c r="H166" s="17" t="str">
        <x:v>小游戏</x:v>
      </x:c>
      <x:c r="I166" s="17" t="str">
        <x:v>玩法/奖励依画面；主资源常不全显</x:v>
      </x:c>
      <x:c r="J166" s="17" t="str">
        <x:v>否</x:v>
      </x:c>
      <x:c r="K166" s="17" t="str">
        <x:v>保留机制；完整核账窗口不足</x:v>
      </x:c>
      <x:c r="L166" s="18" t="str">
        <x:v>/Users/mac/Documents/智囊团/video_analysis/Top_Tycoon新号流程_20260804/frames/TT_NEW_03/TT_NEW_03_t003580.jpg</x:v>
      </x:c>
      <x:c r="M166" s="17" t="n">
        <x:v>3580</x:v>
      </x:c>
      <x:c r="N166" s="17" t="str">
        <x:v>已确认</x:v>
      </x:c>
      <x:c r="O166" s="17" t="str">
        <x:v>OCR 命中小游戏名称/玩法词</x:v>
      </x:c>
      <x:c r="P166" s="17" t="str">
        <x:v>10 | 0/5 | 13 | Jackpot | 60 | 2/3 | 360 | 0/3 | 1/3 | 13 | 10</x:v>
      </x:c>
    </x:row>
    <x:row r="167">
      <x:c r="A167" s="17" t="str">
        <x:v>SEG_03_140</x:v>
      </x:c>
      <x:c r="B167" s="17" t="str">
        <x:v>TT_NEW_03</x:v>
      </x:c>
      <x:c r="C167" s="17" t="n">
        <x:v>3590</x:v>
      </x:c>
      <x:c r="D167" s="17" t="n">
        <x:v>3599</x:v>
      </x:c>
      <x:c r="E167" s="17" t="str">
        <x:v>00:59:50</x:v>
      </x:c>
      <x:c r="F167" s="17" t="str">
        <x:v>00:59:59</x:v>
      </x:c>
      <x:c r="G167" s="17" t="n">
        <x:v>10</x:v>
      </x:c>
      <x:c r="H167" s="17" t="str">
        <x:v>礼包</x:v>
      </x:c>
      <x:c r="I167" s="17" t="str">
        <x:v>价格/内容可能可见；未观察购买后余额</x:v>
      </x:c>
      <x:c r="J167" s="17" t="str">
        <x:v>否</x:v>
      </x:c>
      <x:c r="K167" s="17" t="str">
        <x:v>保留 offer_shown；无购买前后闭环</x:v>
      </x:c>
      <x:c r="L167" s="18" t="str">
        <x:v>/Users/mac/Documents/智囊团/video_analysis/Top_Tycoon新号流程_20260804/frames/TT_NEW_03/TT_NEW_03_t003590.jpg</x:v>
      </x:c>
      <x:c r="M167" s="17" t="n">
        <x:v>3590</x:v>
      </x:c>
      <x:c r="N167" s="17" t="str">
        <x:v>已确认</x:v>
      </x:c>
      <x:c r="O167" s="17" t="str">
        <x:v>OCR 命中价格/商店词</x:v>
      </x:c>
      <x:c r="P167" s="17" t="str">
        <x:v>5/15 | 14 | Jackpot | SNIXOO | RUSH | X | 50% | OFF | 150 | 590 | 238.00 | HK$40.00 | HK$118.00 | 02d11h</x:v>
      </x:c>
    </x:row>
    <x:row r="168">
      <x:c r="A168" s="17" t="str">
        <x:v>SEG_03_141</x:v>
      </x:c>
      <x:c r="B168" s="17" t="str">
        <x:v>TT_NEW_03</x:v>
      </x:c>
      <x:c r="C168" s="17" t="n">
        <x:v>3600</x:v>
      </x:c>
      <x:c r="D168" s="17" t="n">
        <x:v>3669</x:v>
      </x:c>
      <x:c r="E168" s="17" t="str">
        <x:v>01:00:00</x:v>
      </x:c>
      <x:c r="F168" s="17" t="str">
        <x:v>01:01:09</x:v>
      </x:c>
      <x:c r="G168" s="17" t="n">
        <x:v>70</x:v>
      </x:c>
      <x:c r="H168" s="17" t="str">
        <x:v>Slot</x:v>
      </x:c>
      <x:c r="I168" s="17" t="str">
        <x:v>BET/能量/金币/主进度通常可见；以事件帧为准</x:v>
      </x:c>
      <x:c r="J168" s="17" t="str">
        <x:v>否</x:v>
      </x:c>
      <x:c r="K168" s="17" t="str">
        <x:v>保留机制；缺逐 Spin 前后快照</x:v>
      </x:c>
      <x:c r="L168" s="18" t="str">
        <x:v>/Users/mac/Documents/智囊团/video_analysis/Top_Tycoon新号流程_20260804/frames/TT_NEW_03/TT_NEW_03_t003630.jpg</x:v>
      </x:c>
      <x:c r="M168" s="17" t="n">
        <x:v>3630</x:v>
      </x:c>
      <x:c r="N168" s="17" t="str">
        <x:v>已确认</x:v>
      </x:c>
      <x:c r="O168" s="17" t="str">
        <x:v>OCR 命中 SPIN/BET 词; 画面原型近邻；margin=0.0230; 相邻两侧同模块，平滑孤立原型误差</x:v>
      </x:c>
      <x:c r="P168" s="17" t="str">
        <x:v>·Ⅱ | I | 业 | X | X | 4 | IIL | IA | ali.f | APoeng | X | 52800 | 10m | 60 | 5 | 10700 | 4400 | 2600 | 2600 | MORE | FREE | SPIN | BETx2 | 8 | ali.f | APoeng | X | 53760 | 10m | 60 | 5 | +600 | 10700 | 4400 | 2000 | 1640 | 450 | G010 | SPIN | BET×3 | Complete Missions to earn Mission | Pass rewards | Regular | Advanced | Regular Missions Treasure! | Up to 130 SPINS! | 03h30m | Make 10 spins in the | slots | 15 | 10/10 | Claim | Earn 180k coins in the | slots | 7 | 1.4K | 100% </x:v>
      </x:c>
    </x:row>
    <x:row r="169">
      <x:c r="A169" s="17" t="str">
        <x:v>SEG_03_142</x:v>
      </x:c>
      <x:c r="B169" s="17" t="str">
        <x:v>TT_NEW_03</x:v>
      </x:c>
      <x:c r="C169" s="17" t="n">
        <x:v>3670</x:v>
      </x:c>
      <x:c r="D169" s="17" t="n">
        <x:v>3689</x:v>
      </x:c>
      <x:c r="E169" s="17" t="str">
        <x:v>01:01:10</x:v>
      </x:c>
      <x:c r="F169" s="17" t="str">
        <x:v>01:01:29</x:v>
      </x:c>
      <x:c r="G169" s="17" t="n">
        <x:v>20</x:v>
      </x:c>
      <x:c r="H169" s="17" t="str">
        <x:v>建造</x:v>
      </x:c>
      <x:c r="I169" s="17" t="str">
        <x:v>金币可见；Site tasks/Next task cost 依画面</x:v>
      </x:c>
      <x:c r="J169" s="17" t="str">
        <x:v>否</x:v>
      </x:c>
      <x:c r="K169" s="17" t="str">
        <x:v>保留机制；待建造余额闭合</x:v>
      </x:c>
      <x:c r="L169" s="18" t="str">
        <x:v>/Users/mac/Documents/智囊团/video_analysis/Top_Tycoon新号流程_20260804/frames/TT_NEW_03/TT_NEW_03_t003680.jpg</x:v>
      </x:c>
      <x:c r="M169" s="17" t="n">
        <x:v>3680</x:v>
      </x:c>
      <x:c r="N169" s="17" t="str">
        <x:v>已确认</x:v>
      </x:c>
      <x:c r="O169" s="17" t="str">
        <x:v>OCR 命中建造/Site tasks 词</x:v>
      </x:c>
      <x:c r="P169" s="17" t="str">
        <x:v>16 | CLAIM REWARDS | 0/20 | 16 | x300% | 02d11h | 02d11h | Regular | Advanced | Regular Missions Treasure! | Up to 130 SPINS! | 03h30m | Earn 733 Bonus pts | 0/733 | 1 | Clear | Earn 980K coins by | attacking | 0.0% | 1 | Clear | Attack2times | 0/2 | 1 | Clear | Make 35 spins in the | slots | 0/35 | 1 | Clear | Complete 49 site tasks | 32 | CLAIM REWARDS | 0/80 | 32 | x300% | 02d11h | 02d11h | Regular | Advanced | Regular Missions Treasure! | Up to 130 SPINS! | 03h 29m | Earn</x:v>
      </x:c>
    </x:row>
    <x:row r="170">
      <x:c r="A170" s="17" t="str">
        <x:v>SEG_03_143</x:v>
      </x:c>
      <x:c r="B170" s="17" t="str">
        <x:v>TT_NEW_03</x:v>
      </x:c>
      <x:c r="C170" s="17" t="n">
        <x:v>3690</x:v>
      </x:c>
      <x:c r="D170" s="17" t="n">
        <x:v>3699</x:v>
      </x:c>
      <x:c r="E170" s="17" t="str">
        <x:v>01:01:30</x:v>
      </x:c>
      <x:c r="F170" s="17" t="str">
        <x:v>01:01:39</x:v>
      </x:c>
      <x:c r="G170" s="17" t="n">
        <x:v>10</x:v>
      </x:c>
      <x:c r="H170" s="17" t="str">
        <x:v>礼包</x:v>
      </x:c>
      <x:c r="I170" s="17" t="str">
        <x:v>价格/内容可能可见；未观察购买后余额</x:v>
      </x:c>
      <x:c r="J170" s="17" t="str">
        <x:v>否</x:v>
      </x:c>
      <x:c r="K170" s="17" t="str">
        <x:v>保留 offer_shown；无购买前后闭环</x:v>
      </x:c>
      <x:c r="L170" s="18" t="str">
        <x:v>/Users/mac/Documents/智囊团/video_analysis/Top_Tycoon新号流程_20260804/frames/TT_NEW_03/TT_NEW_03_t003690.jpg</x:v>
      </x:c>
      <x:c r="M170" s="17" t="n">
        <x:v>3690</x:v>
      </x:c>
      <x:c r="N170" s="17" t="str">
        <x:v>待复核</x:v>
      </x:c>
      <x:c r="O170" s="17" t="str">
        <x:v>画面原型近邻；margin=0.0041</x:v>
      </x:c>
      <x:c r="P170" s="17" t="str">
        <x:v>X | 3655% | 4800 | Value | MISSION PA: | WIN UP TO | 02d11h | 32 | Activate | 0/80 | x300% | 28 | 96K | 240K | 29 | 96K | 240K | 30 | 500 | 31 | 130K | 320K | Locked | 32 | 130K | CLAIM ALL</x:v>
      </x:c>
    </x:row>
    <x:row r="171">
      <x:c r="A171" s="17" t="str">
        <x:v>SEG_03_144</x:v>
      </x:c>
      <x:c r="B171" s="17" t="str">
        <x:v>TT_NEW_03</x:v>
      </x:c>
      <x:c r="C171" s="17" t="n">
        <x:v>3700</x:v>
      </x:c>
      <x:c r="D171" s="17" t="n">
        <x:v>3709</x:v>
      </x:c>
      <x:c r="E171" s="17" t="str">
        <x:v>01:01:40</x:v>
      </x:c>
      <x:c r="F171" s="17" t="str">
        <x:v>01:01:49</x:v>
      </x:c>
      <x:c r="G171" s="17" t="n">
        <x:v>10</x:v>
      </x:c>
      <x:c r="H171" s="17" t="str">
        <x:v>小游戏</x:v>
      </x:c>
      <x:c r="I171" s="17" t="str">
        <x:v>玩法/奖励依画面；主资源常不全显</x:v>
      </x:c>
      <x:c r="J171" s="17" t="str">
        <x:v>否</x:v>
      </x:c>
      <x:c r="K171" s="17" t="str">
        <x:v>保留机制；完整核账窗口不足</x:v>
      </x:c>
      <x:c r="L171" s="18" t="str">
        <x:v>/Users/mac/Documents/智囊团/video_analysis/Top_Tycoon新号流程_20260804/frames/TT_NEW_03/TT_NEW_03_t003700.jpg</x:v>
      </x:c>
      <x:c r="M171" s="17" t="n">
        <x:v>3700</x:v>
      </x:c>
      <x:c r="N171" s="17" t="str">
        <x:v>待复核</x:v>
      </x:c>
      <x:c r="O171" s="17" t="str">
        <x:v>画面原型近邻；margin=0.0117</x:v>
      </x:c>
      <x:c r="P171" s="17" t="str">
        <x:v>3655% | 4800 | Value | MISSION PAS | WIN UP TO | 02d11h | 0/80 | 32 | Activate | X300% | 64K | 160K | 16 | 60K</x:v>
      </x:c>
    </x:row>
    <x:row r="172">
      <x:c r="A172" s="17" t="str">
        <x:v>SEG_03_145</x:v>
      </x:c>
      <x:c r="B172" s="17" t="str">
        <x:v>TT_NEW_03</x:v>
      </x:c>
      <x:c r="C172" s="17" t="n">
        <x:v>3710</x:v>
      </x:c>
      <x:c r="D172" s="17" t="n">
        <x:v>3719</x:v>
      </x:c>
      <x:c r="E172" s="17" t="str">
        <x:v>01:01:50</x:v>
      </x:c>
      <x:c r="F172" s="17" t="str">
        <x:v>01:01:59</x:v>
      </x:c>
      <x:c r="G172" s="17" t="n">
        <x:v>10</x:v>
      </x:c>
      <x:c r="H172" s="17" t="str">
        <x:v>转场/加载</x:v>
      </x:c>
      <x:c r="I172" s="17" t="str">
        <x:v>数值不可读或不适用</x:v>
      </x:c>
      <x:c r="J172" s="17" t="str">
        <x:v>否</x:v>
      </x:c>
      <x:c r="K172" s="17" t="str">
        <x:v>排除：转场/加载，不进入数值统计</x:v>
      </x:c>
      <x:c r="L172" s="18" t="str">
        <x:v>/Users/mac/Documents/智囊团/video_analysis/Top_Tycoon新号流程_20260804/frames/TT_NEW_03/TT_NEW_03_t003710.jpg</x:v>
      </x:c>
      <x:c r="M172" s="17" t="n">
        <x:v>3710</x:v>
      </x:c>
      <x:c r="N172" s="17" t="str">
        <x:v>已确认</x:v>
      </x:c>
      <x:c r="O172" s="17" t="str">
        <x:v>低亮度/低饱和转场</x:v>
      </x:c>
      <x:c r="P172" s="17" t="str">
        <x:v>CONGRATULATIONS! | 3655% | 4800 | Value | MISSION PAS | WIN UP TO | 002d 11h | 32 | Activate | 0/80 | X300% | 64K | 4 | Hot dog | Stuffed Bread | 15 | 16 | 160K | COLLECT</x:v>
      </x:c>
    </x:row>
    <x:row r="173">
      <x:c r="A173" s="17" t="str">
        <x:v>SEG_03_146</x:v>
      </x:c>
      <x:c r="B173" s="17" t="str">
        <x:v>TT_NEW_03</x:v>
      </x:c>
      <x:c r="C173" s="17" t="n">
        <x:v>3720</x:v>
      </x:c>
      <x:c r="D173" s="17" t="n">
        <x:v>3739</x:v>
      </x:c>
      <x:c r="E173" s="17" t="str">
        <x:v>01:02:00</x:v>
      </x:c>
      <x:c r="F173" s="17" t="str">
        <x:v>01:02:19</x:v>
      </x:c>
      <x:c r="G173" s="17" t="n">
        <x:v>20</x:v>
      </x:c>
      <x:c r="H173" s="17" t="str">
        <x:v>小游戏</x:v>
      </x:c>
      <x:c r="I173" s="17" t="str">
        <x:v>玩法/奖励依画面；主资源常不全显</x:v>
      </x:c>
      <x:c r="J173" s="17" t="str">
        <x:v>否</x:v>
      </x:c>
      <x:c r="K173" s="17" t="str">
        <x:v>保留机制；完整核账窗口不足</x:v>
      </x:c>
      <x:c r="L173" s="18" t="str">
        <x:v>/Users/mac/Documents/智囊团/video_analysis/Top_Tycoon新号流程_20260804/frames/TT_NEW_03/TT_NEW_03_t003730.jpg</x:v>
      </x:c>
      <x:c r="M173" s="17" t="n">
        <x:v>3730</x:v>
      </x:c>
      <x:c r="N173" s="17" t="str">
        <x:v>待复核</x:v>
      </x:c>
      <x:c r="O173" s="17" t="str">
        <x:v>画面原型近邻；margin=0.0214; 画面原型近邻；margin=0.0320</x:v>
      </x:c>
      <x:c r="P173" s="17" t="str">
        <x:v>3655% | 4800 | Value | MISSION PAS | WIN UP TO | 02d 11h | 32 | Activate | 0/80 | 9%005X | 64K | 13 | 160K | 16 | 160K | 3655% | 4800 | Value | MISSION PAS | WIN UP TO | 02d 11h | 32 | Activate | 0/80 | X300% | 64K | Candy Cane | Snow Globe | 15 | 16 | 160K | CLAIM ALL</x:v>
      </x:c>
    </x:row>
    <x:row r="174">
      <x:c r="A174" s="17" t="str">
        <x:v>SEG_03_147</x:v>
      </x:c>
      <x:c r="B174" s="17" t="str">
        <x:v>TT_NEW_03</x:v>
      </x:c>
      <x:c r="C174" s="17" t="n">
        <x:v>3740</x:v>
      </x:c>
      <x:c r="D174" s="17" t="n">
        <x:v>3749</x:v>
      </x:c>
      <x:c r="E174" s="17" t="str">
        <x:v>01:02:20</x:v>
      </x:c>
      <x:c r="F174" s="17" t="str">
        <x:v>01:02:29</x:v>
      </x:c>
      <x:c r="G174" s="17" t="n">
        <x:v>10</x:v>
      </x:c>
      <x:c r="H174" s="17" t="str">
        <x:v>Slot</x:v>
      </x:c>
      <x:c r="I174" s="17" t="str">
        <x:v>BET/能量/金币/主进度通常可见；以事件帧为准</x:v>
      </x:c>
      <x:c r="J174" s="17" t="str">
        <x:v>否</x:v>
      </x:c>
      <x:c r="K174" s="17" t="str">
        <x:v>保留机制；缺逐 Spin 前后快照</x:v>
      </x:c>
      <x:c r="L174" s="18" t="str">
        <x:v>/Users/mac/Documents/智囊团/video_analysis/Top_Tycoon新号流程_20260804/frames/TT_NEW_03/TT_NEW_03_t003740.jpg</x:v>
      </x:c>
      <x:c r="M174" s="17" t="n">
        <x:v>3740</x:v>
      </x:c>
      <x:c r="N174" s="17" t="str">
        <x:v>待复核</x:v>
      </x:c>
      <x:c r="O174" s="17" t="str">
        <x:v>画面原型近邻；margin=0.0228</x:v>
      </x:c>
      <x:c r="P174" s="17" t="str">
        <x:v>454000 | 1,421,468 | 0/3 | Octo-whirl | 00/96000 | nowre | 23h28m | BUFF | 1400 | Swinger | Collect Tycoon Album cards(2/2) | 米 | +1/sec | NEXTTASKCOST | TOTALEARNINGS | 233,750 | 284,962 | +453/Sec | 16 | Site</x:v>
      </x:c>
    </x:row>
    <x:row r="175">
      <x:c r="A175" s="17" t="str">
        <x:v>SEG_03_148</x:v>
      </x:c>
      <x:c r="B175" s="17" t="str">
        <x:v>TT_NEW_03</x:v>
      </x:c>
      <x:c r="C175" s="17" t="n">
        <x:v>3750</x:v>
      </x:c>
      <x:c r="D175" s="17" t="n">
        <x:v>3759</x:v>
      </x:c>
      <x:c r="E175" s="17" t="str">
        <x:v>01:02:30</x:v>
      </x:c>
      <x:c r="F175" s="17" t="str">
        <x:v>01:02:39</x:v>
      </x:c>
      <x:c r="G175" s="17" t="n">
        <x:v>10</x:v>
      </x:c>
      <x:c r="H175" s="17" t="str">
        <x:v>建造</x:v>
      </x:c>
      <x:c r="I175" s="17" t="str">
        <x:v>金币可见；Site tasks/Next task cost 依画面</x:v>
      </x:c>
      <x:c r="J175" s="17" t="str">
        <x:v>否</x:v>
      </x:c>
      <x:c r="K175" s="17" t="str">
        <x:v>保留机制；待建造余额闭合</x:v>
      </x:c>
      <x:c r="L175" s="18" t="str">
        <x:v>/Users/mac/Documents/智囊团/video_analysis/Top_Tycoon新号流程_20260804/frames/TT_NEW_03/TT_NEW_03_t003750.jpg</x:v>
      </x:c>
      <x:c r="M175" s="17" t="n">
        <x:v>3750</x:v>
      </x:c>
      <x:c r="N175" s="17" t="str">
        <x:v>已确认</x:v>
      </x:c>
      <x:c r="O175" s="17" t="str">
        <x:v>OCR 命中建造/Site tasks 词</x:v>
      </x:c>
      <x:c r="P175" s="17" t="str">
        <x:v>457000 | 285,796 | 0/3 | Octo-Whi | 95000/96000 | Showrewards | 50% | 23h28m | BUFF | 米 | Swinger | 米 | Collect Tycoon Album cards(2/2) | NEXTTASKCOST | TOTAL EARNINGS | 1266 | 236,785 | 4 | 348,300 | +457/Sec | circus | 16 | 22 | Site</x:v>
      </x:c>
    </x:row>
    <x:row r="176">
      <x:c r="A176" s="17" t="str">
        <x:v>SEG_03_149</x:v>
      </x:c>
      <x:c r="B176" s="17" t="str">
        <x:v>TT_NEW_03</x:v>
      </x:c>
      <x:c r="C176" s="17" t="n">
        <x:v>3760</x:v>
      </x:c>
      <x:c r="D176" s="17" t="n">
        <x:v>3769</x:v>
      </x:c>
      <x:c r="E176" s="17" t="str">
        <x:v>01:02:40</x:v>
      </x:c>
      <x:c r="F176" s="17" t="str">
        <x:v>01:02:49</x:v>
      </x:c>
      <x:c r="G176" s="17" t="n">
        <x:v>10</x:v>
      </x:c>
      <x:c r="H176" s="17" t="str">
        <x:v>礼包</x:v>
      </x:c>
      <x:c r="I176" s="17" t="str">
        <x:v>价格/内容可能可见；未观察购买后余额</x:v>
      </x:c>
      <x:c r="J176" s="17" t="str">
        <x:v>否</x:v>
      </x:c>
      <x:c r="K176" s="17" t="str">
        <x:v>保留 offer_shown；无购买前后闭环</x:v>
      </x:c>
      <x:c r="L176" s="18" t="str">
        <x:v>/Users/mac/Documents/智囊团/video_analysis/Top_Tycoon新号流程_20260804/frames/TT_NEW_03/TT_NEW_03_t003760.jpg</x:v>
      </x:c>
      <x:c r="M176" s="17" t="n">
        <x:v>3760</x:v>
      </x:c>
      <x:c r="N176" s="17" t="str">
        <x:v>已确认</x:v>
      </x:c>
      <x:c r="O176" s="17" t="str">
        <x:v>OCR 命中价格/商店词</x:v>
      </x:c>
      <x:c r="P176" s="17" t="str">
        <x:v>457000 | 285,796 | Octo-Whirl | 95000/96000 | Showrewards | FREE | UPTO | 4.8K | HK$55.90 | Activate | 米 | 100 | K$788.00 | Collect Tycoon Album cards(2/2) | NEXTTASKCOST | K$549.00 | 4 | 348,300 | 16 | 222 | Shop</x:v>
      </x:c>
    </x:row>
    <x:row r="177">
      <x:c r="A177" s="17" t="str">
        <x:v>SEG_03_150</x:v>
      </x:c>
      <x:c r="B177" s="17" t="str">
        <x:v>TT_NEW_03</x:v>
      </x:c>
      <x:c r="C177" s="17" t="n">
        <x:v>3770</x:v>
      </x:c>
      <x:c r="D177" s="17" t="n">
        <x:v>3779</x:v>
      </x:c>
      <x:c r="E177" s="17" t="str">
        <x:v>01:02:50</x:v>
      </x:c>
      <x:c r="F177" s="17" t="str">
        <x:v>01:02:59</x:v>
      </x:c>
      <x:c r="G177" s="17" t="n">
        <x:v>10</x:v>
      </x:c>
      <x:c r="H177" s="17" t="str">
        <x:v>主进度</x:v>
      </x:c>
      <x:c r="I177" s="17" t="str">
        <x:v>阶段进度/奖励可见；BET 可能不可见</x:v>
      </x:c>
      <x:c r="J177" s="17" t="str">
        <x:v>否</x:v>
      </x:c>
      <x:c r="K177" s="17" t="str">
        <x:v>保留：主进度节点；缺完整起止则不算成本</x:v>
      </x:c>
      <x:c r="L177" s="18" t="str">
        <x:v>/Users/mac/Documents/智囊团/video_analysis/Top_Tycoon新号流程_20260804/frames/TT_NEW_03/TT_NEW_03_t003770.jpg</x:v>
      </x:c>
      <x:c r="M177" s="17" t="n">
        <x:v>3770</x:v>
      </x:c>
      <x:c r="N177" s="17" t="str">
        <x:v>已确认</x:v>
      </x:c>
      <x:c r="O177" s="17" t="str">
        <x:v>OCR 命中进度/阶段奖励词</x:v>
      </x:c>
      <x:c r="P177" s="17" t="str">
        <x:v>X | 5800% | CHAPTER PRIZE | 95000/96000 | 8 | 140 | 500K | Locked | 8 | 50 | 4 | 145 | 6 | 750K | 10 | 10 | 11 | 160 | 900K | 12</x:v>
      </x:c>
    </x:row>
    <x:row r="178">
      <x:c r="A178" s="17" t="str">
        <x:v>SEG_03_151</x:v>
      </x:c>
      <x:c r="B178" s="17" t="str">
        <x:v>TT_NEW_03</x:v>
      </x:c>
      <x:c r="C178" s="17" t="n">
        <x:v>3780</x:v>
      </x:c>
      <x:c r="D178" s="17" t="n">
        <x:v>3789</x:v>
      </x:c>
      <x:c r="E178" s="17" t="str">
        <x:v>01:03:00</x:v>
      </x:c>
      <x:c r="F178" s="17" t="str">
        <x:v>01:03:09</x:v>
      </x:c>
      <x:c r="G178" s="17" t="n">
        <x:v>10</x:v>
      </x:c>
      <x:c r="H178" s="17" t="str">
        <x:v>礼包</x:v>
      </x:c>
      <x:c r="I178" s="17" t="str">
        <x:v>价格/内容可能可见；未观察购买后余额</x:v>
      </x:c>
      <x:c r="J178" s="17" t="str">
        <x:v>否</x:v>
      </x:c>
      <x:c r="K178" s="17" t="str">
        <x:v>保留 offer_shown；无购买前后闭环</x:v>
      </x:c>
      <x:c r="L178" s="18" t="str">
        <x:v>/Users/mac/Documents/智囊团/video_analysis/Top_Tycoon新号流程_20260804/frames/TT_NEW_03/TT_NEW_03_t003780.jpg</x:v>
      </x:c>
      <x:c r="M178" s="17" t="n">
        <x:v>3780</x:v>
      </x:c>
      <x:c r="N178" s="17" t="str">
        <x:v>待复核</x:v>
      </x:c>
      <x:c r="O178" s="17" t="str">
        <x:v>画面原型近邻；margin=0.0012</x:v>
      </x:c>
      <x:c r="P178" s="17" t="str">
        <x:v>457000 | 285,796 | 3,829 | Tycoon Album | 6 | Christmas | WildWest | Food | 6/9 | 6/ | 3/9 | 1K | 2.5K | Dogs | Football | Tropical | 2/9 | 1/9 | 6/0 | 3.5K | 4.5K | Jewelry | Space | Horror | 0/9 | 0/9 | 0/9 | 5.5K | 6.5K | 8 | Aladdin | Pirates | AncientEgypt | 0/9 | 6/0 | 6/0 | 13K | 16 | 222 | Album</x:v>
      </x:c>
    </x:row>
    <x:row r="179">
      <x:c r="A179" s="17" t="str">
        <x:v>SEG_03_152</x:v>
      </x:c>
      <x:c r="B179" s="17" t="str">
        <x:v>TT_NEW_03</x:v>
      </x:c>
      <x:c r="C179" s="17" t="n">
        <x:v>3790</x:v>
      </x:c>
      <x:c r="D179" s="17" t="n">
        <x:v>3799</x:v>
      </x:c>
      <x:c r="E179" s="17" t="str">
        <x:v>01:03:10</x:v>
      </x:c>
      <x:c r="F179" s="17" t="str">
        <x:v>01:03:19</x:v>
      </x:c>
      <x:c r="G179" s="17" t="n">
        <x:v>10</x:v>
      </x:c>
      <x:c r="H179" s="17" t="str">
        <x:v>小游戏</x:v>
      </x:c>
      <x:c r="I179" s="17" t="str">
        <x:v>玩法/奖励依画面；主资源常不全显</x:v>
      </x:c>
      <x:c r="J179" s="17" t="str">
        <x:v>否</x:v>
      </x:c>
      <x:c r="K179" s="17" t="str">
        <x:v>保留机制；完整核账窗口不足</x:v>
      </x:c>
      <x:c r="L179" s="18" t="str">
        <x:v>/Users/mac/Documents/智囊团/video_analysis/Top_Tycoon新号流程_20260804/frames/TT_NEW_03/TT_NEW_03_t003790.jpg</x:v>
      </x:c>
      <x:c r="M179" s="17" t="n">
        <x:v>3790</x:v>
      </x:c>
      <x:c r="N179" s="17" t="str">
        <x:v>已确认</x:v>
      </x:c>
      <x:c r="O179" s="17" t="str">
        <x:v>OCR 命中小游戏名称/玩法词</x:v>
      </x:c>
      <x:c r="P179" s="17" t="str">
        <x:v>Attack! | Pamela G.williams</x:v>
      </x:c>
    </x:row>
    <x:row r="180">
      <x:c r="A180" s="17" t="str">
        <x:v>SEG_03_153</x:v>
      </x:c>
      <x:c r="B180" s="17" t="str">
        <x:v>TT_NEW_03</x:v>
      </x:c>
      <x:c r="C180" s="17" t="n">
        <x:v>3800</x:v>
      </x:c>
      <x:c r="D180" s="17" t="n">
        <x:v>3809</x:v>
      </x:c>
      <x:c r="E180" s="17" t="str">
        <x:v>01:03:20</x:v>
      </x:c>
      <x:c r="F180" s="17" t="str">
        <x:v>01:03:29</x:v>
      </x:c>
      <x:c r="G180" s="17" t="n">
        <x:v>10</x:v>
      </x:c>
      <x:c r="H180" s="17" t="str">
        <x:v>建造</x:v>
      </x:c>
      <x:c r="I180" s="17" t="str">
        <x:v>金币可见；Site tasks/Next task cost 依画面</x:v>
      </x:c>
      <x:c r="J180" s="17" t="str">
        <x:v>否</x:v>
      </x:c>
      <x:c r="K180" s="17" t="str">
        <x:v>保留机制；待建造余额闭合</x:v>
      </x:c>
      <x:c r="L180" s="18" t="str">
        <x:v>/Users/mac/Documents/智囊团/video_analysis/Top_Tycoon新号流程_20260804/frames/TT_NEW_03/TT_NEW_03_t003800.jpg</x:v>
      </x:c>
      <x:c r="M180" s="17" t="n">
        <x:v>3800</x:v>
      </x:c>
      <x:c r="N180" s="17" t="str">
        <x:v>待复核</x:v>
      </x:c>
      <x:c r="O180" s="17" t="str">
        <x:v>画面原型近邻；margin=0.0112</x:v>
      </x:c>
      <x:c r="P180" s="17" t="n">
        <x:v>287</x:v>
      </x:c>
    </x:row>
    <x:row r="181">
      <x:c r="A181" s="17" t="str">
        <x:v>SEG_03_154</x:v>
      </x:c>
      <x:c r="B181" s="17" t="str">
        <x:v>TT_NEW_03</x:v>
      </x:c>
      <x:c r="C181" s="17" t="n">
        <x:v>3810</x:v>
      </x:c>
      <x:c r="D181" s="17" t="n">
        <x:v>3879</x:v>
      </x:c>
      <x:c r="E181" s="17" t="str">
        <x:v>01:03:30</x:v>
      </x:c>
      <x:c r="F181" s="17" t="str">
        <x:v>01:04:39</x:v>
      </x:c>
      <x:c r="G181" s="17" t="n">
        <x:v>70</x:v>
      </x:c>
      <x:c r="H181" s="17" t="str">
        <x:v>Slot</x:v>
      </x:c>
      <x:c r="I181" s="17" t="str">
        <x:v>BET/能量/金币/主进度通常可见；以事件帧为准</x:v>
      </x:c>
      <x:c r="J181" s="17" t="str">
        <x:v>否</x:v>
      </x:c>
      <x:c r="K181" s="17" t="str">
        <x:v>保留机制；缺逐 Spin 前后快照</x:v>
      </x:c>
      <x:c r="L181" s="18" t="str">
        <x:v>/Users/mac/Documents/智囊团/video_analysis/Top_Tycoon新号流程_20260804/frames/TT_NEW_03/TT_NEW_03_t003840.jpg</x:v>
      </x:c>
      <x:c r="M181" s="17" t="n">
        <x:v>3840</x:v>
      </x:c>
      <x:c r="N181" s="17" t="str">
        <x:v>已确认</x:v>
      </x:c>
      <x:c r="O181" s="17" t="str">
        <x:v>OCR 命中 SPIN/BET 词; 相邻两侧同模块，平滑孤立原型误差</x:v>
      </x:c>
      <x:c r="P181" s="17" t="str">
        <x:v>457000 | 575,796 | 0/3 | CLOTS | 2 | 08 | 10% | 11:27:44 | 40% | 50% | 0% | +66 | 14d17h | 06d17h | ATTACK | 6 | PACK | 01d17h | 225/310 | 6/6 | 06d17h | 02d11h | 650K | 16 | Sale | 01d11h | 05d17h | FGRTUI | 91% | 11h27m | YLLPSO | 14 | 01d11h | 02d11h | BETx50 | 14 | 50/50 | PiCK ONE | 69% | 11h27m | +3729 | 02d11h | SPIN | FREE | HOLD FOR AUTO SPIN | Earn coins intheslots(48k/aak) | 16 | Game | 457000 | 597,436 | PAX-BOY | RUSH | 10% | 60 | H | 01d17h | 415/1500 | BETx50 |</x:v>
      </x:c>
    </x:row>
    <x:row r="182">
      <x:c r="A182" s="17" t="str">
        <x:v>SEG_03_155</x:v>
      </x:c>
      <x:c r="B182" s="17" t="str">
        <x:v>TT_NEW_03</x:v>
      </x:c>
      <x:c r="C182" s="17" t="n">
        <x:v>3880</x:v>
      </x:c>
      <x:c r="D182" s="17" t="n">
        <x:v>3889</x:v>
      </x:c>
      <x:c r="E182" s="17" t="str">
        <x:v>01:04:40</x:v>
      </x:c>
      <x:c r="F182" s="17" t="str">
        <x:v>01:04:49</x:v>
      </x:c>
      <x:c r="G182" s="17" t="n">
        <x:v>10</x:v>
      </x:c>
      <x:c r="H182" s="17" t="str">
        <x:v>小游戏</x:v>
      </x:c>
      <x:c r="I182" s="17" t="str">
        <x:v>玩法/奖励依画面；主资源常不全显</x:v>
      </x:c>
      <x:c r="J182" s="17" t="str">
        <x:v>否</x:v>
      </x:c>
      <x:c r="K182" s="17" t="str">
        <x:v>保留机制；完整核账窗口不足</x:v>
      </x:c>
      <x:c r="L182" s="18" t="str">
        <x:v>/Users/mac/Documents/智囊团/video_analysis/Top_Tycoon新号流程_20260804/frames/TT_NEW_03/TT_NEW_03_t003880.jpg</x:v>
      </x:c>
      <x:c r="M182" s="17" t="n">
        <x:v>3880</x:v>
      </x:c>
      <x:c r="N182" s="17" t="str">
        <x:v>待复核</x:v>
      </x:c>
      <x:c r="O182" s="17" t="str">
        <x:v>画面原型近邻；margin=0.0343</x:v>
      </x:c>
      <x:c r="P182" s="17" t="str">
        <x:v>458000 | 887,336 | LATIONS! | GRATU | BUFR | Swinger | 2040 | Circus | intheslot | 296,179 | 458/Se | Site</x:v>
      </x:c>
    </x:row>
    <x:row r="183">
      <x:c r="A183" s="17" t="str">
        <x:v>SEG_03_156</x:v>
      </x:c>
      <x:c r="B183" s="17" t="str">
        <x:v>TT_NEW_03</x:v>
      </x:c>
      <x:c r="C183" s="17" t="n">
        <x:v>3890</x:v>
      </x:c>
      <x:c r="D183" s="17" t="n">
        <x:v>3899</x:v>
      </x:c>
      <x:c r="E183" s="17" t="str">
        <x:v>01:04:50</x:v>
      </x:c>
      <x:c r="F183" s="17" t="str">
        <x:v>01:04:59</x:v>
      </x:c>
      <x:c r="G183" s="17" t="n">
        <x:v>10</x:v>
      </x:c>
      <x:c r="H183" s="17" t="str">
        <x:v>建造</x:v>
      </x:c>
      <x:c r="I183" s="17" t="str">
        <x:v>金币可见；Site tasks/Next task cost 依画面</x:v>
      </x:c>
      <x:c r="J183" s="17" t="str">
        <x:v>否</x:v>
      </x:c>
      <x:c r="K183" s="17" t="str">
        <x:v>保留机制；待建造余额闭合</x:v>
      </x:c>
      <x:c r="L183" s="18" t="str">
        <x:v>/Users/mac/Documents/智囊团/video_analysis/Top_Tycoon新号流程_20260804/frames/TT_NEW_03/TT_NEW_03_t003890.jpg</x:v>
      </x:c>
      <x:c r="M183" s="17" t="n">
        <x:v>3890</x:v>
      </x:c>
      <x:c r="N183" s="17" t="str">
        <x:v>待复核</x:v>
      </x:c>
      <x:c r="O183" s="17" t="str">
        <x:v>画面原型近邻；margin=0.0020</x:v>
      </x:c>
      <x:c r="P183" s="17" t="str">
        <x:v>a moment's notice! | Ava | Great idea!I'm going to | sell loads ofbikini | swimsuits in the beach | area! | Tycoon | Do you think... there might | be protected animals in | the nearby sea?A glimmer | of hope? | Ava | I've scoured every marine | data log,Ava.Notrace of | protected animalsin these | waters. It's a dead end. | Tycoon | Well... then. | Ava | Tap to Continue</x:v>
      </x:c>
    </x:row>
    <x:row r="184">
      <x:c r="A184" s="17" t="str">
        <x:v>SEG_03_157</x:v>
      </x:c>
      <x:c r="B184" s="17" t="str">
        <x:v>TT_NEW_03</x:v>
      </x:c>
      <x:c r="C184" s="17" t="n">
        <x:v>3900</x:v>
      </x:c>
      <x:c r="D184" s="17" t="n">
        <x:v>3909</x:v>
      </x:c>
      <x:c r="E184" s="17" t="str">
        <x:v>01:05:00</x:v>
      </x:c>
      <x:c r="F184" s="17" t="str">
        <x:v>01:05:09</x:v>
      </x:c>
      <x:c r="G184" s="17" t="n">
        <x:v>10</x:v>
      </x:c>
      <x:c r="H184" s="17" t="str">
        <x:v>Slot</x:v>
      </x:c>
      <x:c r="I184" s="17" t="str">
        <x:v>BET/能量/金币/主进度通常可见；以事件帧为准</x:v>
      </x:c>
      <x:c r="J184" s="17" t="str">
        <x:v>否</x:v>
      </x:c>
      <x:c r="K184" s="17" t="str">
        <x:v>保留机制；缺逐 Spin 前后快照</x:v>
      </x:c>
      <x:c r="L184" s="18" t="str">
        <x:v>/Users/mac/Documents/智囊团/video_analysis/Top_Tycoon新号流程_20260804/frames/TT_NEW_03/TT_NEW_03_t003900.jpg</x:v>
      </x:c>
      <x:c r="M184" s="17" t="n">
        <x:v>3900</x:v>
      </x:c>
      <x:c r="N184" s="17" t="str">
        <x:v>已确认</x:v>
      </x:c>
      <x:c r="O184" s="17" t="str">
        <x:v>OCR 命中 SPIN/BET 词</x:v>
      </x:c>
      <x:c r="P184" s="17" t="str">
        <x:v>458000 | 887,336 | 10/3 | EpicSplash | 0/70000 | Showrewards | 62% | 23h26m | BUFF | 3570 | Dream Castle | 1442 | Hot AirBalloon | 米 | Earn coinsin the slots(48K/48K) | NEXTTASKCOST | TOTALEARNINGS | 305,357 | 225 | +458/Sec | 17 | Site</x:v>
      </x:c>
    </x:row>
    <x:row r="185">
      <x:c r="A185" s="17" t="str">
        <x:v>SEG_03_158</x:v>
      </x:c>
      <x:c r="B185" s="17" t="str">
        <x:v>TT_NEW_03</x:v>
      </x:c>
      <x:c r="C185" s="17" t="n">
        <x:v>3910</x:v>
      </x:c>
      <x:c r="D185" s="17" t="n">
        <x:v>3915</x:v>
      </x:c>
      <x:c r="E185" s="17" t="str">
        <x:v>01:05:10</x:v>
      </x:c>
      <x:c r="F185" s="17" t="str">
        <x:v>01:05:15</x:v>
      </x:c>
      <x:c r="G185" s="17" t="n">
        <x:v>6</x:v>
      </x:c>
      <x:c r="H185" s="17" t="str">
        <x:v>建造</x:v>
      </x:c>
      <x:c r="I185" s="17" t="str">
        <x:v>金币可见；Site tasks/Next task cost 依画面</x:v>
      </x:c>
      <x:c r="J185" s="17" t="str">
        <x:v>否</x:v>
      </x:c>
      <x:c r="K185" s="17" t="str">
        <x:v>保留机制；待建造余额闭合</x:v>
      </x:c>
      <x:c r="L185" s="18" t="str">
        <x:v>/Users/mac/Documents/智囊团/video_analysis/Top_Tycoon新号流程_20260804/frames/TT_NEW_03/TT_NEW_03_t003910.jpg</x:v>
      </x:c>
      <x:c r="M185" s="17" t="n">
        <x:v>3910</x:v>
      </x:c>
      <x:c r="N185" s="17" t="str">
        <x:v>待复核</x:v>
      </x:c>
      <x:c r="O185" s="17" t="str">
        <x:v>画面原型近邻；margin=0.0027</x:v>
      </x:c>
      <x:c r="P185" s="17" t="str">
        <x:v>8:33 | 美区 | 8059 | 8:33 | 01/29 | Thu | 50 | MI | Games | GetApps | Settings | Gallen | Security | Notes | 2. | Q | 三</x:v>
      </x:c>
    </x:row>
    <x:row r="186">
      <x:c r="A186" s="17" t="str">
        <x:v>SEG_04_001</x:v>
      </x:c>
      <x:c r="B186" s="17" t="str">
        <x:v>TT_NEW_04</x:v>
      </x:c>
      <x:c r="C186" s="17" t="n">
        <x:v>0</x:v>
      </x:c>
      <x:c r="D186" s="17" t="n">
        <x:v>39</x:v>
      </x:c>
      <x:c r="E186" s="17" t="str">
        <x:v>00:00:00</x:v>
      </x:c>
      <x:c r="F186" s="17" t="str">
        <x:v>00:00:39</x:v>
      </x:c>
      <x:c r="G186" s="17" t="n">
        <x:v>40</x:v>
      </x:c>
      <x:c r="H186" s="17" t="str">
        <x:v>建造</x:v>
      </x:c>
      <x:c r="I186" s="17" t="str">
        <x:v>金币可见；Site tasks/Next task cost 依画面</x:v>
      </x:c>
      <x:c r="J186" s="17" t="str">
        <x:v>是</x:v>
      </x:c>
      <x:c r="K186" s="17" t="str">
        <x:v>保留：建造金币核账窗口</x:v>
      </x:c>
      <x:c r="L186" s="18" t="str">
        <x:v>/Users/mac/Documents/智囊团/video_analysis/Top_Tycoon新号流程_20260804/frames/TT_NEW_04/TT_NEW_04_t000020.jpg</x:v>
      </x:c>
      <x:c r="M186" s="17" t="n">
        <x:v>20</x:v>
      </x:c>
      <x:c r="N186" s="17" t="str">
        <x:v>已确认</x:v>
      </x:c>
      <x:c r="O186" s="17" t="str">
        <x:v>OCR 命中建造/Site tasks 词; 相邻两侧同模块，平滑孤立原型误差</x:v>
      </x:c>
      <x:c r="P186" s="17" t="str">
        <x:v>458000 | 904,496 | 0/3 | EpicSplash | 0/70000 | Show rewards | Help other players(0/) | NEXTTASK COST | TOTAL EARNINGS | 494,668 | 0300 | UOO | +458/SeC | 17 | Site | 464000 | 1,446,179 | 0/3 | EpicSplash | 6000/70000 | Showrewards | 75%1 | 03h10m | 目 | Help other players(o/1) | NEXT TASKCOST | TO | NGS | 03,900 | Sec | 17 | 222 | Site | 482000 | 1,131,088 | 0/3 | Epic Splash | 22000/70000 | Showrewards | 82% | 03h09m | Helpotherplayers(o/1) | +1/Sec | TO | EARNINGS | NEXTTAS</x:v>
      </x:c>
    </x:row>
    <x:row r="187">
      <x:c r="A187" s="17" t="str">
        <x:v>SEG_04_002</x:v>
      </x:c>
      <x:c r="B187" s="17" t="str">
        <x:v>TT_NEW_04</x:v>
      </x:c>
      <x:c r="C187" s="17" t="n">
        <x:v>40</x:v>
      </x:c>
      <x:c r="D187" s="17" t="n">
        <x:v>59</x:v>
      </x:c>
      <x:c r="E187" s="17" t="str">
        <x:v>00:00:40</x:v>
      </x:c>
      <x:c r="F187" s="17" t="str">
        <x:v>00:00:59</x:v>
      </x:c>
      <x:c r="G187" s="17" t="n">
        <x:v>20</x:v>
      </x:c>
      <x:c r="H187" s="17" t="str">
        <x:v>小游戏</x:v>
      </x:c>
      <x:c r="I187" s="17" t="str">
        <x:v>玩法/奖励依画面；主资源常不全显</x:v>
      </x:c>
      <x:c r="J187" s="17" t="str">
        <x:v>否</x:v>
      </x:c>
      <x:c r="K187" s="17" t="str">
        <x:v>保留机制；完整核账窗口不足</x:v>
      </x:c>
      <x:c r="L187" s="18" t="str">
        <x:v>/Users/mac/Documents/智囊团/video_analysis/Top_Tycoon新号流程_20260804/frames/TT_NEW_04/TT_NEW_04_t000050.jpg</x:v>
      </x:c>
      <x:c r="M187" s="17" t="n">
        <x:v>50</x:v>
      </x:c>
      <x:c r="N187" s="17" t="str">
        <x:v>待复核</x:v>
      </x:c>
      <x:c r="O187" s="17" t="str">
        <x:v>画面原型近邻；margin=0.0011; 画面原型近邻；margin=0.0112</x:v>
      </x:c>
      <x:c r="P187" s="17" t="str">
        <x:v>CALENDAR | 1522 | 30 | Day3 | 40 | Day 4 | Day6 | 国 | 140K | 170K | Day7 | 430K | COLLECT | SPORT | TOURNAMENT | WINNER! | Take your reward: | 470 | 170K | COLLECT | 05d21h</x:v>
      </x:c>
    </x:row>
    <x:row r="188">
      <x:c r="A188" s="17" t="str">
        <x:v>SEG_04_003</x:v>
      </x:c>
      <x:c r="B188" s="17" t="str">
        <x:v>TT_NEW_04</x:v>
      </x:c>
      <x:c r="C188" s="17" t="n">
        <x:v>60</x:v>
      </x:c>
      <x:c r="D188" s="17" t="n">
        <x:v>69</x:v>
      </x:c>
      <x:c r="E188" s="17" t="str">
        <x:v>00:01:00</x:v>
      </x:c>
      <x:c r="F188" s="17" t="str">
        <x:v>00:01:09</x:v>
      </x:c>
      <x:c r="G188" s="17" t="n">
        <x:v>10</x:v>
      </x:c>
      <x:c r="H188" s="17" t="str">
        <x:v>转场/加载</x:v>
      </x:c>
      <x:c r="I188" s="17" t="str">
        <x:v>数值不可读或不适用</x:v>
      </x:c>
      <x:c r="J188" s="17" t="str">
        <x:v>否</x:v>
      </x:c>
      <x:c r="K188" s="17" t="str">
        <x:v>排除：转场/加载，不进入数值统计</x:v>
      </x:c>
      <x:c r="L188" s="18" t="str">
        <x:v>/Users/mac/Documents/智囊团/video_analysis/Top_Tycoon新号流程_20260804/frames/TT_NEW_04/TT_NEW_04_t000060.jpg</x:v>
      </x:c>
      <x:c r="M188" s="17" t="n">
        <x:v>60</x:v>
      </x:c>
      <x:c r="N188" s="17" t="str">
        <x:v>已确认</x:v>
      </x:c>
      <x:c r="O188" s="17" t="str">
        <x:v>低亮度/低饱和转场</x:v>
      </x:c>
      <x:c r="P188" s="17" t="str">
        <x:v>ADVENTURE | Whimsical treasures await the curious! | GONOW! | 01d15h</x:v>
      </x:c>
    </x:row>
    <x:row r="189">
      <x:c r="A189" s="17" t="str">
        <x:v>SEG_04_004</x:v>
      </x:c>
      <x:c r="B189" s="17" t="str">
        <x:v>TT_NEW_04</x:v>
      </x:c>
      <x:c r="C189" s="17" t="n">
        <x:v>70</x:v>
      </x:c>
      <x:c r="D189" s="17" t="n">
        <x:v>109</x:v>
      </x:c>
      <x:c r="E189" s="17" t="str">
        <x:v>00:01:10</x:v>
      </x:c>
      <x:c r="F189" s="17" t="str">
        <x:v>00:01:49</x:v>
      </x:c>
      <x:c r="G189" s="17" t="n">
        <x:v>40</x:v>
      </x:c>
      <x:c r="H189" s="17" t="str">
        <x:v>Slot</x:v>
      </x:c>
      <x:c r="I189" s="17" t="str">
        <x:v>BET/能量/金币/主进度通常可见；以事件帧为准</x:v>
      </x:c>
      <x:c r="J189" s="17" t="str">
        <x:v>否</x:v>
      </x:c>
      <x:c r="K189" s="17" t="str">
        <x:v>保留机制；缺逐 Spin 前后快照</x:v>
      </x:c>
      <x:c r="L189" s="18" t="str">
        <x:v>/Users/mac/Documents/智囊团/video_analysis/Top_Tycoon新号流程_20260804/frames/TT_NEW_04/TT_NEW_04_t000090.jpg</x:v>
      </x:c>
      <x:c r="M189" s="17" t="n">
        <x:v>90</x:v>
      </x:c>
      <x:c r="N189" s="17" t="str">
        <x:v>已确认</x:v>
      </x:c>
      <x:c r="O189" s="17" t="str">
        <x:v>OCR 命中 SPIN/BET 词</x:v>
      </x:c>
      <x:c r="P189" s="17" t="str">
        <x:v>498000 | 198,530 | 0/3 | QUEs | ZLots | 2 | 10% | 15:09:01 | 50% | 0% | 0% | +66 | 13d21h | 05d21h | + 9600 | 6 | 21h14m | PACK | 415/1500 | 6/6 | 05d21h | 01d15h | Sale | 15h09m | 18 | 04d21h | 91% | 15h09m | 04d15h | BETx50 | 14 | 50/50 | +4354 | 01d15h | 14 | SPIN | 69% | HOLD FOR AUTO | Help other players(o/1) | 17 | Game | 498000 | 207,030 | 0/3 | QUEs | ZLots | 2 | 10% | 15:08:51 | 55% | 0% | 0% | +66 | 13d21h | 05d21h | 6 | 21h14m | PACK | 415/1500 | 6/6 | 05d21h | 01d</x:v>
      </x:c>
    </x:row>
    <x:row r="190">
      <x:c r="A190" s="17" t="str">
        <x:v>SEG_04_005</x:v>
      </x:c>
      <x:c r="B190" s="17" t="str">
        <x:v>TT_NEW_04</x:v>
      </x:c>
      <x:c r="C190" s="17" t="n">
        <x:v>110</x:v>
      </x:c>
      <x:c r="D190" s="17" t="n">
        <x:v>139</x:v>
      </x:c>
      <x:c r="E190" s="17" t="str">
        <x:v>00:01:50</x:v>
      </x:c>
      <x:c r="F190" s="17" t="str">
        <x:v>00:02:19</x:v>
      </x:c>
      <x:c r="G190" s="17" t="n">
        <x:v>30</x:v>
      </x:c>
      <x:c r="H190" s="17" t="str">
        <x:v>礼包</x:v>
      </x:c>
      <x:c r="I190" s="17" t="str">
        <x:v>价格/内容可能可见；未观察购买后余额</x:v>
      </x:c>
      <x:c r="J190" s="17" t="str">
        <x:v>否</x:v>
      </x:c>
      <x:c r="K190" s="17" t="str">
        <x:v>保留 offer_shown；无购买前后闭环</x:v>
      </x:c>
      <x:c r="L190" s="18" t="str">
        <x:v>/Users/mac/Documents/智囊团/video_analysis/Top_Tycoon新号流程_20260804/frames/TT_NEW_04/TT_NEW_04_t000120.jpg</x:v>
      </x:c>
      <x:c r="M190" s="17" t="n">
        <x:v>120</x:v>
      </x:c>
      <x:c r="N190" s="17" t="str">
        <x:v>待复核</x:v>
      </x:c>
      <x:c r="O190" s="17" t="str">
        <x:v>OCR 命中价格/商店词; 画面原型近邻；margin=0.0033; 画面原型近邻；margin=0.0071</x:v>
      </x:c>
      <x:c r="P190" s="17" t="str">
        <x:v>498000 | 1,363,030 | 15h08m | X | 33% | SPRINKIE | SURPRISES | 680 | VALUE | ×3.3 | 250 | 20m | K$78.00 | HK$25.00 | VALUE | x3.3 | 0 | HK$40.00 | VALUE | x3.5 | 560 | 25 | HKIS | HK$55.90 | 777 | Game | 498000 | 1,363,030 | KNOCK DOWN | 33% | PRiCE | X | ? | KiLD | 1.2K | 20m | UPTO | 70% | HKD268 | 0/45 | 20% | OFF | Fill the barto slashtheprice! | 15h08m | Discount on original price | lelpotherplay | 777 | Game | 498000 | 1,363,030 | KNOCK DOWN | 33% | PRiCE | X | ? | FiLD</x:v>
      </x:c>
    </x:row>
    <x:row r="191">
      <x:c r="A191" s="17" t="str">
        <x:v>SEG_04_006</x:v>
      </x:c>
      <x:c r="B191" s="17" t="str">
        <x:v>TT_NEW_04</x:v>
      </x:c>
      <x:c r="C191" s="17" t="n">
        <x:v>140</x:v>
      </x:c>
      <x:c r="D191" s="17" t="n">
        <x:v>169</x:v>
      </x:c>
      <x:c r="E191" s="17" t="str">
        <x:v>00:02:20</x:v>
      </x:c>
      <x:c r="F191" s="17" t="str">
        <x:v>00:02:49</x:v>
      </x:c>
      <x:c r="G191" s="17" t="n">
        <x:v>30</x:v>
      </x:c>
      <x:c r="H191" s="17" t="str">
        <x:v>Slot</x:v>
      </x:c>
      <x:c r="I191" s="17" t="str">
        <x:v>BET/能量/金币/主进度通常可见；以事件帧为准</x:v>
      </x:c>
      <x:c r="J191" s="17" t="str">
        <x:v>否</x:v>
      </x:c>
      <x:c r="K191" s="17" t="str">
        <x:v>保留机制；缺逐 Spin 前后快照</x:v>
      </x:c>
      <x:c r="L191" s="18" t="str">
        <x:v>/Users/mac/Documents/智囊团/video_analysis/Top_Tycoon新号流程_20260804/frames/TT_NEW_04/TT_NEW_04_t000150.jpg</x:v>
      </x:c>
      <x:c r="M191" s="17" t="n">
        <x:v>150</x:v>
      </x:c>
      <x:c r="N191" s="17" t="str">
        <x:v>已确认</x:v>
      </x:c>
      <x:c r="O191" s="17" t="str">
        <x:v>OCR 命中 SPIN/BET 词; 画面原型近邻；margin=0.0296</x:v>
      </x:c>
      <x:c r="P191" s="17" t="str">
        <x:v>498000 | 1,363,030 | 0/3 | QUEs | ZLots | 33% | 15:07:51 | 0% | 0% | +66 | 13d21h | 05d21h | + 34,000 | 9 | 21h13m | PACI | 415/1500 | 6/6 | 05d21h | 01d15h | 2.4K | 18 | Sale | 15h07m | 04d21h | 8 | 96% | 15h07m | 04d15h | 14 | 15h07m | 0% | 01d15h | BETx100 | 14 | 50/50 | 69% | 15h07m | +3704G | 01d15h | SPIN | FREE | 15h07m | 07d15h | HOLD FOR AUTO | Helpotherplayers(o/1) | 17 | Game | X | 01d15h | 9 | PLCS | 9y9 | 01d15h | FIND ALL THE PROPS TO WIN | LEVEL1 | LEVEL2 | LEV</x:v>
      </x:c>
    </x:row>
    <x:row r="192">
      <x:c r="A192" s="17" t="str">
        <x:v>SEG_04_007</x:v>
      </x:c>
      <x:c r="B192" s="17" t="str">
        <x:v>TT_NEW_04</x:v>
      </x:c>
      <x:c r="C192" s="17" t="n">
        <x:v>170</x:v>
      </x:c>
      <x:c r="D192" s="17" t="n">
        <x:v>179</x:v>
      </x:c>
      <x:c r="E192" s="17" t="str">
        <x:v>00:02:50</x:v>
      </x:c>
      <x:c r="F192" s="17" t="str">
        <x:v>00:02:59</x:v>
      </x:c>
      <x:c r="G192" s="17" t="n">
        <x:v>10</x:v>
      </x:c>
      <x:c r="H192" s="17" t="str">
        <x:v>礼包</x:v>
      </x:c>
      <x:c r="I192" s="17" t="str">
        <x:v>价格/内容可能可见；未观察购买后余额</x:v>
      </x:c>
      <x:c r="J192" s="17" t="str">
        <x:v>否</x:v>
      </x:c>
      <x:c r="K192" s="17" t="str">
        <x:v>保留 offer_shown；无购买前后闭环</x:v>
      </x:c>
      <x:c r="L192" s="18" t="str">
        <x:v>/Users/mac/Documents/智囊团/video_analysis/Top_Tycoon新号流程_20260804/frames/TT_NEW_04/TT_NEW_04_t000170.jpg</x:v>
      </x:c>
      <x:c r="M192" s="17" t="n">
        <x:v>170</x:v>
      </x:c>
      <x:c r="N192" s="17" t="str">
        <x:v>已确认</x:v>
      </x:c>
      <x:c r="O192" s="17" t="str">
        <x:v>OCR 命中价格/商店词</x:v>
      </x:c>
      <x:c r="P192" s="17" t="str">
        <x:v>498000 | 1,363,030 | 0/3 | PACK | 33% | X | 1200% | Earn up to 1400 | Value | Buy nowto claim | HKSZI | rewards you've | HK$55.90 | earned! | SPIN | Use 20 spins | claim | SPIN | Use 70 spins | claim | SPIN | Use 170 spins | claim | SPIN | Use 310 spins | Claim | 110 | SPIN | Use 500 spins | claim | 01d 15h | Buy now to claim rewardsyou've earned! | elpotherplay | 777 | Game</x:v>
      </x:c>
    </x:row>
    <x:row r="193">
      <x:c r="A193" s="17" t="str">
        <x:v>SEG_04_008</x:v>
      </x:c>
      <x:c r="B193" s="17" t="str">
        <x:v>TT_NEW_04</x:v>
      </x:c>
      <x:c r="C193" s="17" t="n">
        <x:v>180</x:v>
      </x:c>
      <x:c r="D193" s="17" t="n">
        <x:v>189</x:v>
      </x:c>
      <x:c r="E193" s="17" t="str">
        <x:v>00:03:00</x:v>
      </x:c>
      <x:c r="F193" s="17" t="str">
        <x:v>00:03:09</x:v>
      </x:c>
      <x:c r="G193" s="17" t="n">
        <x:v>10</x:v>
      </x:c>
      <x:c r="H193" s="17" t="str">
        <x:v>Slot</x:v>
      </x:c>
      <x:c r="I193" s="17" t="str">
        <x:v>BET/能量/金币/主进度通常可见；以事件帧为准</x:v>
      </x:c>
      <x:c r="J193" s="17" t="str">
        <x:v>否</x:v>
      </x:c>
      <x:c r="K193" s="17" t="str">
        <x:v>保留机制；缺逐 Spin 前后快照</x:v>
      </x:c>
      <x:c r="L193" s="18" t="str">
        <x:v>/Users/mac/Documents/智囊团/video_analysis/Top_Tycoon新号流程_20260804/frames/TT_NEW_04/TT_NEW_04_t000180.jpg</x:v>
      </x:c>
      <x:c r="M193" s="17" t="n">
        <x:v>180</x:v>
      </x:c>
      <x:c r="N193" s="17" t="str">
        <x:v>已确认</x:v>
      </x:c>
      <x:c r="O193" s="17" t="str">
        <x:v>OCR 命中 SPIN/BET 词</x:v>
      </x:c>
      <x:c r="P193" s="17" t="str">
        <x:v>498000 | 1,363,030 | TRAVEL | 33% | TOURNAMENT | 00 | Activatewith | 0/5 | ? | Attack | Credit Grab | Blocked | +2 | Small | +3 | Success! | +4 | Large | +5 | Perfect | +100 | Raise your Bet | x100 | Win more points! | 15:07:11 | lelpotherplayers（ | Game</x:v>
      </x:c>
    </x:row>
    <x:row r="194">
      <x:c r="A194" s="17" t="str">
        <x:v>SEG_04_009</x:v>
      </x:c>
      <x:c r="B194" s="17" t="str">
        <x:v>TT_NEW_04</x:v>
      </x:c>
      <x:c r="C194" s="17" t="n">
        <x:v>190</x:v>
      </x:c>
      <x:c r="D194" s="17" t="n">
        <x:v>209</x:v>
      </x:c>
      <x:c r="E194" s="17" t="str">
        <x:v>00:03:10</x:v>
      </x:c>
      <x:c r="F194" s="17" t="str">
        <x:v>00:03:29</x:v>
      </x:c>
      <x:c r="G194" s="17" t="n">
        <x:v>20</x:v>
      </x:c>
      <x:c r="H194" s="17" t="str">
        <x:v>建造</x:v>
      </x:c>
      <x:c r="I194" s="17" t="str">
        <x:v>金币可见；Site tasks/Next task cost 依画面</x:v>
      </x:c>
      <x:c r="J194" s="17" t="str">
        <x:v>否</x:v>
      </x:c>
      <x:c r="K194" s="17" t="str">
        <x:v>保留机制；待建造余额闭合</x:v>
      </x:c>
      <x:c r="L194" s="18" t="str">
        <x:v>/Users/mac/Documents/智囊团/video_analysis/Top_Tycoon新号流程_20260804/frames/TT_NEW_04/TT_NEW_04_t000200.jpg</x:v>
      </x:c>
      <x:c r="M194" s="17" t="n">
        <x:v>200</x:v>
      </x:c>
      <x:c r="N194" s="17" t="str">
        <x:v>待复核</x:v>
      </x:c>
      <x:c r="O194" s="17" t="str">
        <x:v>画面原型近邻；margin=0.0027; 画面原型近邻；margin=0.0081</x:v>
      </x:c>
      <x:c r="P194" s="17" t="str">
        <x:v>470.0 | 468.0</x:v>
      </x:c>
    </x:row>
    <x:row r="195">
      <x:c r="A195" s="17" t="str">
        <x:v>SEG_04_010</x:v>
      </x:c>
      <x:c r="B195" s="17" t="str">
        <x:v>TT_NEW_04</x:v>
      </x:c>
      <x:c r="C195" s="17" t="n">
        <x:v>210</x:v>
      </x:c>
      <x:c r="D195" s="17" t="n">
        <x:v>229</x:v>
      </x:c>
      <x:c r="E195" s="17" t="str">
        <x:v>00:03:30</x:v>
      </x:c>
      <x:c r="F195" s="17" t="str">
        <x:v>00:03:49</x:v>
      </x:c>
      <x:c r="G195" s="17" t="n">
        <x:v>20</x:v>
      </x:c>
      <x:c r="H195" s="17" t="str">
        <x:v>Slot</x:v>
      </x:c>
      <x:c r="I195" s="17" t="str">
        <x:v>BET/能量/金币/主进度通常可见；以事件帧为准</x:v>
      </x:c>
      <x:c r="J195" s="17" t="str">
        <x:v>否</x:v>
      </x:c>
      <x:c r="K195" s="17" t="str">
        <x:v>保留机制；缺逐 Spin 前后快照</x:v>
      </x:c>
      <x:c r="L195" s="18" t="str">
        <x:v>/Users/mac/Documents/智囊团/video_analysis/Top_Tycoon新号流程_20260804/frames/TT_NEW_04/TT_NEW_04_t000220.jpg</x:v>
      </x:c>
      <x:c r="M195" s="17" t="n">
        <x:v>220</x:v>
      </x:c>
      <x:c r="N195" s="17" t="str">
        <x:v>已确认</x:v>
      </x:c>
      <x:c r="O195" s="17" t="str">
        <x:v>OCR 命中 SPIN/BET 词; 画面原型近邻；margin=0.0259</x:v>
      </x:c>
      <x:c r="P195" s="17" t="str">
        <x:v>498000 | 1,873,030 | 43% | 0% | ATTACK | H | 21h12m | 415/1500. | a | 47K | 20 | BET x100 | 50/50 | SPIN | 07d15h | lelpotherplayers（O/ | 17 | Game | 498000 | 1,920,030 | RUES | KNOCK DOWN | 43% | PRiCE | X | ? | KiLD | .2K | 20m | UPTO | 70% | HKD269 | HKD268 | 45/45 | 30% | OFF | Fill thebarto slashtheprice! | 15h06m | Discount on original price | lelpotherplay | 777 | Game</x:v>
      </x:c>
    </x:row>
    <x:row r="196">
      <x:c r="A196" s="17" t="str">
        <x:v>SEG_04_011</x:v>
      </x:c>
      <x:c r="B196" s="17" t="str">
        <x:v>TT_NEW_04</x:v>
      </x:c>
      <x:c r="C196" s="17" t="n">
        <x:v>230</x:v>
      </x:c>
      <x:c r="D196" s="17" t="n">
        <x:v>239</x:v>
      </x:c>
      <x:c r="E196" s="17" t="str">
        <x:v>00:03:50</x:v>
      </x:c>
      <x:c r="F196" s="17" t="str">
        <x:v>00:03:59</x:v>
      </x:c>
      <x:c r="G196" s="17" t="n">
        <x:v>10</x:v>
      </x:c>
      <x:c r="H196" s="17" t="str">
        <x:v>礼包</x:v>
      </x:c>
      <x:c r="I196" s="17" t="str">
        <x:v>价格/内容可能可见；未观察购买后余额</x:v>
      </x:c>
      <x:c r="J196" s="17" t="str">
        <x:v>否</x:v>
      </x:c>
      <x:c r="K196" s="17" t="str">
        <x:v>保留 offer_shown；无购买前后闭环</x:v>
      </x:c>
      <x:c r="L196" s="18" t="str">
        <x:v>/Users/mac/Documents/智囊团/video_analysis/Top_Tycoon新号流程_20260804/frames/TT_NEW_04/TT_NEW_04_t000230.jpg</x:v>
      </x:c>
      <x:c r="M196" s="17" t="n">
        <x:v>230</x:v>
      </x:c>
      <x:c r="N196" s="17" t="str">
        <x:v>待复核</x:v>
      </x:c>
      <x:c r="O196" s="17" t="str">
        <x:v>画面原型近邻；margin=0.0056</x:v>
      </x:c>
      <x:c r="P196" s="17" t="str">
        <x:v>498000 | 1,920,030 | KNOCKDoWN | 43% | PRiCE | ? | X | KiLD | 1.2K | 20m | UPTO | 70% | OFF | GHKD269 | HKD188.00 | 80/120 | 40% | OFF | Fill thebarto slashtheprice! | 15h06m | Discount on original price | lelpotherplay | 777 | Game</x:v>
      </x:c>
    </x:row>
    <x:row r="197">
      <x:c r="A197" s="17" t="str">
        <x:v>SEG_04_012</x:v>
      </x:c>
      <x:c r="B197" s="17" t="str">
        <x:v>TT_NEW_04</x:v>
      </x:c>
      <x:c r="C197" s="17" t="n">
        <x:v>240</x:v>
      </x:c>
      <x:c r="D197" s="17" t="n">
        <x:v>249</x:v>
      </x:c>
      <x:c r="E197" s="17" t="str">
        <x:v>00:04:00</x:v>
      </x:c>
      <x:c r="F197" s="17" t="str">
        <x:v>00:04:09</x:v>
      </x:c>
      <x:c r="G197" s="17" t="n">
        <x:v>10</x:v>
      </x:c>
      <x:c r="H197" s="17" t="str">
        <x:v>小游戏</x:v>
      </x:c>
      <x:c r="I197" s="17" t="str">
        <x:v>玩法/奖励依画面；主资源常不全显</x:v>
      </x:c>
      <x:c r="J197" s="17" t="str">
        <x:v>否</x:v>
      </x:c>
      <x:c r="K197" s="17" t="str">
        <x:v>保留机制；完整核账窗口不足</x:v>
      </x:c>
      <x:c r="L197" s="18" t="str">
        <x:v>/Users/mac/Documents/智囊团/video_analysis/Top_Tycoon新号流程_20260804/frames/TT_NEW_04/TT_NEW_04_t000240.jpg</x:v>
      </x:c>
      <x:c r="M197" s="17" t="n">
        <x:v>240</x:v>
      </x:c>
      <x:c r="N197" s="17" t="str">
        <x:v>已确认</x:v>
      </x:c>
      <x:c r="O197" s="17" t="str">
        <x:v>OCR 命中小游戏名称/玩法词</x:v>
      </x:c>
      <x:c r="P197" s="17" t="str">
        <x:v>498000 | 1,920,030 | 0/3 | TRAVEL | TOURNAMENT | X | Attack | Credit Grab | Blocked | +2 | Small | +3 | Success! | +4 | Large | +5 | Perfect! | +10i0 | /20 | Ryan | 340K | 650 | 3960 | texcyn | 240K | 330 | 2160 | bigtiger | 170K | 160 | 1120 | 4 | JackBlack | 120k | 95 | 1100 | 5 | ChaChaGirl | 120k | 65 | 880 | 6 | M | LAnaell | 10 | ali.f | 120K | 200 | 15:06:11 | Helpotherplay | Game</x:v>
      </x:c>
    </x:row>
    <x:row r="198">
      <x:c r="A198" s="17" t="str">
        <x:v>SEG_04_013</x:v>
      </x:c>
      <x:c r="B198" s="17" t="str">
        <x:v>TT_NEW_04</x:v>
      </x:c>
      <x:c r="C198" s="17" t="n">
        <x:v>250</x:v>
      </x:c>
      <x:c r="D198" s="17" t="n">
        <x:v>299</x:v>
      </x:c>
      <x:c r="E198" s="17" t="str">
        <x:v>00:04:10</x:v>
      </x:c>
      <x:c r="F198" s="17" t="str">
        <x:v>00:04:59</x:v>
      </x:c>
      <x:c r="G198" s="17" t="n">
        <x:v>50</x:v>
      </x:c>
      <x:c r="H198" s="17" t="str">
        <x:v>Slot</x:v>
      </x:c>
      <x:c r="I198" s="17" t="str">
        <x:v>BET/能量/金币/主进度通常可见；以事件帧为准</x:v>
      </x:c>
      <x:c r="J198" s="17" t="str">
        <x:v>否</x:v>
      </x:c>
      <x:c r="K198" s="17" t="str">
        <x:v>保留机制；缺逐 Spin 前后快照</x:v>
      </x:c>
      <x:c r="L198" s="18" t="str">
        <x:v>/Users/mac/Documents/智囊团/video_analysis/Top_Tycoon新号流程_20260804/frames/TT_NEW_04/TT_NEW_04_t000270.jpg</x:v>
      </x:c>
      <x:c r="M198" s="17" t="n">
        <x:v>270</x:v>
      </x:c>
      <x:c r="N198" s="17" t="str">
        <x:v>已确认</x:v>
      </x:c>
      <x:c r="O198" s="17" t="str">
        <x:v>OCR 命中 SPIN/BET 词</x:v>
      </x:c>
      <x:c r="P198" s="17" t="str">
        <x:v>498000 | 2,770,030 | 0/3 | QUEs | ZLots | 10 | 60% | 15:06:01 | 50% | 0% | +66 | 13d21h | 05d21h | + 85,000 | 6 | 21h11m | PACK | 415/1500 | 9/9 | 05d21h | 01d15h | 18 | Sale | 15h06m | 04d21h | 8 | 96% | 15h06m | 04d15h | 14 | 00 | 15h06m | 01d15h | BETx100 | 14 | 50/50 | 69% | 15h06m | +34310 | 01d15h | FREE | 15h06m | SPIN | 07d15h | Help other players(o/1) | Game | 498000 | 2,923,030 | 0/3 | QUEs | ZLots | 3 | 10 | 63% | 15:05:51 | 50% | 0% | +66 | 13d21h | 05d21h | 6 | 2</x:v>
      </x:c>
    </x:row>
    <x:row r="199">
      <x:c r="A199" s="17" t="str">
        <x:v>SEG_04_014</x:v>
      </x:c>
      <x:c r="B199" s="17" t="str">
        <x:v>TT_NEW_04</x:v>
      </x:c>
      <x:c r="C199" s="17" t="n">
        <x:v>300</x:v>
      </x:c>
      <x:c r="D199" s="17" t="n">
        <x:v>309</x:v>
      </x:c>
      <x:c r="E199" s="17" t="str">
        <x:v>00:05:00</x:v>
      </x:c>
      <x:c r="F199" s="17" t="str">
        <x:v>00:05:09</x:v>
      </x:c>
      <x:c r="G199" s="17" t="n">
        <x:v>10</x:v>
      </x:c>
      <x:c r="H199" s="17" t="str">
        <x:v>小游戏</x:v>
      </x:c>
      <x:c r="I199" s="17" t="str">
        <x:v>玩法/奖励依画面；主资源常不全显</x:v>
      </x:c>
      <x:c r="J199" s="17" t="str">
        <x:v>否</x:v>
      </x:c>
      <x:c r="K199" s="17" t="str">
        <x:v>保留机制；完整核账窗口不足</x:v>
      </x:c>
      <x:c r="L199" s="18" t="str">
        <x:v>/Users/mac/Documents/智囊团/video_analysis/Top_Tycoon新号流程_20260804/frames/TT_NEW_04/TT_NEW_04_t000300.jpg</x:v>
      </x:c>
      <x:c r="M199" s="17" t="n">
        <x:v>300</x:v>
      </x:c>
      <x:c r="N199" s="17" t="str">
        <x:v>已确认</x:v>
      </x:c>
      <x:c r="O199" s="17" t="str">
        <x:v>OCR 命中小游戏名称/玩法词</x:v>
      </x:c>
      <x:c r="P199" s="17" t="str">
        <x:v>Credit Grab! | Select Target: | Dick Baldwin | Taddel | Garrett | 19,000 | 38,000 | 27,000 | Potential Loot | Potential Loot | Potential Loot | Select | Select | Select</x:v>
      </x:c>
    </x:row>
    <x:row r="200">
      <x:c r="A200" s="17" t="str">
        <x:v>SEG_04_015</x:v>
      </x:c>
      <x:c r="B200" s="17" t="str">
        <x:v>TT_NEW_04</x:v>
      </x:c>
      <x:c r="C200" s="17" t="n">
        <x:v>310</x:v>
      </x:c>
      <x:c r="D200" s="17" t="n">
        <x:v>329</x:v>
      </x:c>
      <x:c r="E200" s="17" t="str">
        <x:v>00:05:10</x:v>
      </x:c>
      <x:c r="F200" s="17" t="str">
        <x:v>00:05:29</x:v>
      </x:c>
      <x:c r="G200" s="17" t="n">
        <x:v>20</x:v>
      </x:c>
      <x:c r="H200" s="17" t="str">
        <x:v>转场/加载</x:v>
      </x:c>
      <x:c r="I200" s="17" t="str">
        <x:v>数值不可读或不适用</x:v>
      </x:c>
      <x:c r="J200" s="17" t="str">
        <x:v>否</x:v>
      </x:c>
      <x:c r="K200" s="17" t="str">
        <x:v>排除：转场/加载，不进入数值统计</x:v>
      </x:c>
      <x:c r="L200" s="18" t="str">
        <x:v>/Users/mac/Documents/智囊团/video_analysis/Top_Tycoon新号流程_20260804/frames/TT_NEW_04/TT_NEW_04_t000320.jpg</x:v>
      </x:c>
      <x:c r="M200" s="17" t="n">
        <x:v>320</x:v>
      </x:c>
      <x:c r="N200" s="17" t="str">
        <x:v>待复核</x:v>
      </x:c>
      <x:c r="O200" s="17" t="str">
        <x:v>画面原型近邻；margin=0.0154; 画面原型近邻；margin=0.0211</x:v>
      </x:c>
      <x:c r="P200" s="17" t="str">
        <x:v>Taddel's Bank | 429,00( | COINS | Z | TOTAL LOOT | 429,000 | COINS | Taddel's Bank | GRAB | SMALL | YOU STOLE | 1,100,000 | COINS | COLLECT</x:v>
      </x:c>
    </x:row>
    <x:row r="201">
      <x:c r="A201" s="17" t="str">
        <x:v>SEG_04_016</x:v>
      </x:c>
      <x:c r="B201" s="17" t="str">
        <x:v>TT_NEW_04</x:v>
      </x:c>
      <x:c r="C201" s="17" t="n">
        <x:v>330</x:v>
      </x:c>
      <x:c r="D201" s="17" t="n">
        <x:v>419</x:v>
      </x:c>
      <x:c r="E201" s="17" t="str">
        <x:v>00:05:30</x:v>
      </x:c>
      <x:c r="F201" s="17" t="str">
        <x:v>00:06:59</x:v>
      </x:c>
      <x:c r="G201" s="17" t="n">
        <x:v>90</x:v>
      </x:c>
      <x:c r="H201" s="17" t="str">
        <x:v>Slot</x:v>
      </x:c>
      <x:c r="I201" s="17" t="str">
        <x:v>BET/能量/金币/主进度通常可见；以事件帧为准</x:v>
      </x:c>
      <x:c r="J201" s="17" t="str">
        <x:v>否</x:v>
      </x:c>
      <x:c r="K201" s="17" t="str">
        <x:v>保留机制；缺逐 Spin 前后快照</x:v>
      </x:c>
      <x:c r="L201" s="18" t="str">
        <x:v>/Users/mac/Documents/智囊团/video_analysis/Top_Tycoon新号流程_20260804/frames/TT_NEW_04/TT_NEW_04_t000370.jpg</x:v>
      </x:c>
      <x:c r="M201" s="17" t="n">
        <x:v>370</x:v>
      </x:c>
      <x:c r="N201" s="17" t="str">
        <x:v>已确认</x:v>
      </x:c>
      <x:c r="O201" s="17" t="str">
        <x:v>OCR 命中 SPIN/BET 词; 相邻两侧同模块，平滑孤立原型误差</x:v>
      </x:c>
      <x:c r="P201" s="17" t="str">
        <x:v>498000 | 4,707,030 | Ques | SLoTs | 3 | %96 | 15:04:41 | 61% | 36% | +66 | 13d21h | 05d21h | CREDIT GRAB | H | 6 | 21h10m | PACK | 815/1500 | 6/6 | 05d21h | 01d15h | 2.4K | 19 | Sale | 15h04m | 04d21h | 8 | 96% | 15h04m | 04d15h | 14 | 15h04m | 01d15h | BETx100 | 40 | 50/50 | 42% | 15h04m | +2528 | 01d15h | SPIN | FREE | 15h04m | 07d15h | HOLD FOR AUTO | Helpother players (o/1) | 17 | Game | 498000 | 4,707,030 | KNOCK DOWN | 96% | PRiCE | X | ? | FiLD | 1.2K | 20m | UPTO | 70</x:v>
      </x:c>
    </x:row>
    <x:row r="202">
      <x:c r="A202" s="17" t="str">
        <x:v>SEG_04_017</x:v>
      </x:c>
      <x:c r="B202" s="17" t="str">
        <x:v>TT_NEW_04</x:v>
      </x:c>
      <x:c r="C202" s="17" t="n">
        <x:v>420</x:v>
      </x:c>
      <x:c r="D202" s="17" t="n">
        <x:v>439</x:v>
      </x:c>
      <x:c r="E202" s="17" t="str">
        <x:v>00:07:00</x:v>
      </x:c>
      <x:c r="F202" s="17" t="str">
        <x:v>00:07:19</x:v>
      </x:c>
      <x:c r="G202" s="17" t="n">
        <x:v>20</x:v>
      </x:c>
      <x:c r="H202" s="17" t="str">
        <x:v>建造</x:v>
      </x:c>
      <x:c r="I202" s="17" t="str">
        <x:v>金币可见；Site tasks/Next task cost 依画面</x:v>
      </x:c>
      <x:c r="J202" s="17" t="str">
        <x:v>否</x:v>
      </x:c>
      <x:c r="K202" s="17" t="str">
        <x:v>保留机制；待建造余额闭合</x:v>
      </x:c>
      <x:c r="L202" s="18" t="str">
        <x:v>/Users/mac/Documents/智囊团/video_analysis/Top_Tycoon新号流程_20260804/frames/TT_NEW_04/TT_NEW_04_t000430.jpg</x:v>
      </x:c>
      <x:c r="M202" s="17" t="n">
        <x:v>430</x:v>
      </x:c>
      <x:c r="N202" s="17" t="str">
        <x:v>待复核</x:v>
      </x:c>
      <x:c r="O202" s="17" t="str">
        <x:v>画面原型近邻；margin=0.0067; 画面原型近邻；margin=0.0099</x:v>
      </x:c>
      <x:c r="P202" s="17" t="n">
        <x:v>433</x:v>
      </x:c>
    </x:row>
    <x:row r="203">
      <x:c r="A203" s="17" t="str">
        <x:v>SEG_04_018</x:v>
      </x:c>
      <x:c r="B203" s="17" t="str">
        <x:v>TT_NEW_04</x:v>
      </x:c>
      <x:c r="C203" s="17" t="n">
        <x:v>440</x:v>
      </x:c>
      <x:c r="D203" s="17" t="n">
        <x:v>529</x:v>
      </x:c>
      <x:c r="E203" s="17" t="str">
        <x:v>00:07:20</x:v>
      </x:c>
      <x:c r="F203" s="17" t="str">
        <x:v>00:08:49</x:v>
      </x:c>
      <x:c r="G203" s="17" t="n">
        <x:v>90</x:v>
      </x:c>
      <x:c r="H203" s="17" t="str">
        <x:v>Slot</x:v>
      </x:c>
      <x:c r="I203" s="17" t="str">
        <x:v>BET/能量/金币/主进度通常可见；以事件帧为准</x:v>
      </x:c>
      <x:c r="J203" s="17" t="str">
        <x:v>否</x:v>
      </x:c>
      <x:c r="K203" s="17" t="str">
        <x:v>保留机制；缺逐 Spin 前后快照</x:v>
      </x:c>
      <x:c r="L203" s="18" t="str">
        <x:v>/Users/mac/Documents/智囊团/video_analysis/Top_Tycoon新号流程_20260804/frames/TT_NEW_04/TT_NEW_04_t000480.jpg</x:v>
      </x:c>
      <x:c r="M203" s="17" t="n">
        <x:v>480</x:v>
      </x:c>
      <x:c r="N203" s="17" t="str">
        <x:v>已确认</x:v>
      </x:c>
      <x:c r="O203" s="17" t="str">
        <x:v>OCR 命中 SPIN/BET 词</x:v>
      </x:c>
      <x:c r="P203" s="17" t="str">
        <x:v>498000 | 6,399,030 | 3/3 | QuEs 3 | CLots | 6 | 15:02:51 | 61% | 36% | +66 | 13d21h | 05d21h | ATTACK | H | 6 | 21h08m | PACK | 815/1500 | 6/6 | 05d21h | 01d15h | 19 | Sale | 15h02m | 24 | 5% | 15h02m | 04d15h | 14 | 15h02m | 01d15h | BETx100 | 53 | 50/50 | 76%1 | 15h02m | +1368 | 01d15h | SPIN | FREE | 15h02m | 07d15h | HOLD FOR AUTO | Helpother players (o/1) | 17 | Game | 498000 | 6,399,030 | QUES | LLOTS | 3 | 15:02:41 | 61% | 36% | 99+ | 13d21h | 05d21h | + 17,000 | 6 | 2</x:v>
      </x:c>
    </x:row>
    <x:row r="204">
      <x:c r="A204" s="17" t="str">
        <x:v>SEG_04_019</x:v>
      </x:c>
      <x:c r="B204" s="17" t="str">
        <x:v>TT_NEW_04</x:v>
      </x:c>
      <x:c r="C204" s="17" t="n">
        <x:v>530</x:v>
      </x:c>
      <x:c r="D204" s="17" t="n">
        <x:v>539</x:v>
      </x:c>
      <x:c r="E204" s="17" t="str">
        <x:v>00:08:50</x:v>
      </x:c>
      <x:c r="F204" s="17" t="str">
        <x:v>00:08:59</x:v>
      </x:c>
      <x:c r="G204" s="17" t="n">
        <x:v>10</x:v>
      </x:c>
      <x:c r="H204" s="17" t="str">
        <x:v>小游戏</x:v>
      </x:c>
      <x:c r="I204" s="17" t="str">
        <x:v>玩法/奖励依画面；主资源常不全显</x:v>
      </x:c>
      <x:c r="J204" s="17" t="str">
        <x:v>否</x:v>
      </x:c>
      <x:c r="K204" s="17" t="str">
        <x:v>保留机制；完整核账窗口不足</x:v>
      </x:c>
      <x:c r="L204" s="18" t="str">
        <x:v>/Users/mac/Documents/智囊团/video_analysis/Top_Tycoon新号流程_20260804/frames/TT_NEW_04/TT_NEW_04_t000530.jpg</x:v>
      </x:c>
      <x:c r="M204" s="17" t="n">
        <x:v>530</x:v>
      </x:c>
      <x:c r="N204" s="17" t="str">
        <x:v>已确认</x:v>
      </x:c>
      <x:c r="O204" s="17" t="str">
        <x:v>OCR 命中小游戏名称/玩法词</x:v>
      </x:c>
      <x:c r="P204" s="17" t="str">
        <x:v>Credit Grab! | Select Target: | emilyrr | Jayashree | Kay Hill Tyner</x:v>
      </x:c>
    </x:row>
    <x:row r="205">
      <x:c r="A205" s="17" t="str">
        <x:v>SEG_04_020</x:v>
      </x:c>
      <x:c r="B205" s="17" t="str">
        <x:v>TT_NEW_04</x:v>
      </x:c>
      <x:c r="C205" s="17" t="n">
        <x:v>540</x:v>
      </x:c>
      <x:c r="D205" s="17" t="n">
        <x:v>549</x:v>
      </x:c>
      <x:c r="E205" s="17" t="str">
        <x:v>00:09:00</x:v>
      </x:c>
      <x:c r="F205" s="17" t="str">
        <x:v>00:09:09</x:v>
      </x:c>
      <x:c r="G205" s="17" t="n">
        <x:v>10</x:v>
      </x:c>
      <x:c r="H205" s="17" t="str">
        <x:v>转场/加载</x:v>
      </x:c>
      <x:c r="I205" s="17" t="str">
        <x:v>数值不可读或不适用</x:v>
      </x:c>
      <x:c r="J205" s="17" t="str">
        <x:v>否</x:v>
      </x:c>
      <x:c r="K205" s="17" t="str">
        <x:v>排除：转场/加载，不进入数值统计</x:v>
      </x:c>
      <x:c r="L205" s="18" t="str">
        <x:v>/Users/mac/Documents/智囊团/video_analysis/Top_Tycoon新号流程_20260804/frames/TT_NEW_04/TT_NEW_04_t000540.jpg</x:v>
      </x:c>
      <x:c r="M205" s="17" t="n">
        <x:v>540</x:v>
      </x:c>
      <x:c r="N205" s="17" t="str">
        <x:v>待复核</x:v>
      </x:c>
      <x:c r="O205" s="17" t="str">
        <x:v>画面原型近邻；margin=0.0196</x:v>
      </x:c>
      <x:c r="P205" s="17" t="str">
        <x:v>ak3220's Bank | Z | Z | TOTAL LOOT | . | COINS</x:v>
      </x:c>
    </x:row>
    <x:row r="206">
      <x:c r="A206" s="17" t="str">
        <x:v>SEG_04_021</x:v>
      </x:c>
      <x:c r="B206" s="17" t="str">
        <x:v>TT_NEW_04</x:v>
      </x:c>
      <x:c r="C206" s="17" t="n">
        <x:v>550</x:v>
      </x:c>
      <x:c r="D206" s="17" t="n">
        <x:v>609</x:v>
      </x:c>
      <x:c r="E206" s="17" t="str">
        <x:v>00:09:10</x:v>
      </x:c>
      <x:c r="F206" s="17" t="str">
        <x:v>00:10:09</x:v>
      </x:c>
      <x:c r="G206" s="17" t="n">
        <x:v>60</x:v>
      </x:c>
      <x:c r="H206" s="17" t="str">
        <x:v>Slot</x:v>
      </x:c>
      <x:c r="I206" s="17" t="str">
        <x:v>BET/能量/金币/主进度通常可见；以事件帧为准</x:v>
      </x:c>
      <x:c r="J206" s="17" t="str">
        <x:v>否</x:v>
      </x:c>
      <x:c r="K206" s="17" t="str">
        <x:v>保留机制；缺逐 Spin 前后快照</x:v>
      </x:c>
      <x:c r="L206" s="18" t="str">
        <x:v>/Users/mac/Documents/智囊团/video_analysis/Top_Tycoon新号流程_20260804/frames/TT_NEW_04/TT_NEW_04_t000580.jpg</x:v>
      </x:c>
      <x:c r="M206" s="17" t="n">
        <x:v>580</x:v>
      </x:c>
      <x:c r="N206" s="17" t="str">
        <x:v>已确认</x:v>
      </x:c>
      <x:c r="O206" s="17" t="str">
        <x:v>OCR 命中 SPIN/BET 词; 画面原型近邻；margin=0.0095; 画面原型近邻；margin=0.0269; 相邻两侧同模块，平滑孤立原型误差</x:v>
      </x:c>
      <x:c r="P206" s="17" t="str">
        <x:v>ak3220's Bank | GRAB | SMALL | YOU STOLE | 1,478,207 | COINS | 49800 | 180,030 | CREDIT GRAB | 21h06m | 115/380 | BETX200 | SPIN | lelpotherplayers（ | Game | 498000 | 10,180,030 | KNOCKDoWN | PRiCE | X | RiLD | 1.2K | 20m | GHKD269. | Lowest | HKD78 | price! | Fill thebarto slash theprice! | 15h00m | Discount on original price | lelpotherplay | Game | 498000 | 10,750,030 | 570K | 640 | elpothei | Game | 498000 | 10,750,030 | RUES | 3 | 21h06m | 115/380 | +3 | +2 | BET X200 | </x:v>
      </x:c>
    </x:row>
    <x:row r="207">
      <x:c r="A207" s="17" t="str">
        <x:v>SEG_04_022</x:v>
      </x:c>
      <x:c r="B207" s="17" t="str">
        <x:v>TT_NEW_04</x:v>
      </x:c>
      <x:c r="C207" s="17" t="n">
        <x:v>610</x:v>
      </x:c>
      <x:c r="D207" s="17" t="n">
        <x:v>849</x:v>
      </x:c>
      <x:c r="E207" s="17" t="str">
        <x:v>00:10:10</x:v>
      </x:c>
      <x:c r="F207" s="17" t="str">
        <x:v>00:14:09</x:v>
      </x:c>
      <x:c r="G207" s="17" t="n">
        <x:v>240</x:v>
      </x:c>
      <x:c r="H207" s="17" t="str">
        <x:v>建造</x:v>
      </x:c>
      <x:c r="I207" s="17" t="str">
        <x:v>金币可见；Site tasks/Next task cost 依画面</x:v>
      </x:c>
      <x:c r="J207" s="17" t="str">
        <x:v>否</x:v>
      </x:c>
      <x:c r="K207" s="17" t="str">
        <x:v>保留机制；待建造余额闭合</x:v>
      </x:c>
      <x:c r="L207" s="18" t="str">
        <x:v>/Users/mac/Documents/智囊团/video_analysis/Top_Tycoon新号流程_20260804/frames/TT_NEW_04/TT_NEW_04_t000730.jpg</x:v>
      </x:c>
      <x:c r="M207" s="17" t="n">
        <x:v>730</x:v>
      </x:c>
      <x:c r="N207" s="17" t="str">
        <x:v>待复核</x:v>
      </x:c>
      <x:c r="O207" s="17" t="str">
        <x:v>画面原型近邻；margin=0.0017; 画面原型近邻；margin=0.0027; 画面原型近邻；margin=0.0042; 画面原型近邻；margin=0.0047; 画面原型近邻；margin=0.0049; 画面原型近邻；margin=0.0053; 画面原型近邻；margin=0.0054; 画面原型近邻；margin=0.0057; 画面原型近邻；margin=0.0088; 画面原型近邻；margin=0.0094; 画面原型近邻；margin=0.0105; 画面原型近邻；margin=0.0106; 画面原型近邻；margin=0.0108; 画面原型近邻；margin=0.0114; 画面原型近邻；margin=0.0125; 画面原型近邻；margin=0.0129; 画面原型近邻；margin=0.0132; 画面原型近邻；margin=0.0151; 画面原型近邻；margin=0.0160; 画面原型近邻；margin=0.0161; 相邻两侧同模块，平滑孤立原型误差</x:v>
      </x:c>
      <x:c r="P207" s="17" t="str">
        <x:v>X | 01d15h | PACK | 9 | 9/9 | 01d15h | FIND ALL THE PROPS TO WIN | LEVEL1 | LEVEL2 | LEVEL3 | LEVEL4 | LEVEL5 | 87 | LEVEL | COMPLETED | LEVEL1 | LEVELZ | LEVEL3 | LEVEL4 | LEVEL5 | 40 | 20K | 86 | 01d14h | 6 | PACK | 9/9 | 01d14h | FIND ALL THEPROPSTO WIN | LEVEL1 | LEVEL2 | LEVEL3 | LEVEL4 | LEVEL5 | 01d14h | 6 | PACK | 9/9 | 01d14h | FIND ALL THE PROPS TO WIN | LEVEL1 | LEVEL 2 | LEVEL3 | LEVEL4 | LEVEL5 | 85 | 6 | PACK | 9/9 | 01d14h | FIND ALL THE PROPS TO WIN | LEVEL1 |</x:v>
      </x:c>
    </x:row>
    <x:row r="208">
      <x:c r="A208" s="17" t="str">
        <x:v>SEG_04_023</x:v>
      </x:c>
      <x:c r="B208" s="17" t="str">
        <x:v>TT_NEW_04</x:v>
      </x:c>
      <x:c r="C208" s="17" t="n">
        <x:v>850</x:v>
      </x:c>
      <x:c r="D208" s="17" t="n">
        <x:v>859</x:v>
      </x:c>
      <x:c r="E208" s="17" t="str">
        <x:v>00:14:10</x:v>
      </x:c>
      <x:c r="F208" s="17" t="str">
        <x:v>00:14:19</x:v>
      </x:c>
      <x:c r="G208" s="17" t="n">
        <x:v>10</x:v>
      </x:c>
      <x:c r="H208" s="17" t="str">
        <x:v>礼包</x:v>
      </x:c>
      <x:c r="I208" s="17" t="str">
        <x:v>价格/内容可能可见；未观察购买后余额</x:v>
      </x:c>
      <x:c r="J208" s="17" t="str">
        <x:v>否</x:v>
      </x:c>
      <x:c r="K208" s="17" t="str">
        <x:v>保留 offer_shown；无购买前后闭环</x:v>
      </x:c>
      <x:c r="L208" s="18" t="str">
        <x:v>/Users/mac/Documents/智囊团/video_analysis/Top_Tycoon新号流程_20260804/frames/TT_NEW_04/TT_NEW_04_t000850.jpg</x:v>
      </x:c>
      <x:c r="M208" s="17" t="n">
        <x:v>850</x:v>
      </x:c>
      <x:c r="N208" s="17" t="str">
        <x:v>已确认</x:v>
      </x:c>
      <x:c r="O208" s="17" t="str">
        <x:v>OCR 命中价格/商店词</x:v>
      </x:c>
      <x:c r="P208" s="17" t="str">
        <x:v>PACK | X | 1200% | Earn up to 1400 | Value | Buy now to claim | rewards you've | HK$55.90 | earned! | SPIN | Use 20 spins | claim | SPIN | Use 70 spins | Claim | SPIN | Use 170 spins | Claim | SPIN | Use 310 spins | Claim | 110 | SPIN | Use 500 spins | Claim | 01d 14h | Buy now to claim rewardsyou've earned!</x:v>
      </x:c>
    </x:row>
    <x:row r="209">
      <x:c r="A209" s="17" t="str">
        <x:v>SEG_04_024</x:v>
      </x:c>
      <x:c r="B209" s="17" t="str">
        <x:v>TT_NEW_04</x:v>
      </x:c>
      <x:c r="C209" s="17" t="n">
        <x:v>860</x:v>
      </x:c>
      <x:c r="D209" s="17" t="n">
        <x:v>889</x:v>
      </x:c>
      <x:c r="E209" s="17" t="str">
        <x:v>00:14:20</x:v>
      </x:c>
      <x:c r="F209" s="17" t="str">
        <x:v>00:14:49</x:v>
      </x:c>
      <x:c r="G209" s="17" t="n">
        <x:v>30</x:v>
      </x:c>
      <x:c r="H209" s="17" t="str">
        <x:v>Slot</x:v>
      </x:c>
      <x:c r="I209" s="17" t="str">
        <x:v>BET/能量/金币/主进度通常可见；以事件帧为准</x:v>
      </x:c>
      <x:c r="J209" s="17" t="str">
        <x:v>否</x:v>
      </x:c>
      <x:c r="K209" s="17" t="str">
        <x:v>保留机制；缺逐 Spin 前后快照</x:v>
      </x:c>
      <x:c r="L209" s="18" t="str">
        <x:v>/Users/mac/Documents/智囊团/video_analysis/Top_Tycoon新号流程_20260804/frames/TT_NEW_04/TT_NEW_04_t000870.jpg</x:v>
      </x:c>
      <x:c r="M209" s="17" t="n">
        <x:v>870</x:v>
      </x:c>
      <x:c r="N209" s="17" t="str">
        <x:v>已确认</x:v>
      </x:c>
      <x:c r="O209" s="17" t="str">
        <x:v>OCR 命中 SPIN/BET 词</x:v>
      </x:c>
      <x:c r="P209" s="17" t="str">
        <x:v>498000 | 10,870,030 | 3/3 | Ques ? | ZLots | 14:55:51 | 0% | 92% | 99+ | 13d21h | +102000 | 6 | PACK | 21h01m | 115/380 | 6/6 | 05d21h | 福 | 01d14h | 1M | 19 | Salel | 14h55m | 04d21h | 44 | NEWBETCANBEUSED | 55% | 14h55m | 04d14h | BETX100 | 31 | 14h55m | 01d14h | BETx50 | 50/r0 | 69% | 14h55m | 01d14h | PIN | FREE | 14h55m | IOLD FOR AUTO SPIN | Help other players(o/1) | 17 | Game | 498 | CONGRATULATIONS! | H | 21h01m | 115/380 | NEW | Sunglasses | BETx50 | Bauble | 50/50 |</x:v>
      </x:c>
    </x:row>
    <x:row r="210">
      <x:c r="A210" s="17" t="str">
        <x:v>SEG_04_025</x:v>
      </x:c>
      <x:c r="B210" s="17" t="str">
        <x:v>TT_NEW_04</x:v>
      </x:c>
      <x:c r="C210" s="17" t="n">
        <x:v>890</x:v>
      </x:c>
      <x:c r="D210" s="17" t="n">
        <x:v>899</x:v>
      </x:c>
      <x:c r="E210" s="17" t="str">
        <x:v>00:14:50</x:v>
      </x:c>
      <x:c r="F210" s="17" t="str">
        <x:v>00:14:59</x:v>
      </x:c>
      <x:c r="G210" s="17" t="n">
        <x:v>10</x:v>
      </x:c>
      <x:c r="H210" s="17" t="str">
        <x:v>建造</x:v>
      </x:c>
      <x:c r="I210" s="17" t="str">
        <x:v>金币可见；Site tasks/Next task cost 依画面</x:v>
      </x:c>
      <x:c r="J210" s="17" t="str">
        <x:v>否</x:v>
      </x:c>
      <x:c r="K210" s="17" t="str">
        <x:v>保留机制；待建造余额闭合</x:v>
      </x:c>
      <x:c r="L210" s="18" t="str">
        <x:v>/Users/mac/Documents/智囊团/video_analysis/Top_Tycoon新号流程_20260804/frames/TT_NEW_04/TT_NEW_04_t000890.jpg</x:v>
      </x:c>
      <x:c r="M210" s="17" t="n">
        <x:v>890</x:v>
      </x:c>
      <x:c r="N210" s="17" t="str">
        <x:v>待复核</x:v>
      </x:c>
      <x:c r="O210" s="17" t="str">
        <x:v>画面原型近邻；margin=0.0075</x:v>
      </x:c>
      <x:c r="P210" s="17" t="str">
        <x:v>X | 01d14h | 6 | PACK | 9/9 | 01d14h | FIND ALL THE PROPS TO WIN | LEVEL1 | LEVEL 2 | LEVEL3 | LEVEL4 | LEVEL5 | 2</x:v>
      </x:c>
    </x:row>
    <x:row r="211">
      <x:c r="A211" s="17" t="str">
        <x:v>SEG_04_026</x:v>
      </x:c>
      <x:c r="B211" s="17" t="str">
        <x:v>TT_NEW_04</x:v>
      </x:c>
      <x:c r="C211" s="17" t="n">
        <x:v>900</x:v>
      </x:c>
      <x:c r="D211" s="17" t="n">
        <x:v>949</x:v>
      </x:c>
      <x:c r="E211" s="17" t="str">
        <x:v>00:15:00</x:v>
      </x:c>
      <x:c r="F211" s="17" t="str">
        <x:v>00:15:49</x:v>
      </x:c>
      <x:c r="G211" s="17" t="n">
        <x:v>50</x:v>
      </x:c>
      <x:c r="H211" s="17" t="str">
        <x:v>小游戏</x:v>
      </x:c>
      <x:c r="I211" s="17" t="str">
        <x:v>玩法/奖励依画面；主资源常不全显</x:v>
      </x:c>
      <x:c r="J211" s="17" t="str">
        <x:v>否</x:v>
      </x:c>
      <x:c r="K211" s="17" t="str">
        <x:v>保留机制；完整核账窗口不足</x:v>
      </x:c>
      <x:c r="L211" s="18" t="str">
        <x:v>/Users/mac/Documents/智囊团/video_analysis/Top_Tycoon新号流程_20260804/frames/TT_NEW_04/TT_NEW_04_t000920.jpg</x:v>
      </x:c>
      <x:c r="M211" s="17" t="n">
        <x:v>920</x:v>
      </x:c>
      <x:c r="N211" s="17" t="str">
        <x:v>待复核</x:v>
      </x:c>
      <x:c r="O211" s="17" t="str">
        <x:v>OCR 命中小游戏名称/玩法词; 画面原型近邻；margin=0.0157; 画面原型近邻；margin=0.0238; 相邻两侧同模块，平滑孤立原型误差</x:v>
      </x:c>
      <x:c r="P211" s="17" t="str">
        <x:v>CONGRATULATIONS! | Carrot Muffin | Dynamite | Boots | Sunglasses | Bauble | Sleigh | Stuffed Bread | Boots | COLLECT | 11 | 5/15 | 14 | Jackpot | 60 | 2/3 | 360 | 2/3 | 1/3 | 20 | 10 | 11 | 5/15 | 14 | Jackpot | 60 | 2/3 | 360 | 2/3 | 1/3 | 20 | 10</x:v>
      </x:c>
    </x:row>
    <x:row r="212">
      <x:c r="A212" s="17" t="str">
        <x:v>SEG_04_027</x:v>
      </x:c>
      <x:c r="B212" s="17" t="str">
        <x:v>TT_NEW_04</x:v>
      </x:c>
      <x:c r="C212" s="17" t="n">
        <x:v>950</x:v>
      </x:c>
      <x:c r="D212" s="17" t="n">
        <x:v>959</x:v>
      </x:c>
      <x:c r="E212" s="17" t="str">
        <x:v>00:15:50</x:v>
      </x:c>
      <x:c r="F212" s="17" t="str">
        <x:v>00:15:59</x:v>
      </x:c>
      <x:c r="G212" s="17" t="n">
        <x:v>10</x:v>
      </x:c>
      <x:c r="H212" s="17" t="str">
        <x:v>礼包</x:v>
      </x:c>
      <x:c r="I212" s="17" t="str">
        <x:v>价格/内容可能可见；未观察购买后余额</x:v>
      </x:c>
      <x:c r="J212" s="17" t="str">
        <x:v>否</x:v>
      </x:c>
      <x:c r="K212" s="17" t="str">
        <x:v>保留 offer_shown；无购买前后闭环</x:v>
      </x:c>
      <x:c r="L212" s="18" t="str">
        <x:v>/Users/mac/Documents/智囊团/video_analysis/Top_Tycoon新号流程_20260804/frames/TT_NEW_04/TT_NEW_04_t000950.jpg</x:v>
      </x:c>
      <x:c r="M212" s="17" t="n">
        <x:v>950</x:v>
      </x:c>
      <x:c r="N212" s="17" t="str">
        <x:v>待复核</x:v>
      </x:c>
      <x:c r="O212" s="17" t="str">
        <x:v>画面原型近邻；margin=0.0243</x:v>
      </x:c>
      <x:c r="P212" s="17" t="str">
        <x:v>·Ⅱ | I | X | IA | TIIA</x:v>
      </x:c>
    </x:row>
    <x:row r="213">
      <x:c r="A213" s="17" t="str">
        <x:v>SEG_04_028</x:v>
      </x:c>
      <x:c r="B213" s="17" t="str">
        <x:v>TT_NEW_04</x:v>
      </x:c>
      <x:c r="C213" s="17" t="n">
        <x:v>960</x:v>
      </x:c>
      <x:c r="D213" s="17" t="n">
        <x:v>969</x:v>
      </x:c>
      <x:c r="E213" s="17" t="str">
        <x:v>00:16:00</x:v>
      </x:c>
      <x:c r="F213" s="17" t="str">
        <x:v>00:16:09</x:v>
      </x:c>
      <x:c r="G213" s="17" t="n">
        <x:v>10</x:v>
      </x:c>
      <x:c r="H213" s="17" t="str">
        <x:v>建造</x:v>
      </x:c>
      <x:c r="I213" s="17" t="str">
        <x:v>金币可见；Site tasks/Next task cost 依画面</x:v>
      </x:c>
      <x:c r="J213" s="17" t="str">
        <x:v>否</x:v>
      </x:c>
      <x:c r="K213" s="17" t="str">
        <x:v>保留机制；待建造余额闭合</x:v>
      </x:c>
      <x:c r="L213" s="18" t="str">
        <x:v>/Users/mac/Documents/智囊团/video_analysis/Top_Tycoon新号流程_20260804/frames/TT_NEW_04/TT_NEW_04_t000960.jpg</x:v>
      </x:c>
      <x:c r="M213" s="17" t="n">
        <x:v>960</x:v>
      </x:c>
      <x:c r="N213" s="17" t="str">
        <x:v>待复核</x:v>
      </x:c>
      <x:c r="O213" s="17" t="str">
        <x:v>画面原型近邻；margin=0.0081</x:v>
      </x:c>
      <x:c r="P213" s="17"/>
    </x:row>
    <x:row r="214">
      <x:c r="A214" s="17" t="str">
        <x:v>SEG_04_029</x:v>
      </x:c>
      <x:c r="B214" s="17" t="str">
        <x:v>TT_NEW_04</x:v>
      </x:c>
      <x:c r="C214" s="17" t="n">
        <x:v>970</x:v>
      </x:c>
      <x:c r="D214" s="17" t="n">
        <x:v>979</x:v>
      </x:c>
      <x:c r="E214" s="17" t="str">
        <x:v>00:16:10</x:v>
      </x:c>
      <x:c r="F214" s="17" t="str">
        <x:v>00:16:19</x:v>
      </x:c>
      <x:c r="G214" s="17" t="n">
        <x:v>10</x:v>
      </x:c>
      <x:c r="H214" s="17" t="str">
        <x:v>Slot</x:v>
      </x:c>
      <x:c r="I214" s="17" t="str">
        <x:v>BET/能量/金币/主进度通常可见；以事件帧为准</x:v>
      </x:c>
      <x:c r="J214" s="17" t="str">
        <x:v>否</x:v>
      </x:c>
      <x:c r="K214" s="17" t="str">
        <x:v>保留机制；缺逐 Spin 前后快照</x:v>
      </x:c>
      <x:c r="L214" s="18" t="str">
        <x:v>/Users/mac/Documents/智囊团/video_analysis/Top_Tycoon新号流程_20260804/frames/TT_NEW_04/TT_NEW_04_t000970.jpg</x:v>
      </x:c>
      <x:c r="M214" s="17" t="n">
        <x:v>970</x:v>
      </x:c>
      <x:c r="N214" s="17" t="str">
        <x:v>已确认</x:v>
      </x:c>
      <x:c r="O214" s="17" t="str">
        <x:v>OCR 命中 SPIN/BET 词</x:v>
      </x:c>
      <x:c r="P214" s="17" t="str">
        <x:v>ali.f | ,APoeng | X | 55320 | 17559. | 10m | 60 | 300! | MORE | 300 | FREE | 9G0 | SPIN | BET*2 | 44</x:v>
      </x:c>
    </x:row>
    <x:row r="215">
      <x:c r="A215" s="17" t="str">
        <x:v>SEG_04_030</x:v>
      </x:c>
      <x:c r="B215" s="17" t="str">
        <x:v>TT_NEW_04</x:v>
      </x:c>
      <x:c r="C215" s="17" t="n">
        <x:v>980</x:v>
      </x:c>
      <x:c r="D215" s="17" t="n">
        <x:v>999</x:v>
      </x:c>
      <x:c r="E215" s="17" t="str">
        <x:v>00:16:20</x:v>
      </x:c>
      <x:c r="F215" s="17" t="str">
        <x:v>00:16:39</x:v>
      </x:c>
      <x:c r="G215" s="17" t="n">
        <x:v>20</x:v>
      </x:c>
      <x:c r="H215" s="17" t="str">
        <x:v>建造</x:v>
      </x:c>
      <x:c r="I215" s="17" t="str">
        <x:v>金币可见；Site tasks/Next task cost 依画面</x:v>
      </x:c>
      <x:c r="J215" s="17" t="str">
        <x:v>否</x:v>
      </x:c>
      <x:c r="K215" s="17" t="str">
        <x:v>保留机制；待建造余额闭合</x:v>
      </x:c>
      <x:c r="L215" s="18" t="str">
        <x:v>/Users/mac/Documents/智囊团/video_analysis/Top_Tycoon新号流程_20260804/frames/TT_NEW_04/TT_NEW_04_t000990.jpg</x:v>
      </x:c>
      <x:c r="M215" s="17" t="n">
        <x:v>990</x:v>
      </x:c>
      <x:c r="N215" s="17" t="str">
        <x:v>待复核</x:v>
      </x:c>
      <x:c r="O215" s="17" t="str">
        <x:v>画面原型近邻；margin=0.0067; 画面原型近邻；margin=0.0085</x:v>
      </x:c>
      <x:c r="P215" s="17" t="str">
        <x:v>NONDERLAND | PARTNERS | Defeat all enemies to win the grandprize! | 730 | 04d14h | A Poeng | RIP | marley | +1500 | 1/5 | 0% | 20K | 44 | ali.f | marley | 1500 | VONDERLAND | PARTNERS | 20K | 150 | 150 | 150 | BOOST | BOOST | BOOST | 209 | 209 | MORE | MORE | COLLECT</x:v>
      </x:c>
    </x:row>
    <x:row r="216">
      <x:c r="A216" s="17" t="str">
        <x:v>SEG_04_031</x:v>
      </x:c>
      <x:c r="B216" s="17" t="str">
        <x:v>TT_NEW_04</x:v>
      </x:c>
      <x:c r="C216" s="17" t="n">
        <x:v>1000</x:v>
      </x:c>
      <x:c r="D216" s="17" t="n">
        <x:v>1099</x:v>
      </x:c>
      <x:c r="E216" s="17" t="str">
        <x:v>00:16:40</x:v>
      </x:c>
      <x:c r="F216" s="17" t="str">
        <x:v>00:18:19</x:v>
      </x:c>
      <x:c r="G216" s="17" t="n">
        <x:v>100</x:v>
      </x:c>
      <x:c r="H216" s="17" t="str">
        <x:v>Slot</x:v>
      </x:c>
      <x:c r="I216" s="17" t="str">
        <x:v>BET/能量/金币/主进度通常可见；以事件帧为准</x:v>
      </x:c>
      <x:c r="J216" s="17" t="str">
        <x:v>否</x:v>
      </x:c>
      <x:c r="K216" s="17" t="str">
        <x:v>保留机制；缺逐 Spin 前后快照</x:v>
      </x:c>
      <x:c r="L216" s="18" t="str">
        <x:v>/Users/mac/Documents/智囊团/video_analysis/Top_Tycoon新号流程_20260804/frames/TT_NEW_04/TT_NEW_04_t001050.jpg</x:v>
      </x:c>
      <x:c r="M216" s="17" t="n">
        <x:v>1050</x:v>
      </x:c>
      <x:c r="N216" s="17" t="str">
        <x:v>已确认</x:v>
      </x:c>
      <x:c r="O216" s="17" t="str">
        <x:v>OCR 命中 SPIN/BET 词</x:v>
      </x:c>
      <x:c r="P216" s="17" t="str">
        <x:v>ali.f | marley | X | 1500 | om | 90 | 2000 | 1000 | 1000 | 宜 | 宜 | 1000 | 宜 | 300! | 300! | 300 | BOOST | BOOST | BOOST | %09 | %09 | %09 | MORE' | MORE | MORE | SPIN | BETx2 | 44 | ali.f | marley | X | 960 | 1500 | om | 90 | 2000 | 1000 | 40 | 1000 | 450 | BOOST | %09 | MORE | SPIN | BETx3 | ali.f | marley | X | 1080 | 1500 | 160 | 10m | 90 | 2000 | 760 | 自 | 1000 | 宜 | 4501 | MORE | BOOST | FREE | %09 | MORE | 840 | SPIN | BETx3 | 36 | ali.f | marley | X | 2720 | 1500 | 10m</x:v>
      </x:c>
    </x:row>
    <x:row r="217">
      <x:c r="A217" s="17" t="str">
        <x:v>SEG_04_032</x:v>
      </x:c>
      <x:c r="B217" s="17" t="str">
        <x:v>TT_NEW_04</x:v>
      </x:c>
      <x:c r="C217" s="17" t="n">
        <x:v>1100</x:v>
      </x:c>
      <x:c r="D217" s="17" t="n">
        <x:v>1119</x:v>
      </x:c>
      <x:c r="E217" s="17" t="str">
        <x:v>00:18:20</x:v>
      </x:c>
      <x:c r="F217" s="17" t="str">
        <x:v>00:18:39</x:v>
      </x:c>
      <x:c r="G217" s="17" t="n">
        <x:v>20</x:v>
      </x:c>
      <x:c r="H217" s="17" t="str">
        <x:v>建造</x:v>
      </x:c>
      <x:c r="I217" s="17" t="str">
        <x:v>金币可见；Site tasks/Next task cost 依画面</x:v>
      </x:c>
      <x:c r="J217" s="17" t="str">
        <x:v>否</x:v>
      </x:c>
      <x:c r="K217" s="17" t="str">
        <x:v>保留机制；待建造余额闭合</x:v>
      </x:c>
      <x:c r="L217" s="18" t="str">
        <x:v>/Users/mac/Documents/智囊团/video_analysis/Top_Tycoon新号流程_20260804/frames/TT_NEW_04/TT_NEW_04_t001110.jpg</x:v>
      </x:c>
      <x:c r="M217" s="17" t="n">
        <x:v>1110</x:v>
      </x:c>
      <x:c r="N217" s="17" t="str">
        <x:v>已确认</x:v>
      </x:c>
      <x:c r="O217" s="17" t="str">
        <x:v>OCR 命中建造/Site tasks 词; 画面原型近邻；margin=0.0056</x:v>
      </x:c>
      <x:c r="P217" s="17" t="str">
        <x:v>498000 | 12,024,030 | Lead Pursuit | 40K | 04d20h | GiLD | 600K | 170 | 310 | 600 | 1200 | 1800 | 2400 | 3000 | 440/3200 | ollect1Calendar | rewards | 40 | 40K | Complete 25site tasks | 50 | 40K | Claim | Earn 330 Bonus pts | 100 | 10m | claim | SPIN | Use 230 spins in the slots | 120 | claim | Attack20 times | 130 | DAY1 | 4 | DAY2 | DAY3 | DAY4 | DAY5 | DAY6 | 8 | 8 | 8 | 8 | lelpotherplay | 777 | 18 | Game</x:v>
      </x:c>
    </x:row>
    <x:row r="218">
      <x:c r="A218" s="17" t="str">
        <x:v>SEG_04_033</x:v>
      </x:c>
      <x:c r="B218" s="17" t="str">
        <x:v>TT_NEW_04</x:v>
      </x:c>
      <x:c r="C218" s="17" t="n">
        <x:v>1120</x:v>
      </x:c>
      <x:c r="D218" s="17" t="n">
        <x:v>1139</x:v>
      </x:c>
      <x:c r="E218" s="17" t="str">
        <x:v>00:18:40</x:v>
      </x:c>
      <x:c r="F218" s="17" t="str">
        <x:v>00:18:59</x:v>
      </x:c>
      <x:c r="G218" s="17" t="n">
        <x:v>20</x:v>
      </x:c>
      <x:c r="H218" s="17" t="str">
        <x:v>Slot</x:v>
      </x:c>
      <x:c r="I218" s="17" t="str">
        <x:v>BET/能量/金币/主进度通常可见；以事件帧为准</x:v>
      </x:c>
      <x:c r="J218" s="17" t="str">
        <x:v>否</x:v>
      </x:c>
      <x:c r="K218" s="17" t="str">
        <x:v>保留机制；缺逐 Spin 前后快照</x:v>
      </x:c>
      <x:c r="L218" s="18" t="str">
        <x:v>/Users/mac/Documents/智囊团/video_analysis/Top_Tycoon新号流程_20260804/frames/TT_NEW_04/TT_NEW_04_t001130.jpg</x:v>
      </x:c>
      <x:c r="M218" s="17" t="n">
        <x:v>1130</x:v>
      </x:c>
      <x:c r="N218" s="17" t="str">
        <x:v>已确认</x:v>
      </x:c>
      <x:c r="O218" s="17" t="str">
        <x:v>OCR 命中 SPIN/BET 词; 画面原型近邻；margin=0.0240</x:v>
      </x:c>
      <x:c r="P218" s="17" t="str">
        <x:v>498000 | 12,024,030 | H | 115/380 | 80K | 100 | 10m | BETX50 | 50/50 | SPIN | lelpotherplayers（ | 18 | COLLECT</x:v>
      </x:c>
    </x:row>
    <x:row r="219">
      <x:c r="A219" s="17" t="str">
        <x:v>SEG_04_034</x:v>
      </x:c>
      <x:c r="B219" s="17" t="str">
        <x:v>TT_NEW_04</x:v>
      </x:c>
      <x:c r="C219" s="17" t="n">
        <x:v>1140</x:v>
      </x:c>
      <x:c r="D219" s="17" t="n">
        <x:v>1179</x:v>
      </x:c>
      <x:c r="E219" s="17" t="str">
        <x:v>00:19:00</x:v>
      </x:c>
      <x:c r="F219" s="17" t="str">
        <x:v>00:19:39</x:v>
      </x:c>
      <x:c r="G219" s="17" t="n">
        <x:v>40</x:v>
      </x:c>
      <x:c r="H219" s="17" t="str">
        <x:v>礼包</x:v>
      </x:c>
      <x:c r="I219" s="17" t="str">
        <x:v>价格/内容可能可见；未观察购买后余额</x:v>
      </x:c>
      <x:c r="J219" s="17" t="str">
        <x:v>否</x:v>
      </x:c>
      <x:c r="K219" s="17" t="str">
        <x:v>保留 offer_shown；无购买前后闭环</x:v>
      </x:c>
      <x:c r="L219" s="18" t="str">
        <x:v>/Users/mac/Documents/智囊团/video_analysis/Top_Tycoon新号流程_20260804/frames/TT_NEW_04/TT_NEW_04_t001160.jpg</x:v>
      </x:c>
      <x:c r="M219" s="17" t="n">
        <x:v>1160</x:v>
      </x:c>
      <x:c r="N219" s="17" t="str">
        <x:v>已确认</x:v>
      </x:c>
      <x:c r="O219" s="17" t="str">
        <x:v>OCR 命中价格/商店词; 画面原型近邻；margin=0.0077; 相邻两侧同模块，平滑孤立原型误差</x:v>
      </x:c>
      <x:c r="P219" s="17" t="str">
        <x:v>BOXING PASS | 01d 14h | 10/30 | 15 | HK$40.00 | 30 | 1 | 12 | 13 | oK | 14 | 190K | ock | CLAIM ALL | X | 01d14h | 6 | PACK | 9/9 | 01d14h | hl | FIND ALL THE PROPS TO WIN | LEVEL1 | LEVEL2 | LEVEL3 | LEVEL4 | LEVEL5 | 2 | X | 01d14h | 6 | PACK | 9/9 | 01d14h | FIND ALL THE PROPS TO WIN | LEVEL1 | LEVEL2 | LEVEL3 | LEVEL4 | LEVEL5 | 2 | TREASURE | X | Grand Prize | H | 630 | 3M | 12 | 5408 | 11 | 200K | 8 | 130 | HK$25.00 | 05d21h</x:v>
      </x:c>
    </x:row>
    <x:row r="220">
      <x:c r="A220" s="17" t="str">
        <x:v>SEG_04_035</x:v>
      </x:c>
      <x:c r="B220" s="17" t="str">
        <x:v>TT_NEW_04</x:v>
      </x:c>
      <x:c r="C220" s="17" t="n">
        <x:v>1180</x:v>
      </x:c>
      <x:c r="D220" s="17" t="n">
        <x:v>1189</x:v>
      </x:c>
      <x:c r="E220" s="17" t="str">
        <x:v>00:19:40</x:v>
      </x:c>
      <x:c r="F220" s="17" t="str">
        <x:v>00:19:49</x:v>
      </x:c>
      <x:c r="G220" s="17" t="n">
        <x:v>10</x:v>
      </x:c>
      <x:c r="H220" s="17" t="str">
        <x:v>建造</x:v>
      </x:c>
      <x:c r="I220" s="17" t="str">
        <x:v>金币可见；Site tasks/Next task cost 依画面</x:v>
      </x:c>
      <x:c r="J220" s="17" t="str">
        <x:v>否</x:v>
      </x:c>
      <x:c r="K220" s="17" t="str">
        <x:v>保留机制；待建造余额闭合</x:v>
      </x:c>
      <x:c r="L220" s="18" t="str">
        <x:v>/Users/mac/Documents/智囊团/video_analysis/Top_Tycoon新号流程_20260804/frames/TT_NEW_04/TT_NEW_04_t001180.jpg</x:v>
      </x:c>
      <x:c r="M220" s="17" t="n">
        <x:v>1180</x:v>
      </x:c>
      <x:c r="N220" s="17" t="str">
        <x:v>已确认</x:v>
      </x:c>
      <x:c r="O220" s="17" t="str">
        <x:v>OCR 命中建造/Site tasks 词</x:v>
      </x:c>
      <x:c r="P220" s="17" t="str">
        <x:v>498000 | 12,742,530 | Lead Pursuit | ? | 04d20h | hLD | 09 | 600K | 170 | 310 | 600 | 1200 | 1800 | 2400 | 3000 | 880/3200 | Collect1Calendar | rewards | 40 | 40K | Complete 25 site tasks | 50 | 40K | Earn 330 Bonus pts | 100 | 10m | Use 230 spins in the | slots | 120 | 20 | Attack 20 times | 130 | DAY1 | DAY2 | DAY3 | DAY4 DAY5 DAY6 | 8 | 8 | 8 | 8 | Helpotherplayers | 777 | 8 | Game</x:v>
      </x:c>
    </x:row>
    <x:row r="221">
      <x:c r="A221" s="17" t="str">
        <x:v>SEG_04_036</x:v>
      </x:c>
      <x:c r="B221" s="17" t="str">
        <x:v>TT_NEW_04</x:v>
      </x:c>
      <x:c r="C221" s="17" t="n">
        <x:v>1190</x:v>
      </x:c>
      <x:c r="D221" s="17" t="n">
        <x:v>1199</x:v>
      </x:c>
      <x:c r="E221" s="17" t="str">
        <x:v>00:19:50</x:v>
      </x:c>
      <x:c r="F221" s="17" t="str">
        <x:v>00:19:59</x:v>
      </x:c>
      <x:c r="G221" s="17" t="n">
        <x:v>10</x:v>
      </x:c>
      <x:c r="H221" s="17" t="str">
        <x:v>Slot</x:v>
      </x:c>
      <x:c r="I221" s="17" t="str">
        <x:v>BET/能量/金币/主进度通常可见；以事件帧为准</x:v>
      </x:c>
      <x:c r="J221" s="17" t="str">
        <x:v>否</x:v>
      </x:c>
      <x:c r="K221" s="17" t="str">
        <x:v>保留机制；缺逐 Spin 前后快照</x:v>
      </x:c>
      <x:c r="L221" s="18" t="str">
        <x:v>/Users/mac/Documents/智囊团/video_analysis/Top_Tycoon新号流程_20260804/frames/TT_NEW_04/TT_NEW_04_t001190.jpg</x:v>
      </x:c>
      <x:c r="M221" s="17" t="n">
        <x:v>1190</x:v>
      </x:c>
      <x:c r="N221" s="17" t="str">
        <x:v>已确认</x:v>
      </x:c>
      <x:c r="O221" s="17" t="str">
        <x:v>OCR 命中 SPIN/BET 词</x:v>
      </x:c>
      <x:c r="P221" s="17" t="str">
        <x:v>498000 | 12,742,530 | QuEs 3 | CLots | 0% | +66 | 05d21h | 92% | 6 | PACK | 9/9 | 13d21h | 01d14h | 14 | 20h56m | 115/380 | 05d20h | 04d20h | 1M | Sale | 55% | 14h50m | 04d14h | 14h50m | 01d14h | NEWBETCANBEUSED | BETX200 | 68% | 14h50m | BETx50 | 01d14h | 50/50 | FREE | 14h50m | +4252 | 07d14h | BUFF | SPIN | 14h50m | HOLD FOR AUTO SPIN | Helpotherplayers(o/1) | 18 | Game</x:v>
      </x:c>
    </x:row>
    <x:row r="222">
      <x:c r="A222" s="17" t="str">
        <x:v>SEG_04_037</x:v>
      </x:c>
      <x:c r="B222" s="17" t="str">
        <x:v>TT_NEW_04</x:v>
      </x:c>
      <x:c r="C222" s="17" t="n">
        <x:v>1200</x:v>
      </x:c>
      <x:c r="D222" s="17" t="n">
        <x:v>1279</x:v>
      </x:c>
      <x:c r="E222" s="17" t="str">
        <x:v>00:20:00</x:v>
      </x:c>
      <x:c r="F222" s="17" t="str">
        <x:v>00:21:19</x:v>
      </x:c>
      <x:c r="G222" s="17" t="n">
        <x:v>80</x:v>
      </x:c>
      <x:c r="H222" s="17" t="str">
        <x:v>建造</x:v>
      </x:c>
      <x:c r="I222" s="17" t="str">
        <x:v>金币可见；Site tasks/Next task cost 依画面</x:v>
      </x:c>
      <x:c r="J222" s="17" t="str">
        <x:v>是</x:v>
      </x:c>
      <x:c r="K222" s="17" t="str">
        <x:v>保留：建造金币核账窗口</x:v>
      </x:c>
      <x:c r="L222" s="18" t="str">
        <x:v>/Users/mac/Documents/智囊团/video_analysis/Top_Tycoon新号流程_20260804/frames/TT_NEW_04/TT_NEW_04_t001240.jpg</x:v>
      </x:c>
      <x:c r="M222" s="17" t="n">
        <x:v>1240</x:v>
      </x:c>
      <x:c r="N222" s="17" t="str">
        <x:v>已确认</x:v>
      </x:c>
      <x:c r="O222" s="17" t="str">
        <x:v>OCR 命中建造/Site tasks 词; 相邻两侧同模块，平滑孤立原型误差</x:v>
      </x:c>
      <x:c r="P222" s="17" t="str">
        <x:v>498000 | 12,652,736 | Epic Splash | 40000/70000 | Showrewards | 02h50m | BUFF | 9 | Helpotherplayers(o/1) | NEXTTASKCOST | TOTAL EARNINGS | 271,506 | 079,425 | +498/Sec | 18 | 22 | Site | 517000 | 0,437,954 | Epic Splash | 5000/70000 | Showrewards | 67% | 02n50m | BUFF | WaterPark | Help other players(o/1) | +i/see | NEXTTASKCOST | TO | 590,802 | 4 | 197,550 | +58/Sec | 18 | Site | 527000 | 7,593,021 | EpicSplash | 67 | 70000 | Nrewards | 99% | 02h49m | BUFF | 80 | Water Park</x:v>
      </x:c>
    </x:row>
    <x:row r="223">
      <x:c r="A223" s="17" t="str">
        <x:v>SEG_04_038</x:v>
      </x:c>
      <x:c r="B223" s="17" t="str">
        <x:v>TT_NEW_04</x:v>
      </x:c>
      <x:c r="C223" s="17" t="n">
        <x:v>1280</x:v>
      </x:c>
      <x:c r="D223" s="17" t="n">
        <x:v>1289</x:v>
      </x:c>
      <x:c r="E223" s="17" t="str">
        <x:v>00:21:20</x:v>
      </x:c>
      <x:c r="F223" s="17" t="str">
        <x:v>00:21:29</x:v>
      </x:c>
      <x:c r="G223" s="17" t="n">
        <x:v>10</x:v>
      </x:c>
      <x:c r="H223" s="17" t="str">
        <x:v>礼包</x:v>
      </x:c>
      <x:c r="I223" s="17" t="str">
        <x:v>价格/内容可能可见；未观察购买后余额</x:v>
      </x:c>
      <x:c r="J223" s="17" t="str">
        <x:v>否</x:v>
      </x:c>
      <x:c r="K223" s="17" t="str">
        <x:v>保留 offer_shown；无购买前后闭环</x:v>
      </x:c>
      <x:c r="L223" s="18" t="str">
        <x:v>/Users/mac/Documents/智囊团/video_analysis/Top_Tycoon新号流程_20260804/frames/TT_NEW_04/TT_NEW_04_t001280.jpg</x:v>
      </x:c>
      <x:c r="M223" s="17" t="n">
        <x:v>1280</x:v>
      </x:c>
      <x:c r="N223" s="17" t="str">
        <x:v>待复核</x:v>
      </x:c>
      <x:c r="O223" s="17" t="str">
        <x:v>画面原型近邻；margin=0.0009</x:v>
      </x:c>
      <x:c r="P223" s="17" t="str">
        <x:v>571000 | 5,221,074 | 3/3 | Apex Rush | 38000/53000 | Showrewards | Water Park | 88% | 02h48m | BUFF | 528 | Go-Kart Tra | Helpotherplayers(o/1) | +1/SeGGs | NEXTTASKCOST | TO | 5971705 | 4 | 249,600 | +113/Sec | 18 | a | Site</x:v>
      </x:c>
    </x:row>
    <x:row r="224">
      <x:c r="A224" s="17" t="str">
        <x:v>SEG_04_039</x:v>
      </x:c>
      <x:c r="B224" s="17" t="str">
        <x:v>TT_NEW_04</x:v>
      </x:c>
      <x:c r="C224" s="17" t="n">
        <x:v>1290</x:v>
      </x:c>
      <x:c r="D224" s="17" t="n">
        <x:v>1309</x:v>
      </x:c>
      <x:c r="E224" s="17" t="str">
        <x:v>00:21:30</x:v>
      </x:c>
      <x:c r="F224" s="17" t="str">
        <x:v>00:21:49</x:v>
      </x:c>
      <x:c r="G224" s="17" t="n">
        <x:v>20</x:v>
      </x:c>
      <x:c r="H224" s="17" t="str">
        <x:v>转场/加载</x:v>
      </x:c>
      <x:c r="I224" s="17" t="str">
        <x:v>数值不可读或不适用</x:v>
      </x:c>
      <x:c r="J224" s="17" t="str">
        <x:v>否</x:v>
      </x:c>
      <x:c r="K224" s="17" t="str">
        <x:v>排除：转场/加载，不进入数值统计</x:v>
      </x:c>
      <x:c r="L224" s="18" t="str">
        <x:v>/Users/mac/Documents/智囊团/video_analysis/Top_Tycoon新号流程_20260804/frames/TT_NEW_04/TT_NEW_04_t001300.jpg</x:v>
      </x:c>
      <x:c r="M224" s="17" t="n">
        <x:v>1300</x:v>
      </x:c>
      <x:c r="N224" s="17" t="str">
        <x:v>待复核</x:v>
      </x:c>
      <x:c r="O224" s="17" t="str">
        <x:v>画面原型近邻；margin=0.0004; 画面原型近邻；margin=0.0056</x:v>
      </x:c>
      <x:c r="P224" s="17" t="str">
        <x:v>580000 | 1,783,166 | Apex Rush | 47000/53000 | iowrewards | 50 | 66% | 02h48m | BUFF | 754 | Go-Kart Track | Help other players (o/1) | +1/Sec | 3NEXTTASK COST | TO | EARNINGS | 598,846 | 589,38 | Drop Tower | +117/Sec | 18 | Site | 608 | 581000 | CONCRATU | BUFF | Go-Kart Track | 3600 | Drop Tower | Help other players (o/1) | 600,187 | 123/Sec | Site</x:v>
      </x:c>
    </x:row>
    <x:row r="225">
      <x:c r="A225" s="17" t="str">
        <x:v>SEG_04_040</x:v>
      </x:c>
      <x:c r="B225" s="17" t="str">
        <x:v>TT_NEW_04</x:v>
      </x:c>
      <x:c r="C225" s="17" t="n">
        <x:v>1310</x:v>
      </x:c>
      <x:c r="D225" s="17" t="n">
        <x:v>1319</x:v>
      </x:c>
      <x:c r="E225" s="17" t="str">
        <x:v>00:21:50</x:v>
      </x:c>
      <x:c r="F225" s="17" t="str">
        <x:v>00:21:59</x:v>
      </x:c>
      <x:c r="G225" s="17" t="n">
        <x:v>10</x:v>
      </x:c>
      <x:c r="H225" s="17" t="str">
        <x:v>小游戏</x:v>
      </x:c>
      <x:c r="I225" s="17" t="str">
        <x:v>玩法/奖励依画面；主资源常不全显</x:v>
      </x:c>
      <x:c r="J225" s="17" t="str">
        <x:v>否</x:v>
      </x:c>
      <x:c r="K225" s="17" t="str">
        <x:v>保留机制；完整核账窗口不足</x:v>
      </x:c>
      <x:c r="L225" s="18" t="str">
        <x:v>/Users/mac/Documents/智囊团/video_analysis/Top_Tycoon新号流程_20260804/frames/TT_NEW_04/TT_NEW_04_t001310.jpg</x:v>
      </x:c>
      <x:c r="M225" s="17" t="n">
        <x:v>1310</x:v>
      </x:c>
      <x:c r="N225" s="17" t="str">
        <x:v>待复核</x:v>
      </x:c>
      <x:c r="O225" s="17" t="str">
        <x:v>画面原型近邻；margin=0.0149</x:v>
      </x:c>
      <x:c r="P225" s="17" t="str">
        <x:v>680 | 5810 | CONGRATULATIONS! | Kar | Marty | Bauble | Bauble | Sleigh | Butter Rolls | Santa Claus | Boots | Candy Cane | 601,415 | +123/Sec | COLLECT</x:v>
      </x:c>
    </x:row>
    <x:row r="226">
      <x:c r="A226" s="17" t="str">
        <x:v>SEG_04_041</x:v>
      </x:c>
      <x:c r="B226" s="17" t="str">
        <x:v>TT_NEW_04</x:v>
      </x:c>
      <x:c r="C226" s="17" t="n">
        <x:v>1320</x:v>
      </x:c>
      <x:c r="D226" s="17" t="n">
        <x:v>1429</x:v>
      </x:c>
      <x:c r="E226" s="17" t="str">
        <x:v>00:22:00</x:v>
      </x:c>
      <x:c r="F226" s="17" t="str">
        <x:v>00:23:49</x:v>
      </x:c>
      <x:c r="G226" s="17" t="n">
        <x:v>110</x:v>
      </x:c>
      <x:c r="H226" s="17" t="str">
        <x:v>建造</x:v>
      </x:c>
      <x:c r="I226" s="17" t="str">
        <x:v>金币可见；Site tasks/Next task cost 依画面</x:v>
      </x:c>
      <x:c r="J226" s="17" t="str">
        <x:v>是</x:v>
      </x:c>
      <x:c r="K226" s="17" t="str">
        <x:v>保留：建造金币核账窗口</x:v>
      </x:c>
      <x:c r="L226" s="18" t="str">
        <x:v>/Users/mac/Documents/智囊团/video_analysis/Top_Tycoon新号流程_20260804/frames/TT_NEW_04/TT_NEW_04_t001370.jpg</x:v>
      </x:c>
      <x:c r="M226" s="17" t="n">
        <x:v>1370</x:v>
      </x:c>
      <x:c r="N226" s="17" t="str">
        <x:v>待复核</x:v>
      </x:c>
      <x:c r="O226" s="17" t="str">
        <x:v>OCR 命中建造/Site tasks 词; 画面原型近邻；margin=0.0008; 画面原型近邻；margin=0.0036; 画面原型近邻；margin=0.0046; 相邻两侧同模块，平滑孤立原型误差</x:v>
      </x:c>
      <x:c r="P226" s="17" t="str">
        <x:v>752 | 581000 | 1,017,803 | Pixie Hollow | 0/17000 | Showrewards | 11 | 5% | 02h48m | BUFF | 1820 | Go-KartTrack | 3600 | Drop Tower | Ferris | Help other players(o/1) | NEXT TASKCOST | TOTAL EARNINGS | 602,651 | 013,575 | +123/Sec | 19 | Site | 590000 | 647,433 | 3/3 | Pixie Hollow | 7000/17000 | Showrewards | 11 | 23% | 02h48m | BUFF | 218 | Go-Kart Track | H | 宜 | Drop Tower | Ferri: | Help other players (O/1) | 1 | +1/Sec | NEXTTASKCOST | TO | ARNINGS | 40@s8 | 515,850 | +</x:v>
      </x:c>
    </x:row>
    <x:row r="227">
      <x:c r="A227" s="17" t="str">
        <x:v>SEG_04_042</x:v>
      </x:c>
      <x:c r="B227" s="17" t="str">
        <x:v>TT_NEW_04</x:v>
      </x:c>
      <x:c r="C227" s="17" t="n">
        <x:v>1430</x:v>
      </x:c>
      <x:c r="D227" s="17" t="n">
        <x:v>1659</x:v>
      </x:c>
      <x:c r="E227" s="17" t="str">
        <x:v>00:23:50</x:v>
      </x:c>
      <x:c r="F227" s="17" t="str">
        <x:v>00:27:39</x:v>
      </x:c>
      <x:c r="G227" s="17" t="n">
        <x:v>230</x:v>
      </x:c>
      <x:c r="H227" s="17" t="str">
        <x:v>Slot</x:v>
      </x:c>
      <x:c r="I227" s="17" t="str">
        <x:v>BET/能量/金币/主进度通常可见；以事件帧为准</x:v>
      </x:c>
      <x:c r="J227" s="17" t="str">
        <x:v>否</x:v>
      </x:c>
      <x:c r="K227" s="17" t="str">
        <x:v>保留机制；缺逐 Spin 前后快照</x:v>
      </x:c>
      <x:c r="L227" s="18" t="str">
        <x:v>/Users/mac/Documents/智囊团/video_analysis/Top_Tycoon新号流程_20260804/frames/TT_NEW_04/TT_NEW_04_t001540.jpg</x:v>
      </x:c>
      <x:c r="M227" s="17" t="n">
        <x:v>1540</x:v>
      </x:c>
      <x:c r="N227" s="17" t="str">
        <x:v>已确认</x:v>
      </x:c>
      <x:c r="O227" s="17" t="str">
        <x:v>OCR 命中 SPIN/BET 词; 画面原型近邻；margin=0.0021; 画面原型近邻；margin=0.0159; 画面原型近邻；margin=0.0235; 画面原型近邻；margin=0.0240; 相邻两侧同模块，平滑孤立原型误差</x:v>
      </x:c>
      <x:c r="P227" s="17" t="str">
        <x:v>590000 | 427,640 | 31th | 3 | 14:46:21 | 100% | 92% | +66 | 13d21h | 05d21h | +10200 | 6 | 20h52m | PACK | 115/380 | 6/6 | 05d20h | 01d14h | 4 | Sale. | 14h46m | 04d20h | 55% | 14h46m | 04d14h | MAX | 14h46m | 01d14h | BETx50 | 2 | 50/50 | 68% | 14h46m | +4864 | 01d14h | SPIN | FREE | 14h46m | HOLD FOR AUTO SPIN | Help other players(o/1) | 20 | Game | 590000 | 450,440 | 31th | 3 | 14:46:11 | 100% | 92% | +66 | 13d21h | 6 | 20h51m | PACK | 115/380 | 6/6 | 05d20h | 01d14h | 14 </x:v>
      </x:c>
    </x:row>
    <x:row r="228">
      <x:c r="A228" s="17" t="str">
        <x:v>SEG_04_043</x:v>
      </x:c>
      <x:c r="B228" s="17" t="str">
        <x:v>TT_NEW_04</x:v>
      </x:c>
      <x:c r="C228" s="17" t="n">
        <x:v>1660</x:v>
      </x:c>
      <x:c r="D228" s="17" t="n">
        <x:v>1679</x:v>
      </x:c>
      <x:c r="E228" s="17" t="str">
        <x:v>00:27:40</x:v>
      </x:c>
      <x:c r="F228" s="17" t="str">
        <x:v>00:27:59</x:v>
      </x:c>
      <x:c r="G228" s="17" t="n">
        <x:v>20</x:v>
      </x:c>
      <x:c r="H228" s="17" t="str">
        <x:v>建造</x:v>
      </x:c>
      <x:c r="I228" s="17" t="str">
        <x:v>金币可见；Site tasks/Next task cost 依画面</x:v>
      </x:c>
      <x:c r="J228" s="17" t="str">
        <x:v>否</x:v>
      </x:c>
      <x:c r="K228" s="17" t="str">
        <x:v>保留机制；待建造余额闭合</x:v>
      </x:c>
      <x:c r="L228" s="18" t="str">
        <x:v>/Users/mac/Documents/智囊团/video_analysis/Top_Tycoon新号流程_20260804/frames/TT_NEW_04/TT_NEW_04_t001670.jpg</x:v>
      </x:c>
      <x:c r="M228" s="17" t="n">
        <x:v>1670</x:v>
      </x:c>
      <x:c r="N228" s="17" t="str">
        <x:v>待复核</x:v>
      </x:c>
      <x:c r="O228" s="17" t="str">
        <x:v>画面原型近邻；margin=0.0043; 画面原型近邻；margin=0.0078</x:v>
      </x:c>
      <x:c r="P228" s="17" t="n">
        <x:v>434</x:v>
      </x:c>
    </x:row>
    <x:row r="229">
      <x:c r="A229" s="17" t="str">
        <x:v>SEG_04_044</x:v>
      </x:c>
      <x:c r="B229" s="17" t="str">
        <x:v>TT_NEW_04</x:v>
      </x:c>
      <x:c r="C229" s="17" t="n">
        <x:v>1680</x:v>
      </x:c>
      <x:c r="D229" s="17" t="n">
        <x:v>1789</x:v>
      </x:c>
      <x:c r="E229" s="17" t="str">
        <x:v>00:28:00</x:v>
      </x:c>
      <x:c r="F229" s="17" t="str">
        <x:v>00:29:49</x:v>
      </x:c>
      <x:c r="G229" s="17" t="n">
        <x:v>110</x:v>
      </x:c>
      <x:c r="H229" s="17" t="str">
        <x:v>Slot</x:v>
      </x:c>
      <x:c r="I229" s="17" t="str">
        <x:v>BET/能量/金币/主进度通常可见；以事件帧为准</x:v>
      </x:c>
      <x:c r="J229" s="17" t="str">
        <x:v>否</x:v>
      </x:c>
      <x:c r="K229" s="17" t="str">
        <x:v>保留机制；缺逐 Spin 前后快照</x:v>
      </x:c>
      <x:c r="L229" s="18" t="str">
        <x:v>/Users/mac/Documents/智囊团/video_analysis/Top_Tycoon新号流程_20260804/frames/TT_NEW_04/TT_NEW_04_t001730.jpg</x:v>
      </x:c>
      <x:c r="M229" s="17" t="n">
        <x:v>1730</x:v>
      </x:c>
      <x:c r="N229" s="17" t="str">
        <x:v>已确认</x:v>
      </x:c>
      <x:c r="O229" s="17" t="str">
        <x:v>OCR 命中 SPIN/BET 词; 画面原型近邻；margin=0.0231; 相邻两侧同模块，平滑孤立原型误差</x:v>
      </x:c>
      <x:c r="P229" s="17" t="str">
        <x:v>590000 | 18,760,240 | 80th | 4 | 49% | 14:42:11 | 100% | 59% | +66 | 13d20h | 05d21h | H | 9 | 20h47m | PACK | 935/2500 | 9/9 | 05d20h | 01d14h | 3.5K | 14 | Sale | 14h42m | 04d20h | 10 | 28% | 14h42m | 04d14h | MAX | 14h42m | 01d14h | BETx100 | 58 | 50/50 | 11% | 14h42m | 01d14h | +15421 | FREE | 14h42m | STOP | Helpotherplayers(o/1) | 20 | Game | 590000 | 18,897,040 | 80th | 4 | 54% | 14:42:01 | 100% | 60% | +66 | 13d20h | ZPSO | +45600 | 20h47m | PACK | 935/2500 | 6/6 | 05</x:v>
      </x:c>
    </x:row>
    <x:row r="230">
      <x:c r="A230" s="17" t="str">
        <x:v>SEG_04_045</x:v>
      </x:c>
      <x:c r="B230" s="17" t="str">
        <x:v>TT_NEW_04</x:v>
      </x:c>
      <x:c r="C230" s="17" t="n">
        <x:v>1790</x:v>
      </x:c>
      <x:c r="D230" s="17" t="n">
        <x:v>1799</x:v>
      </x:c>
      <x:c r="E230" s="17" t="str">
        <x:v>00:29:50</x:v>
      </x:c>
      <x:c r="F230" s="17" t="str">
        <x:v>00:29:59</x:v>
      </x:c>
      <x:c r="G230" s="17" t="n">
        <x:v>10</x:v>
      </x:c>
      <x:c r="H230" s="17" t="str">
        <x:v>礼包</x:v>
      </x:c>
      <x:c r="I230" s="17" t="str">
        <x:v>价格/内容可能可见；未观察购买后余额</x:v>
      </x:c>
      <x:c r="J230" s="17" t="str">
        <x:v>否</x:v>
      </x:c>
      <x:c r="K230" s="17" t="str">
        <x:v>保留 offer_shown；无购买前后闭环</x:v>
      </x:c>
      <x:c r="L230" s="18" t="str">
        <x:v>/Users/mac/Documents/智囊团/video_analysis/Top_Tycoon新号流程_20260804/frames/TT_NEW_04/TT_NEW_04_t001790.jpg</x:v>
      </x:c>
      <x:c r="M230" s="17" t="n">
        <x:v>1790</x:v>
      </x:c>
      <x:c r="N230" s="17" t="str">
        <x:v>已确认</x:v>
      </x:c>
      <x:c r="O230" s="17" t="str">
        <x:v>OCR 命中价格/商店词</x:v>
      </x:c>
      <x:c r="P230" s="17" t="str">
        <x:v>YPACKD | 400 | % | MORE | 680 | HK$40.00 | 05:00</x:v>
      </x:c>
    </x:row>
    <x:row r="231">
      <x:c r="A231" s="17" t="str">
        <x:v>SEG_04_046</x:v>
      </x:c>
      <x:c r="B231" s="17" t="str">
        <x:v>TT_NEW_04</x:v>
      </x:c>
      <x:c r="C231" s="17" t="n">
        <x:v>1800</x:v>
      </x:c>
      <x:c r="D231" s="17" t="n">
        <x:v>1809</x:v>
      </x:c>
      <x:c r="E231" s="17" t="str">
        <x:v>00:30:00</x:v>
      </x:c>
      <x:c r="F231" s="17" t="str">
        <x:v>00:30:09</x:v>
      </x:c>
      <x:c r="G231" s="17" t="n">
        <x:v>10</x:v>
      </x:c>
      <x:c r="H231" s="17" t="str">
        <x:v>Slot</x:v>
      </x:c>
      <x:c r="I231" s="17" t="str">
        <x:v>BET/能量/金币/主进度通常可见；以事件帧为准</x:v>
      </x:c>
      <x:c r="J231" s="17" t="str">
        <x:v>否</x:v>
      </x:c>
      <x:c r="K231" s="17" t="str">
        <x:v>保留机制；缺逐 Spin 前后快照</x:v>
      </x:c>
      <x:c r="L231" s="18" t="str">
        <x:v>/Users/mac/Documents/智囊团/video_analysis/Top_Tycoon新号流程_20260804/frames/TT_NEW_04/TT_NEW_04_t001800.jpg</x:v>
      </x:c>
      <x:c r="M231" s="17" t="n">
        <x:v>1800</x:v>
      </x:c>
      <x:c r="N231" s="17" t="str">
        <x:v>已确认</x:v>
      </x:c>
      <x:c r="O231" s="17" t="str">
        <x:v>OCR 命中 SPIN/BET 词</x:v>
      </x:c>
      <x:c r="P231" s="17" t="str">
        <x:v>590000 | 24,593,440 | 80th | 4 | %06 | 14:40:11 | 100% | 95% | +66 | 13d20h | 05d20h | + 22800 | 9 | 20h45m | PACK | 1135/2500 | 9/9 | 05d20h | 01d14h | 3.51 | 14 | Sale | 14h40m | 04d20h | 26 | 89% | 04:51 | 04d14h | 14h40m | 01d14h | BETx100 | 77 | 32/50 | MAX | 12% | 14h40m | 01d14h | 5 spins in 29:38 | SPIN | FREE | HOLD FOR AUTO SPIN | Helpotherplayers (o/1) | 20 | Game</x:v>
      </x:c>
    </x:row>
    <x:row r="232">
      <x:c r="A232" s="17" t="str">
        <x:v>SEG_04_047</x:v>
      </x:c>
      <x:c r="B232" s="17" t="str">
        <x:v>TT_NEW_04</x:v>
      </x:c>
      <x:c r="C232" s="17" t="n">
        <x:v>1810</x:v>
      </x:c>
      <x:c r="D232" s="17" t="n">
        <x:v>1829</x:v>
      </x:c>
      <x:c r="E232" s="17" t="str">
        <x:v>00:30:10</x:v>
      </x:c>
      <x:c r="F232" s="17" t="str">
        <x:v>00:30:29</x:v>
      </x:c>
      <x:c r="G232" s="17" t="n">
        <x:v>20</x:v>
      </x:c>
      <x:c r="H232" s="17" t="str">
        <x:v>礼包</x:v>
      </x:c>
      <x:c r="I232" s="17" t="str">
        <x:v>价格/内容可能可见；未观察购买后余额</x:v>
      </x:c>
      <x:c r="J232" s="17" t="str">
        <x:v>否</x:v>
      </x:c>
      <x:c r="K232" s="17" t="str">
        <x:v>保留 offer_shown；无购买前后闭环</x:v>
      </x:c>
      <x:c r="L232" s="18" t="str">
        <x:v>/Users/mac/Documents/智囊团/video_analysis/Top_Tycoon新号流程_20260804/frames/TT_NEW_04/TT_NEW_04_t001820.jpg</x:v>
      </x:c>
      <x:c r="M232" s="17" t="n">
        <x:v>1820</x:v>
      </x:c>
      <x:c r="N232" s="17" t="str">
        <x:v>待复核</x:v>
      </x:c>
      <x:c r="O232" s="17" t="str">
        <x:v>画面原型近邻；margin=0.0035; 画面原型近邻；margin=0.0087</x:v>
      </x:c>
      <x:c r="P232" s="17" t="str">
        <x:v>597000 | 15,566,230 | 80th | Pixie Hollow | 5000/17000 | owrewards | 44% | 02h40m | BUFF | 13384 | Go-Kart Trac | H | 1419 | Drop Tower | 956 | Ferris Wheel | Help other players(o/1) | NEXTTASKCOST | TOTALEARNINGS | 287,889 | 2,755,72 | +597/Sec | 20 | Site | 598000 | 12,810,505 | 80th | 13636 | Go-Kart Track | 215°900K | Drop Tower | Help other players (O/1) | 293,817 | +598/Sec | 20 | Site</x:v>
      </x:c>
    </x:row>
    <x:row r="233">
      <x:c r="A233" s="17" t="str">
        <x:v>SEG_04_048</x:v>
      </x:c>
      <x:c r="B233" s="17" t="str">
        <x:v>TT_NEW_04</x:v>
      </x:c>
      <x:c r="C233" s="17" t="n">
        <x:v>1830</x:v>
      </x:c>
      <x:c r="D233" s="17" t="n">
        <x:v>1839</x:v>
      </x:c>
      <x:c r="E233" s="17" t="str">
        <x:v>00:30:30</x:v>
      </x:c>
      <x:c r="F233" s="17" t="str">
        <x:v>00:30:39</x:v>
      </x:c>
      <x:c r="G233" s="17" t="n">
        <x:v>10</x:v>
      </x:c>
      <x:c r="H233" s="17" t="str">
        <x:v>小游戏</x:v>
      </x:c>
      <x:c r="I233" s="17" t="str">
        <x:v>玩法/奖励依画面；主资源常不全显</x:v>
      </x:c>
      <x:c r="J233" s="17" t="str">
        <x:v>否</x:v>
      </x:c>
      <x:c r="K233" s="17" t="str">
        <x:v>保留机制；完整核账窗口不足</x:v>
      </x:c>
      <x:c r="L233" s="18" t="str">
        <x:v>/Users/mac/Documents/智囊团/video_analysis/Top_Tycoon新号流程_20260804/frames/TT_NEW_04/TT_NEW_04_t001830.jpg</x:v>
      </x:c>
      <x:c r="M233" s="17" t="n">
        <x:v>1830</x:v>
      </x:c>
      <x:c r="N233" s="17" t="str">
        <x:v>待复核</x:v>
      </x:c>
      <x:c r="O233" s="17" t="str">
        <x:v>画面原型近邻；margin=0.0330</x:v>
      </x:c>
      <x:c r="P233" s="17" t="str">
        <x:v>598000 | 13,710,505 | 80th | 13972 | Go-Kart Track | Drop Tower | 299,800 | +598/Sec | 20 | Site</x:v>
      </x:c>
    </x:row>
    <x:row r="234">
      <x:c r="A234" s="17" t="str">
        <x:v>SEG_04_049</x:v>
      </x:c>
      <x:c r="B234" s="17" t="str">
        <x:v>TT_NEW_04</x:v>
      </x:c>
      <x:c r="C234" s="17" t="n">
        <x:v>1840</x:v>
      </x:c>
      <x:c r="D234" s="17" t="n">
        <x:v>1849</x:v>
      </x:c>
      <x:c r="E234" s="17" t="str">
        <x:v>00:30:40</x:v>
      </x:c>
      <x:c r="F234" s="17" t="str">
        <x:v>00:30:49</x:v>
      </x:c>
      <x:c r="G234" s="17" t="n">
        <x:v>10</x:v>
      </x:c>
      <x:c r="H234" s="17" t="str">
        <x:v>建造</x:v>
      </x:c>
      <x:c r="I234" s="17" t="str">
        <x:v>金币可见；Site tasks/Next task cost 依画面</x:v>
      </x:c>
      <x:c r="J234" s="17" t="str">
        <x:v>否</x:v>
      </x:c>
      <x:c r="K234" s="17" t="str">
        <x:v>保留机制；待建造余额闭合</x:v>
      </x:c>
      <x:c r="L234" s="18" t="str">
        <x:v>/Users/mac/Documents/智囊团/video_analysis/Top_Tycoon新号流程_20260804/frames/TT_NEW_04/TT_NEW_04_t001840.jpg</x:v>
      </x:c>
      <x:c r="M234" s="17" t="n">
        <x:v>1840</x:v>
      </x:c>
      <x:c r="N234" s="17" t="str">
        <x:v>已确认</x:v>
      </x:c>
      <x:c r="O234" s="17" t="str">
        <x:v>OCR 命中建造/Site tasks 词</x:v>
      </x:c>
      <x:c r="P234" s="17" t="str">
        <x:v>598000 | 13,710,505 | 80th | Jawsome | 0/71000 | Showrewards | 1016 | 47% | 02h39m | BUFF | Ferris Wheel | 9 | Tap me, Wc Hurry! | Helpotherplayers(o/1) | NEXTTASKCOST | TOTAL EARNINGS | 305,456 | 0337 | +598/Sec | 20 | Site</x:v>
      </x:c>
    </x:row>
    <x:row r="235">
      <x:c r="A235" s="17" t="str">
        <x:v>SEG_04_050</x:v>
      </x:c>
      <x:c r="B235" s="17" t="str">
        <x:v>TT_NEW_04</x:v>
      </x:c>
      <x:c r="C235" s="17" t="n">
        <x:v>1850</x:v>
      </x:c>
      <x:c r="D235" s="17" t="n">
        <x:v>1859</x:v>
      </x:c>
      <x:c r="E235" s="17" t="str">
        <x:v>00:30:50</x:v>
      </x:c>
      <x:c r="F235" s="17" t="str">
        <x:v>00:30:59</x:v>
      </x:c>
      <x:c r="G235" s="17" t="n">
        <x:v>10</x:v>
      </x:c>
      <x:c r="H235" s="17" t="str">
        <x:v>礼包</x:v>
      </x:c>
      <x:c r="I235" s="17" t="str">
        <x:v>价格/内容可能可见；未观察购买后余额</x:v>
      </x:c>
      <x:c r="J235" s="17" t="str">
        <x:v>否</x:v>
      </x:c>
      <x:c r="K235" s="17" t="str">
        <x:v>保留 offer_shown；无购买前后闭环</x:v>
      </x:c>
      <x:c r="L235" s="18" t="str">
        <x:v>/Users/mac/Documents/智囊团/video_analysis/Top_Tycoon新号流程_20260804/frames/TT_NEW_04/TT_NEW_04_t001850.jpg</x:v>
      </x:c>
      <x:c r="M235" s="17" t="n">
        <x:v>1850</x:v>
      </x:c>
      <x:c r="N235" s="17" t="str">
        <x:v>待复核</x:v>
      </x:c>
      <x:c r="O235" s="17" t="str">
        <x:v>画面原型近邻；margin=0.0096</x:v>
      </x:c>
      <x:c r="P235" s="17" t="str">
        <x:v>625000 | 13,257,266 | 80th | Jawsome | 21000 | 00o | Shc | lards | 100% | Q2h39m | UFF | 9 | Tap me, Wc Hurry! | 米 | Help other players(0/1) | +1/SeGGS | NEXTTASKCOST | TO | 4 | 56,700 | +624/Sec | 20 | 222 | Site</x:v>
      </x:c>
    </x:row>
    <x:row r="236">
      <x:c r="A236" s="17" t="str">
        <x:v>SEG_04_051</x:v>
      </x:c>
      <x:c r="B236" s="17" t="str">
        <x:v>TT_NEW_04</x:v>
      </x:c>
      <x:c r="C236" s="17" t="n">
        <x:v>1860</x:v>
      </x:c>
      <x:c r="D236" s="17" t="n">
        <x:v>1879</x:v>
      </x:c>
      <x:c r="E236" s="17" t="str">
        <x:v>00:31:00</x:v>
      </x:c>
      <x:c r="F236" s="17" t="str">
        <x:v>00:31:19</x:v>
      </x:c>
      <x:c r="G236" s="17" t="n">
        <x:v>20</x:v>
      </x:c>
      <x:c r="H236" s="17" t="str">
        <x:v>转场/加载</x:v>
      </x:c>
      <x:c r="I236" s="17" t="str">
        <x:v>数值不可读或不适用</x:v>
      </x:c>
      <x:c r="J236" s="17" t="str">
        <x:v>否</x:v>
      </x:c>
      <x:c r="K236" s="17" t="str">
        <x:v>排除：转场/加载，不进入数值统计</x:v>
      </x:c>
      <x:c r="L236" s="18" t="str">
        <x:v>/Users/mac/Documents/智囊团/video_analysis/Top_Tycoon新号流程_20260804/frames/TT_NEW_04/TT_NEW_04_t001870.jpg</x:v>
      </x:c>
      <x:c r="M236" s="17" t="n">
        <x:v>1870</x:v>
      </x:c>
      <x:c r="N236" s="17" t="str">
        <x:v>待复核</x:v>
      </x:c>
      <x:c r="O236" s="17" t="str">
        <x:v>画面原型近邻；margin=0.0012; 画面原型近邻；margin=0.0016</x:v>
      </x:c>
      <x:c r="P236" s="17" t="str">
        <x:v>646000 | 1,202,828 | 80th | Jawsome | 43000/71000 | Showrewards | 45% | 02h39m | BUFF | rry! | 米 | Shark Pool | Help other players(0/1) | +1/SeGGS | NEXTTASKCOST | TO | 318,831 | 168,411 | +645/Sec | 20 | 222 | Site | 665000 | 5,882,488 | 80th | Jawsome | 65000/71000 | Showrewards | 98% | 02h39m | BUFF | P | Pool | Helpotherplayers(o/1) | +1/Sec | NEXTTASKCOST | TO | EARNINGS | 4 | 324,899 | 505,57 | +663/Sec | 20 | 222 | Site</x:v>
      </x:c>
    </x:row>
    <x:row r="237">
      <x:c r="A237" s="17" t="str">
        <x:v>SEG_04_052</x:v>
      </x:c>
      <x:c r="B237" s="17" t="str">
        <x:v>TT_NEW_04</x:v>
      </x:c>
      <x:c r="C237" s="17" t="n">
        <x:v>1880</x:v>
      </x:c>
      <x:c r="D237" s="17" t="n">
        <x:v>1889</x:v>
      </x:c>
      <x:c r="E237" s="17" t="str">
        <x:v>00:31:20</x:v>
      </x:c>
      <x:c r="F237" s="17" t="str">
        <x:v>00:31:29</x:v>
      </x:c>
      <x:c r="G237" s="17" t="n">
        <x:v>10</x:v>
      </x:c>
      <x:c r="H237" s="17" t="str">
        <x:v>建造</x:v>
      </x:c>
      <x:c r="I237" s="17" t="str">
        <x:v>金币可见；Site tasks/Next task cost 依画面</x:v>
      </x:c>
      <x:c r="J237" s="17" t="str">
        <x:v>否</x:v>
      </x:c>
      <x:c r="K237" s="17" t="str">
        <x:v>保留机制；待建造余额闭合</x:v>
      </x:c>
      <x:c r="L237" s="18" t="str">
        <x:v>/Users/mac/Documents/智囊团/video_analysis/Top_Tycoon新号流程_20260804/frames/TT_NEW_04/TT_NEW_04_t001880.jpg</x:v>
      </x:c>
      <x:c r="M237" s="17" t="n">
        <x:v>1880</x:v>
      </x:c>
      <x:c r="N237" s="17" t="str">
        <x:v>已确认</x:v>
      </x:c>
      <x:c r="O237" s="17" t="str">
        <x:v>OCR 命中建造/Site tasks 词</x:v>
      </x:c>
      <x:c r="P237" s="17" t="str">
        <x:v>669000 | 3,503,225 | 80th | MAX | 02h38m | rap me, Wc Hurry! | BUFF | 9 | 36 | SharkPool | Helpotherplayers(o/1) | TOTAL EARNINGS | 331,240 | +669/Sec | 20 | Site</x:v>
      </x:c>
    </x:row>
    <x:row r="238">
      <x:c r="A238" s="17" t="str">
        <x:v>SEG_04_053</x:v>
      </x:c>
      <x:c r="B238" s="17" t="str">
        <x:v>TT_NEW_04</x:v>
      </x:c>
      <x:c r="C238" s="17" t="n">
        <x:v>1890</x:v>
      </x:c>
      <x:c r="D238" s="17" t="n">
        <x:v>1899</x:v>
      </x:c>
      <x:c r="E238" s="17" t="str">
        <x:v>00:31:30</x:v>
      </x:c>
      <x:c r="F238" s="17" t="str">
        <x:v>00:31:39</x:v>
      </x:c>
      <x:c r="G238" s="17" t="n">
        <x:v>10</x:v>
      </x:c>
      <x:c r="H238" s="17" t="str">
        <x:v>小游戏</x:v>
      </x:c>
      <x:c r="I238" s="17" t="str">
        <x:v>玩法/奖励依画面；主资源常不全显</x:v>
      </x:c>
      <x:c r="J238" s="17" t="str">
        <x:v>否</x:v>
      </x:c>
      <x:c r="K238" s="17" t="str">
        <x:v>保留机制；完整核账窗口不足</x:v>
      </x:c>
      <x:c r="L238" s="18" t="str">
        <x:v>/Users/mac/Documents/智囊团/video_analysis/Top_Tycoon新号流程_20260804/frames/TT_NEW_04/TT_NEW_04_t001890.jpg</x:v>
      </x:c>
      <x:c r="M238" s="17" t="n">
        <x:v>1890</x:v>
      </x:c>
      <x:c r="N238" s="17" t="str">
        <x:v>待复核</x:v>
      </x:c>
      <x:c r="O238" s="17" t="str">
        <x:v>画面原型近邻；margin=0.0264</x:v>
      </x:c>
      <x:c r="P238" s="17" t="str">
        <x:v>669000 | 3,503,225 | 80th | ark Pool | Candy Cane | Help other players (0/1) | 337.916 | +669/Sec | 21</x:v>
      </x:c>
    </x:row>
    <x:row r="239">
      <x:c r="A239" s="17" t="str">
        <x:v>SEG_04_054</x:v>
      </x:c>
      <x:c r="B239" s="17" t="str">
        <x:v>TT_NEW_04</x:v>
      </x:c>
      <x:c r="C239" s="17" t="n">
        <x:v>1900</x:v>
      </x:c>
      <x:c r="D239" s="17" t="n">
        <x:v>1909</x:v>
      </x:c>
      <x:c r="E239" s="17" t="str">
        <x:v>00:31:40</x:v>
      </x:c>
      <x:c r="F239" s="17" t="str">
        <x:v>00:31:49</x:v>
      </x:c>
      <x:c r="G239" s="17" t="n">
        <x:v>10</x:v>
      </x:c>
      <x:c r="H239" s="17" t="str">
        <x:v>转场/加载</x:v>
      </x:c>
      <x:c r="I239" s="17" t="str">
        <x:v>数值不可读或不适用</x:v>
      </x:c>
      <x:c r="J239" s="17" t="str">
        <x:v>否</x:v>
      </x:c>
      <x:c r="K239" s="17" t="str">
        <x:v>排除：转场/加载，不进入数值统计</x:v>
      </x:c>
      <x:c r="L239" s="18" t="str">
        <x:v>/Users/mac/Documents/智囊团/video_analysis/Top_Tycoon新号流程_20260804/frames/TT_NEW_04/TT_NEW_04_t001900.jpg</x:v>
      </x:c>
      <x:c r="M239" s="17" t="n">
        <x:v>1900</x:v>
      </x:c>
      <x:c r="N239" s="17" t="str">
        <x:v>已确认</x:v>
      </x:c>
      <x:c r="O239" s="17" t="str">
        <x:v>低亮度/低饱和转场</x:v>
      </x:c>
      <x:c r="P239" s="17" t="str">
        <x:v>669000 | 3,503,225 | 80th | ark Pool | Sleigh | Help otherplayers (o/1) | 344,624 | +669/Sec | 21</x:v>
      </x:c>
    </x:row>
    <x:row r="240">
      <x:c r="A240" s="17" t="str">
        <x:v>SEG_04_055</x:v>
      </x:c>
      <x:c r="B240" s="17" t="str">
        <x:v>TT_NEW_04</x:v>
      </x:c>
      <x:c r="C240" s="17" t="n">
        <x:v>1910</x:v>
      </x:c>
      <x:c r="D240" s="17" t="n">
        <x:v>1929</x:v>
      </x:c>
      <x:c r="E240" s="17" t="str">
        <x:v>00:31:50</x:v>
      </x:c>
      <x:c r="F240" s="17" t="str">
        <x:v>00:32:09</x:v>
      </x:c>
      <x:c r="G240" s="17" t="n">
        <x:v>20</x:v>
      </x:c>
      <x:c r="H240" s="17" t="str">
        <x:v>小游戏</x:v>
      </x:c>
      <x:c r="I240" s="17" t="str">
        <x:v>玩法/奖励依画面；主资源常不全显</x:v>
      </x:c>
      <x:c r="J240" s="17" t="str">
        <x:v>否</x:v>
      </x:c>
      <x:c r="K240" s="17" t="str">
        <x:v>保留机制；完整核账窗口不足</x:v>
      </x:c>
      <x:c r="L240" s="18" t="str">
        <x:v>/Users/mac/Documents/智囊团/video_analysis/Top_Tycoon新号流程_20260804/frames/TT_NEW_04/TT_NEW_04_t001920.jpg</x:v>
      </x:c>
      <x:c r="M240" s="17" t="n">
        <x:v>1920</x:v>
      </x:c>
      <x:c r="N240" s="17" t="str">
        <x:v>待复核</x:v>
      </x:c>
      <x:c r="O240" s="17" t="str">
        <x:v>画面原型近邻；margin=0.0021; 画面原型近邻；margin=0.0167</x:v>
      </x:c>
      <x:c r="P240" s="17" t="str">
        <x:v>669000 | 3,503,225 | 80th | kPool | Sunglasses | Help other players (0/1) | 351,309 | +669/Sec | 21 | T100 | PRIDE HALL | 800/1400 | 650 | 100 | Epic Splash | 669000 | Startup Star-3ooK | 800 | TYCOON | COMPLETED! | Octo-Whirl | COMPLETED!</x:v>
      </x:c>
    </x:row>
    <x:row r="241">
      <x:c r="A241" s="17" t="str">
        <x:v>SEG_04_056</x:v>
      </x:c>
      <x:c r="B241" s="17" t="str">
        <x:v>TT_NEW_04</x:v>
      </x:c>
      <x:c r="C241" s="17" t="n">
        <x:v>1930</x:v>
      </x:c>
      <x:c r="D241" s="17" t="n">
        <x:v>1959</x:v>
      </x:c>
      <x:c r="E241" s="17" t="str">
        <x:v>00:32:10</x:v>
      </x:c>
      <x:c r="F241" s="17" t="str">
        <x:v>00:32:39</x:v>
      </x:c>
      <x:c r="G241" s="17" t="n">
        <x:v>30</x:v>
      </x:c>
      <x:c r="H241" s="17" t="str">
        <x:v>建造</x:v>
      </x:c>
      <x:c r="I241" s="17" t="str">
        <x:v>金币可见；Site tasks/Next task cost 依画面</x:v>
      </x:c>
      <x:c r="J241" s="17" t="str">
        <x:v>否</x:v>
      </x:c>
      <x:c r="K241" s="17" t="str">
        <x:v>保留机制；待建造余额闭合</x:v>
      </x:c>
      <x:c r="L241" s="18" t="str">
        <x:v>/Users/mac/Documents/智囊团/video_analysis/Top_Tycoon新号流程_20260804/frames/TT_NEW_04/TT_NEW_04_t001940.jpg</x:v>
      </x:c>
      <x:c r="M241" s="17" t="n">
        <x:v>1940</x:v>
      </x:c>
      <x:c r="N241" s="17" t="str">
        <x:v>待复核</x:v>
      </x:c>
      <x:c r="O241" s="17" t="str">
        <x:v>OCR 命中建造/Site tasks 词; 画面原型近邻；margin=0.0013; 相邻两侧同模块，平滑孤立原型误差</x:v>
      </x:c>
      <x:c r="P241" s="17" t="str">
        <x:v>16968 | Go-KartTrack | 669000 | 3,503,225 | 80th | Emerald Trail | 0/21000 | 1803 | Showrewards | DropTower | 1212 | Ferris Wheel | WCHurry! | MAX | 02h38m | BUFF | Helpotherplayers(0/1) | NEXTTASKCOST | TOTALEARNINGS | 365,005 | 08,325 | +669/Sec | 21 | 222 | Site | 680000 | 2,446,017 | 80th | 1839 | Emerald Trail | 600 | 21000 | Drop | jrewards | Ferris | ne,wc | MAX | 02h37m | BUFF | Helpotherplayers(o/1) | +1/Sec | NEXTTASKCOST | TO | EARNINGS | 379,674 | 449,550 | +679/S</x:v>
      </x:c>
    </x:row>
    <x:row r="242">
      <x:c r="A242" s="17" t="str">
        <x:v>SEG_04_057</x:v>
      </x:c>
      <x:c r="B242" s="17" t="str">
        <x:v>TT_NEW_04</x:v>
      </x:c>
      <x:c r="C242" s="17" t="n">
        <x:v>1960</x:v>
      </x:c>
      <x:c r="D242" s="17" t="n">
        <x:v>2079</x:v>
      </x:c>
      <x:c r="E242" s="17" t="str">
        <x:v>00:32:40</x:v>
      </x:c>
      <x:c r="F242" s="17" t="str">
        <x:v>00:34:39</x:v>
      </x:c>
      <x:c r="G242" s="17" t="n">
        <x:v>120</x:v>
      </x:c>
      <x:c r="H242" s="17" t="str">
        <x:v>Slot</x:v>
      </x:c>
      <x:c r="I242" s="17" t="str">
        <x:v>BET/能量/金币/主进度通常可见；以事件帧为准</x:v>
      </x:c>
      <x:c r="J242" s="17" t="str">
        <x:v>否</x:v>
      </x:c>
      <x:c r="K242" s="17" t="str">
        <x:v>保留机制；缺逐 Spin 前后快照</x:v>
      </x:c>
      <x:c r="L242" s="18" t="str">
        <x:v>/Users/mac/Documents/智囊团/video_analysis/Top_Tycoon新号流程_20260804/frames/TT_NEW_04/TT_NEW_04_t002020.jpg</x:v>
      </x:c>
      <x:c r="M242" s="17" t="n">
        <x:v>2020</x:v>
      </x:c>
      <x:c r="N242" s="17" t="str">
        <x:v>已确认</x:v>
      </x:c>
      <x:c r="O242" s="17" t="str">
        <x:v>OCR 命中 SPIN/BET 词; 画面原型近邻；margin=0.0177; 画面原型近邻；margin=0.0203; 画面原型近邻；margin=0.0204; 画面原型近邻；margin=0.0206; 相邻两侧同模块，平滑孤立原型误差</x:v>
      </x:c>
      <x:c r="P242" s="17" t="str">
        <x:v>683000 | 464,960 | 80th | QUEs | CLots | 4 | 90% | 14:37:31 | 100% | 95% | +66 | 13d20h | 05d20h | + 22800 | H | 20h43m | PACK | 1135/2500 | 6/6 | 05d20h | 01d14h | 3.5K | 15 | Sale | 14h37m | 04d20h | 26 | All gains | x3 | 89% | 02:11 | 04d14h | 14h37m | 01d14h | BETx3 | 77 | 50/50 | MAX | 12% | 14h37m | 01d14h | +486亩 | SPIN | FREE | HOLD FOR AUTO SPIN | Help otherplayers (o/1) | 21 | Game | 683000 | 464,960 | 80th | QUEs | CLots | 4 | 90% | 14:37:21 | 100% | %56 | +66 | 13</x:v>
      </x:c>
    </x:row>
    <x:row r="243">
      <x:c r="A243" s="17" t="str">
        <x:v>SEG_04_058</x:v>
      </x:c>
      <x:c r="B243" s="17" t="str">
        <x:v>TT_NEW_04</x:v>
      </x:c>
      <x:c r="C243" s="17" t="n">
        <x:v>2080</x:v>
      </x:c>
      <x:c r="D243" s="17" t="n">
        <x:v>2089</x:v>
      </x:c>
      <x:c r="E243" s="17" t="str">
        <x:v>00:34:40</x:v>
      </x:c>
      <x:c r="F243" s="17" t="str">
        <x:v>00:34:49</x:v>
      </x:c>
      <x:c r="G243" s="17" t="n">
        <x:v>10</x:v>
      </x:c>
      <x:c r="H243" s="17" t="str">
        <x:v>礼包</x:v>
      </x:c>
      <x:c r="I243" s="17" t="str">
        <x:v>价格/内容可能可见；未观察购买后余额</x:v>
      </x:c>
      <x:c r="J243" s="17" t="str">
        <x:v>否</x:v>
      </x:c>
      <x:c r="K243" s="17" t="str">
        <x:v>保留 offer_shown；无购买前后闭环</x:v>
      </x:c>
      <x:c r="L243" s="18" t="str">
        <x:v>/Users/mac/Documents/智囊团/video_analysis/Top_Tycoon新号流程_20260804/frames/TT_NEW_04/TT_NEW_04_t002080.jpg</x:v>
      </x:c>
      <x:c r="M243" s="17" t="n">
        <x:v>2080</x:v>
      </x:c>
      <x:c r="N243" s="17" t="str">
        <x:v>已确认</x:v>
      </x:c>
      <x:c r="O243" s="17" t="str">
        <x:v>OCR 命中价格/商店词</x:v>
      </x:c>
      <x:c r="P243" s="17" t="str">
        <x:v>YPACKY | X | 400 | % | MORE | 680 | HK$40.00 | 00:10</x:v>
      </x:c>
    </x:row>
    <x:row r="244">
      <x:c r="A244" s="17" t="str">
        <x:v>SEG_04_059</x:v>
      </x:c>
      <x:c r="B244" s="17" t="str">
        <x:v>TT_NEW_04</x:v>
      </x:c>
      <x:c r="C244" s="17" t="n">
        <x:v>2090</x:v>
      </x:c>
      <x:c r="D244" s="17" t="n">
        <x:v>2109</x:v>
      </x:c>
      <x:c r="E244" s="17" t="str">
        <x:v>00:34:50</x:v>
      </x:c>
      <x:c r="F244" s="17" t="str">
        <x:v>00:35:09</x:v>
      </x:c>
      <x:c r="G244" s="17" t="n">
        <x:v>20</x:v>
      </x:c>
      <x:c r="H244" s="17" t="str">
        <x:v>建造</x:v>
      </x:c>
      <x:c r="I244" s="17" t="str">
        <x:v>金币可见；Site tasks/Next task cost 依画面</x:v>
      </x:c>
      <x:c r="J244" s="17" t="str">
        <x:v>否</x:v>
      </x:c>
      <x:c r="K244" s="17" t="str">
        <x:v>保留机制；待建造余额闭合</x:v>
      </x:c>
      <x:c r="L244" s="18" t="str">
        <x:v>/Users/mac/Documents/智囊团/video_analysis/Top_Tycoon新号流程_20260804/frames/TT_NEW_04/TT_NEW_04_t002100.jpg</x:v>
      </x:c>
      <x:c r="M244" s="17" t="n">
        <x:v>2100</x:v>
      </x:c>
      <x:c r="N244" s="17" t="str">
        <x:v>待复核</x:v>
      </x:c>
      <x:c r="O244" s="17" t="str">
        <x:v>画面原型近邻；margin=0.0163; 画面原型近邻；margin=0.0185</x:v>
      </x:c>
      <x:c r="P244" s="17" t="str">
        <x:v>X | 01d14h | 9 | PACK | 9/9 | 01d14h | FIND ALL THEPROPSTO W | 20m | LEVEL1 | LEVEL2 | LEVEL3 | LEVEL4 | LEVEL5 | 79</x:v>
      </x:c>
    </x:row>
    <x:row r="245">
      <x:c r="A245" s="17" t="str">
        <x:v>SEG_04_060</x:v>
      </x:c>
      <x:c r="B245" s="17" t="str">
        <x:v>TT_NEW_04</x:v>
      </x:c>
      <x:c r="C245" s="17" t="n">
        <x:v>2110</x:v>
      </x:c>
      <x:c r="D245" s="17" t="n">
        <x:v>2159</x:v>
      </x:c>
      <x:c r="E245" s="17" t="str">
        <x:v>00:35:10</x:v>
      </x:c>
      <x:c r="F245" s="17" t="str">
        <x:v>00:35:59</x:v>
      </x:c>
      <x:c r="G245" s="17" t="n">
        <x:v>50</x:v>
      </x:c>
      <x:c r="H245" s="17" t="str">
        <x:v>Slot</x:v>
      </x:c>
      <x:c r="I245" s="17" t="str">
        <x:v>BET/能量/金币/主进度通常可见；以事件帧为准</x:v>
      </x:c>
      <x:c r="J245" s="17" t="str">
        <x:v>否</x:v>
      </x:c>
      <x:c r="K245" s="17" t="str">
        <x:v>保留机制；缺逐 Spin 前后快照</x:v>
      </x:c>
      <x:c r="L245" s="18" t="str">
        <x:v>/Users/mac/Documents/智囊团/video_analysis/Top_Tycoon新号流程_20260804/frames/TT_NEW_04/TT_NEW_04_t002130.jpg</x:v>
      </x:c>
      <x:c r="M245" s="17" t="n">
        <x:v>2130</x:v>
      </x:c>
      <x:c r="N245" s="17" t="str">
        <x:v>已确认</x:v>
      </x:c>
      <x:c r="O245" s="17" t="str">
        <x:v>OCR 命中 SPIN/BET 词</x:v>
      </x:c>
      <x:c r="P245" s="17" t="str">
        <x:v>ali.f | marley | X | 15300 | 1500 | 10m | 90 | 200 | SPIN | BET×3 | 25 | ali.f | marley | X | 15500 | 1500 | 90 | 4000 | 4000 | 6000 | 2000 | 2000 | 宜 | 2000 | SPIN | BETx3 | 25 | ali.f | marley | X | 16700 | 1500 | 10m | 4000 | 4000 | 6000 | 2000 | 2000 | 800 | 750 | 750F | BOOST | BOOST | %09 | %09 | MORE | MORE | SPIN | BETx5 | 15 | ali.f | marley | X | 17900 | 1500 | 10m | 190 | 5 | 4000 | 4000 | 6000 | 2000 | 1600 | MORE" | FREE | 1400 | SPIN | BETx5 | 5 | ali.f | marley</x:v>
      </x:c>
    </x:row>
    <x:row r="246">
      <x:c r="A246" s="17" t="str">
        <x:v>SEG_04_061</x:v>
      </x:c>
      <x:c r="B246" s="17" t="str">
        <x:v>TT_NEW_04</x:v>
      </x:c>
      <x:c r="C246" s="17" t="n">
        <x:v>2160</x:v>
      </x:c>
      <x:c r="D246" s="17" t="n">
        <x:v>2169</x:v>
      </x:c>
      <x:c r="E246" s="17" t="str">
        <x:v>00:36:00</x:v>
      </x:c>
      <x:c r="F246" s="17" t="str">
        <x:v>00:36:09</x:v>
      </x:c>
      <x:c r="G246" s="17" t="n">
        <x:v>10</x:v>
      </x:c>
      <x:c r="H246" s="17" t="str">
        <x:v>建造</x:v>
      </x:c>
      <x:c r="I246" s="17" t="str">
        <x:v>金币可见；Site tasks/Next task cost 依画面</x:v>
      </x:c>
      <x:c r="J246" s="17" t="str">
        <x:v>否</x:v>
      </x:c>
      <x:c r="K246" s="17" t="str">
        <x:v>保留机制；待建造余额闭合</x:v>
      </x:c>
      <x:c r="L246" s="18" t="str">
        <x:v>/Users/mac/Documents/智囊团/video_analysis/Top_Tycoon新号流程_20260804/frames/TT_NEW_04/TT_NEW_04_t002160.jpg</x:v>
      </x:c>
      <x:c r="M246" s="17" t="n">
        <x:v>2160</x:v>
      </x:c>
      <x:c r="N246" s="17" t="str">
        <x:v>已确认</x:v>
      </x:c>
      <x:c r="O246" s="17" t="str">
        <x:v>OCR 命中建造/Site tasks 词</x:v>
      </x:c>
      <x:c r="P246" s="17" t="str">
        <x:v>683000 | 3,090,400 | 80th | JUES4 | Lead Pursuit | ? | 04d20h | GLO | 09 | 600K | 170 | 310 | 600 | 1200 | 1800 | 2400 | 3000 | 880/3200 | Collect1Calendar | rewards | 40 | 40K | Complete 25site tasks | 50 | 40K | Earn 330 Bonus pts | 100 | 10m | Use 230 spins in the | slots | 120 | 20 | Attack 20 times | 130 | DAY1 | DAY2 | DAY3 | DAY4 DAY5 DAY6 | 8 | 8 | 8 | 8 | Helpotherplayers(o/1) | 777 | Game</x:v>
      </x:c>
    </x:row>
    <x:row r="247">
      <x:c r="A247" s="17" t="str">
        <x:v>SEG_04_062</x:v>
      </x:c>
      <x:c r="B247" s="17" t="str">
        <x:v>TT_NEW_04</x:v>
      </x:c>
      <x:c r="C247" s="17" t="n">
        <x:v>2170</x:v>
      </x:c>
      <x:c r="D247" s="17" t="n">
        <x:v>2179</x:v>
      </x:c>
      <x:c r="E247" s="17" t="str">
        <x:v>00:36:10</x:v>
      </x:c>
      <x:c r="F247" s="17" t="str">
        <x:v>00:36:19</x:v>
      </x:c>
      <x:c r="G247" s="17" t="n">
        <x:v>10</x:v>
      </x:c>
      <x:c r="H247" s="17" t="str">
        <x:v>Slot</x:v>
      </x:c>
      <x:c r="I247" s="17" t="str">
        <x:v>BET/能量/金币/主进度通常可见；以事件帧为准</x:v>
      </x:c>
      <x:c r="J247" s="17" t="str">
        <x:v>否</x:v>
      </x:c>
      <x:c r="K247" s="17" t="str">
        <x:v>保留机制；缺逐 Spin 前后快照</x:v>
      </x:c>
      <x:c r="L247" s="18" t="str">
        <x:v>/Users/mac/Documents/智囊团/video_analysis/Top_Tycoon新号流程_20260804/frames/TT_NEW_04/TT_NEW_04_t002170.jpg</x:v>
      </x:c>
      <x:c r="M247" s="17" t="n">
        <x:v>2170</x:v>
      </x:c>
      <x:c r="N247" s="17" t="str">
        <x:v>待复核</x:v>
      </x:c>
      <x:c r="O247" s="17" t="str">
        <x:v>画面原型近邻；margin=0.0205</x:v>
      </x:c>
      <x:c r="P247" s="17" t="str">
        <x:v>683000 | 3,090,400 | 26 | Suggested | Create | Shop | Friends | Enter team name here | X | Search | andy buchile | Members | Join | 1/50 | LOW | On s'amuse | Members | Join | 41/50 | HIGH | Members | Join | 6/50 | MEDIUM | ResitaRo | Members | Join | 13/50 | MEDIUM | NUSANTARA | Members | Join | 16/50 | ·HIGH | The Carolinas | Members | Join | 27/50 | HIGH | Rheinland-Pfalz | Members | Join | 1/50 | LOW | FR et Dz | Members | Join | 16/50 | ·HIGH | 21 | Team</x:v>
      </x:c>
    </x:row>
    <x:row r="248">
      <x:c r="A248" s="17" t="str">
        <x:v>SEG_04_063</x:v>
      </x:c>
      <x:c r="B248" s="17" t="str">
        <x:v>TT_NEW_04</x:v>
      </x:c>
      <x:c r="C248" s="17" t="n">
        <x:v>2180</x:v>
      </x:c>
      <x:c r="D248" s="17" t="n">
        <x:v>2189</x:v>
      </x:c>
      <x:c r="E248" s="17" t="str">
        <x:v>00:36:20</x:v>
      </x:c>
      <x:c r="F248" s="17" t="str">
        <x:v>00:36:29</x:v>
      </x:c>
      <x:c r="G248" s="17" t="n">
        <x:v>10</x:v>
      </x:c>
      <x:c r="H248" s="17" t="str">
        <x:v>转场/加载</x:v>
      </x:c>
      <x:c r="I248" s="17" t="str">
        <x:v>数值不可读或不适用</x:v>
      </x:c>
      <x:c r="J248" s="17" t="str">
        <x:v>否</x:v>
      </x:c>
      <x:c r="K248" s="17" t="str">
        <x:v>排除：转场/加载，不进入数值统计</x:v>
      </x:c>
      <x:c r="L248" s="18" t="str">
        <x:v>/Users/mac/Documents/智囊团/video_analysis/Top_Tycoon新号流程_20260804/frames/TT_NEW_04/TT_NEW_04_t002180.jpg</x:v>
      </x:c>
      <x:c r="M248" s="17" t="n">
        <x:v>2180</x:v>
      </x:c>
      <x:c r="N248" s="17" t="str">
        <x:v>待复核</x:v>
      </x:c>
      <x:c r="O248" s="17" t="str">
        <x:v>画面原型近邻；margin=0.0006</x:v>
      </x:c>
      <x:c r="P248" s="17" t="str">
        <x:v>683000 | 3,090,400 | 26 | Tycoon Album | 8 | 5 | Christmas | Wild West | Food | 6/8 | 5/ | 9 | 4/9 | 2.5K | Dogs | Football | Tropical | 2/9 | 1/9 | 1/9 | 3.5K | 4.5K | Jewelry | Space | Horror | 0/9 | 6/0 | 0/9 | 5.5K | 6.5K | 8 | Aladdin | Pirates | Ancient Egypt | 6/0 | 6/0 | 6/0 | 13K | NAA | 222 | Album</x:v>
      </x:c>
    </x:row>
    <x:row r="249">
      <x:c r="A249" s="17" t="str">
        <x:v>SEG_04_064</x:v>
      </x:c>
      <x:c r="B249" s="17" t="str">
        <x:v>TT_NEW_04</x:v>
      </x:c>
      <x:c r="C249" s="17" t="n">
        <x:v>2190</x:v>
      </x:c>
      <x:c r="D249" s="17" t="n">
        <x:v>2199</x:v>
      </x:c>
      <x:c r="E249" s="17" t="str">
        <x:v>00:36:30</x:v>
      </x:c>
      <x:c r="F249" s="17" t="str">
        <x:v>00:36:39</x:v>
      </x:c>
      <x:c r="G249" s="17" t="n">
        <x:v>10</x:v>
      </x:c>
      <x:c r="H249" s="17" t="str">
        <x:v>建造</x:v>
      </x:c>
      <x:c r="I249" s="17" t="str">
        <x:v>金币可见；Site tasks/Next task cost 依画面</x:v>
      </x:c>
      <x:c r="J249" s="17" t="str">
        <x:v>否</x:v>
      </x:c>
      <x:c r="K249" s="17" t="str">
        <x:v>保留机制；待建造余额闭合</x:v>
      </x:c>
      <x:c r="L249" s="18" t="str">
        <x:v>/Users/mac/Documents/智囊团/video_analysis/Top_Tycoon新号流程_20260804/frames/TT_NEW_04/TT_NEW_04_t002190.jpg</x:v>
      </x:c>
      <x:c r="M249" s="17" t="n">
        <x:v>2190</x:v>
      </x:c>
      <x:c r="N249" s="17" t="str">
        <x:v>待复核</x:v>
      </x:c>
      <x:c r="O249" s="17" t="str">
        <x:v>画面原型近邻；margin=0.0199</x:v>
      </x:c>
      <x:c r="P249" s="17" t="str">
        <x:v>683000 | 3,090,400 | 26 | Tycoon Album | 5 | 4 | Christmas | Wild West | Food | 6/8 | 5/ | 19 | 4/9 | 2.5K | Dogs | Football | Tropical | 2/9 | 1/9 | 1/9 | 3.5K | 4.5K | Jewelry | Space | Horror | 0/9 | 0/9 | 0/9 | 5.5K | 6.5K | 8 | Aladdin | Pirates | Ancient Egypt | 6/0 | 6/0 | 6/0 | 11K | 13K | NAA. | 13 | 222 | Album</x:v>
      </x:c>
    </x:row>
    <x:row r="250">
      <x:c r="A250" s="17" t="str">
        <x:v>SEG_04_065</x:v>
      </x:c>
      <x:c r="B250" s="17" t="str">
        <x:v>TT_NEW_04</x:v>
      </x:c>
      <x:c r="C250" s="17" t="n">
        <x:v>2200</x:v>
      </x:c>
      <x:c r="D250" s="17" t="n">
        <x:v>2209</x:v>
      </x:c>
      <x:c r="E250" s="17" t="str">
        <x:v>00:36:40</x:v>
      </x:c>
      <x:c r="F250" s="17" t="str">
        <x:v>00:36:49</x:v>
      </x:c>
      <x:c r="G250" s="17" t="n">
        <x:v>10</x:v>
      </x:c>
      <x:c r="H250" s="17" t="str">
        <x:v>Slot</x:v>
      </x:c>
      <x:c r="I250" s="17" t="str">
        <x:v>BET/能量/金币/主进度通常可见；以事件帧为准</x:v>
      </x:c>
      <x:c r="J250" s="17" t="str">
        <x:v>否</x:v>
      </x:c>
      <x:c r="K250" s="17" t="str">
        <x:v>保留机制；缺逐 Spin 前后快照</x:v>
      </x:c>
      <x:c r="L250" s="18" t="str">
        <x:v>/Users/mac/Documents/智囊团/video_analysis/Top_Tycoon新号流程_20260804/frames/TT_NEW_04/TT_NEW_04_t002200.jpg</x:v>
      </x:c>
      <x:c r="M250" s="17" t="n">
        <x:v>2200</x:v>
      </x:c>
      <x:c r="N250" s="17" t="str">
        <x:v>已确认</x:v>
      </x:c>
      <x:c r="O250" s="17" t="str">
        <x:v>OCR 命中 SPIN/BET 词</x:v>
      </x:c>
      <x:c r="P250" s="17" t="str">
        <x:v>683000 | 3,090,400 | 80th | QUES | CLOTS | 4 | 90% | 100% | +66 | 05d20h | 9 | PACK | 9/9 | 13d20h | 01d14h | H | 15 | 20h39m | 福 | 1375/2500 | 05d20h | 04d20h | 3.5 | Sale | 23% | 14h33m | 04d14h | QQ | QQ | 14h33m | 01d14h | 79 | MAX | 125% | 14h33m | BETx30 | 01d14h | 26/50 | FREE | 14h33m | 5 spins in 27:43 | 07d14h | SPIN | +20% | 14h33m | 14:36 | HOLD FOR AUTO SPIN | Helpotherplayers(o/1) | 13 | Game</x:v>
      </x:c>
    </x:row>
    <x:row r="251">
      <x:c r="A251" s="17" t="str">
        <x:v>SEG_04_066</x:v>
      </x:c>
      <x:c r="B251" s="17" t="str">
        <x:v>TT_NEW_04</x:v>
      </x:c>
      <x:c r="C251" s="17" t="n">
        <x:v>2210</x:v>
      </x:c>
      <x:c r="D251" s="17" t="n">
        <x:v>2219</x:v>
      </x:c>
      <x:c r="E251" s="17" t="str">
        <x:v>00:36:50</x:v>
      </x:c>
      <x:c r="F251" s="17" t="str">
        <x:v>00:36:59</x:v>
      </x:c>
      <x:c r="G251" s="17" t="n">
        <x:v>10</x:v>
      </x:c>
      <x:c r="H251" s="17" t="str">
        <x:v>礼包</x:v>
      </x:c>
      <x:c r="I251" s="17" t="str">
        <x:v>价格/内容可能可见；未观察购买后余额</x:v>
      </x:c>
      <x:c r="J251" s="17" t="str">
        <x:v>否</x:v>
      </x:c>
      <x:c r="K251" s="17" t="str">
        <x:v>保留 offer_shown；无购买前后闭环</x:v>
      </x:c>
      <x:c r="L251" s="18" t="str">
        <x:v>/Users/mac/Documents/智囊团/video_analysis/Top_Tycoon新号流程_20260804/frames/TT_NEW_04/TT_NEW_04_t002210.jpg</x:v>
      </x:c>
      <x:c r="M251" s="17" t="n">
        <x:v>2210</x:v>
      </x:c>
      <x:c r="N251" s="17" t="str">
        <x:v>已确认</x:v>
      </x:c>
      <x:c r="O251" s="17" t="str">
        <x:v>OCR 命中价格/商店词</x:v>
      </x:c>
      <x:c r="P251" s="17" t="str">
        <x:v>683000 | PACK! | 400 | % | MORE | 81 | Ko | HK$40.00 | 05:00</x:v>
      </x:c>
    </x:row>
    <x:row r="252">
      <x:c r="A252" s="17" t="str">
        <x:v>SEG_04_067</x:v>
      </x:c>
      <x:c r="B252" s="17" t="str">
        <x:v>TT_NEW_04</x:v>
      </x:c>
      <x:c r="C252" s="17" t="n">
        <x:v>2220</x:v>
      </x:c>
      <x:c r="D252" s="17" t="n">
        <x:v>2229</x:v>
      </x:c>
      <x:c r="E252" s="17" t="str">
        <x:v>00:37:00</x:v>
      </x:c>
      <x:c r="F252" s="17" t="str">
        <x:v>00:37:09</x:v>
      </x:c>
      <x:c r="G252" s="17" t="n">
        <x:v>10</x:v>
      </x:c>
      <x:c r="H252" s="17" t="str">
        <x:v>建造</x:v>
      </x:c>
      <x:c r="I252" s="17" t="str">
        <x:v>金币可见；Site tasks/Next task cost 依画面</x:v>
      </x:c>
      <x:c r="J252" s="17" t="str">
        <x:v>否</x:v>
      </x:c>
      <x:c r="K252" s="17" t="str">
        <x:v>保留机制；待建造余额闭合</x:v>
      </x:c>
      <x:c r="L252" s="18" t="str">
        <x:v>/Users/mac/Documents/智囊团/video_analysis/Top_Tycoon新号流程_20260804/frames/TT_NEW_04/TT_NEW_04_t002220.jpg</x:v>
      </x:c>
      <x:c r="M252" s="17" t="n">
        <x:v>2220</x:v>
      </x:c>
      <x:c r="N252" s="17" t="str">
        <x:v>待复核</x:v>
      </x:c>
      <x:c r="O252" s="17" t="str">
        <x:v>画面原型近邻；margin=0.0007</x:v>
      </x:c>
      <x:c r="P252" s="17" t="str">
        <x:v>683000 | 3,090,400 | 26 | MASTERS | X | SEASON3 | MYLEAGUE | STANDINGS | Phase 11in progress | ·BEGINNER | 04d14h | zoe | 1 | 220 | simple | Natalia Corres | 2 | 217 | Russia | 3 | Pamela G. Wwilliams | 192 | 4 | 184 | DaisyH | 5 | 157 | RockyMountainRebels | 6 | Twoapennything | 山 | 136 | 118d 14h | 3.7K | 2.4M | 70 | Shop</x:v>
      </x:c>
    </x:row>
    <x:row r="253">
      <x:c r="A253" s="17" t="str">
        <x:v>SEG_04_068</x:v>
      </x:c>
      <x:c r="B253" s="17" t="str">
        <x:v>TT_NEW_04</x:v>
      </x:c>
      <x:c r="C253" s="17" t="n">
        <x:v>2230</x:v>
      </x:c>
      <x:c r="D253" s="17" t="n">
        <x:v>2279</x:v>
      </x:c>
      <x:c r="E253" s="17" t="str">
        <x:v>00:37:10</x:v>
      </x:c>
      <x:c r="F253" s="17" t="str">
        <x:v>00:37:59</x:v>
      </x:c>
      <x:c r="G253" s="17" t="n">
        <x:v>50</x:v>
      </x:c>
      <x:c r="H253" s="17" t="str">
        <x:v>Slot</x:v>
      </x:c>
      <x:c r="I253" s="17" t="str">
        <x:v>BET/能量/金币/主进度通常可见；以事件帧为准</x:v>
      </x:c>
      <x:c r="J253" s="17" t="str">
        <x:v>否</x:v>
      </x:c>
      <x:c r="K253" s="17" t="str">
        <x:v>保留机制；缺逐 Spin 前后快照</x:v>
      </x:c>
      <x:c r="L253" s="18" t="str">
        <x:v>/Users/mac/Documents/智囊团/video_analysis/Top_Tycoon新号流程_20260804/frames/TT_NEW_04/TT_NEW_04_t002250.jpg</x:v>
      </x:c>
      <x:c r="M253" s="17" t="n">
        <x:v>2250</x:v>
      </x:c>
      <x:c r="N253" s="17" t="str">
        <x:v>已确认</x:v>
      </x:c>
      <x:c r="O253" s="17" t="str">
        <x:v>OCR 命中 SPIN/BET 词</x:v>
      </x:c>
      <x:c r="P253" s="17" t="str">
        <x:v>683000 | 3,090,400 | 26 | MASTERS | X | ？ | SEASON3 | MYLEAGUE | STANDINGS | CalendarSpins | Bought Spins | ORDINARYI | I | +40% | +2% | Calendar Spins | Bought Spins | ROOKIEII | +30% | CalendarSpins | ROOKIEI | I | +25% | CalendarSpins | BEGINNER | +20% | Calendar Spins | 118d 14h | 3.7K | 2.4M | 70 | 1 | Shop | 683000 | 3,090,400 | 26 | MASTERS | X | ？ | SEASON3 | MYLEAGUE | STANDINGS | CalendarSpins | Bought Spins | ORDINARYI | I | +40% | +2% | Calendar Spins | Bought Spi</x:v>
      </x:c>
    </x:row>
    <x:row r="254">
      <x:c r="A254" s="17" t="str">
        <x:v>SEG_04_069</x:v>
      </x:c>
      <x:c r="B254" s="17" t="str">
        <x:v>TT_NEW_04</x:v>
      </x:c>
      <x:c r="C254" s="17" t="n">
        <x:v>2280</x:v>
      </x:c>
      <x:c r="D254" s="17" t="n">
        <x:v>2359</x:v>
      </x:c>
      <x:c r="E254" s="17" t="str">
        <x:v>00:38:00</x:v>
      </x:c>
      <x:c r="F254" s="17" t="str">
        <x:v>00:39:19</x:v>
      </x:c>
      <x:c r="G254" s="17" t="n">
        <x:v>80</x:v>
      </x:c>
      <x:c r="H254" s="17" t="str">
        <x:v>建造</x:v>
      </x:c>
      <x:c r="I254" s="17" t="str">
        <x:v>金币可见；Site tasks/Next task cost 依画面</x:v>
      </x:c>
      <x:c r="J254" s="17" t="str">
        <x:v>否</x:v>
      </x:c>
      <x:c r="K254" s="17" t="str">
        <x:v>保留机制；待建造余额闭合</x:v>
      </x:c>
      <x:c r="L254" s="18" t="str">
        <x:v>/Users/mac/Documents/智囊团/video_analysis/Top_Tycoon新号流程_20260804/frames/TT_NEW_04/TT_NEW_04_t002320.jpg</x:v>
      </x:c>
      <x:c r="M254" s="17" t="n">
        <x:v>2320</x:v>
      </x:c>
      <x:c r="N254" s="17" t="str">
        <x:v>待复核</x:v>
      </x:c>
      <x:c r="O254" s="17" t="str">
        <x:v>OCR 命中建造/Site tasks 词; 画面原型近邻；margin=0.0051; 画面原型近邻；margin=0.0085; 画面原型近邻；margin=0.0101; 画面原型近邻；margin=0.0125; 画面原型近邻；margin=0.0139; 相邻两侧同模块，平滑孤立原型误差</x:v>
      </x:c>
      <x:c r="P254" s="17" t="str">
        <x:v>683000 | 3,090,400 | 26 | MASTERS | X | SEASON3 | MYLEAGUE | STANDINGS | Phase 11in progress | ·BEGINNER | 04d14h | zoe | 220 | simple | Natalia Corres | 2 | 217 | Russia | 3 | Pamela G. williams | 192 | 4 | 184 | DaisyH | 5 | 157 | RockyMountainRebels | 6 | Twoapennything | 136 | 118d 14h | 3.7K | 2.4M | 70 | 1 | Shop | 683000 | 3,090,400 | 26 | MASTERS | X | SEASON3 | MY LEAGUE | STANDINGS | Phase 11 in progress | ·BEGINNER | 04d14h | 3 | Pamela G. williams | 192 | 4 | 184 </x:v>
      </x:c>
    </x:row>
    <x:row r="255">
      <x:c r="A255" s="17" t="str">
        <x:v>SEG_04_070</x:v>
      </x:c>
      <x:c r="B255" s="17" t="str">
        <x:v>TT_NEW_04</x:v>
      </x:c>
      <x:c r="C255" s="17" t="n">
        <x:v>2360</x:v>
      </x:c>
      <x:c r="D255" s="17" t="n">
        <x:v>2379</x:v>
      </x:c>
      <x:c r="E255" s="17" t="str">
        <x:v>00:39:20</x:v>
      </x:c>
      <x:c r="F255" s="17" t="str">
        <x:v>00:39:39</x:v>
      </x:c>
      <x:c r="G255" s="17" t="n">
        <x:v>20</x:v>
      </x:c>
      <x:c r="H255" s="17" t="str">
        <x:v>Slot</x:v>
      </x:c>
      <x:c r="I255" s="17" t="str">
        <x:v>BET/能量/金币/主进度通常可见；以事件帧为准</x:v>
      </x:c>
      <x:c r="J255" s="17" t="str">
        <x:v>否</x:v>
      </x:c>
      <x:c r="K255" s="17" t="str">
        <x:v>保留机制；缺逐 Spin 前后快照</x:v>
      </x:c>
      <x:c r="L255" s="18" t="str">
        <x:v>/Users/mac/Documents/智囊团/video_analysis/Top_Tycoon新号流程_20260804/frames/TT_NEW_04/TT_NEW_04_t002370.jpg</x:v>
      </x:c>
      <x:c r="M255" s="17" t="n">
        <x:v>2370</x:v>
      </x:c>
      <x:c r="N255" s="17" t="str">
        <x:v>已确认</x:v>
      </x:c>
      <x:c r="O255" s="17" t="str">
        <x:v>OCR 命中 SPIN/BET 词</x:v>
      </x:c>
      <x:c r="P255" s="17" t="str">
        <x:v>685000 | 881,560 | 80th | QUES | CLots | 4 | 90% | 14:30:51 | 100% | +66 | 13d20h | 05d20h | H | 9 | 20h36m | PACK | 1375/2500 | 6/6 | 05d20h | 福 | 01d14h | 15 | Sale | 14h30m | 04d20h | All gains | x3 | 23% | 02:31 | 04d14h | 14h30m | 01d14h | BETx3 | 79 | 34/50 | MAX | 125% | 14h30m | 01d14h | 5 spins in 25:03 | SPIN | FREE | HOLD FOR AUTO SPIN | Helpotherplayers (o/1) | 13 | Game | 685000 | 896,080 | 80th | QUEs | CLots | 4 | %06 | 14:30:41 | 100% | +66 | 13d20h | 05d20h |</x:v>
      </x:c>
    </x:row>
    <x:row r="256">
      <x:c r="A256" s="17" t="str">
        <x:v>SEG_04_071</x:v>
      </x:c>
      <x:c r="B256" s="17" t="str">
        <x:v>TT_NEW_04</x:v>
      </x:c>
      <x:c r="C256" s="17" t="n">
        <x:v>2380</x:v>
      </x:c>
      <x:c r="D256" s="17" t="n">
        <x:v>2389</x:v>
      </x:c>
      <x:c r="E256" s="17" t="str">
        <x:v>00:39:40</x:v>
      </x:c>
      <x:c r="F256" s="17" t="str">
        <x:v>00:39:49</x:v>
      </x:c>
      <x:c r="G256" s="17" t="n">
        <x:v>10</x:v>
      </x:c>
      <x:c r="H256" s="17" t="str">
        <x:v>小游戏</x:v>
      </x:c>
      <x:c r="I256" s="17" t="str">
        <x:v>玩法/奖励依画面；主资源常不全显</x:v>
      </x:c>
      <x:c r="J256" s="17" t="str">
        <x:v>否</x:v>
      </x:c>
      <x:c r="K256" s="17" t="str">
        <x:v>保留机制；完整核账窗口不足</x:v>
      </x:c>
      <x:c r="L256" s="18" t="str">
        <x:v>/Users/mac/Documents/智囊团/video_analysis/Top_Tycoon新号流程_20260804/frames/TT_NEW_04/TT_NEW_04_t002380.jpg</x:v>
      </x:c>
      <x:c r="M256" s="17" t="n">
        <x:v>2380</x:v>
      </x:c>
      <x:c r="N256" s="17" t="str">
        <x:v>已确认</x:v>
      </x:c>
      <x:c r="O256" s="17" t="str">
        <x:v>OCR 命中小游戏名称/玩法词</x:v>
      </x:c>
      <x:c r="P256" s="17" t="str">
        <x:v>Attack! | squidly28</x:v>
      </x:c>
    </x:row>
    <x:row r="257">
      <x:c r="A257" s="17" t="str">
        <x:v>SEG_04_072</x:v>
      </x:c>
      <x:c r="B257" s="17" t="str">
        <x:v>TT_NEW_04</x:v>
      </x:c>
      <x:c r="C257" s="17" t="n">
        <x:v>2390</x:v>
      </x:c>
      <x:c r="D257" s="17" t="n">
        <x:v>2399</x:v>
      </x:c>
      <x:c r="E257" s="17" t="str">
        <x:v>00:39:50</x:v>
      </x:c>
      <x:c r="F257" s="17" t="str">
        <x:v>00:39:59</x:v>
      </x:c>
      <x:c r="G257" s="17" t="n">
        <x:v>10</x:v>
      </x:c>
      <x:c r="H257" s="17" t="str">
        <x:v>建造</x:v>
      </x:c>
      <x:c r="I257" s="17" t="str">
        <x:v>金币可见；Site tasks/Next task cost 依画面</x:v>
      </x:c>
      <x:c r="J257" s="17" t="str">
        <x:v>否</x:v>
      </x:c>
      <x:c r="K257" s="17" t="str">
        <x:v>保留机制；待建造余额闭合</x:v>
      </x:c>
      <x:c r="L257" s="18" t="str">
        <x:v>/Users/mac/Documents/智囊团/video_analysis/Top_Tycoon新号流程_20260804/frames/TT_NEW_04/TT_NEW_04_t002390.jpg</x:v>
      </x:c>
      <x:c r="M257" s="17" t="n">
        <x:v>2390</x:v>
      </x:c>
      <x:c r="N257" s="17" t="str">
        <x:v>待复核</x:v>
      </x:c>
      <x:c r="O257" s="17" t="str">
        <x:v>画面原型近邻；margin=0.0068</x:v>
      </x:c>
      <x:c r="P257" s="17" t="n">
        <x:v>469</x:v>
      </x:c>
    </x:row>
    <x:row r="258">
      <x:c r="A258" s="17" t="str">
        <x:v>SEG_04_073</x:v>
      </x:c>
      <x:c r="B258" s="17" t="str">
        <x:v>TT_NEW_04</x:v>
      </x:c>
      <x:c r="C258" s="17" t="n">
        <x:v>2400</x:v>
      </x:c>
      <x:c r="D258" s="17" t="n">
        <x:v>2419</x:v>
      </x:c>
      <x:c r="E258" s="17" t="str">
        <x:v>00:40:00</x:v>
      </x:c>
      <x:c r="F258" s="17" t="str">
        <x:v>00:40:19</x:v>
      </x:c>
      <x:c r="G258" s="17" t="n">
        <x:v>20</x:v>
      </x:c>
      <x:c r="H258" s="17" t="str">
        <x:v>Slot</x:v>
      </x:c>
      <x:c r="I258" s="17" t="str">
        <x:v>BET/能量/金币/主进度通常可见；以事件帧为准</x:v>
      </x:c>
      <x:c r="J258" s="17" t="str">
        <x:v>否</x:v>
      </x:c>
      <x:c r="K258" s="17" t="str">
        <x:v>保留机制；缺逐 Spin 前后快照</x:v>
      </x:c>
      <x:c r="L258" s="18" t="str">
        <x:v>/Users/mac/Documents/智囊团/video_analysis/Top_Tycoon新号流程_20260804/frames/TT_NEW_04/TT_NEW_04_t002410.jpg</x:v>
      </x:c>
      <x:c r="M258" s="17" t="n">
        <x:v>2410</x:v>
      </x:c>
      <x:c r="N258" s="17" t="str">
        <x:v>已确认</x:v>
      </x:c>
      <x:c r="O258" s="17" t="str">
        <x:v>OCR 命中 SPIN/BET 词</x:v>
      </x:c>
      <x:c r="P258" s="17" t="str">
        <x:v>685000 | 947,280 | 80th | QUEs | CLots | 4 | %06 | 14:30:11 | 100% | +66 | 13d20h | 05d20h | ATTACK | H | 9 | 20h35m | PACK | 1375/2500 | 6/6 | 05d20h | 01d14h | 3.51 | 15 | Sale | 14h30m | 04d20h | 23% | 01:51 | 04d14h | 14h30m | 01d14h | BETx5 | 79 | 13/50 | MAX | 25% | 14h30m | 01d14h | 5 spins in 24:23 | SPIN | FREE | HOLD FOR AUTO SPIN | Helpotherplayers(o/1) | 13 | Game | 685000 | 953,880 | 80th | QUES4 | %06 | 14:30:01 | 1000 | 13d20h | 05d20h | CREDIT GRAB | H | 1375/</x:v>
      </x:c>
    </x:row>
    <x:row r="259">
      <x:c r="A259" s="17" t="str">
        <x:v>SEG_04_074</x:v>
      </x:c>
      <x:c r="B259" s="17" t="str">
        <x:v>TT_NEW_04</x:v>
      </x:c>
      <x:c r="C259" s="17" t="n">
        <x:v>2420</x:v>
      </x:c>
      <x:c r="D259" s="17" t="n">
        <x:v>2429</x:v>
      </x:c>
      <x:c r="E259" s="17" t="str">
        <x:v>00:40:20</x:v>
      </x:c>
      <x:c r="F259" s="17" t="str">
        <x:v>00:40:29</x:v>
      </x:c>
      <x:c r="G259" s="17" t="n">
        <x:v>10</x:v>
      </x:c>
      <x:c r="H259" s="17" t="str">
        <x:v>建造</x:v>
      </x:c>
      <x:c r="I259" s="17" t="str">
        <x:v>金币可见；Site tasks/Next task cost 依画面</x:v>
      </x:c>
      <x:c r="J259" s="17" t="str">
        <x:v>否</x:v>
      </x:c>
      <x:c r="K259" s="17" t="str">
        <x:v>保留机制；待建造余额闭合</x:v>
      </x:c>
      <x:c r="L259" s="18" t="str">
        <x:v>/Users/mac/Documents/智囊团/video_analysis/Top_Tycoon新号流程_20260804/frames/TT_NEW_04/TT_NEW_04_t002420.jpg</x:v>
      </x:c>
      <x:c r="M259" s="17" t="n">
        <x:v>2420</x:v>
      </x:c>
      <x:c r="N259" s="17" t="str">
        <x:v>待复核</x:v>
      </x:c>
      <x:c r="O259" s="17" t="str">
        <x:v>画面原型近邻；margin=0.0020</x:v>
      </x:c>
      <x:c r="P259" s="17" t="str">
        <x:v>Twoapennything's | Bank | Z | TOTAL LOOT | . | COINS</x:v>
      </x:c>
    </x:row>
    <x:row r="260">
      <x:c r="A260" s="17" t="str">
        <x:v>SEG_04_075</x:v>
      </x:c>
      <x:c r="B260" s="17" t="str">
        <x:v>TT_NEW_04</x:v>
      </x:c>
      <x:c r="C260" s="17" t="n">
        <x:v>2430</x:v>
      </x:c>
      <x:c r="D260" s="17" t="n">
        <x:v>2439</x:v>
      </x:c>
      <x:c r="E260" s="17" t="str">
        <x:v>00:40:30</x:v>
      </x:c>
      <x:c r="F260" s="17" t="str">
        <x:v>00:40:39</x:v>
      </x:c>
      <x:c r="G260" s="17" t="n">
        <x:v>10</x:v>
      </x:c>
      <x:c r="H260" s="17" t="str">
        <x:v>转场/加载</x:v>
      </x:c>
      <x:c r="I260" s="17" t="str">
        <x:v>数值不可读或不适用</x:v>
      </x:c>
      <x:c r="J260" s="17" t="str">
        <x:v>否</x:v>
      </x:c>
      <x:c r="K260" s="17" t="str">
        <x:v>排除：转场/加载，不进入数值统计</x:v>
      </x:c>
      <x:c r="L260" s="18" t="str">
        <x:v>/Users/mac/Documents/智囊团/video_analysis/Top_Tycoon新号流程_20260804/frames/TT_NEW_04/TT_NEW_04_t002430.jpg</x:v>
      </x:c>
      <x:c r="M260" s="17" t="n">
        <x:v>2430</x:v>
      </x:c>
      <x:c r="N260" s="17" t="str">
        <x:v>待复核</x:v>
      </x:c>
      <x:c r="O260" s="17" t="str">
        <x:v>画面原型近邻；margin=0.0072</x:v>
      </x:c>
      <x:c r="P260" s="17" t="str">
        <x:v>Twoapennything's | Bank | GRAB | SMALL | YOU STOLE | COINS | 15,000 | COINS</x:v>
      </x:c>
    </x:row>
    <x:row r="261">
      <x:c r="A261" s="17" t="str">
        <x:v>SEG_04_076</x:v>
      </x:c>
      <x:c r="B261" s="17" t="str">
        <x:v>TT_NEW_04</x:v>
      </x:c>
      <x:c r="C261" s="17" t="n">
        <x:v>2440</x:v>
      </x:c>
      <x:c r="D261" s="17" t="n">
        <x:v>2449</x:v>
      </x:c>
      <x:c r="E261" s="17" t="str">
        <x:v>00:40:40</x:v>
      </x:c>
      <x:c r="F261" s="17" t="str">
        <x:v>00:40:49</x:v>
      </x:c>
      <x:c r="G261" s="17" t="n">
        <x:v>10</x:v>
      </x:c>
      <x:c r="H261" s="17" t="str">
        <x:v>Slot</x:v>
      </x:c>
      <x:c r="I261" s="17" t="str">
        <x:v>BET/能量/金币/主进度通常可见；以事件帧为准</x:v>
      </x:c>
      <x:c r="J261" s="17" t="str">
        <x:v>否</x:v>
      </x:c>
      <x:c r="K261" s="17" t="str">
        <x:v>保留机制；缺逐 Spin 前后快照</x:v>
      </x:c>
      <x:c r="L261" s="18" t="str">
        <x:v>/Users/mac/Documents/智囊团/video_analysis/Top_Tycoon新号流程_20260804/frames/TT_NEW_04/TT_NEW_04_t002440.jpg</x:v>
      </x:c>
      <x:c r="M261" s="17" t="n">
        <x:v>2440</x:v>
      </x:c>
      <x:c r="N261" s="17" t="str">
        <x:v>已确认</x:v>
      </x:c>
      <x:c r="O261" s="17" t="str">
        <x:v>OCR 命中 SPIN/BET 词</x:v>
      </x:c>
      <x:c r="P261" s="17" t="str">
        <x:v>685000 | 1,073,880 | 80th | QUEs | CLots | 4 | 90% | 14:29:31 | 100% | +66 | 13d20h | 05d20h | CREDIT GRAB | H | 20h35m | PACK | 1375/2500 | 6/6 | 05d20h | 01d14h | 3:5K | 15 | Sale | 14h29m | 04d20h | 23% | 01:10 | 04d14h | 14h29m | 01d14h | BETx5 | 79 | 3/50 | MAX | 43% | 14h29m | 01d14h | 5 spins in 23:43 | SPIN | FREE | HOLD FOR AUTO SPIN | Helpotherplayers (o/1) | 13 | Game</x:v>
      </x:c>
    </x:row>
    <x:row r="262">
      <x:c r="A262" s="17" t="str">
        <x:v>SEG_04_077</x:v>
      </x:c>
      <x:c r="B262" s="17" t="str">
        <x:v>TT_NEW_04</x:v>
      </x:c>
      <x:c r="C262" s="17" t="n">
        <x:v>2450</x:v>
      </x:c>
      <x:c r="D262" s="17" t="n">
        <x:v>2479</x:v>
      </x:c>
      <x:c r="E262" s="17" t="str">
        <x:v>00:40:50</x:v>
      </x:c>
      <x:c r="F262" s="17" t="str">
        <x:v>00:41:19</x:v>
      </x:c>
      <x:c r="G262" s="17" t="n">
        <x:v>30</x:v>
      </x:c>
      <x:c r="H262" s="17" t="str">
        <x:v>小游戏</x:v>
      </x:c>
      <x:c r="I262" s="17" t="str">
        <x:v>玩法/奖励依画面；主资源常不全显</x:v>
      </x:c>
      <x:c r="J262" s="17" t="str">
        <x:v>否</x:v>
      </x:c>
      <x:c r="K262" s="17" t="str">
        <x:v>保留机制；完整核账窗口不足</x:v>
      </x:c>
      <x:c r="L262" s="18" t="str">
        <x:v>/Users/mac/Documents/智囊团/video_analysis/Top_Tycoon新号流程_20260804/frames/TT_NEW_04/TT_NEW_04_t002460.jpg</x:v>
      </x:c>
      <x:c r="M262" s="17" t="n">
        <x:v>2460</x:v>
      </x:c>
      <x:c r="N262" s="17" t="str">
        <x:v>待复核</x:v>
      </x:c>
      <x:c r="O262" s="17" t="str">
        <x:v>画面原型近邻；margin=0.0083; 画面原型近邻；margin=0.0103; 相邻两侧同模块，平滑孤立原型误差</x:v>
      </x:c>
      <x:c r="P262" s="17" t="str">
        <x:v>685000 | 1,073,880 | 80th | KNOCK DOWN | %06 | PRiCE | X | ? | PiLD | 1.6K | 20m | HKD269 | Lowest | HKD78 | price! | Fill thebarto slash theprice! | 14h 29m | Discounton originalprice | Helpotherplayers(O/1) | 777 | Game | 5:30 | KNOCK DOWN | PRiCE | X | 1.6K | 20m | Google Play | Payment successful | +11 | 三 | KNOCK DOWN | 20m | 95K | 8 | Fill | Discount on original price</x:v>
      </x:c>
    </x:row>
    <x:row r="263">
      <x:c r="A263" s="17" t="str">
        <x:v>SEG_04_078</x:v>
      </x:c>
      <x:c r="B263" s="17" t="str">
        <x:v>TT_NEW_04</x:v>
      </x:c>
      <x:c r="C263" s="17" t="n">
        <x:v>2480</x:v>
      </x:c>
      <x:c r="D263" s="17" t="n">
        <x:v>2489</x:v>
      </x:c>
      <x:c r="E263" s="17" t="str">
        <x:v>00:41:20</x:v>
      </x:c>
      <x:c r="F263" s="17" t="str">
        <x:v>00:41:29</x:v>
      </x:c>
      <x:c r="G263" s="17" t="n">
        <x:v>10</x:v>
      </x:c>
      <x:c r="H263" s="17" t="str">
        <x:v>Slot</x:v>
      </x:c>
      <x:c r="I263" s="17" t="str">
        <x:v>BET/能量/金币/主进度通常可见；以事件帧为准</x:v>
      </x:c>
      <x:c r="J263" s="17" t="str">
        <x:v>否</x:v>
      </x:c>
      <x:c r="K263" s="17" t="str">
        <x:v>保留机制；缺逐 Spin 前后快照</x:v>
      </x:c>
      <x:c r="L263" s="18" t="str">
        <x:v>/Users/mac/Documents/智囊团/video_analysis/Top_Tycoon新号流程_20260804/frames/TT_NEW_04/TT_NEW_04_t002480.jpg</x:v>
      </x:c>
      <x:c r="M263" s="17" t="n">
        <x:v>2480</x:v>
      </x:c>
      <x:c r="N263" s="17" t="str">
        <x:v>已确认</x:v>
      </x:c>
      <x:c r="O263" s="17" t="str">
        <x:v>OCR 命中 SPIN/BET 词</x:v>
      </x:c>
      <x:c r="P263" s="17" t="str">
        <x:v>685000 | 1,168,880 | 80th | QUES | CLots | 4 | 90% | 14:28:51 | 100% | +66 | 13d20h | 05d20h | CREDIT GRAB | H | 9 | 20h34m | PACK | 1375/2500 | 6/6 | 05d20h | 福 | 01d14h | 3.5K | 16 | Sale | 14h28m | 04d20h | 23% | 00:30 | 04d14h | 14h28m | 01d14h | BETx5 | 79 | 50/50 | MAX | 43% | OVER | 01d14h | +1753 | SPIN | FREE | HOLD FOR AUTO SPIN | Helpotherplayers(o/1) | QinD | Game | 23:59:45</x:v>
      </x:c>
    </x:row>
    <x:row r="264">
      <x:c r="A264" s="17" t="str">
        <x:v>SEG_04_079</x:v>
      </x:c>
      <x:c r="B264" s="17" t="str">
        <x:v>TT_NEW_04</x:v>
      </x:c>
      <x:c r="C264" s="17" t="n">
        <x:v>2490</x:v>
      </x:c>
      <x:c r="D264" s="17" t="n">
        <x:v>2509</x:v>
      </x:c>
      <x:c r="E264" s="17" t="str">
        <x:v>00:41:30</x:v>
      </x:c>
      <x:c r="F264" s="17" t="str">
        <x:v>00:41:49</x:v>
      </x:c>
      <x:c r="G264" s="17" t="n">
        <x:v>20</x:v>
      </x:c>
      <x:c r="H264" s="17" t="str">
        <x:v>小游戏</x:v>
      </x:c>
      <x:c r="I264" s="17" t="str">
        <x:v>玩法/奖励依画面；主资源常不全显</x:v>
      </x:c>
      <x:c r="J264" s="17" t="str">
        <x:v>否</x:v>
      </x:c>
      <x:c r="K264" s="17" t="str">
        <x:v>保留机制；完整核账窗口不足</x:v>
      </x:c>
      <x:c r="L264" s="18" t="str">
        <x:v>/Users/mac/Documents/智囊团/video_analysis/Top_Tycoon新号流程_20260804/frames/TT_NEW_04/TT_NEW_04_t002500.jpg</x:v>
      </x:c>
      <x:c r="M264" s="17" t="n">
        <x:v>2500</x:v>
      </x:c>
      <x:c r="N264" s="17" t="str">
        <x:v>待复核</x:v>
      </x:c>
      <x:c r="O264" s="17" t="str">
        <x:v>画面原型近邻；margin=0.0055; 画面原型近邻；margin=0.0064</x:v>
      </x:c>
      <x:c r="P264" s="17" t="str">
        <x:v>WILD CARD | Select 1 card, any card! | Christmas8/9 | 1K | NEW | Christmas Bells | SET | COMPLETED | wild west5/9 | 2K | NEW | NEW | MEN | Spur | Horse | Headdress | Only showmy missing | cards! | Trade | 23:59:36 | WILD CARD | Select 1 card, any card! | Christmas Bells | SET | COMPLETED | wildwest5/9 | 2K | NEW | NEW | NEW | Spur | Horse | Headdress | NEW | Pistol | Only show mymissing | cards! | Trade | 23:59:26</x:v>
      </x:c>
    </x:row>
    <x:row r="265">
      <x:c r="A265" s="17" t="str">
        <x:v>SEG_04_080</x:v>
      </x:c>
      <x:c r="B265" s="17" t="str">
        <x:v>TT_NEW_04</x:v>
      </x:c>
      <x:c r="C265" s="17" t="n">
        <x:v>2510</x:v>
      </x:c>
      <x:c r="D265" s="17" t="n">
        <x:v>2559</x:v>
      </x:c>
      <x:c r="E265" s="17" t="str">
        <x:v>00:41:50</x:v>
      </x:c>
      <x:c r="F265" s="17" t="str">
        <x:v>00:42:39</x:v>
      </x:c>
      <x:c r="G265" s="17" t="n">
        <x:v>50</x:v>
      </x:c>
      <x:c r="H265" s="17" t="str">
        <x:v>Slot</x:v>
      </x:c>
      <x:c r="I265" s="17" t="str">
        <x:v>BET/能量/金币/主进度通常可见；以事件帧为准</x:v>
      </x:c>
      <x:c r="J265" s="17" t="str">
        <x:v>否</x:v>
      </x:c>
      <x:c r="K265" s="17" t="str">
        <x:v>保留机制；缺逐 Spin 前后快照</x:v>
      </x:c>
      <x:c r="L265" s="18" t="str">
        <x:v>/Users/mac/Documents/智囊团/video_analysis/Top_Tycoon新号流程_20260804/frames/TT_NEW_04/TT_NEW_04_t002530.jpg</x:v>
      </x:c>
      <x:c r="M265" s="17" t="n">
        <x:v>2530</x:v>
      </x:c>
      <x:c r="N265" s="17" t="str">
        <x:v>已确认</x:v>
      </x:c>
      <x:c r="O265" s="17" t="str">
        <x:v>OCR 命中 SPIN/BET 词; 画面原型近邻；margin=0.0195; 相邻两侧同模块，平滑孤立原型误差</x:v>
      </x:c>
      <x:c r="P265" s="17" t="str">
        <x:v>6850 | CONGRATULATIONS! | CREDIT GRAB | 1375/2500 | NEW | Christmas Bells | SPIN | Helpotherplayers(O/1) | COLLECT | 685000 | 1,168,880 | 2,803 | Tycoon Album | 5 | Christmas | Wild West | Food | Completed! | 5/9 | 4/9 | 2.5K | Dogs | Football | Tropical | 2/9 | 1/9 | 1/9 | 3.5K | 4.5K | Jewelry | Space | Horror | 0/9 | 0/9 | 0/9 | 5.5K | 6.5K | 8 | Aladdin | Pirates | Ancient Egypt | 0/9 | 0/9 | 0/9 | 9K | 13K | AAAA | 13 | 222 | Album | 685000 | 1,168,880 | 80th | STiCKERS </x:v>
      </x:c>
    </x:row>
    <x:row r="266">
      <x:c r="A266" s="17" t="str">
        <x:v>SEG_04_081</x:v>
      </x:c>
      <x:c r="B266" s="17" t="str">
        <x:v>TT_NEW_04</x:v>
      </x:c>
      <x:c r="C266" s="17" t="n">
        <x:v>2560</x:v>
      </x:c>
      <x:c r="D266" s="17" t="n">
        <x:v>2579</x:v>
      </x:c>
      <x:c r="E266" s="17" t="str">
        <x:v>00:42:40</x:v>
      </x:c>
      <x:c r="F266" s="17" t="str">
        <x:v>00:42:59</x:v>
      </x:c>
      <x:c r="G266" s="17" t="n">
        <x:v>20</x:v>
      </x:c>
      <x:c r="H266" s="17" t="str">
        <x:v>建造</x:v>
      </x:c>
      <x:c r="I266" s="17" t="str">
        <x:v>金币可见；Site tasks/Next task cost 依画面</x:v>
      </x:c>
      <x:c r="J266" s="17" t="str">
        <x:v>否</x:v>
      </x:c>
      <x:c r="K266" s="17" t="str">
        <x:v>保留机制；待建造余额闭合</x:v>
      </x:c>
      <x:c r="L266" s="18" t="str">
        <x:v>/Users/mac/Documents/智囊团/video_analysis/Top_Tycoon新号流程_20260804/frames/TT_NEW_04/TT_NEW_04_t002570.jpg</x:v>
      </x:c>
      <x:c r="M266" s="17" t="n">
        <x:v>2570</x:v>
      </x:c>
      <x:c r="N266" s="17" t="str">
        <x:v>已确认</x:v>
      </x:c>
      <x:c r="O266" s="17" t="str">
        <x:v>OCR 命中建造/Site tasks 词; 画面原型近邻；margin=0.0031</x:v>
      </x:c>
      <x:c r="P266" s="17" t="str">
        <x:v>14th | CONCPATULA | x300% | 01d14h | Regular | Regular Missions Treasure! | Up to | comp | Completed! | Completed! | Completed! | Collect1 Calendal | Completed! | 5 | 14th | 12 | 20 | CLAIM | 13 | 46 | 20 | x300% | 01d14h | 14 | 19 | 15 | 4 | Regular | ar | Regular Missions Treasure! | Up to 160 SPINS! | 06h27m | Earn 1.03K Bonus pts | 0/1.03K | 1 | Clear | Earn 2.17M coinsby | attacking | 0.0% | 1 | Clear | Earn5.8Mcoinsby | stealing | 0.0% | 1 | Clear | Make 30 spins in the</x:v>
      </x:c>
    </x:row>
    <x:row r="267">
      <x:c r="A267" s="17" t="str">
        <x:v>SEG_04_082</x:v>
      </x:c>
      <x:c r="B267" s="17" t="str">
        <x:v>TT_NEW_04</x:v>
      </x:c>
      <x:c r="C267" s="17" t="n">
        <x:v>2580</x:v>
      </x:c>
      <x:c r="D267" s="17" t="n">
        <x:v>2609</x:v>
      </x:c>
      <x:c r="E267" s="17" t="str">
        <x:v>00:43:00</x:v>
      </x:c>
      <x:c r="F267" s="17" t="str">
        <x:v>00:43:29</x:v>
      </x:c>
      <x:c r="G267" s="17" t="n">
        <x:v>30</x:v>
      </x:c>
      <x:c r="H267" s="17" t="str">
        <x:v>Slot</x:v>
      </x:c>
      <x:c r="I267" s="17" t="str">
        <x:v>BET/能量/金币/主进度通常可见；以事件帧为准</x:v>
      </x:c>
      <x:c r="J267" s="17" t="str">
        <x:v>否</x:v>
      </x:c>
      <x:c r="K267" s="17" t="str">
        <x:v>保留机制；缺逐 Spin 前后快照</x:v>
      </x:c>
      <x:c r="L267" s="18" t="str">
        <x:v>/Users/mac/Documents/智囊团/video_analysis/Top_Tycoon新号流程_20260804/frames/TT_NEW_04/TT_NEW_04_t002590.jpg</x:v>
      </x:c>
      <x:c r="M267" s="17" t="n">
        <x:v>2590</x:v>
      </x:c>
      <x:c r="N267" s="17" t="str">
        <x:v>已确认</x:v>
      </x:c>
      <x:c r="O267" s="17" t="str">
        <x:v>OCR 命中 SPIN/BET 词; 相邻两侧同模块，平滑孤立原型误差</x:v>
      </x:c>
      <x:c r="P267" s="17" t="str">
        <x:v>685000 | 1,187,880 | 14th | QUES | LLots | 十 | 90% | 14:27:11 | 0% | +66 | 13d20h | PSO | CREDIT GRAB | 20h32m | PACK | 1375/2500 | 9/9 | 05d20h | 01d14h | 3.5K | 16 | Sale | 14h27m | 04d20h | 123% | 14h27m | 04d14h | 01d14h | BETx50 | 79 | 50/50 | 43% | 14h27m | 01d14h | +2807 | SPIN | FREE | HOLD FOR AUTO SPIN | Help otherplayers(o/1) | 13 | Game | 685000 | 1,187,880 | 14th | MASTERS | X | SEASON3 | MY LEAGUE | STANDINGS | Phase 11in progress | ·BEGINNER | 04d14h | romi | 1</x:v>
      </x:c>
    </x:row>
    <x:row r="268">
      <x:c r="A268" s="17" t="str">
        <x:v>SEG_04_083</x:v>
      </x:c>
      <x:c r="B268" s="17" t="str">
        <x:v>TT_NEW_04</x:v>
      </x:c>
      <x:c r="C268" s="17" t="n">
        <x:v>2610</x:v>
      </x:c>
      <x:c r="D268" s="17" t="n">
        <x:v>2629</x:v>
      </x:c>
      <x:c r="E268" s="17" t="str">
        <x:v>00:43:30</x:v>
      </x:c>
      <x:c r="F268" s="17" t="str">
        <x:v>00:43:49</x:v>
      </x:c>
      <x:c r="G268" s="17" t="n">
        <x:v>20</x:v>
      </x:c>
      <x:c r="H268" s="17" t="str">
        <x:v>建造</x:v>
      </x:c>
      <x:c r="I268" s="17" t="str">
        <x:v>金币可见；Site tasks/Next task cost 依画面</x:v>
      </x:c>
      <x:c r="J268" s="17" t="str">
        <x:v>否</x:v>
      </x:c>
      <x:c r="K268" s="17" t="str">
        <x:v>保留机制；待建造余额闭合</x:v>
      </x:c>
      <x:c r="L268" s="18" t="str">
        <x:v>/Users/mac/Documents/智囊团/video_analysis/Top_Tycoon新号流程_20260804/frames/TT_NEW_04/TT_NEW_04_t002620.jpg</x:v>
      </x:c>
      <x:c r="M268" s="17" t="n">
        <x:v>2620</x:v>
      </x:c>
      <x:c r="N268" s="17" t="str">
        <x:v>待复核</x:v>
      </x:c>
      <x:c r="O268" s="17" t="str">
        <x:v>画面原型近邻；margin=0.0019; 画面原型近邻；margin=0.0042</x:v>
      </x:c>
      <x:c r="P268" s="17" t="str">
        <x:v>450.0 | 528.0</x:v>
      </x:c>
    </x:row>
    <x:row r="269">
      <x:c r="A269" s="17" t="str">
        <x:v>SEG_04_084</x:v>
      </x:c>
      <x:c r="B269" s="17" t="str">
        <x:v>TT_NEW_04</x:v>
      </x:c>
      <x:c r="C269" s="17" t="n">
        <x:v>2630</x:v>
      </x:c>
      <x:c r="D269" s="17" t="n">
        <x:v>2639</x:v>
      </x:c>
      <x:c r="E269" s="17" t="str">
        <x:v>00:43:50</x:v>
      </x:c>
      <x:c r="F269" s="17" t="str">
        <x:v>00:43:59</x:v>
      </x:c>
      <x:c r="G269" s="17" t="n">
        <x:v>10</x:v>
      </x:c>
      <x:c r="H269" s="17" t="str">
        <x:v>Slot</x:v>
      </x:c>
      <x:c r="I269" s="17" t="str">
        <x:v>BET/能量/金币/主进度通常可见；以事件帧为准</x:v>
      </x:c>
      <x:c r="J269" s="17" t="str">
        <x:v>否</x:v>
      </x:c>
      <x:c r="K269" s="17" t="str">
        <x:v>保留机制；缺逐 Spin 前后快照</x:v>
      </x:c>
      <x:c r="L269" s="18" t="str">
        <x:v>/Users/mac/Documents/智囊团/video_analysis/Top_Tycoon新号流程_20260804/frames/TT_NEW_04/TT_NEW_04_t002630.jpg</x:v>
      </x:c>
      <x:c r="M269" s="17" t="n">
        <x:v>2630</x:v>
      </x:c>
      <x:c r="N269" s="17" t="str">
        <x:v>已确认</x:v>
      </x:c>
      <x:c r="O269" s="17" t="str">
        <x:v>OCR 命中 SPIN/BET 词</x:v>
      </x:c>
      <x:c r="P269" s="17" t="str">
        <x:v>685000 | 1,567,880 | 12th | QUES | SLOTS | 4 | 90% | 14:26:21 | 17% | +66 | 13d20h | ATTACK | 20h32m | PACK | 1375/2500 | 6/6 | 05d20h | 01d14h | 3.5K | 16 | Sale | 14h26m | 04d20h | 23% | 14h26m | +200 | 04d14h | 14h26m | 01d14h | BETx50 | 79 | 50/50 | 43% | 14h26m | 01d14h | +2757 | SPIN | FREE | HOLD FOR AUTO SPIN | Helpotherplayers(o/1) | 13 | Game</x:v>
      </x:c>
    </x:row>
    <x:row r="270">
      <x:c r="A270" s="17" t="str">
        <x:v>SEG_04_085</x:v>
      </x:c>
      <x:c r="B270" s="17" t="str">
        <x:v>TT_NEW_04</x:v>
      </x:c>
      <x:c r="C270" s="17" t="n">
        <x:v>2640</x:v>
      </x:c>
      <x:c r="D270" s="17" t="n">
        <x:v>2649</x:v>
      </x:c>
      <x:c r="E270" s="17" t="str">
        <x:v>00:44:00</x:v>
      </x:c>
      <x:c r="F270" s="17" t="str">
        <x:v>00:44:09</x:v>
      </x:c>
      <x:c r="G270" s="17" t="n">
        <x:v>10</x:v>
      </x:c>
      <x:c r="H270" s="17" t="str">
        <x:v>礼包</x:v>
      </x:c>
      <x:c r="I270" s="17" t="str">
        <x:v>价格/内容可能可见；未观察购买后余额</x:v>
      </x:c>
      <x:c r="J270" s="17" t="str">
        <x:v>否</x:v>
      </x:c>
      <x:c r="K270" s="17" t="str">
        <x:v>保留 offer_shown；无购买前后闭环</x:v>
      </x:c>
      <x:c r="L270" s="18" t="str">
        <x:v>/Users/mac/Documents/智囊团/video_analysis/Top_Tycoon新号流程_20260804/frames/TT_NEW_04/TT_NEW_04_t002640.jpg</x:v>
      </x:c>
      <x:c r="M270" s="17" t="n">
        <x:v>2640</x:v>
      </x:c>
      <x:c r="N270" s="17" t="str">
        <x:v>已确认</x:v>
      </x:c>
      <x:c r="O270" s="17" t="str">
        <x:v>OCR 命中价格/商店词</x:v>
      </x:c>
      <x:c r="P270" s="17" t="str">
        <x:v>TREASURE | X | Grand Prize | H | 630 | 3M | 7578 | ATTACK | 4 | CREDITGRAB | 6 | Increaseyourbettogetmorerewards | 22 | 1.5M | 19 | 310 | HK$55.90 | 05d20h</x:v>
      </x:c>
    </x:row>
    <x:row r="271">
      <x:c r="A271" s="17" t="str">
        <x:v>SEG_04_086</x:v>
      </x:c>
      <x:c r="B271" s="17" t="str">
        <x:v>TT_NEW_04</x:v>
      </x:c>
      <x:c r="C271" s="17" t="n">
        <x:v>2650</x:v>
      </x:c>
      <x:c r="D271" s="17" t="n">
        <x:v>2659</x:v>
      </x:c>
      <x:c r="E271" s="17" t="str">
        <x:v>00:44:10</x:v>
      </x:c>
      <x:c r="F271" s="17" t="str">
        <x:v>00:44:19</x:v>
      </x:c>
      <x:c r="G271" s="17" t="n">
        <x:v>10</x:v>
      </x:c>
      <x:c r="H271" s="17" t="str">
        <x:v>Slot</x:v>
      </x:c>
      <x:c r="I271" s="17" t="str">
        <x:v>BET/能量/金币/主进度通常可见；以事件帧为准</x:v>
      </x:c>
      <x:c r="J271" s="17" t="str">
        <x:v>否</x:v>
      </x:c>
      <x:c r="K271" s="17" t="str">
        <x:v>保留机制；缺逐 Spin 前后快照</x:v>
      </x:c>
      <x:c r="L271" s="18" t="str">
        <x:v>/Users/mac/Documents/智囊团/video_analysis/Top_Tycoon新号流程_20260804/frames/TT_NEW_04/TT_NEW_04_t002650.jpg</x:v>
      </x:c>
      <x:c r="M271" s="17" t="n">
        <x:v>2650</x:v>
      </x:c>
      <x:c r="N271" s="17" t="str">
        <x:v>已确认</x:v>
      </x:c>
      <x:c r="O271" s="17" t="str">
        <x:v>OCR 命中 SPIN/BET 词</x:v>
      </x:c>
      <x:c r="P271" s="17" t="str">
        <x:v>How to Play? | ATTACK | 4 | Trigger Attacks or Credit | CREDIT GRAB | Grabsto obtainPearls! | nrese yourbetogetmorerewards | Redeem rewards with | 390 | Pearls! | 20 | Win more rewards as you | 390 | progress! | Win awesome prizes! | Tap to Continue</x:v>
      </x:c>
    </x:row>
    <x:row r="272">
      <x:c r="A272" s="17" t="str">
        <x:v>SEG_04_087</x:v>
      </x:c>
      <x:c r="B272" s="17" t="str">
        <x:v>TT_NEW_04</x:v>
      </x:c>
      <x:c r="C272" s="17" t="n">
        <x:v>2660</x:v>
      </x:c>
      <x:c r="D272" s="17" t="n">
        <x:v>2669</x:v>
      </x:c>
      <x:c r="E272" s="17" t="str">
        <x:v>00:44:20</x:v>
      </x:c>
      <x:c r="F272" s="17" t="str">
        <x:v>00:44:29</x:v>
      </x:c>
      <x:c r="G272" s="17" t="n">
        <x:v>10</x:v>
      </x:c>
      <x:c r="H272" s="17" t="str">
        <x:v>礼包</x:v>
      </x:c>
      <x:c r="I272" s="17" t="str">
        <x:v>价格/内容可能可见；未观察购买后余额</x:v>
      </x:c>
      <x:c r="J272" s="17" t="str">
        <x:v>否</x:v>
      </x:c>
      <x:c r="K272" s="17" t="str">
        <x:v>保留 offer_shown；无购买前后闭环</x:v>
      </x:c>
      <x:c r="L272" s="18" t="str">
        <x:v>/Users/mac/Documents/智囊团/video_analysis/Top_Tycoon新号流程_20260804/frames/TT_NEW_04/TT_NEW_04_t002660.jpg</x:v>
      </x:c>
      <x:c r="M272" s="17" t="n">
        <x:v>2660</x:v>
      </x:c>
      <x:c r="N272" s="17" t="str">
        <x:v>已确认</x:v>
      </x:c>
      <x:c r="O272" s="17" t="str">
        <x:v>OCR 命中价格/商店词</x:v>
      </x:c>
      <x:c r="P272" s="17" t="str">
        <x:v>TREASURE | X | Grand Prize | H | 630 | 3M | 7578 | Grand | Prize | 28 | 2M | 22 | 1.5M | 19 | 310 | HK$55.90 | 05d20h</x:v>
      </x:c>
    </x:row>
    <x:row r="273">
      <x:c r="A273" s="17" t="str">
        <x:v>SEG_04_088</x:v>
      </x:c>
      <x:c r="B273" s="17" t="str">
        <x:v>TT_NEW_04</x:v>
      </x:c>
      <x:c r="C273" s="17" t="n">
        <x:v>2670</x:v>
      </x:c>
      <x:c r="D273" s="17" t="n">
        <x:v>2849</x:v>
      </x:c>
      <x:c r="E273" s="17" t="str">
        <x:v>00:44:30</x:v>
      </x:c>
      <x:c r="F273" s="17" t="str">
        <x:v>00:47:29</x:v>
      </x:c>
      <x:c r="G273" s="17" t="n">
        <x:v>180</x:v>
      </x:c>
      <x:c r="H273" s="17" t="str">
        <x:v>Slot</x:v>
      </x:c>
      <x:c r="I273" s="17" t="str">
        <x:v>BET/能量/金币/主进度通常可见；以事件帧为准</x:v>
      </x:c>
      <x:c r="J273" s="17" t="str">
        <x:v>否</x:v>
      </x:c>
      <x:c r="K273" s="17" t="str">
        <x:v>保留机制；缺逐 Spin 前后快照</x:v>
      </x:c>
      <x:c r="L273" s="18" t="str">
        <x:v>/Users/mac/Documents/智囊团/video_analysis/Top_Tycoon新号流程_20260804/frames/TT_NEW_04/TT_NEW_04_t002760.jpg</x:v>
      </x:c>
      <x:c r="M273" s="17" t="n">
        <x:v>2760</x:v>
      </x:c>
      <x:c r="N273" s="17" t="str">
        <x:v>已确认</x:v>
      </x:c>
      <x:c r="O273" s="17" t="str">
        <x:v>OCR 命中 SPIN/BET 词; 相邻两侧同模块，平滑孤立原型误差</x:v>
      </x:c>
      <x:c r="P273" s="17" t="str">
        <x:v>685000 | 1,567,880 | 12th | QUEs | CLots | 4 | 90% | 14:25:41 | 17% | +66 | 13d20h | 05d20h | ATTACK | H | 9 | 20h31m | PACK | 1375/2500 | 9/9 | 05d20h | 01d14h | 3.51 | 16 | Sale! | 14h25m | 04d20h | 23% | 14h25m | 04d14h | 14h25m | 01d14h | BETx50 | 79 | 50/50 | 43% | 14h25m | 01d14h | +2757 | SPIN | FREE | HOLD FOR AUTO SPIN | Help otherplayers(o/1) | 13 | Game | 685000 | 1,699,880 | 12th | QUEs | CLots | 4 | %06 | 14:25:31 | 17% | +66 | 13d20h | 05d20h | + 132000 | 20h31m</x:v>
      </x:c>
    </x:row>
    <x:row r="274">
      <x:c r="A274" s="17" t="str">
        <x:v>SEG_04_089</x:v>
      </x:c>
      <x:c r="B274" s="17" t="str">
        <x:v>TT_NEW_04</x:v>
      </x:c>
      <x:c r="C274" s="17" t="n">
        <x:v>2850</x:v>
      </x:c>
      <x:c r="D274" s="17" t="n">
        <x:v>2859</x:v>
      </x:c>
      <x:c r="E274" s="17" t="str">
        <x:v>00:47:30</x:v>
      </x:c>
      <x:c r="F274" s="17" t="str">
        <x:v>00:47:39</x:v>
      </x:c>
      <x:c r="G274" s="17" t="n">
        <x:v>10</x:v>
      </x:c>
      <x:c r="H274" s="17" t="str">
        <x:v>小游戏</x:v>
      </x:c>
      <x:c r="I274" s="17" t="str">
        <x:v>玩法/奖励依画面；主资源常不全显</x:v>
      </x:c>
      <x:c r="J274" s="17" t="str">
        <x:v>否</x:v>
      </x:c>
      <x:c r="K274" s="17" t="str">
        <x:v>保留机制；完整核账窗口不足</x:v>
      </x:c>
      <x:c r="L274" s="18" t="str">
        <x:v>/Users/mac/Documents/智囊团/video_analysis/Top_Tycoon新号流程_20260804/frames/TT_NEW_04/TT_NEW_04_t002850.jpg</x:v>
      </x:c>
      <x:c r="M274" s="17" t="n">
        <x:v>2850</x:v>
      </x:c>
      <x:c r="N274" s="17" t="str">
        <x:v>已确认</x:v>
      </x:c>
      <x:c r="O274" s="17" t="str">
        <x:v>OCR 命中小游戏名称/玩法词</x:v>
      </x:c>
      <x:c r="P274" s="17" t="str">
        <x:v>Credit Grab! | Select Target: | JMay | .lpalme | knitty pants | 27,000 | 53,000 | 37,000</x:v>
      </x:c>
    </x:row>
    <x:row r="275">
      <x:c r="A275" s="17" t="str">
        <x:v>SEG_04_090</x:v>
      </x:c>
      <x:c r="B275" s="17" t="str">
        <x:v>TT_NEW_04</x:v>
      </x:c>
      <x:c r="C275" s="17" t="n">
        <x:v>2860</x:v>
      </x:c>
      <x:c r="D275" s="17" t="n">
        <x:v>2869</x:v>
      </x:c>
      <x:c r="E275" s="17" t="str">
        <x:v>00:47:40</x:v>
      </x:c>
      <x:c r="F275" s="17" t="str">
        <x:v>00:47:49</x:v>
      </x:c>
      <x:c r="G275" s="17" t="n">
        <x:v>10</x:v>
      </x:c>
      <x:c r="H275" s="17" t="str">
        <x:v>转场/加载</x:v>
      </x:c>
      <x:c r="I275" s="17" t="str">
        <x:v>数值不可读或不适用</x:v>
      </x:c>
      <x:c r="J275" s="17" t="str">
        <x:v>否</x:v>
      </x:c>
      <x:c r="K275" s="17" t="str">
        <x:v>排除：转场/加载，不进入数值统计</x:v>
      </x:c>
      <x:c r="L275" s="18" t="str">
        <x:v>/Users/mac/Documents/智囊团/video_analysis/Top_Tycoon新号流程_20260804/frames/TT_NEW_04/TT_NEW_04_t002860.jpg</x:v>
      </x:c>
      <x:c r="M275" s="17" t="n">
        <x:v>2860</x:v>
      </x:c>
      <x:c r="N275" s="17" t="str">
        <x:v>待复核</x:v>
      </x:c>
      <x:c r="O275" s="17" t="str">
        <x:v>画面原型近邻；margin=0.0135</x:v>
      </x:c>
      <x:c r="P275" s="17" t="str">
        <x:v>.lpalme's Bank | 51 | 00 | L | Z | TOTAL LOOT | 0 | COINS</x:v>
      </x:c>
    </x:row>
    <x:row r="276">
      <x:c r="A276" s="17" t="str">
        <x:v>SEG_04_091</x:v>
      </x:c>
      <x:c r="B276" s="17" t="str">
        <x:v>TT_NEW_04</x:v>
      </x:c>
      <x:c r="C276" s="17" t="n">
        <x:v>2870</x:v>
      </x:c>
      <x:c r="D276" s="17" t="n">
        <x:v>2899</x:v>
      </x:c>
      <x:c r="E276" s="17" t="str">
        <x:v>00:47:50</x:v>
      </x:c>
      <x:c r="F276" s="17" t="str">
        <x:v>00:48:19</x:v>
      </x:c>
      <x:c r="G276" s="17" t="n">
        <x:v>30</x:v>
      </x:c>
      <x:c r="H276" s="17" t="str">
        <x:v>Slot</x:v>
      </x:c>
      <x:c r="I276" s="17" t="str">
        <x:v>BET/能量/金币/主进度通常可见；以事件帧为准</x:v>
      </x:c>
      <x:c r="J276" s="17" t="str">
        <x:v>否</x:v>
      </x:c>
      <x:c r="K276" s="17" t="str">
        <x:v>保留机制；缺逐 Spin 前后快照</x:v>
      </x:c>
      <x:c r="L276" s="18" t="str">
        <x:v>/Users/mac/Documents/智囊团/video_analysis/Top_Tycoon新号流程_20260804/frames/TT_NEW_04/TT_NEW_04_t002880.jpg</x:v>
      </x:c>
      <x:c r="M276" s="17" t="n">
        <x:v>2880</x:v>
      </x:c>
      <x:c r="N276" s="17" t="str">
        <x:v>待复核</x:v>
      </x:c>
      <x:c r="O276" s="17" t="str">
        <x:v>OCR 命中 SPIN/BET 词; 画面原型近邻；margin=0.0172; 画面原型近邻；margin=0.0232</x:v>
      </x:c>
      <x:c r="P276" s="17" t="str">
        <x:v>.lpalme's Bank | GRAB | SMALL | YOU STOLE | 1,920,000 | COINS | COLLECT | 685000 | 7,312,280 | 12th | QUES | CLots | 4 | 96% | 14:22:11 | 34% | +66 | 13d20h | YoZPSO | 20h27m | PACK | 75/4100 | 9/9 | 05d20h | 01d14h | 5K | 16 | Sale | 14h22m | 04d20h | 0 | 15% | 14h22m | 04d14h | 17 | 14h22m | 01d14h | BETx100 | 83 | 50/50 | 96% | 14h22m | 01d14h | +4601 | SPIN | FREE | HOLD FOR AUTO SPIN | Helpotherplayers(o/1) | 13 | Game | 391.0</x:v>
      </x:c>
    </x:row>
    <x:row r="277">
      <x:c r="A277" s="17" t="str">
        <x:v>SEG_04_092</x:v>
      </x:c>
      <x:c r="B277" s="17" t="str">
        <x:v>TT_NEW_04</x:v>
      </x:c>
      <x:c r="C277" s="17" t="n">
        <x:v>2900</x:v>
      </x:c>
      <x:c r="D277" s="17" t="n">
        <x:v>2909</x:v>
      </x:c>
      <x:c r="E277" s="17" t="str">
        <x:v>00:48:20</x:v>
      </x:c>
      <x:c r="F277" s="17" t="str">
        <x:v>00:48:29</x:v>
      </x:c>
      <x:c r="G277" s="17" t="n">
        <x:v>10</x:v>
      </x:c>
      <x:c r="H277" s="17" t="str">
        <x:v>小游戏</x:v>
      </x:c>
      <x:c r="I277" s="17" t="str">
        <x:v>玩法/奖励依画面；主资源常不全显</x:v>
      </x:c>
      <x:c r="J277" s="17" t="str">
        <x:v>否</x:v>
      </x:c>
      <x:c r="K277" s="17" t="str">
        <x:v>保留机制；完整核账窗口不足</x:v>
      </x:c>
      <x:c r="L277" s="18" t="str">
        <x:v>/Users/mac/Documents/智囊团/video_analysis/Top_Tycoon新号流程_20260804/frames/TT_NEW_04/TT_NEW_04_t002900.jpg</x:v>
      </x:c>
      <x:c r="M277" s="17" t="n">
        <x:v>2900</x:v>
      </x:c>
      <x:c r="N277" s="17" t="str">
        <x:v>已确认</x:v>
      </x:c>
      <x:c r="O277" s="17" t="str">
        <x:v>OCR 命中小游戏名称/玩法词</x:v>
      </x:c>
      <x:c r="P277" s="17" t="str">
        <x:v>TYCOON PASS | 25/100 | 26 | 5 | 13d 20h | 8 | PHASE 1</x:v>
      </x:c>
    </x:row>
    <x:row r="278">
      <x:c r="A278" s="17" t="str">
        <x:v>SEG_04_093</x:v>
      </x:c>
      <x:c r="B278" s="17" t="str">
        <x:v>TT_NEW_04</x:v>
      </x:c>
      <x:c r="C278" s="17" t="n">
        <x:v>2910</x:v>
      </x:c>
      <x:c r="D278" s="17" t="n">
        <x:v>2959</x:v>
      </x:c>
      <x:c r="E278" s="17" t="str">
        <x:v>00:48:30</x:v>
      </x:c>
      <x:c r="F278" s="17" t="str">
        <x:v>00:49:19</x:v>
      </x:c>
      <x:c r="G278" s="17" t="n">
        <x:v>50</x:v>
      </x:c>
      <x:c r="H278" s="17" t="str">
        <x:v>Slot</x:v>
      </x:c>
      <x:c r="I278" s="17" t="str">
        <x:v>BET/能量/金币/主进度通常可见；以事件帧为准</x:v>
      </x:c>
      <x:c r="J278" s="17" t="str">
        <x:v>否</x:v>
      </x:c>
      <x:c r="K278" s="17" t="str">
        <x:v>保留机制；缺逐 Spin 前后快照</x:v>
      </x:c>
      <x:c r="L278" s="18" t="str">
        <x:v>/Users/mac/Documents/智囊团/video_analysis/Top_Tycoon新号流程_20260804/frames/TT_NEW_04/TT_NEW_04_t002930.jpg</x:v>
      </x:c>
      <x:c r="M278" s="17" t="n">
        <x:v>2930</x:v>
      </x:c>
      <x:c r="N278" s="17" t="str">
        <x:v>已确认</x:v>
      </x:c>
      <x:c r="O278" s="17" t="str">
        <x:v>OCR 命中 SPIN/BET 词; 画面原型近邻；margin=0.0721</x:v>
      </x:c>
      <x:c r="P278" s="17" t="str">
        <x:v>685000 | 7,444,280 | 12th | QUES | S10T? | 5 | 0% | 14:21:41 | S | 0% | 34% | 0% | +66 | 13d20h | 05d20h | 00 | H | 6 | PACK | 6/6 | 05d20h | 00 | 01d14h | 5K | 26 | 16 | Sale | 14h21m | 04d20h | 2 | 55% | 14h21m | 04d14h | 17 | 14h21m | 01d14h | BETx100 | 83 | 50/50 | 96% | 14h21m | 01d14h | +4404 | SPIN | FREE | HOLD | PIN | Help other players (o/1) | Game | 685000 | 9,148,280 | 12+h | QUES | LLots | 5 | 0% | 14:21:31 | 13% | 34% | 0% | 99+ | 13d20h | 05d20h | 6 | 20h27m | </x:v>
      </x:c>
    </x:row>
    <x:row r="279">
      <x:c r="A279" s="17" t="str">
        <x:v>SEG_04_094</x:v>
      </x:c>
      <x:c r="B279" s="17" t="str">
        <x:v>TT_NEW_04</x:v>
      </x:c>
      <x:c r="C279" s="17" t="n">
        <x:v>2960</x:v>
      </x:c>
      <x:c r="D279" s="17" t="n">
        <x:v>2979</x:v>
      </x:c>
      <x:c r="E279" s="17" t="str">
        <x:v>00:49:20</x:v>
      </x:c>
      <x:c r="F279" s="17" t="str">
        <x:v>00:49:39</x:v>
      </x:c>
      <x:c r="G279" s="17" t="n">
        <x:v>20</x:v>
      </x:c>
      <x:c r="H279" s="17" t="str">
        <x:v>建造</x:v>
      </x:c>
      <x:c r="I279" s="17" t="str">
        <x:v>金币可见；Site tasks/Next task cost 依画面</x:v>
      </x:c>
      <x:c r="J279" s="17" t="str">
        <x:v>否</x:v>
      </x:c>
      <x:c r="K279" s="17" t="str">
        <x:v>保留机制；待建造余额闭合</x:v>
      </x:c>
      <x:c r="L279" s="18" t="str">
        <x:v>/Users/mac/Documents/智囊团/video_analysis/Top_Tycoon新号流程_20260804/frames/TT_NEW_04/TT_NEW_04_t002970.jpg</x:v>
      </x:c>
      <x:c r="M279" s="17" t="n">
        <x:v>2970</x:v>
      </x:c>
      <x:c r="N279" s="17" t="str">
        <x:v>待复核</x:v>
      </x:c>
      <x:c r="O279" s="17" t="str">
        <x:v>画面原型近邻；margin=0.0002; 画面原型近邻；margin=0.0020</x:v>
      </x:c>
      <x:c r="P279" s="17"/>
    </x:row>
    <x:row r="280">
      <x:c r="A280" s="17" t="str">
        <x:v>SEG_04_095</x:v>
      </x:c>
      <x:c r="B280" s="17" t="str">
        <x:v>TT_NEW_04</x:v>
      </x:c>
      <x:c r="C280" s="17" t="n">
        <x:v>2980</x:v>
      </x:c>
      <x:c r="D280" s="17" t="n">
        <x:v>3029</x:v>
      </x:c>
      <x:c r="E280" s="17" t="str">
        <x:v>00:49:40</x:v>
      </x:c>
      <x:c r="F280" s="17" t="str">
        <x:v>00:50:29</x:v>
      </x:c>
      <x:c r="G280" s="17" t="n">
        <x:v>50</x:v>
      </x:c>
      <x:c r="H280" s="17" t="str">
        <x:v>Slot</x:v>
      </x:c>
      <x:c r="I280" s="17" t="str">
        <x:v>BET/能量/金币/主进度通常可见；以事件帧为准</x:v>
      </x:c>
      <x:c r="J280" s="17" t="str">
        <x:v>否</x:v>
      </x:c>
      <x:c r="K280" s="17" t="str">
        <x:v>保留机制；缺逐 Spin 前后快照</x:v>
      </x:c>
      <x:c r="L280" s="18" t="str">
        <x:v>/Users/mac/Documents/智囊团/video_analysis/Top_Tycoon新号流程_20260804/frames/TT_NEW_04/TT_NEW_04_t003000.jpg</x:v>
      </x:c>
      <x:c r="M280" s="17" t="n">
        <x:v>3000</x:v>
      </x:c>
      <x:c r="N280" s="17" t="str">
        <x:v>已确认</x:v>
      </x:c>
      <x:c r="O280" s="17" t="str">
        <x:v>OCR 命中 SPIN/BET 词; 相邻两侧同模块，平滑孤立原型误差</x:v>
      </x:c>
      <x:c r="P280" s="17" t="str">
        <x:v>685000 | 12,503,880 | 12th | QUES | LLots | 5 | 0% | 14:20:31 | 36% | 69% | 25% | 99+ | 13d20h | 05d20h | H | 6 | PACK | 1475/4100 | 6/6 | 05d20h | 福 | 01d14h | 5K | 16 | Sale | 14h20m | 04d20h | 56% | 14h20m | 04d14h | 17 | 14h20m | 01d14h | BETx100 | 86 | 50/50 | 13% | 14h20m | 01d14h | +3304 | 4 | SPIN | FREE | HOLD FOR AUTO SPIN | Help other players (o/1) | Game | 685000 | 12,767,880 | 12+h | QUES | CLOTs | 5 | 0% | 14:20:21 | S | 50% | 69% | 25% | +66 | 13d20h | 05d20h |</x:v>
      </x:c>
    </x:row>
    <x:row r="281">
      <x:c r="A281" s="17" t="str">
        <x:v>SEG_04_096</x:v>
      </x:c>
      <x:c r="B281" s="17" t="str">
        <x:v>TT_NEW_04</x:v>
      </x:c>
      <x:c r="C281" s="17" t="n">
        <x:v>3030</x:v>
      </x:c>
      <x:c r="D281" s="17" t="n">
        <x:v>3039</x:v>
      </x:c>
      <x:c r="E281" s="17" t="str">
        <x:v>00:50:30</x:v>
      </x:c>
      <x:c r="F281" s="17" t="str">
        <x:v>00:50:39</x:v>
      </x:c>
      <x:c r="G281" s="17" t="n">
        <x:v>10</x:v>
      </x:c>
      <x:c r="H281" s="17" t="str">
        <x:v>小游戏</x:v>
      </x:c>
      <x:c r="I281" s="17" t="str">
        <x:v>玩法/奖励依画面；主资源常不全显</x:v>
      </x:c>
      <x:c r="J281" s="17" t="str">
        <x:v>否</x:v>
      </x:c>
      <x:c r="K281" s="17" t="str">
        <x:v>保留机制；完整核账窗口不足</x:v>
      </x:c>
      <x:c r="L281" s="18" t="str">
        <x:v>/Users/mac/Documents/智囊团/video_analysis/Top_Tycoon新号流程_20260804/frames/TT_NEW_04/TT_NEW_04_t003030.jpg</x:v>
      </x:c>
      <x:c r="M281" s="17" t="n">
        <x:v>3030</x:v>
      </x:c>
      <x:c r="N281" s="17" t="str">
        <x:v>已确认</x:v>
      </x:c>
      <x:c r="O281" s="17" t="str">
        <x:v>OCR 命中小游戏名称/玩法词</x:v>
      </x:c>
      <x:c r="P281" s="17" t="str">
        <x:v>Credit Grab! | Select Target: | Mike Kaser | Roberto A | Twoapennything | 23,000 | 32,000 | 46,000 | Potential Loot | Potential Loot | Potential Loot | Select | Select | Select | Auto-Selectin4s</x:v>
      </x:c>
    </x:row>
    <x:row r="282">
      <x:c r="A282" s="17" t="str">
        <x:v>SEG_04_097</x:v>
      </x:c>
      <x:c r="B282" s="17" t="str">
        <x:v>TT_NEW_04</x:v>
      </x:c>
      <x:c r="C282" s="17" t="n">
        <x:v>3040</x:v>
      </x:c>
      <x:c r="D282" s="17" t="n">
        <x:v>3049</x:v>
      </x:c>
      <x:c r="E282" s="17" t="str">
        <x:v>00:50:40</x:v>
      </x:c>
      <x:c r="F282" s="17" t="str">
        <x:v>00:50:49</x:v>
      </x:c>
      <x:c r="G282" s="17" t="n">
        <x:v>10</x:v>
      </x:c>
      <x:c r="H282" s="17" t="str">
        <x:v>转场/加载</x:v>
      </x:c>
      <x:c r="I282" s="17" t="str">
        <x:v>数值不可读或不适用</x:v>
      </x:c>
      <x:c r="J282" s="17" t="str">
        <x:v>否</x:v>
      </x:c>
      <x:c r="K282" s="17" t="str">
        <x:v>排除：转场/加载，不进入数值统计</x:v>
      </x:c>
      <x:c r="L282" s="18" t="str">
        <x:v>/Users/mac/Documents/智囊团/video_analysis/Top_Tycoon新号流程_20260804/frames/TT_NEW_04/TT_NEW_04_t003040.jpg</x:v>
      </x:c>
      <x:c r="M282" s="17" t="n">
        <x:v>3040</x:v>
      </x:c>
      <x:c r="N282" s="17" t="str">
        <x:v>待复核</x:v>
      </x:c>
      <x:c r="O282" s="17" t="str">
        <x:v>画面原型近邻；margin=0.0140</x:v>
      </x:c>
      <x:c r="P282" s="17" t="str">
        <x:v>Twoapennything's | Bank | 504,000 | COINS | Z | TOTAL LOOT | 504,000 | COINS</x:v>
      </x:c>
    </x:row>
    <x:row r="283">
      <x:c r="A283" s="17" t="str">
        <x:v>SEG_04_098</x:v>
      </x:c>
      <x:c r="B283" s="17" t="str">
        <x:v>TT_NEW_04</x:v>
      </x:c>
      <x:c r="C283" s="17" t="n">
        <x:v>3050</x:v>
      </x:c>
      <x:c r="D283" s="17" t="n">
        <x:v>3129</x:v>
      </x:c>
      <x:c r="E283" s="17" t="str">
        <x:v>00:50:50</x:v>
      </x:c>
      <x:c r="F283" s="17" t="str">
        <x:v>00:52:09</x:v>
      </x:c>
      <x:c r="G283" s="17" t="n">
        <x:v>80</x:v>
      </x:c>
      <x:c r="H283" s="17" t="str">
        <x:v>Slot</x:v>
      </x:c>
      <x:c r="I283" s="17" t="str">
        <x:v>BET/能量/金币/主进度通常可见；以事件帧为准</x:v>
      </x:c>
      <x:c r="J283" s="17" t="str">
        <x:v>否</x:v>
      </x:c>
      <x:c r="K283" s="17" t="str">
        <x:v>保留机制；缺逐 Spin 前后快照</x:v>
      </x:c>
      <x:c r="L283" s="18" t="str">
        <x:v>/Users/mac/Documents/智囊团/video_analysis/Top_Tycoon新号流程_20260804/frames/TT_NEW_04/TT_NEW_04_t003090.jpg</x:v>
      </x:c>
      <x:c r="M283" s="17" t="n">
        <x:v>3090</x:v>
      </x:c>
      <x:c r="N283" s="17" t="str">
        <x:v>已确认</x:v>
      </x:c>
      <x:c r="O283" s="17" t="str">
        <x:v>OCR 命中 SPIN/BET 词; 画面原型近邻；margin=0.0178; 画面原型近邻；margin=0.0613; 相邻两侧同模块，平滑孤立原型误差</x:v>
      </x:c>
      <x:c r="P283" s="17" t="str">
        <x:v>Twoapennything's | Bank | SMALL GRAB | YOU STOLE | 1,680,000 | COINS | 685000 | 16,095,480 | 12th | QUES | LLots | 5 | 0% | 14:19:11 | 73% | 69% | 25% | +66 | 13d20h | 05d20h | 6 | 20h24m | PACK | 1475/4100 | 6/6 | 05d20h | 01d14h | 5K | 16 | Sale | 14h19m | 04d20h | 85% | 14h19m | 04d14h | 17 | 14h19m | 01d14h | BETx100 | +66 | 50/50 | 31% | 14h19m | +2204 | 01d14h | SPIN | FREE | HOLD FOR AUTO SPIN | Helpotherplayers(o/1) | 13 | Game | 451.0 | Blocked | Damage | 0% | BET | </x:v>
      </x:c>
    </x:row>
    <x:row r="284">
      <x:c r="A284" s="17" t="str">
        <x:v>SEG_04_099</x:v>
      </x:c>
      <x:c r="B284" s="17" t="str">
        <x:v>TT_NEW_04</x:v>
      </x:c>
      <x:c r="C284" s="17" t="n">
        <x:v>3130</x:v>
      </x:c>
      <x:c r="D284" s="17" t="n">
        <x:v>3169</x:v>
      </x:c>
      <x:c r="E284" s="17" t="str">
        <x:v>00:52:10</x:v>
      </x:c>
      <x:c r="F284" s="17" t="str">
        <x:v>00:52:49</x:v>
      </x:c>
      <x:c r="G284" s="17" t="n">
        <x:v>40</x:v>
      </x:c>
      <x:c r="H284" s="17" t="str">
        <x:v>建造</x:v>
      </x:c>
      <x:c r="I284" s="17" t="str">
        <x:v>金币可见；Site tasks/Next task cost 依画面</x:v>
      </x:c>
      <x:c r="J284" s="17" t="str">
        <x:v>是</x:v>
      </x:c>
      <x:c r="K284" s="17" t="str">
        <x:v>保留：建造金币核账窗口</x:v>
      </x:c>
      <x:c r="L284" s="18" t="str">
        <x:v>/Users/mac/Documents/智囊团/video_analysis/Top_Tycoon新号流程_20260804/frames/TT_NEW_04/TT_NEW_04_t003150.jpg</x:v>
      </x:c>
      <x:c r="M284" s="17" t="n">
        <x:v>3150</x:v>
      </x:c>
      <x:c r="N284" s="17" t="str">
        <x:v>已确认</x:v>
      </x:c>
      <x:c r="O284" s="17" t="str">
        <x:v>OCR 命中建造/Site tasks 词; 相邻两侧同模块，平滑孤立原型误差</x:v>
      </x:c>
      <x:c r="P284" s="17" t="str">
        <x:v>685000 | 18,191,680 | 12th | Emerald Trail | 16000/21000 | Showrewards | erplayers(0/1) | COST | TOTAL EARNINGS | 771,298 | 223,77 | 685/Sec | Helpoth | 13 | Game | 690000 | 9,265,295 | 12th | rop | Tower | 240cEmerald Trail | 21000/21000 | Showrewards | MAX | 02h17m | 08:46 | Helpotherplayers(o/1) | TOTAL EARNINGS | 821,245 | +21/Sec | 13 | 222 | Site | 690007 | 265,295 | 12h | rop Tower | Ferris Wheel | 08:36 | Help otherplayers (0/1) | 821,452 | 21/sec | 14 | Site | 690000</x:v>
      </x:c>
    </x:row>
    <x:row r="285">
      <x:c r="A285" s="17" t="str">
        <x:v>SEG_04_100</x:v>
      </x:c>
      <x:c r="B285" s="17" t="str">
        <x:v>TT_NEW_04</x:v>
      </x:c>
      <x:c r="C285" s="17" t="n">
        <x:v>3170</x:v>
      </x:c>
      <x:c r="D285" s="17" t="n">
        <x:v>3179</x:v>
      </x:c>
      <x:c r="E285" s="17" t="str">
        <x:v>00:52:50</x:v>
      </x:c>
      <x:c r="F285" s="17" t="str">
        <x:v>00:52:59</x:v>
      </x:c>
      <x:c r="G285" s="17" t="n">
        <x:v>10</x:v>
      </x:c>
      <x:c r="H285" s="17" t="str">
        <x:v>小游戏</x:v>
      </x:c>
      <x:c r="I285" s="17" t="str">
        <x:v>玩法/奖励依画面；主资源常不全显</x:v>
      </x:c>
      <x:c r="J285" s="17" t="str">
        <x:v>否</x:v>
      </x:c>
      <x:c r="K285" s="17" t="str">
        <x:v>保留机制；完整核账窗口不足</x:v>
      </x:c>
      <x:c r="L285" s="18" t="str">
        <x:v>/Users/mac/Documents/智囊团/video_analysis/Top_Tycoon新号流程_20260804/frames/TT_NEW_04/TT_NEW_04_t003170.jpg</x:v>
      </x:c>
      <x:c r="M285" s="17" t="n">
        <x:v>3170</x:v>
      </x:c>
      <x:c r="N285" s="17" t="str">
        <x:v>待复核</x:v>
      </x:c>
      <x:c r="O285" s="17" t="str">
        <x:v>画面原型近邻；margin=0.0262</x:v>
      </x:c>
      <x:c r="P285" s="17" t="str">
        <x:v>Ava | Every struggle, every tear, | every ounce of effort... it | was all worth it! We did it, | Ava! | Tycoon | Ava,we...we | accomplished the | impossible! | Tycoon | Thank you, Tycoon.You | are... truly my hero! | Ava | 821,868 | Tap to Continue</x:v>
      </x:c>
    </x:row>
    <x:row r="286">
      <x:c r="A286" s="17" t="str">
        <x:v>SEG_04_101</x:v>
      </x:c>
      <x:c r="B286" s="17" t="str">
        <x:v>TT_NEW_04</x:v>
      </x:c>
      <x:c r="C286" s="17" t="n">
        <x:v>3180</x:v>
      </x:c>
      <x:c r="D286" s="17" t="n">
        <x:v>3189</x:v>
      </x:c>
      <x:c r="E286" s="17" t="str">
        <x:v>00:53:00</x:v>
      </x:c>
      <x:c r="F286" s="17" t="str">
        <x:v>00:53:09</x:v>
      </x:c>
      <x:c r="G286" s="17" t="n">
        <x:v>10</x:v>
      </x:c>
      <x:c r="H286" s="17" t="str">
        <x:v>礼包</x:v>
      </x:c>
      <x:c r="I286" s="17" t="str">
        <x:v>价格/内容可能可见；未观察购买后余额</x:v>
      </x:c>
      <x:c r="J286" s="17" t="str">
        <x:v>否</x:v>
      </x:c>
      <x:c r="K286" s="17" t="str">
        <x:v>保留 offer_shown；无购买前后闭环</x:v>
      </x:c>
      <x:c r="L286" s="18" t="str">
        <x:v>/Users/mac/Documents/智囊团/video_analysis/Top_Tycoon新号流程_20260804/frames/TT_NEW_04/TT_NEW_04_t003180.jpg</x:v>
      </x:c>
      <x:c r="M286" s="17" t="n">
        <x:v>3180</x:v>
      </x:c>
      <x:c r="N286" s="17" t="str">
        <x:v>待复核</x:v>
      </x:c>
      <x:c r="O286" s="17" t="str">
        <x:v>画面原型近邻；margin=0.0161</x:v>
      </x:c>
      <x:c r="P286" s="17" t="str">
        <x:v>Drop Tower | 698000 | 10,810,925 | 12th | 3/3 | e | Glow Shore | 4000/30000 | Showrewards | .1L | ? | MAX | er | 02h17m | 08:06 | Helpotherplayers(o/1) | +1/sec | TO | EARNINGS | NEXTTASKCOST | 5,566 | 112,57 | +697/Sec | 14 | 22 | Site</x:v>
      </x:c>
    </x:row>
    <x:row r="287">
      <x:c r="A287" s="17" t="str">
        <x:v>SEG_04_102</x:v>
      </x:c>
      <x:c r="B287" s="17" t="str">
        <x:v>TT_NEW_04</x:v>
      </x:c>
      <x:c r="C287" s="17" t="n">
        <x:v>3190</x:v>
      </x:c>
      <x:c r="D287" s="17" t="n">
        <x:v>3199</x:v>
      </x:c>
      <x:c r="E287" s="17" t="str">
        <x:v>00:53:10</x:v>
      </x:c>
      <x:c r="F287" s="17" t="str">
        <x:v>00:53:19</x:v>
      </x:c>
      <x:c r="G287" s="17" t="n">
        <x:v>10</x:v>
      </x:c>
      <x:c r="H287" s="17" t="str">
        <x:v>建造</x:v>
      </x:c>
      <x:c r="I287" s="17" t="str">
        <x:v>金币可见；Site tasks/Next task cost 依画面</x:v>
      </x:c>
      <x:c r="J287" s="17" t="str">
        <x:v>否</x:v>
      </x:c>
      <x:c r="K287" s="17" t="str">
        <x:v>保留机制；待建造余额闭合</x:v>
      </x:c>
      <x:c r="L287" s="18" t="str">
        <x:v>/Users/mac/Documents/智囊团/video_analysis/Top_Tycoon新号流程_20260804/frames/TT_NEW_04/TT_NEW_04_t003190.jpg</x:v>
      </x:c>
      <x:c r="M287" s="17" t="n">
        <x:v>3190</x:v>
      </x:c>
      <x:c r="N287" s="17" t="str">
        <x:v>已确认</x:v>
      </x:c>
      <x:c r="O287" s="17" t="str">
        <x:v>OCR 命中建造/Site tasks 词</x:v>
      </x:c>
      <x:c r="P287" s="17" t="str">
        <x:v>Drop Tower | 713000 | 3,586,968 | 12th | GlowShore | 20000/30000 | wrewards | lollerCoaster | MAX | 02h17m | 07:56 | Lighthouse | Helpotherplayers(o/1) | NEXTTASKCOST | TOTAL EARNINGS | 12,578 | 1,149,450 | +713/Sec | 14 | 222 | Site</x:v>
      </x:c>
    </x:row>
    <x:row r="288">
      <x:c r="A288" s="17" t="str">
        <x:v>SEG_04_103</x:v>
      </x:c>
      <x:c r="B288" s="17" t="str">
        <x:v>TT_NEW_04</x:v>
      </x:c>
      <x:c r="C288" s="17" t="n">
        <x:v>3200</x:v>
      </x:c>
      <x:c r="D288" s="17" t="n">
        <x:v>3209</x:v>
      </x:c>
      <x:c r="E288" s="17" t="str">
        <x:v>00:53:20</x:v>
      </x:c>
      <x:c r="F288" s="17" t="str">
        <x:v>00:53:29</x:v>
      </x:c>
      <x:c r="G288" s="17" t="n">
        <x:v>10</x:v>
      </x:c>
      <x:c r="H288" s="17" t="str">
        <x:v>礼包</x:v>
      </x:c>
      <x:c r="I288" s="17" t="str">
        <x:v>价格/内容可能可见；未观察购买后余额</x:v>
      </x:c>
      <x:c r="J288" s="17" t="str">
        <x:v>否</x:v>
      </x:c>
      <x:c r="K288" s="17" t="str">
        <x:v>保留 offer_shown；无购买前后闭环</x:v>
      </x:c>
      <x:c r="L288" s="18" t="str">
        <x:v>/Users/mac/Documents/智囊团/video_analysis/Top_Tycoon新号流程_20260804/frames/TT_NEW_04/TT_NEW_04_t003200.jpg</x:v>
      </x:c>
      <x:c r="M288" s="17" t="n">
        <x:v>3200</x:v>
      </x:c>
      <x:c r="N288" s="17" t="str">
        <x:v>待复核</x:v>
      </x:c>
      <x:c r="O288" s="17" t="str">
        <x:v>画面原型近邻；margin=0.0049</x:v>
      </x:c>
      <x:c r="P288" s="17" t="str">
        <x:v>Drop Tower | 715000 | 985,894 | 12+h | Glow Shore | 25000/30000 | Showrewards | lollerCoaster | MAX | 02h16m | windmill | 07:46 | Insufficient coins Lighthouse | Helpotherplayers(o/1) | NEXTTASKCOST | TOTALEARNINGS | 4 | 19,472 | 1,753,800 | +715/Sec | 14 | Site</x:v>
      </x:c>
    </x:row>
    <x:row r="289">
      <x:c r="A289" s="17" t="str">
        <x:v>SEG_04_104</x:v>
      </x:c>
      <x:c r="B289" s="17" t="str">
        <x:v>TT_NEW_04</x:v>
      </x:c>
      <x:c r="C289" s="17" t="n">
        <x:v>3210</x:v>
      </x:c>
      <x:c r="D289" s="17" t="n">
        <x:v>3229</x:v>
      </x:c>
      <x:c r="E289" s="17" t="str">
        <x:v>00:53:30</x:v>
      </x:c>
      <x:c r="F289" s="17" t="str">
        <x:v>00:53:49</x:v>
      </x:c>
      <x:c r="G289" s="17" t="n">
        <x:v>20</x:v>
      </x:c>
      <x:c r="H289" s="17" t="str">
        <x:v>Slot</x:v>
      </x:c>
      <x:c r="I289" s="17" t="str">
        <x:v>BET/能量/金币/主进度通常可见；以事件帧为准</x:v>
      </x:c>
      <x:c r="J289" s="17" t="str">
        <x:v>否</x:v>
      </x:c>
      <x:c r="K289" s="17" t="str">
        <x:v>保留机制；缺逐 Spin 前后快照</x:v>
      </x:c>
      <x:c r="L289" s="18" t="str">
        <x:v>/Users/mac/Documents/智囊团/video_analysis/Top_Tycoon新号流程_20260804/frames/TT_NEW_04/TT_NEW_04_t003220.jpg</x:v>
      </x:c>
      <x:c r="M289" s="17" t="n">
        <x:v>3220</x:v>
      </x:c>
      <x:c r="N289" s="17" t="str">
        <x:v>已确认</x:v>
      </x:c>
      <x:c r="O289" s="17" t="str">
        <x:v>OCR 命中 SPIN/BET 词</x:v>
      </x:c>
      <x:c r="P289" s="17" t="str">
        <x:v>715000 | 1,117,894 | 12th | Lots | 5 | 0% | 14:16:41 | 62% | 50% | +66 | 13d20h | 05d20h | 6 | 20h22m | PACK | 1475/4100 | 6/6 | 05d20h | 01d14h | 16 | Sale | 14h16m | 04d20h | 6 | 15% | 14h16m | 04d14h | 17 | 01d14h | BETx2 | +66 | 50/50 | 3% | 14h16m | +1655 | 01d14h | SPIN | FREE | HOLD FOR AUTO | Helpotherplayers(o/1) | 14 | Game | 715000 | 1,140,334 | 12th | CLOTS | 5 | 0% | 14:16:31 | 8 | 62% | 50% | +66 | 13d20h | 05d20h | + 22,000 | H | 6 | 20h22m | PACK | 0 | 1475/41</x:v>
      </x:c>
    </x:row>
    <x:row r="290">
      <x:c r="A290" s="17" t="str">
        <x:v>SEG_04_105</x:v>
      </x:c>
      <x:c r="B290" s="17" t="str">
        <x:v>TT_NEW_04</x:v>
      </x:c>
      <x:c r="C290" s="17" t="n">
        <x:v>3230</x:v>
      </x:c>
      <x:c r="D290" s="17" t="n">
        <x:v>3239</x:v>
      </x:c>
      <x:c r="E290" s="17" t="str">
        <x:v>00:53:50</x:v>
      </x:c>
      <x:c r="F290" s="17" t="str">
        <x:v>00:53:59</x:v>
      </x:c>
      <x:c r="G290" s="17" t="n">
        <x:v>10</x:v>
      </x:c>
      <x:c r="H290" s="17" t="str">
        <x:v>小游戏</x:v>
      </x:c>
      <x:c r="I290" s="17" t="str">
        <x:v>玩法/奖励依画面；主资源常不全显</x:v>
      </x:c>
      <x:c r="J290" s="17" t="str">
        <x:v>否</x:v>
      </x:c>
      <x:c r="K290" s="17" t="str">
        <x:v>保留机制；完整核账窗口不足</x:v>
      </x:c>
      <x:c r="L290" s="18" t="str">
        <x:v>/Users/mac/Documents/智囊团/video_analysis/Top_Tycoon新号流程_20260804/frames/TT_NEW_04/TT_NEW_04_t003230.jpg</x:v>
      </x:c>
      <x:c r="M290" s="17" t="n">
        <x:v>3230</x:v>
      </x:c>
      <x:c r="N290" s="17" t="str">
        <x:v>已确认</x:v>
      </x:c>
      <x:c r="O290" s="17" t="str">
        <x:v>OCR 命中小游戏名称/玩法词</x:v>
      </x:c>
      <x:c r="P290" s="17" t="str">
        <x:v>Credit Grab! | Select Target:</x:v>
      </x:c>
    </x:row>
    <x:row r="291">
      <x:c r="A291" s="17" t="str">
        <x:v>SEG_04_106</x:v>
      </x:c>
      <x:c r="B291" s="17" t="str">
        <x:v>TT_NEW_04</x:v>
      </x:c>
      <x:c r="C291" s="17" t="n">
        <x:v>3240</x:v>
      </x:c>
      <x:c r="D291" s="17" t="n">
        <x:v>3249</x:v>
      </x:c>
      <x:c r="E291" s="17" t="str">
        <x:v>00:54:00</x:v>
      </x:c>
      <x:c r="F291" s="17" t="str">
        <x:v>00:54:09</x:v>
      </x:c>
      <x:c r="G291" s="17" t="n">
        <x:v>10</x:v>
      </x:c>
      <x:c r="H291" s="17" t="str">
        <x:v>建造</x:v>
      </x:c>
      <x:c r="I291" s="17" t="str">
        <x:v>金币可见；Site tasks/Next task cost 依画面</x:v>
      </x:c>
      <x:c r="J291" s="17" t="str">
        <x:v>否</x:v>
      </x:c>
      <x:c r="K291" s="17" t="str">
        <x:v>保留机制；待建造余额闭合</x:v>
      </x:c>
      <x:c r="L291" s="18" t="str">
        <x:v>/Users/mac/Documents/智囊团/video_analysis/Top_Tycoon新号流程_20260804/frames/TT_NEW_04/TT_NEW_04_t003240.jpg</x:v>
      </x:c>
      <x:c r="M291" s="17" t="n">
        <x:v>3240</x:v>
      </x:c>
      <x:c r="N291" s="17" t="str">
        <x:v>待复核</x:v>
      </x:c>
      <x:c r="O291" s="17" t="str">
        <x:v>画面原型近邻；margin=0.0050</x:v>
      </x:c>
      <x:c r="P291" s="17" t="str">
        <x:v>FrankyZeta'sBank | Z | Z | TOTAL LOOT | COINS</x:v>
      </x:c>
    </x:row>
    <x:row r="292">
      <x:c r="A292" s="17" t="str">
        <x:v>SEG_04_107</x:v>
      </x:c>
      <x:c r="B292" s="17" t="str">
        <x:v>TT_NEW_04</x:v>
      </x:c>
      <x:c r="C292" s="17" t="n">
        <x:v>3250</x:v>
      </x:c>
      <x:c r="D292" s="17" t="n">
        <x:v>3339</x:v>
      </x:c>
      <x:c r="E292" s="17" t="str">
        <x:v>00:54:10</x:v>
      </x:c>
      <x:c r="F292" s="17" t="str">
        <x:v>00:55:39</x:v>
      </x:c>
      <x:c r="G292" s="17" t="n">
        <x:v>90</x:v>
      </x:c>
      <x:c r="H292" s="17" t="str">
        <x:v>Slot</x:v>
      </x:c>
      <x:c r="I292" s="17" t="str">
        <x:v>BET/能量/金币/主进度通常可见；以事件帧为准</x:v>
      </x:c>
      <x:c r="J292" s="17" t="str">
        <x:v>否</x:v>
      </x:c>
      <x:c r="K292" s="17" t="str">
        <x:v>保留机制；缺逐 Spin 前后快照</x:v>
      </x:c>
      <x:c r="L292" s="18" t="str">
        <x:v>/Users/mac/Documents/智囊团/video_analysis/Top_Tycoon新号流程_20260804/frames/TT_NEW_04/TT_NEW_04_t003290.jpg</x:v>
      </x:c>
      <x:c r="M292" s="17" t="n">
        <x:v>3290</x:v>
      </x:c>
      <x:c r="N292" s="17" t="str">
        <x:v>已确认</x:v>
      </x:c>
      <x:c r="O292" s="17" t="str">
        <x:v>OCR 命中 SPIN/BET 词; 画面原型近邻；margin=0.0047; 相邻两侧同模块，平滑孤立原型误差</x:v>
      </x:c>
      <x:c r="P292" s="17" t="str">
        <x:v>FrankyZeta'sBank | 0,000 | 1,620,000 | 1,140,000 | COINS | COINS | TOTAL LOOT | 6,000,000 | COINS | 715000 | 7,140,334 | 12th | Lots | 5 | 0% | 14:15:51 | 100% | 50% | +66 | 13d20h | 05d20h | CREDIT GRAB | H | 6 | PACK | 20h21m | 1475/4100 | 9/9 | 05d20h | 01d14h | 5K | 16 | Sale | 14h15m | 04d20h | 6 | 15% | 14h15m | 04d14h | 17 | 14h15m | 01d14h | BETx50 | +66 | 50/50 | 3% | 14h15m | 01d14h | +1603 | SPIN | FREE | HOLD FOR AUTO | Help otherplayers (o/1) | 14 | Game | 715000</x:v>
      </x:c>
    </x:row>
    <x:row r="293">
      <x:c r="A293" s="17" t="str">
        <x:v>SEG_04_108</x:v>
      </x:c>
      <x:c r="B293" s="17" t="str">
        <x:v>TT_NEW_04</x:v>
      </x:c>
      <x:c r="C293" s="17" t="n">
        <x:v>3340</x:v>
      </x:c>
      <x:c r="D293" s="17" t="n">
        <x:v>3599</x:v>
      </x:c>
      <x:c r="E293" s="17" t="str">
        <x:v>00:55:40</x:v>
      </x:c>
      <x:c r="F293" s="17" t="str">
        <x:v>00:59:59</x:v>
      </x:c>
      <x:c r="G293" s="17" t="n">
        <x:v>260</x:v>
      </x:c>
      <x:c r="H293" s="17" t="str">
        <x:v>建造</x:v>
      </x:c>
      <x:c r="I293" s="17" t="str">
        <x:v>金币可见；Site tasks/Next task cost 依画面</x:v>
      </x:c>
      <x:c r="J293" s="17" t="str">
        <x:v>否</x:v>
      </x:c>
      <x:c r="K293" s="17" t="str">
        <x:v>保留机制；待建造余额闭合</x:v>
      </x:c>
      <x:c r="L293" s="18" t="str">
        <x:v>/Users/mac/Documents/智囊团/video_analysis/Top_Tycoon新号流程_20260804/frames/TT_NEW_04/TT_NEW_04_t003470.jpg</x:v>
      </x:c>
      <x:c r="M293" s="17" t="n">
        <x:v>3470</x:v>
      </x:c>
      <x:c r="N293" s="17" t="str">
        <x:v>待复核</x:v>
      </x:c>
      <x:c r="O293" s="17" t="str">
        <x:v>画面原型近邻；margin=0.0004; 画面原型近邻；margin=0.0028; 画面原型近邻；margin=0.0029; 画面原型近邻；margin=0.0049; 画面原型近邻；margin=0.0058; 画面原型近邻；margin=0.0061; 画面原型近邻；margin=0.0063; 画面原型近邻；margin=0.0076; 画面原型近邻；margin=0.0082; 画面原型近邻；margin=0.0084; 画面原型近邻；margin=0.0088; 画面原型近邻；margin=0.0094; 画面原型近邻；margin=0.0101; 画面原型近邻；margin=0.0102; 画面原型近邻；margin=0.0105; 画面原型近邻；margin=0.0107; 画面原型近邻；margin=0.0141; 画面原型近邻；margin=0.0145; 画面原型近邻；margin=0.0149; 画面原型近邻；margin=0.0160; 画面原型近邻；margin=0.0162; 画面原型近邻；margin=0.01</x:v>
      </x:c>
      <x:c r="P293" s="17" t="str">
        <x:v>X | 01d14h | 9 | PACK | 9/9 | 01d14h | FIND ALL THE PROPS TO WIN | LEVEL1 | LEVEL2 | LEVEL3 | LEVEL4 | LEVEL5 | 119 | X | 01d14h | 9 | PACK | 9/9 | 01d14h | FIND ALL THE PROPS TO WIN | LEVEL1 | LEVEL2 | LEVEL3 | LEVEL4 | LEVEL5 | 115 | X | 01d14h | 6 | PACK | 9/9 | 01d14h | FIND ALL THE PROPS TO WIN | LEVEL1 | LEVEL2 | LEVEL3 | LEVEL4 | LEVEL5 | 110 | LEVEL | COMPLETED | 福 | LEVEL1 | LEVEL | LEVEL3 | LEVEL4 | LEVEL5 | 20K | 110 | 01d14h | 6 | PACK | 9/9 | 01d14h | FIND ALL TH</x:v>
      </x:c>
    </x:row>
    <x:row r="294">
      <x:c r="A294" s="17" t="str">
        <x:v>SEG_04_109</x:v>
      </x:c>
      <x:c r="B294" s="17" t="str">
        <x:v>TT_NEW_04</x:v>
      </x:c>
      <x:c r="C294" s="17" t="n">
        <x:v>3600</x:v>
      </x:c>
      <x:c r="D294" s="17" t="n">
        <x:v>3609</x:v>
      </x:c>
      <x:c r="E294" s="17" t="str">
        <x:v>01:00:00</x:v>
      </x:c>
      <x:c r="F294" s="17" t="str">
        <x:v>01:00:09</x:v>
      </x:c>
      <x:c r="G294" s="17" t="n">
        <x:v>10</x:v>
      </x:c>
      <x:c r="H294" s="17" t="str">
        <x:v>小游戏</x:v>
      </x:c>
      <x:c r="I294" s="17" t="str">
        <x:v>玩法/奖励依画面；主资源常不全显</x:v>
      </x:c>
      <x:c r="J294" s="17" t="str">
        <x:v>否</x:v>
      </x:c>
      <x:c r="K294" s="17" t="str">
        <x:v>保留机制；完整核账窗口不足</x:v>
      </x:c>
      <x:c r="L294" s="18" t="str">
        <x:v>/Users/mac/Documents/智囊团/video_analysis/Top_Tycoon新号流程_20260804/frames/TT_NEW_04/TT_NEW_04_t003600.jpg</x:v>
      </x:c>
      <x:c r="M294" s="17" t="n">
        <x:v>3600</x:v>
      </x:c>
      <x:c r="N294" s="17" t="str">
        <x:v>待复核</x:v>
      </x:c>
      <x:c r="O294" s="17" t="str">
        <x:v>画面原型近邻；margin=0.0260</x:v>
      </x:c>
      <x:c r="P294" s="17" t="n">
        <x:v>599</x:v>
      </x:c>
    </x:row>
    <x:row r="295">
      <x:c r="A295" s="17" t="str">
        <x:v>SEG_04_110</x:v>
      </x:c>
      <x:c r="B295" s="17" t="str">
        <x:v>TT_NEW_04</x:v>
      </x:c>
      <x:c r="C295" s="17" t="n">
        <x:v>3610</x:v>
      </x:c>
      <x:c r="D295" s="17" t="n">
        <x:v>3729</x:v>
      </x:c>
      <x:c r="E295" s="17" t="str">
        <x:v>01:00:10</x:v>
      </x:c>
      <x:c r="F295" s="17" t="str">
        <x:v>01:02:09</x:v>
      </x:c>
      <x:c r="G295" s="17" t="n">
        <x:v>120</x:v>
      </x:c>
      <x:c r="H295" s="17" t="str">
        <x:v>Slot</x:v>
      </x:c>
      <x:c r="I295" s="17" t="str">
        <x:v>BET/能量/金币/主进度通常可见；以事件帧为准</x:v>
      </x:c>
      <x:c r="J295" s="17" t="str">
        <x:v>否</x:v>
      </x:c>
      <x:c r="K295" s="17" t="str">
        <x:v>保留机制；缺逐 Spin 前后快照</x:v>
      </x:c>
      <x:c r="L295" s="18" t="str">
        <x:v>/Users/mac/Documents/智囊团/video_analysis/Top_Tycoon新号流程_20260804/frames/TT_NEW_04/TT_NEW_04_t003670.jpg</x:v>
      </x:c>
      <x:c r="M295" s="17" t="n">
        <x:v>3670</x:v>
      </x:c>
      <x:c r="N295" s="17" t="str">
        <x:v>已确认</x:v>
      </x:c>
      <x:c r="O295" s="17" t="str">
        <x:v>OCR 命中 SPIN/BET 词; 画面原型近邻；margin=0.0694; 画面原型近邻；margin=0.0708; 相邻两侧同模块，平滑孤立原型误差</x:v>
      </x:c>
      <x:c r="P295" s="17" t="str">
        <x:v>715000 | 8,545,334 | 12th | 5 | 0% | 14:10:01 | 100% | 50% | +66 | 13d20h | 05d20h | 16 | 20h15m | 1475/4100 | 05d20h | 04d20h | 5K | 6 | Sale | 15% | 14h10m | 04d14h | 17 | 14h10m | 01d14h | FREE | 14h10m | 07d14h | BETx50 | BUFF | 9 | 50/50 | 14h10m | +3373 | SPIN | HOLD FOR AUTO SPIN | Helpotherplayers(o/1) | 14 | Game | 715000 | 8,545,334 | 12th | Lots | 5 | 0% | 14:09:51 | 100% | 50% | +66 | 13d20h | PSO | 16 | 20h15m | 05d20h | 1475/4100 | 04d20h | 5K | Sale | 15% | 14h</x:v>
      </x:c>
    </x:row>
    <x:row r="296">
      <x:c r="A296" s="17" t="str">
        <x:v>SEG_04_111</x:v>
      </x:c>
      <x:c r="B296" s="17" t="str">
        <x:v>TT_NEW_04</x:v>
      </x:c>
      <x:c r="C296" s="17" t="n">
        <x:v>3730</x:v>
      </x:c>
      <x:c r="D296" s="17" t="n">
        <x:v>3769</x:v>
      </x:c>
      <x:c r="E296" s="17" t="str">
        <x:v>01:02:10</x:v>
      </x:c>
      <x:c r="F296" s="17" t="str">
        <x:v>01:02:49</x:v>
      </x:c>
      <x:c r="G296" s="17" t="n">
        <x:v>40</x:v>
      </x:c>
      <x:c r="H296" s="17" t="str">
        <x:v>小游戏</x:v>
      </x:c>
      <x:c r="I296" s="17" t="str">
        <x:v>玩法/奖励依画面；主资源常不全显</x:v>
      </x:c>
      <x:c r="J296" s="17" t="str">
        <x:v>否</x:v>
      </x:c>
      <x:c r="K296" s="17" t="str">
        <x:v>保留机制；完整核账窗口不足</x:v>
      </x:c>
      <x:c r="L296" s="18" t="str">
        <x:v>/Users/mac/Documents/智囊团/video_analysis/Top_Tycoon新号流程_20260804/frames/TT_NEW_04/TT_NEW_04_t003750.jpg</x:v>
      </x:c>
      <x:c r="M296" s="17" t="n">
        <x:v>3750</x:v>
      </x:c>
      <x:c r="N296" s="17" t="str">
        <x:v>已确认</x:v>
      </x:c>
      <x:c r="O296" s="17" t="str">
        <x:v>OCR 命中小游戏名称/玩法词</x:v>
      </x:c>
      <x:c r="P296" s="17" t="str">
        <x:v>10/30 | 15 | Jackpot | 60 | 2/3 | 360 | 2/3 | 1/3 | 17 | 10 | 25/30 | 15 | Jackpot | 60 | 2/3 | 360 | 2/3 | 1/3 | 2 | 10 | 27/30 | 15 | Jackpot | 60 | 2/3 | 360 | 2/3 | 1/3 | 10 | 27/30 | 15 | Jackpot | 60 | 2/3 | 360 | 2/3 | 1/3 | 0 | 10</x:v>
      </x:c>
    </x:row>
    <x:row r="297">
      <x:c r="A297" s="17" t="str">
        <x:v>SEG_04_112</x:v>
      </x:c>
      <x:c r="B297" s="17" t="str">
        <x:v>TT_NEW_04</x:v>
      </x:c>
      <x:c r="C297" s="17" t="n">
        <x:v>3770</x:v>
      </x:c>
      <x:c r="D297" s="17" t="n">
        <x:v>3779</x:v>
      </x:c>
      <x:c r="E297" s="17" t="str">
        <x:v>01:02:50</x:v>
      </x:c>
      <x:c r="F297" s="17" t="str">
        <x:v>01:02:59</x:v>
      </x:c>
      <x:c r="G297" s="17" t="n">
        <x:v>10</x:v>
      </x:c>
      <x:c r="H297" s="17" t="str">
        <x:v>礼包</x:v>
      </x:c>
      <x:c r="I297" s="17" t="str">
        <x:v>价格/内容可能可见；未观察购买后余额</x:v>
      </x:c>
      <x:c r="J297" s="17" t="str">
        <x:v>否</x:v>
      </x:c>
      <x:c r="K297" s="17" t="str">
        <x:v>保留 offer_shown；无购买前后闭环</x:v>
      </x:c>
      <x:c r="L297" s="18" t="str">
        <x:v>/Users/mac/Documents/智囊团/video_analysis/Top_Tycoon新号流程_20260804/frames/TT_NEW_04/TT_NEW_04_t003770.jpg</x:v>
      </x:c>
      <x:c r="M297" s="17" t="n">
        <x:v>3770</x:v>
      </x:c>
      <x:c r="N297" s="17" t="str">
        <x:v>已确认</x:v>
      </x:c>
      <x:c r="O297" s="17" t="str">
        <x:v>OCR 命中价格/商店词</x:v>
      </x:c>
      <x:c r="P297" s="17" t="str">
        <x:v>940 | BOXING PAS | TOTAL | 01d14h | 27/30 | 15 | HK$40.00 | 20 | 30 | 11 | 75K | 12 | 75K | 13 | 110K | 14 | 190K | 100 | Locked | 15 | 100 | 420 | CLAIM ALL</x:v>
      </x:c>
    </x:row>
    <x:row r="298">
      <x:c r="A298" s="17" t="str">
        <x:v>SEG_04_113</x:v>
      </x:c>
      <x:c r="B298" s="17" t="str">
        <x:v>TT_NEW_04</x:v>
      </x:c>
      <x:c r="C298" s="17" t="n">
        <x:v>3780</x:v>
      </x:c>
      <x:c r="D298" s="17" t="n">
        <x:v>3789</x:v>
      </x:c>
      <x:c r="E298" s="17" t="str">
        <x:v>01:03:00</x:v>
      </x:c>
      <x:c r="F298" s="17" t="str">
        <x:v>01:03:09</x:v>
      </x:c>
      <x:c r="G298" s="17" t="n">
        <x:v>10</x:v>
      </x:c>
      <x:c r="H298" s="17" t="str">
        <x:v>Slot</x:v>
      </x:c>
      <x:c r="I298" s="17" t="str">
        <x:v>BET/能量/金币/主进度通常可见；以事件帧为准</x:v>
      </x:c>
      <x:c r="J298" s="17" t="str">
        <x:v>否</x:v>
      </x:c>
      <x:c r="K298" s="17" t="str">
        <x:v>保留机制；缺逐 Spin 前后快照</x:v>
      </x:c>
      <x:c r="L298" s="18" t="str">
        <x:v>/Users/mac/Documents/智囊团/video_analysis/Top_Tycoon新号流程_20260804/frames/TT_NEW_04/TT_NEW_04_t003780.jpg</x:v>
      </x:c>
      <x:c r="M298" s="17" t="n">
        <x:v>3780</x:v>
      </x:c>
      <x:c r="N298" s="17" t="str">
        <x:v>已确认</x:v>
      </x:c>
      <x:c r="O298" s="17" t="str">
        <x:v>OCR 命中 SPIN/BET 词</x:v>
      </x:c>
      <x:c r="P298" s="17" t="str">
        <x:v>715000 | 11,238,534 | 12th | Lots | 5 | 0% | 14:07:11 | 100% | 90% | +66 | 13d20h | 05d20h | ATTACK | H | 16 | 20h12m | 2075/4100 | 05d20h | 04d20h | Sale | 4% | 14h07m | 04d14h | 14h07m | 01d14h | FREE | 14h07m | 07d14h | BETx100 | BUFF | 9 | 50/50 | 14h07m | +2636 | SPIN | HOLD FOR AUTO SPIN | Helpotherplayers(o/1) | 14 | Game</x:v>
      </x:c>
    </x:row>
    <x:row r="299">
      <x:c r="A299" s="17" t="str">
        <x:v>SEG_04_114</x:v>
      </x:c>
      <x:c r="B299" s="17" t="str">
        <x:v>TT_NEW_04</x:v>
      </x:c>
      <x:c r="C299" s="17" t="n">
        <x:v>3790</x:v>
      </x:c>
      <x:c r="D299" s="17" t="n">
        <x:v>3799</x:v>
      </x:c>
      <x:c r="E299" s="17" t="str">
        <x:v>01:03:10</x:v>
      </x:c>
      <x:c r="F299" s="17" t="str">
        <x:v>01:03:19</x:v>
      </x:c>
      <x:c r="G299" s="17" t="n">
        <x:v>10</x:v>
      </x:c>
      <x:c r="H299" s="17" t="str">
        <x:v>小游戏</x:v>
      </x:c>
      <x:c r="I299" s="17" t="str">
        <x:v>玩法/奖励依画面；主资源常不全显</x:v>
      </x:c>
      <x:c r="J299" s="17" t="str">
        <x:v>否</x:v>
      </x:c>
      <x:c r="K299" s="17" t="str">
        <x:v>保留机制；完整核账窗口不足</x:v>
      </x:c>
      <x:c r="L299" s="18" t="str">
        <x:v>/Users/mac/Documents/智囊团/video_analysis/Top_Tycoon新号流程_20260804/frames/TT_NEW_04/TT_NEW_04_t003790.jpg</x:v>
      </x:c>
      <x:c r="M299" s="17" t="n">
        <x:v>3790</x:v>
      </x:c>
      <x:c r="N299" s="17" t="str">
        <x:v>已确认</x:v>
      </x:c>
      <x:c r="O299" s="17" t="str">
        <x:v>OCR 命中小游戏名称/玩法词</x:v>
      </x:c>
      <x:c r="P299" s="17" t="str">
        <x:v>718000 | 5,070,747 | 12th | Glow Shore | 26000/30000 | 16996 | Showrewards | Roller Coaster | MAX | 02h07m | BUFF | 三 | Helpotherplayers(o/1) | TOTALEARNINGS | NEXTTASKCOST | 442,002 | 2,660,32 | +718/Sec | 14 | 222 | Site</x:v>
      </x:c>
    </x:row>
    <x:row r="300">
      <x:c r="A300" s="17" t="str">
        <x:v>SEG_04_115</x:v>
      </x:c>
      <x:c r="B300" s="17" t="str">
        <x:v>TT_NEW_04</x:v>
      </x:c>
      <x:c r="C300" s="17" t="n">
        <x:v>3800</x:v>
      </x:c>
      <x:c r="D300" s="17" t="n">
        <x:v>3819</x:v>
      </x:c>
      <x:c r="E300" s="17" t="str">
        <x:v>01:03:20</x:v>
      </x:c>
      <x:c r="F300" s="17" t="str">
        <x:v>01:03:39</x:v>
      </x:c>
      <x:c r="G300" s="17" t="n">
        <x:v>20</x:v>
      </x:c>
      <x:c r="H300" s="17" t="str">
        <x:v>建造</x:v>
      </x:c>
      <x:c r="I300" s="17" t="str">
        <x:v>金币可见；Site tasks/Next task cost 依画面</x:v>
      </x:c>
      <x:c r="J300" s="17" t="str">
        <x:v>否</x:v>
      </x:c>
      <x:c r="K300" s="17" t="str">
        <x:v>保留机制；待建造余额闭合</x:v>
      </x:c>
      <x:c r="L300" s="18" t="str">
        <x:v>/Users/mac/Documents/智囊团/video_analysis/Top_Tycoon新号流程_20260804/frames/TT_NEW_04/TT_NEW_04_t003810.jpg</x:v>
      </x:c>
      <x:c r="M300" s="17" t="n">
        <x:v>3810</x:v>
      </x:c>
      <x:c r="N300" s="17" t="str">
        <x:v>已确认</x:v>
      </x:c>
      <x:c r="O300" s="17" t="str">
        <x:v>OCR 命中建造/Site tasks 词</x:v>
      </x:c>
      <x:c r="P300" s="17" t="str">
        <x:v>719000 | 2,873,512 | 12th | Glow Shore | 29000/30000 | Showrewards | Roller Coaster | MAX | 02h06m | BUFF | Help other players (0/1) | NEXT TASKCOST | ARNINGS | 219 | 3,021,749 | +719/Sec | 14 | 222 | Site | 719000 | 2,873,860 | 12th | Glow Shore | 29000/30000 | Showrewards | MAX | 02h06m | BUFF | Wat | ERE | P? | Help otherplayers(0/1) | NEXTTASKCOST | TOTAL EARNINGS | 7.493 | 3,021,749 | +719/Sec | 14 | 22 | Site</x:v>
      </x:c>
    </x:row>
    <x:row r="301">
      <x:c r="A301" s="17" t="str">
        <x:v>SEG_04_116</x:v>
      </x:c>
      <x:c r="B301" s="17" t="str">
        <x:v>TT_NEW_04</x:v>
      </x:c>
      <x:c r="C301" s="17" t="n">
        <x:v>3820</x:v>
      </x:c>
      <x:c r="D301" s="17" t="n">
        <x:v>3829</x:v>
      </x:c>
      <x:c r="E301" s="17" t="str">
        <x:v>01:03:40</x:v>
      </x:c>
      <x:c r="F301" s="17" t="str">
        <x:v>01:03:49</x:v>
      </x:c>
      <x:c r="G301" s="17" t="n">
        <x:v>10</x:v>
      </x:c>
      <x:c r="H301" s="17" t="str">
        <x:v>Slot</x:v>
      </x:c>
      <x:c r="I301" s="17" t="str">
        <x:v>BET/能量/金币/主进度通常可见；以事件帧为准</x:v>
      </x:c>
      <x:c r="J301" s="17" t="str">
        <x:v>否</x:v>
      </x:c>
      <x:c r="K301" s="17" t="str">
        <x:v>保留机制；缺逐 Spin 前后快照</x:v>
      </x:c>
      <x:c r="L301" s="18" t="str">
        <x:v>/Users/mac/Documents/智囊团/video_analysis/Top_Tycoon新号流程_20260804/frames/TT_NEW_04/TT_NEW_04_t003820.jpg</x:v>
      </x:c>
      <x:c r="M301" s="17" t="n">
        <x:v>3820</x:v>
      </x:c>
      <x:c r="N301" s="17" t="str">
        <x:v>已确认</x:v>
      </x:c>
      <x:c r="O301" s="17" t="str">
        <x:v>OCR 命中 SPIN/BET 词</x:v>
      </x:c>
      <x:c r="P301" s="17" t="str">
        <x:v>719000 | 2,873,902 | 12th | LOTs | 5 | 0% | 14:06:31 | 100% | 90% | +66 | 13d20h | 05d20h | ATTACK | 16 | 20h12m | 福 | 2075/4100 | 05d20h | 04d20h | 8 | Sale | 4% | 14h06m | 04d14h | 14h06m | 01d14h | FREE | 14h06m | 07d14h | BETx100 | BUFF | 50/50 | 9 | 14h06m | +2651 | SPIN | HOLD FOR AUTO SPIN | Helpothe | 2 | 0/1) | 14 | Game</x:v>
      </x:c>
    </x:row>
    <x:row r="302">
      <x:c r="A302" s="17" t="str">
        <x:v>SEG_04_117</x:v>
      </x:c>
      <x:c r="B302" s="17" t="str">
        <x:v>TT_NEW_04</x:v>
      </x:c>
      <x:c r="C302" s="17" t="n">
        <x:v>3830</x:v>
      </x:c>
      <x:c r="D302" s="17" t="n">
        <x:v>3839</x:v>
      </x:c>
      <x:c r="E302" s="17" t="str">
        <x:v>01:03:50</x:v>
      </x:c>
      <x:c r="F302" s="17" t="str">
        <x:v>01:03:59</x:v>
      </x:c>
      <x:c r="G302" s="17" t="n">
        <x:v>10</x:v>
      </x:c>
      <x:c r="H302" s="17" t="str">
        <x:v>建造</x:v>
      </x:c>
      <x:c r="I302" s="17" t="str">
        <x:v>金币可见；Site tasks/Next task cost 依画面</x:v>
      </x:c>
      <x:c r="J302" s="17" t="str">
        <x:v>否</x:v>
      </x:c>
      <x:c r="K302" s="17" t="str">
        <x:v>保留机制；待建造余额闭合</x:v>
      </x:c>
      <x:c r="L302" s="18" t="str">
        <x:v>/Users/mac/Documents/智囊团/video_analysis/Top_Tycoon新号流程_20260804/frames/TT_NEW_04/TT_NEW_04_t003830.jpg</x:v>
      </x:c>
      <x:c r="M302" s="17" t="n">
        <x:v>3830</x:v>
      </x:c>
      <x:c r="N302" s="17" t="str">
        <x:v>已确认</x:v>
      </x:c>
      <x:c r="O302" s="17" t="str">
        <x:v>OCR 命中建造/Site tasks 词</x:v>
      </x:c>
      <x:c r="P302" s="17" t="str">
        <x:v>Fel | 720000 | 116,153 | 12+h | 3/3 | Glow Shore | 30000/30000 | Showrewards | ister | 84 | MAX | Windmill | 02h06m | BUFF | 66 | Lighthouse | Helpotherplayers(0/1) | TOTAL EARNINGS | 20,831 | +720/Sec | 14 | Site</x:v>
      </x:c>
    </x:row>
    <x:row r="303">
      <x:c r="A303" s="17" t="str">
        <x:v>SEG_04_118</x:v>
      </x:c>
      <x:c r="B303" s="17" t="str">
        <x:v>TT_NEW_04</x:v>
      </x:c>
      <x:c r="C303" s="17" t="n">
        <x:v>3840</x:v>
      </x:c>
      <x:c r="D303" s="17" t="n">
        <x:v>3849</x:v>
      </x:c>
      <x:c r="E303" s="17" t="str">
        <x:v>01:04:00</x:v>
      </x:c>
      <x:c r="F303" s="17" t="str">
        <x:v>01:04:09</x:v>
      </x:c>
      <x:c r="G303" s="17" t="n">
        <x:v>10</x:v>
      </x:c>
      <x:c r="H303" s="17" t="str">
        <x:v>礼包</x:v>
      </x:c>
      <x:c r="I303" s="17" t="str">
        <x:v>价格/内容可能可见；未观察购买后余额</x:v>
      </x:c>
      <x:c r="J303" s="17" t="str">
        <x:v>否</x:v>
      </x:c>
      <x:c r="K303" s="17" t="str">
        <x:v>保留 offer_shown；无购买前后闭环</x:v>
      </x:c>
      <x:c r="L303" s="18" t="str">
        <x:v>/Users/mac/Documents/智囊团/video_analysis/Top_Tycoon新号流程_20260804/frames/TT_NEW_04/TT_NEW_04_t003840.jpg</x:v>
      </x:c>
      <x:c r="M303" s="17" t="n">
        <x:v>3840</x:v>
      </x:c>
      <x:c r="N303" s="17" t="str">
        <x:v>待复核</x:v>
      </x:c>
      <x:c r="O303" s="17" t="str">
        <x:v>画面原型近邻；margin=0.0026</x:v>
      </x:c>
      <x:c r="P303" s="17" t="str">
        <x:v>720000 | 116,153 | Coaster | BUFF | Windmill | Lighthouse | Help otherplayers (o/1) | 28,043 | +720/Sec | 14</x:v>
      </x:c>
    </x:row>
    <x:row r="304">
      <x:c r="A304" s="17" t="str">
        <x:v>SEG_04_119</x:v>
      </x:c>
      <x:c r="B304" s="17" t="str">
        <x:v>TT_NEW_04</x:v>
      </x:c>
      <x:c r="C304" s="17" t="n">
        <x:v>3850</x:v>
      </x:c>
      <x:c r="D304" s="17" t="n">
        <x:v>3859</x:v>
      </x:c>
      <x:c r="E304" s="17" t="str">
        <x:v>01:04:10</x:v>
      </x:c>
      <x:c r="F304" s="17" t="str">
        <x:v>01:04:19</x:v>
      </x:c>
      <x:c r="G304" s="17" t="n">
        <x:v>10</x:v>
      </x:c>
      <x:c r="H304" s="17" t="str">
        <x:v>小游戏</x:v>
      </x:c>
      <x:c r="I304" s="17" t="str">
        <x:v>玩法/奖励依画面；主资源常不全显</x:v>
      </x:c>
      <x:c r="J304" s="17" t="str">
        <x:v>否</x:v>
      </x:c>
      <x:c r="K304" s="17" t="str">
        <x:v>保留机制；完整核账窗口不足</x:v>
      </x:c>
      <x:c r="L304" s="18" t="str">
        <x:v>/Users/mac/Documents/智囊团/video_analysis/Top_Tycoon新号流程_20260804/frames/TT_NEW_04/TT_NEW_04_t003850.jpg</x:v>
      </x:c>
      <x:c r="M304" s="17" t="n">
        <x:v>3850</x:v>
      </x:c>
      <x:c r="N304" s="17" t="str">
        <x:v>待复核</x:v>
      </x:c>
      <x:c r="O304" s="17" t="str">
        <x:v>画面原型近邻；margin=0.0388</x:v>
      </x:c>
      <x:c r="P304" s="17" t="str">
        <x:v>0/2500 | 后K | T100 | Port | 720000 | D | 750 | Glow Shore | COMPLETED! | Emerald Trail | COLLECT</x:v>
      </x:c>
    </x:row>
    <x:row r="305">
      <x:c r="A305" s="17" t="str">
        <x:v>SEG_04_120</x:v>
      </x:c>
      <x:c r="B305" s="17" t="str">
        <x:v>TT_NEW_04</x:v>
      </x:c>
      <x:c r="C305" s="17" t="n">
        <x:v>3860</x:v>
      </x:c>
      <x:c r="D305" s="17" t="n">
        <x:v>3919</x:v>
      </x:c>
      <x:c r="E305" s="17" t="str">
        <x:v>01:04:20</x:v>
      </x:c>
      <x:c r="F305" s="17" t="str">
        <x:v>01:05:19</x:v>
      </x:c>
      <x:c r="G305" s="17" t="n">
        <x:v>60</x:v>
      </x:c>
      <x:c r="H305" s="17" t="str">
        <x:v>建造</x:v>
      </x:c>
      <x:c r="I305" s="17" t="str">
        <x:v>金币可见；Site tasks/Next task cost 依画面</x:v>
      </x:c>
      <x:c r="J305" s="17" t="str">
        <x:v>是</x:v>
      </x:c>
      <x:c r="K305" s="17" t="str">
        <x:v>保留：建造金币核账窗口</x:v>
      </x:c>
      <x:c r="L305" s="18" t="str">
        <x:v>/Users/mac/Documents/智囊团/video_analysis/Top_Tycoon新号流程_20260804/frames/TT_NEW_04/TT_NEW_04_t003890.jpg</x:v>
      </x:c>
      <x:c r="M305" s="17" t="n">
        <x:v>3890</x:v>
      </x:c>
      <x:c r="N305" s="17" t="str">
        <x:v>已确认</x:v>
      </x:c>
      <x:c r="O305" s="17" t="str">
        <x:v>OCR 命中建造/Site tasks 词; 画面原型近邻；margin=0.0059</x:v>
      </x:c>
      <x:c r="P305" s="17" t="str">
        <x:v>720000 | 116,153 | 12th | Port | 0/57000 | Showrewards | MAX | 02h05m | BUFF | Help otherplayers(o/1) | NEXT TASKCOST | TOTAL EARNINGS | 42,786 | 0975 | +720/Sec | 15 | Site | 721000 | 115,243 | 12th | Port | 1000/57000 | Showrewards | MAP | MAX | 02h05m | BUFF | Helpotherplayers(o/1) | NEXTTASKCOST | TOTALEARNINGS | 50,098 | 01,950 | +721/Sec | 15 | 22 | Site | 729000 | 58,709 | 12th | Port | 7000/57000 | Showrewards | MAP | MAX | 02h05m | BUFF | Helpotherplayers(o/1) | NEXT</x:v>
      </x:c>
    </x:row>
    <x:row r="306">
      <x:c r="A306" s="17" t="str">
        <x:v>SEG_04_121</x:v>
      </x:c>
      <x:c r="B306" s="17" t="str">
        <x:v>TT_NEW_04</x:v>
      </x:c>
      <x:c r="C306" s="17" t="n">
        <x:v>3920</x:v>
      </x:c>
      <x:c r="D306" s="17" t="n">
        <x:v>3929</x:v>
      </x:c>
      <x:c r="E306" s="17" t="str">
        <x:v>01:05:20</x:v>
      </x:c>
      <x:c r="F306" s="17" t="str">
        <x:v>01:05:29</x:v>
      </x:c>
      <x:c r="G306" s="17" t="n">
        <x:v>10</x:v>
      </x:c>
      <x:c r="H306" s="17" t="str">
        <x:v>小游戏</x:v>
      </x:c>
      <x:c r="I306" s="17" t="str">
        <x:v>玩法/奖励依画面；主资源常不全显</x:v>
      </x:c>
      <x:c r="J306" s="17" t="str">
        <x:v>否</x:v>
      </x:c>
      <x:c r="K306" s="17" t="str">
        <x:v>保留机制；完整核账窗口不足</x:v>
      </x:c>
      <x:c r="L306" s="18" t="str">
        <x:v>/Users/mac/Documents/智囊团/video_analysis/Top_Tycoon新号流程_20260804/frames/TT_NEW_04/TT_NEW_04_t003920.jpg</x:v>
      </x:c>
      <x:c r="M306" s="17" t="n">
        <x:v>3920</x:v>
      </x:c>
      <x:c r="N306" s="17" t="str">
        <x:v>已确认</x:v>
      </x:c>
      <x:c r="O306" s="17" t="str">
        <x:v>OCR 命中小游戏名称/玩法词</x:v>
      </x:c>
      <x:c r="P306" s="17" t="str">
        <x:v>How to Play? | 1400/2500 | Place hexes toearn cash | m | 100 | Collectcashforhammer | badges | RollerCoaster | Wind Far | 100 | 2800/10000 | Fill the bar to get rewards | 300K | Tap to Continue</x:v>
      </x:c>
    </x:row>
    <x:row r="307">
      <x:c r="A307" s="17" t="str">
        <x:v>SEG_04_122</x:v>
      </x:c>
      <x:c r="B307" s="17" t="str">
        <x:v>TT_NEW_04</x:v>
      </x:c>
      <x:c r="C307" s="17" t="n">
        <x:v>3930</x:v>
      </x:c>
      <x:c r="D307" s="17" t="n">
        <x:v>3939</x:v>
      </x:c>
      <x:c r="E307" s="17" t="str">
        <x:v>01:05:30</x:v>
      </x:c>
      <x:c r="F307" s="17" t="str">
        <x:v>01:05:39</x:v>
      </x:c>
      <x:c r="G307" s="17" t="n">
        <x:v>10</x:v>
      </x:c>
      <x:c r="H307" s="17" t="str">
        <x:v>礼包</x:v>
      </x:c>
      <x:c r="I307" s="17" t="str">
        <x:v>价格/内容可能可见；未观察购买后余额</x:v>
      </x:c>
      <x:c r="J307" s="17" t="str">
        <x:v>否</x:v>
      </x:c>
      <x:c r="K307" s="17" t="str">
        <x:v>保留 offer_shown；无购买前后闭环</x:v>
      </x:c>
      <x:c r="L307" s="18" t="str">
        <x:v>/Users/mac/Documents/智囊团/video_analysis/Top_Tycoon新号流程_20260804/frames/TT_NEW_04/TT_NEW_04_t003930.jpg</x:v>
      </x:c>
      <x:c r="M307" s="17" t="n">
        <x:v>3930</x:v>
      </x:c>
      <x:c r="N307" s="17" t="str">
        <x:v>待复核</x:v>
      </x:c>
      <x:c r="O307" s="17" t="str">
        <x:v>画面原型近邻；margin=0.0201</x:v>
      </x:c>
      <x:c r="P307" s="17" t="str">
        <x:v>JACK | BEANSTALK | X | 85 | OL= | OVER | 14 | 13 | 12 | 200/200</x:v>
      </x:c>
    </x:row>
    <x:row r="308">
      <x:c r="A308" s="17" t="str">
        <x:v>SEG_04_123</x:v>
      </x:c>
      <x:c r="B308" s="17" t="str">
        <x:v>TT_NEW_04</x:v>
      </x:c>
      <x:c r="C308" s="17" t="n">
        <x:v>3940</x:v>
      </x:c>
      <x:c r="D308" s="17" t="n">
        <x:v>3979</x:v>
      </x:c>
      <x:c r="E308" s="17" t="str">
        <x:v>01:05:40</x:v>
      </x:c>
      <x:c r="F308" s="17" t="str">
        <x:v>01:06:19</x:v>
      </x:c>
      <x:c r="G308" s="17" t="n">
        <x:v>40</x:v>
      </x:c>
      <x:c r="H308" s="17" t="str">
        <x:v>建造</x:v>
      </x:c>
      <x:c r="I308" s="17" t="str">
        <x:v>金币可见；Site tasks/Next task cost 依画面</x:v>
      </x:c>
      <x:c r="J308" s="17" t="str">
        <x:v>是</x:v>
      </x:c>
      <x:c r="K308" s="17" t="str">
        <x:v>保留：建造金币核账窗口</x:v>
      </x:c>
      <x:c r="L308" s="18" t="str">
        <x:v>/Users/mac/Documents/智囊团/video_analysis/Top_Tycoon新号流程_20260804/frames/TT_NEW_04/TT_NEW_04_t003960.jpg</x:v>
      </x:c>
      <x:c r="M308" s="17" t="n">
        <x:v>3960</x:v>
      </x:c>
      <x:c r="N308" s="17" t="str">
        <x:v>已确认</x:v>
      </x:c>
      <x:c r="O308" s="17" t="str">
        <x:v>OCR 命中建造/Site tasks 词</x:v>
      </x:c>
      <x:c r="P308" s="17" t="str">
        <x:v>730000 | 19,889 | 1211 | 10000/57000 | Showrewards | MAP | BUFF | 45 | 31K | 45 | 31K | 10m | Help other players (0/1) | NEXT TASK COST | 101,074 | 28,275 | +730/Sec | 15 | COLLECT | 730000 | 96,889 | 12h | Port | 10000/57000 | Showrewards | MAP | BUFF | PC | Hot dog | Carrot Muffin | Sheriff Badge | Christmas Bells | Butter Rolls | Candy Cane | other players (0/1) | NEXT TASK COST | 108,376 | 28,275 | +730/Sec | 15 | Site | 730000 | 127,889 | 12h | Port | 10000/57000 | Show </x:v>
      </x:c>
    </x:row>
    <x:row r="309">
      <x:c r="A309" s="17" t="str">
        <x:v>SEG_04_124</x:v>
      </x:c>
      <x:c r="B309" s="17" t="str">
        <x:v>TT_NEW_04</x:v>
      </x:c>
      <x:c r="C309" s="17" t="n">
        <x:v>3980</x:v>
      </x:c>
      <x:c r="D309" s="17" t="n">
        <x:v>3989</x:v>
      </x:c>
      <x:c r="E309" s="17" t="str">
        <x:v>01:06:20</x:v>
      </x:c>
      <x:c r="F309" s="17" t="str">
        <x:v>01:06:29</x:v>
      </x:c>
      <x:c r="G309" s="17" t="n">
        <x:v>10</x:v>
      </x:c>
      <x:c r="H309" s="17" t="str">
        <x:v>礼包</x:v>
      </x:c>
      <x:c r="I309" s="17" t="str">
        <x:v>价格/内容可能可见；未观察购买后余额</x:v>
      </x:c>
      <x:c r="J309" s="17" t="str">
        <x:v>否</x:v>
      </x:c>
      <x:c r="K309" s="17" t="str">
        <x:v>保留 offer_shown；无购买前后闭环</x:v>
      </x:c>
      <x:c r="L309" s="18" t="str">
        <x:v>/Users/mac/Documents/智囊团/video_analysis/Top_Tycoon新号流程_20260804/frames/TT_NEW_04/TT_NEW_04_t003980.jpg</x:v>
      </x:c>
      <x:c r="M309" s="17" t="n">
        <x:v>3980</x:v>
      </x:c>
      <x:c r="N309" s="17" t="str">
        <x:v>待复核</x:v>
      </x:c>
      <x:c r="O309" s="17" t="str">
        <x:v>画面原型近邻；margin=0.0286</x:v>
      </x:c>
      <x:c r="P309" s="17" t="str">
        <x:v>733000 | 12 | MASTERS | X | SEASON3 | MY LEAGUE | STANDINGS | Phase 11in progress | ·BEGINNER | 04d 14h | 11 | Johnnyb | M | 46 | 12 | ali.f | 20 | 13 | Jess | 20 | 14 | Avo | 19 | 中Trojzubec | 15 | romi | 4 | Swiss | 12 | 118d 14h | 42.900 | Site</x:v>
      </x:c>
    </x:row>
    <x:row r="310">
      <x:c r="A310" s="17" t="str">
        <x:v>SEG_04_125</x:v>
      </x:c>
      <x:c r="B310" s="17" t="str">
        <x:v>TT_NEW_04</x:v>
      </x:c>
      <x:c r="C310" s="17" t="n">
        <x:v>3990</x:v>
      </x:c>
      <x:c r="D310" s="17" t="n">
        <x:v>3995</x:v>
      </x:c>
      <x:c r="E310" s="17" t="str">
        <x:v>01:06:30</x:v>
      </x:c>
      <x:c r="F310" s="17" t="str">
        <x:v>01:06:35</x:v>
      </x:c>
      <x:c r="G310" s="17" t="n">
        <x:v>6</x:v>
      </x:c>
      <x:c r="H310" s="17" t="str">
        <x:v>Slot</x:v>
      </x:c>
      <x:c r="I310" s="17" t="str">
        <x:v>BET/能量/金币/主进度通常可见；以事件帧为准</x:v>
      </x:c>
      <x:c r="J310" s="17" t="str">
        <x:v>否</x:v>
      </x:c>
      <x:c r="K310" s="17" t="str">
        <x:v>保留机制；缺逐 Spin 前后快照</x:v>
      </x:c>
      <x:c r="L310" s="18" t="str">
        <x:v>/Users/mac/Documents/智囊团/video_analysis/Top_Tycoon新号流程_20260804/frames/TT_NEW_04/TT_NEW_04_t003990.jpg</x:v>
      </x:c>
      <x:c r="M310" s="17" t="n">
        <x:v>3990</x:v>
      </x:c>
      <x:c r="N310" s="17" t="str">
        <x:v>已确认</x:v>
      </x:c>
      <x:c r="O310" s="17" t="str">
        <x:v>OCR 命中 SPIN/BET 词</x:v>
      </x:c>
      <x:c r="P310" s="17" t="str">
        <x:v>733000 | 33,869 | 12th | QUES | SLOTs | 5 | 0% | 14:03:41 | 100% | 90% | +66 | 13d20h | 05d20h | + 264000 | H | 16 | 20h09m | 福 | 2075/4100 | 05d20h | 04d20h | 5K | 26 | 8 | Sale | 4% | 14h03m | 04d14h | 14h03m | 01d14h | FREE | 14h03m | 07d14h | BETx100 | BUFF | 50/50 | 14h03m | SPIN | HOLD FOR AUTO SPIN | Helpotherplayers(o/1) | 15 | Game</x:v>
      </x:c>
    </x:row>
    <x:row r="311">
      <x:c r="A311" s="17" t="str">
        <x:v>SEG_05_001</x:v>
      </x:c>
      <x:c r="B311" s="17" t="str">
        <x:v>TT_NEW_05</x:v>
      </x:c>
      <x:c r="C311" s="17" t="n">
        <x:v>0</x:v>
      </x:c>
      <x:c r="D311" s="17" t="n">
        <x:v>59</x:v>
      </x:c>
      <x:c r="E311" s="17" t="str">
        <x:v>00:00:00</x:v>
      </x:c>
      <x:c r="F311" s="17" t="str">
        <x:v>00:00:59</x:v>
      </x:c>
      <x:c r="G311" s="17" t="n">
        <x:v>60</x:v>
      </x:c>
      <x:c r="H311" s="17" t="str">
        <x:v>建造</x:v>
      </x:c>
      <x:c r="I311" s="17" t="str">
        <x:v>金币可见；Site tasks/Next task cost 依画面</x:v>
      </x:c>
      <x:c r="J311" s="17" t="str">
        <x:v>否</x:v>
      </x:c>
      <x:c r="K311" s="17" t="str">
        <x:v>保留机制；待建造余额闭合</x:v>
      </x:c>
      <x:c r="L311" s="18" t="str">
        <x:v>/Users/mac/Documents/智囊团/video_analysis/Top_Tycoon新号流程_20260804/frames/TT_NEW_05/TT_NEW_05_t000030.jpg</x:v>
      </x:c>
      <x:c r="M311" s="17" t="n">
        <x:v>30</x:v>
      </x:c>
      <x:c r="N311" s="17" t="str">
        <x:v>待复核</x:v>
      </x:c>
      <x:c r="O311" s="17" t="str">
        <x:v>OCR 命中建造/Site tasks 词; 画面原型近邻；margin=0.0118; 画面原型近邻；margin=0.0121; 画面原型近邻；margin=0.0138; 画面原型近邻；margin=0.0141</x:v>
      </x:c>
      <x:c r="P311" s="17" t="str">
        <x:v>TOP | TYCOON | Loading... | 32% | PkgName:Main 2.4 MB/7.6 MB | TOP | TYCOON | Loading... | 90% | PkgName:Main 6.8MB/7.6 MB | TOP | TYCOON | Loading... | 60% | PkgName:Logic 3.0 MB/5.0 MB | TOP | TYCOON | Loading... | 4% | PkgName:Building708.6KB/16.5 MB | TOP | TYCOON | Loading... | 55% | PkgName:Building9.0 MB/16.5MB | TOP | TYCOON | Loading... | 20025043327</x:v>
      </x:c>
    </x:row>
    <x:row r="312">
      <x:c r="A312" s="17" t="str">
        <x:v>SEG_05_002</x:v>
      </x:c>
      <x:c r="B312" s="17" t="str">
        <x:v>TT_NEW_05</x:v>
      </x:c>
      <x:c r="C312" s="17" t="n">
        <x:v>60</x:v>
      </x:c>
      <x:c r="D312" s="17" t="n">
        <x:v>109</x:v>
      </x:c>
      <x:c r="E312" s="17" t="str">
        <x:v>00:01:00</x:v>
      </x:c>
      <x:c r="F312" s="17" t="str">
        <x:v>00:01:49</x:v>
      </x:c>
      <x:c r="G312" s="17" t="n">
        <x:v>50</x:v>
      </x:c>
      <x:c r="H312" s="17" t="str">
        <x:v>Slot</x:v>
      </x:c>
      <x:c r="I312" s="17" t="str">
        <x:v>BET/能量/金币/主进度通常可见；以事件帧为准</x:v>
      </x:c>
      <x:c r="J312" s="17" t="str">
        <x:v>否</x:v>
      </x:c>
      <x:c r="K312" s="17" t="str">
        <x:v>保留机制；缺逐 Spin 前后快照</x:v>
      </x:c>
      <x:c r="L312" s="18" t="str">
        <x:v>/Users/mac/Documents/智囊团/video_analysis/Top_Tycoon新号流程_20260804/frames/TT_NEW_05/TT_NEW_05_t000080.jpg</x:v>
      </x:c>
      <x:c r="M312" s="17" t="n">
        <x:v>80</x:v>
      </x:c>
      <x:c r="N312" s="17" t="str">
        <x:v>已确认</x:v>
      </x:c>
      <x:c r="O312" s="17" t="str">
        <x:v>OCR 命中 SPIN/BET 词; 相邻两侧同模块，平滑孤立原型误差</x:v>
      </x:c>
      <x:c r="P312" s="17" t="str">
        <x:v>33,869 | 28th | 0/3 | BEGINNER | 0% | OVER | CALENDAR | 5 | 22 | Day1 | Day2 | Day3 | H | 00 | oo | Day 4 | Day 5 | Day 6 | H | oo | 200K | 100 | 230K | Day 7 | 240 | 580K | Spin in the slots (o/10) | 15 | COLLECT | 733000 | 33,869 | 28th | 0% | OVER | 2075/4100 | SALE | 180K | BETx100 | 50/50 | SPIN | Spin in the slots(o/10) | 15 | COLLECT | 733000 | 213,869 | 28th | TRAVEI | TOURNAMENT | TouRNAMENT IS OVEr | MaLeta | 340K | 650 | 5400 | ali.f | 240K | 330 | 4735 | Ryan | 17</x:v>
      </x:c>
    </x:row>
    <x:row r="313">
      <x:c r="A313" s="17" t="str">
        <x:v>SEG_05_003</x:v>
      </x:c>
      <x:c r="B313" s="17" t="str">
        <x:v>TT_NEW_05</x:v>
      </x:c>
      <x:c r="C313" s="17" t="n">
        <x:v>110</x:v>
      </x:c>
      <x:c r="D313" s="17" t="n">
        <x:v>129</x:v>
      </x:c>
      <x:c r="E313" s="17" t="str">
        <x:v>00:01:50</x:v>
      </x:c>
      <x:c r="F313" s="17" t="str">
        <x:v>00:02:09</x:v>
      </x:c>
      <x:c r="G313" s="17" t="n">
        <x:v>20</x:v>
      </x:c>
      <x:c r="H313" s="17" t="str">
        <x:v>礼包</x:v>
      </x:c>
      <x:c r="I313" s="17" t="str">
        <x:v>价格/内容可能可见；未观察购买后余额</x:v>
      </x:c>
      <x:c r="J313" s="17" t="str">
        <x:v>否</x:v>
      </x:c>
      <x:c r="K313" s="17" t="str">
        <x:v>保留 offer_shown；无购买前后闭环</x:v>
      </x:c>
      <x:c r="L313" s="18" t="str">
        <x:v>/Users/mac/Documents/智囊团/video_analysis/Top_Tycoon新号流程_20260804/frames/TT_NEW_05/TT_NEW_05_t000120.jpg</x:v>
      </x:c>
      <x:c r="M313" s="17" t="n">
        <x:v>120</x:v>
      </x:c>
      <x:c r="N313" s="17" t="str">
        <x:v>已确认</x:v>
      </x:c>
      <x:c r="O313" s="17" t="str">
        <x:v>OCR 命中价格/商店词</x:v>
      </x:c>
      <x:c r="P313" s="17" t="str">
        <x:v>733000 | 453,869 | 28th | 01d16h | JUNGLE | DEALS | 450 | 15m | 110 | HK$40.00 | FREE | 140 | 560 | 690K | FREE | HK$40.00 | 1.4K | 20m | 430 | HK$63.00 | FREE | Spin in the slots | 777 | 15 | Game | 733000 | 453,869 | 4,267 | PRIVILEGES | +20% | BEGINNER | Calendar Spins | FREE GIFT | FREE | MISSION PASS | UPTO | 7.1K | HK$55.90 | Activate | 6.6K | 4.1M | 100 | Champion's Pack | HK$788.00 | 4.3K | 2.6M | 70 | 1 | 15 | Shop</x:v>
      </x:c>
    </x:row>
    <x:row r="314">
      <x:c r="A314" s="17" t="str">
        <x:v>SEG_05_004</x:v>
      </x:c>
      <x:c r="B314" s="17" t="str">
        <x:v>TT_NEW_05</x:v>
      </x:c>
      <x:c r="C314" s="17" t="n">
        <x:v>130</x:v>
      </x:c>
      <x:c r="D314" s="17" t="n">
        <x:v>149</x:v>
      </x:c>
      <x:c r="E314" s="17" t="str">
        <x:v>00:02:10</x:v>
      </x:c>
      <x:c r="F314" s="17" t="str">
        <x:v>00:02:29</x:v>
      </x:c>
      <x:c r="G314" s="17" t="n">
        <x:v>20</x:v>
      </x:c>
      <x:c r="H314" s="17" t="str">
        <x:v>建造</x:v>
      </x:c>
      <x:c r="I314" s="17" t="str">
        <x:v>金币可见；Site tasks/Next task cost 依画面</x:v>
      </x:c>
      <x:c r="J314" s="17" t="str">
        <x:v>是</x:v>
      </x:c>
      <x:c r="K314" s="17" t="str">
        <x:v>保留：建造金币核账窗口</x:v>
      </x:c>
      <x:c r="L314" s="18" t="str">
        <x:v>/Users/mac/Documents/智囊团/video_analysis/Top_Tycoon新号流程_20260804/frames/TT_NEW_05/TT_NEW_05_t000140.jpg</x:v>
      </x:c>
      <x:c r="M314" s="17" t="n">
        <x:v>140</x:v>
      </x:c>
      <x:c r="N314" s="17" t="str">
        <x:v>已确认</x:v>
      </x:c>
      <x:c r="O314" s="17" t="str">
        <x:v>OCR 命中建造/Site tasks 词</x:v>
      </x:c>
      <x:c r="P314" s="17" t="str">
        <x:v>734000 | 1,204,639 | 28th | 0/3 | Port | 13000/57000 | Showrewards | MAP | Spin in the slots(o/10) | +1/SeCIGS | NEXTTASKCOST | 1,157 | 66,300 | +733/Sec | 15 | 222 | Site | 744000 | 63,940 | 28th | 0/3 | Port | 24000/57000 | Showrewards | MAP | Insufficient coins | Spin inthe slots(o/10) | NEXTTASKCOST | TOTALEARNINGS | 8,893 | 175,500 | +744/Sec | 15 | Site</x:v>
      </x:c>
    </x:row>
    <x:row r="315">
      <x:c r="A315" s="17" t="str">
        <x:v>SEG_05_005</x:v>
      </x:c>
      <x:c r="B315" s="17" t="str">
        <x:v>TT_NEW_05</x:v>
      </x:c>
      <x:c r="C315" s="17" t="n">
        <x:v>150</x:v>
      </x:c>
      <x:c r="D315" s="17" t="n">
        <x:v>169</x:v>
      </x:c>
      <x:c r="E315" s="17" t="str">
        <x:v>00:02:30</x:v>
      </x:c>
      <x:c r="F315" s="17" t="str">
        <x:v>00:02:49</x:v>
      </x:c>
      <x:c r="G315" s="17" t="n">
        <x:v>20</x:v>
      </x:c>
      <x:c r="H315" s="17" t="str">
        <x:v>Slot</x:v>
      </x:c>
      <x:c r="I315" s="17" t="str">
        <x:v>BET/能量/金币/主进度通常可见；以事件帧为准</x:v>
      </x:c>
      <x:c r="J315" s="17" t="str">
        <x:v>否</x:v>
      </x:c>
      <x:c r="K315" s="17" t="str">
        <x:v>保留机制；缺逐 Spin 前后快照</x:v>
      </x:c>
      <x:c r="L315" s="18" t="str">
        <x:v>/Users/mac/Documents/智囊团/video_analysis/Top_Tycoon新号流程_20260804/frames/TT_NEW_05/TT_NEW_05_t000160.jpg</x:v>
      </x:c>
      <x:c r="M315" s="17" t="n">
        <x:v>160</x:v>
      </x:c>
      <x:c r="N315" s="17" t="str">
        <x:v>已确认</x:v>
      </x:c>
      <x:c r="O315" s="17" t="str">
        <x:v>OCR 命中 SPIN/BET 词</x:v>
      </x:c>
      <x:c r="P315" s="17" t="str">
        <x:v>744000 | 63,940 | 28th | 0/3 | QUES | SLoTs | 5 | 0% | 16:11:07 | 90% | +66 | 10d22h | 02d22h | H | 02d22h | 01d16h | 17 | Sale | 01d16h | 01d22h | FREE | SPIN | 16h11m | 16h11m | 4% | 16h11m | 01d16h | BETx100 | SALE | 50/50 | 01d16h | +4223 | 01d16h | SPIN | 0% | 16h11m | HOLD FOR AUTO | Spin in the slots(o/10) | 15 | Game | CSTRiKE? | How to Play? | 190 | Play slots to get tokens! | 01d 16h | Use tokens to hunt | treasure! | 99 | Land on Surprise Boxesto | enterinnerrings!</x:v>
      </x:c>
    </x:row>
    <x:row r="316">
      <x:c r="A316" s="17" t="str">
        <x:v>SEG_05_006</x:v>
      </x:c>
      <x:c r="B316" s="17" t="str">
        <x:v>TT_NEW_05</x:v>
      </x:c>
      <x:c r="C316" s="17" t="n">
        <x:v>170</x:v>
      </x:c>
      <x:c r="D316" s="17" t="n">
        <x:v>179</x:v>
      </x:c>
      <x:c r="E316" s="17" t="str">
        <x:v>00:02:50</x:v>
      </x:c>
      <x:c r="F316" s="17" t="str">
        <x:v>00:02:59</x:v>
      </x:c>
      <x:c r="G316" s="17" t="n">
        <x:v>10</x:v>
      </x:c>
      <x:c r="H316" s="17" t="str">
        <x:v>小游戏</x:v>
      </x:c>
      <x:c r="I316" s="17" t="str">
        <x:v>玩法/奖励依画面；主资源常不全显</x:v>
      </x:c>
      <x:c r="J316" s="17" t="str">
        <x:v>否</x:v>
      </x:c>
      <x:c r="K316" s="17" t="str">
        <x:v>保留机制；完整核账窗口不足</x:v>
      </x:c>
      <x:c r="L316" s="18" t="str">
        <x:v>/Users/mac/Documents/智囊团/video_analysis/Top_Tycoon新号流程_20260804/frames/TT_NEW_05/TT_NEW_05_t000170.jpg</x:v>
      </x:c>
      <x:c r="M316" s="17" t="n">
        <x:v>170</x:v>
      </x:c>
      <x:c r="N316" s="17" t="str">
        <x:v>已确认</x:v>
      </x:c>
      <x:c r="O316" s="17" t="str">
        <x:v>OCR 命中小游戏名称/玩法词</x:v>
      </x:c>
      <x:c r="P316" s="17" t="str">
        <x:v>GSTRiKE? | X | 750 | 190 | 01d16h | 230K | 460K | 120K | 120K | 350K | 230K | 120K | x1 | Skip animation | 2 | +</x:v>
      </x:c>
    </x:row>
    <x:row r="317">
      <x:c r="A317" s="17" t="str">
        <x:v>SEG_05_007</x:v>
      </x:c>
      <x:c r="B317" s="17" t="str">
        <x:v>TT_NEW_05</x:v>
      </x:c>
      <x:c r="C317" s="17" t="n">
        <x:v>180</x:v>
      </x:c>
      <x:c r="D317" s="17" t="n">
        <x:v>189</x:v>
      </x:c>
      <x:c r="E317" s="17" t="str">
        <x:v>00:03:00</x:v>
      </x:c>
      <x:c r="F317" s="17" t="str">
        <x:v>00:03:09</x:v>
      </x:c>
      <x:c r="G317" s="17" t="n">
        <x:v>10</x:v>
      </x:c>
      <x:c r="H317" s="17" t="str">
        <x:v>礼包</x:v>
      </x:c>
      <x:c r="I317" s="17" t="str">
        <x:v>价格/内容可能可见；未观察购买后余额</x:v>
      </x:c>
      <x:c r="J317" s="17" t="str">
        <x:v>否</x:v>
      </x:c>
      <x:c r="K317" s="17" t="str">
        <x:v>保留 offer_shown；无购买前后闭环</x:v>
      </x:c>
      <x:c r="L317" s="18" t="str">
        <x:v>/Users/mac/Documents/智囊团/video_analysis/Top_Tycoon新号流程_20260804/frames/TT_NEW_05/TT_NEW_05_t000180.jpg</x:v>
      </x:c>
      <x:c r="M317" s="17" t="n">
        <x:v>180</x:v>
      </x:c>
      <x:c r="N317" s="17" t="str">
        <x:v>已确认</x:v>
      </x:c>
      <x:c r="O317" s="17" t="str">
        <x:v>OCR 命中价格/商店词</x:v>
      </x:c>
      <x:c r="P317" s="17" t="str">
        <x:v>STRiKE? | LUCKY | H | 25% | OFF | 110 | 450 | 15 | HK$25.00 | HK$70.90 | 01d16h</x:v>
      </x:c>
    </x:row>
    <x:row r="318">
      <x:c r="A318" s="17" t="str">
        <x:v>SEG_05_008</x:v>
      </x:c>
      <x:c r="B318" s="17" t="str">
        <x:v>TT_NEW_05</x:v>
      </x:c>
      <x:c r="C318" s="17" t="n">
        <x:v>190</x:v>
      </x:c>
      <x:c r="D318" s="17" t="n">
        <x:v>209</x:v>
      </x:c>
      <x:c r="E318" s="17" t="str">
        <x:v>00:03:10</x:v>
      </x:c>
      <x:c r="F318" s="17" t="str">
        <x:v>00:03:29</x:v>
      </x:c>
      <x:c r="G318" s="17" t="n">
        <x:v>20</x:v>
      </x:c>
      <x:c r="H318" s="17" t="str">
        <x:v>小游戏</x:v>
      </x:c>
      <x:c r="I318" s="17" t="str">
        <x:v>玩法/奖励依画面；主资源常不全显</x:v>
      </x:c>
      <x:c r="J318" s="17" t="str">
        <x:v>否</x:v>
      </x:c>
      <x:c r="K318" s="17" t="str">
        <x:v>保留机制；完整核账窗口不足</x:v>
      </x:c>
      <x:c r="L318" s="18" t="str">
        <x:v>/Users/mac/Documents/智囊团/video_analysis/Top_Tycoon新号流程_20260804/frames/TT_NEW_05/TT_NEW_05_t000200.jpg</x:v>
      </x:c>
      <x:c r="M318" s="17" t="n">
        <x:v>200</x:v>
      </x:c>
      <x:c r="N318" s="17" t="str">
        <x:v>已确认</x:v>
      </x:c>
      <x:c r="O318" s="17" t="str">
        <x:v>OCR 命中小游戏名称/玩法词</x:v>
      </x:c>
      <x:c r="P318" s="17" t="str">
        <x:v>GSTRiKE? | X | 750 | 190 | 01d16h | 120K | 230K | 460K | 120K | 120K | 350K | 230K | 120K | x1 | Skip animation | + | GSTRiKE? | X | 750 | 190 | 01d16h | 120k | 230K | 460K | 120K | 120K | 8 | 350K | 230K | 120K | x1 | Skip animation | 十</x:v>
      </x:c>
    </x:row>
    <x:row r="319">
      <x:c r="A319" s="17" t="str">
        <x:v>SEG_05_009</x:v>
      </x:c>
      <x:c r="B319" s="17" t="str">
        <x:v>TT_NEW_05</x:v>
      </x:c>
      <x:c r="C319" s="17" t="n">
        <x:v>210</x:v>
      </x:c>
      <x:c r="D319" s="17" t="n">
        <x:v>219</x:v>
      </x:c>
      <x:c r="E319" s="17" t="str">
        <x:v>00:03:30</x:v>
      </x:c>
      <x:c r="F319" s="17" t="str">
        <x:v>00:03:39</x:v>
      </x:c>
      <x:c r="G319" s="17" t="n">
        <x:v>10</x:v>
      </x:c>
      <x:c r="H319" s="17" t="str">
        <x:v>礼包</x:v>
      </x:c>
      <x:c r="I319" s="17" t="str">
        <x:v>价格/内容可能可见；未观察购买后余额</x:v>
      </x:c>
      <x:c r="J319" s="17" t="str">
        <x:v>否</x:v>
      </x:c>
      <x:c r="K319" s="17" t="str">
        <x:v>保留 offer_shown；无购买前后闭环</x:v>
      </x:c>
      <x:c r="L319" s="18" t="str">
        <x:v>/Users/mac/Documents/智囊团/video_analysis/Top_Tycoon新号流程_20260804/frames/TT_NEW_05/TT_NEW_05_t000210.jpg</x:v>
      </x:c>
      <x:c r="M319" s="17" t="n">
        <x:v>210</x:v>
      </x:c>
      <x:c r="N319" s="17" t="str">
        <x:v>已确认</x:v>
      </x:c>
      <x:c r="O319" s="17" t="str">
        <x:v>OCR 命中价格/商店词</x:v>
      </x:c>
      <x:c r="P319" s="17" t="str">
        <x:v>CSTRiKE? | X | 25% | OFF | 110 | 450 | 15 | HK$25.00 | HK$70.90 | 01d 16h</x:v>
      </x:c>
    </x:row>
    <x:row r="320">
      <x:c r="A320" s="17" t="str">
        <x:v>SEG_05_010</x:v>
      </x:c>
      <x:c r="B320" s="17" t="str">
        <x:v>TT_NEW_05</x:v>
      </x:c>
      <x:c r="C320" s="17" t="n">
        <x:v>220</x:v>
      </x:c>
      <x:c r="D320" s="17" t="n">
        <x:v>269</x:v>
      </x:c>
      <x:c r="E320" s="17" t="str">
        <x:v>00:03:40</x:v>
      </x:c>
      <x:c r="F320" s="17" t="str">
        <x:v>00:04:29</x:v>
      </x:c>
      <x:c r="G320" s="17" t="n">
        <x:v>50</x:v>
      </x:c>
      <x:c r="H320" s="17" t="str">
        <x:v>小游戏</x:v>
      </x:c>
      <x:c r="I320" s="17" t="str">
        <x:v>玩法/奖励依画面；主资源常不全显</x:v>
      </x:c>
      <x:c r="J320" s="17" t="str">
        <x:v>否</x:v>
      </x:c>
      <x:c r="K320" s="17" t="str">
        <x:v>保留机制；完整核账窗口不足</x:v>
      </x:c>
      <x:c r="L320" s="18" t="str">
        <x:v>/Users/mac/Documents/智囊团/video_analysis/Top_Tycoon新号流程_20260804/frames/TT_NEW_05/TT_NEW_05_t000240.jpg</x:v>
      </x:c>
      <x:c r="M320" s="17" t="n">
        <x:v>240</x:v>
      </x:c>
      <x:c r="N320" s="17" t="str">
        <x:v>待复核</x:v>
      </x:c>
      <x:c r="O320" s="17" t="str">
        <x:v>OCR 命中小游戏名称/玩法词; 画面原型近邻；margin=0.0518; 画面原型近邻；margin=0.0520; 画面原型近邻；margin=0.0528; 画面原型近邻；margin=0.1315</x:v>
      </x:c>
      <x:c r="P320" s="17" t="str">
        <x:v>1 | 1 | X | 00 | 1500 | 380 | 35 | Usethehammertowhack | the Piggies! | Tycoon | 5 | 1 | X | 0 | 1500 | 380 | 35 | CollectSymbols towin | big! | Tycoon | 5 | 1 | 1 | X | 1500 | 380 | 35 | 14K | 2 | 2 | 1500 | 380 | 35 | 14K | 14K | 2 | 2 | X | 1500 | 380 | 35 | 14K</x:v>
      </x:c>
    </x:row>
    <x:row r="321">
      <x:c r="A321" s="17" t="str">
        <x:v>SEG_05_011</x:v>
      </x:c>
      <x:c r="B321" s="17" t="str">
        <x:v>TT_NEW_05</x:v>
      </x:c>
      <x:c r="C321" s="17" t="n">
        <x:v>270</x:v>
      </x:c>
      <x:c r="D321" s="17" t="n">
        <x:v>279</x:v>
      </x:c>
      <x:c r="E321" s="17" t="str">
        <x:v>00:04:30</x:v>
      </x:c>
      <x:c r="F321" s="17" t="str">
        <x:v>00:04:39</x:v>
      </x:c>
      <x:c r="G321" s="17" t="n">
        <x:v>10</x:v>
      </x:c>
      <x:c r="H321" s="17" t="str">
        <x:v>礼包</x:v>
      </x:c>
      <x:c r="I321" s="17" t="str">
        <x:v>价格/内容可能可见；未观察购买后余额</x:v>
      </x:c>
      <x:c r="J321" s="17" t="str">
        <x:v>否</x:v>
      </x:c>
      <x:c r="K321" s="17" t="str">
        <x:v>保留 offer_shown；无购买前后闭环</x:v>
      </x:c>
      <x:c r="L321" s="18" t="str">
        <x:v>/Users/mac/Documents/智囊团/video_analysis/Top_Tycoon新号流程_20260804/frames/TT_NEW_05/TT_NEW_05_t000270.jpg</x:v>
      </x:c>
      <x:c r="M321" s="17" t="n">
        <x:v>270</x:v>
      </x:c>
      <x:c r="N321" s="17" t="str">
        <x:v>已确认</x:v>
      </x:c>
      <x:c r="O321" s="17" t="str">
        <x:v>OCR 命中价格/商店词</x:v>
      </x:c>
      <x:c r="P321" s="17" t="str">
        <x:v>PIGGY PASS | 01d 16h | 0/1 | 3 | HK$40.00 | FREE PASS | GOLD PASS | 17K | 470 | 17K | 17K | Locked | 3 | 17K | 52K | CLAIM ALL</x:v>
      </x:c>
    </x:row>
    <x:row r="322">
      <x:c r="A322" s="17" t="str">
        <x:v>SEG_05_012</x:v>
      </x:c>
      <x:c r="B322" s="17" t="str">
        <x:v>TT_NEW_05</x:v>
      </x:c>
      <x:c r="C322" s="17" t="n">
        <x:v>280</x:v>
      </x:c>
      <x:c r="D322" s="17" t="n">
        <x:v>289</x:v>
      </x:c>
      <x:c r="E322" s="17" t="str">
        <x:v>00:04:40</x:v>
      </x:c>
      <x:c r="F322" s="17" t="str">
        <x:v>00:04:49</x:v>
      </x:c>
      <x:c r="G322" s="17" t="n">
        <x:v>10</x:v>
      </x:c>
      <x:c r="H322" s="17" t="str">
        <x:v>Slot</x:v>
      </x:c>
      <x:c r="I322" s="17" t="str">
        <x:v>BET/能量/金币/主进度通常可见；以事件帧为准</x:v>
      </x:c>
      <x:c r="J322" s="17" t="str">
        <x:v>否</x:v>
      </x:c>
      <x:c r="K322" s="17" t="str">
        <x:v>保留机制；缺逐 Spin 前后快照</x:v>
      </x:c>
      <x:c r="L322" s="18" t="str">
        <x:v>/Users/mac/Documents/智囊团/video_analysis/Top_Tycoon新号流程_20260804/frames/TT_NEW_05/TT_NEW_05_t000280.jpg</x:v>
      </x:c>
      <x:c r="M322" s="17" t="n">
        <x:v>280</x:v>
      </x:c>
      <x:c r="N322" s="17" t="str">
        <x:v>已确认</x:v>
      </x:c>
      <x:c r="O322" s="17" t="str">
        <x:v>OCR 命中 SPIN/BET 词</x:v>
      </x:c>
      <x:c r="P322" s="17" t="str">
        <x:v>744000 | 225,940 | 28th | 0/3 | QUES | SLoTs | 5 | 0% | 16:08:57 | 90% | +66 | 10d22h | 02d22h | H | 01d23h | 0/10 | 02d22h | 01d16h | Sale | 01d16h | 01d22h | FREE | SPIN | 16h08m | 16h08m | 4% | 16h08m | 01d16h | BETx100 | SALE | 50/50 | 01d16h | +4226 | 01d16h | SPIN | 0% | 16h08m | HOLD FOR AUTO | Spin in the slots(o/10) | 15 | Game</x:v>
      </x:c>
    </x:row>
    <x:row r="323">
      <x:c r="A323" s="17" t="str">
        <x:v>SEG_05_013</x:v>
      </x:c>
      <x:c r="B323" s="17" t="str">
        <x:v>TT_NEW_05</x:v>
      </x:c>
      <x:c r="C323" s="17" t="n">
        <x:v>290</x:v>
      </x:c>
      <x:c r="D323" s="17" t="n">
        <x:v>309</x:v>
      </x:c>
      <x:c r="E323" s="17" t="str">
        <x:v>00:04:50</x:v>
      </x:c>
      <x:c r="F323" s="17" t="str">
        <x:v>00:05:09</x:v>
      </x:c>
      <x:c r="G323" s="17" t="n">
        <x:v>20</x:v>
      </x:c>
      <x:c r="H323" s="17" t="str">
        <x:v>礼包</x:v>
      </x:c>
      <x:c r="I323" s="17" t="str">
        <x:v>价格/内容可能可见；未观察购买后余额</x:v>
      </x:c>
      <x:c r="J323" s="17" t="str">
        <x:v>否</x:v>
      </x:c>
      <x:c r="K323" s="17" t="str">
        <x:v>保留 offer_shown；无购买前后闭环</x:v>
      </x:c>
      <x:c r="L323" s="18" t="str">
        <x:v>/Users/mac/Documents/智囊团/video_analysis/Top_Tycoon新号流程_20260804/frames/TT_NEW_05/TT_NEW_05_t000300.jpg</x:v>
      </x:c>
      <x:c r="M323" s="17" t="n">
        <x:v>300</x:v>
      </x:c>
      <x:c r="N323" s="17" t="str">
        <x:v>已确认</x:v>
      </x:c>
      <x:c r="O323" s="17" t="str">
        <x:v>OCR 命中价格/商店词</x:v>
      </x:c>
      <x:c r="P323" s="17" t="str">
        <x:v>PIGGY PASS | 01d 16h | 0/1 | 3 | HK$40.00 | FREE PASS | GOLD PASS | 17K | 470 | 17K | 17K | Locked | 3 | 17K | 52K | CLAIM ALL | 744000 | 225,940 | 4,276 | 4.3K | 2.6M | 70 | Ultra Pack | HK$549.00 | 2.3K | 50 | Mega Pack | HK$318.00 | 1.1K | 640K | 20 | Super Pack | HK$158.00 | 490 | 300K | 10 | Architect Pack | HK$78.00 | 15 | Shop</x:v>
      </x:c>
    </x:row>
    <x:row r="324">
      <x:c r="A324" s="17" t="str">
        <x:v>SEG_05_014</x:v>
      </x:c>
      <x:c r="B324" s="17" t="str">
        <x:v>TT_NEW_05</x:v>
      </x:c>
      <x:c r="C324" s="17" t="n">
        <x:v>310</x:v>
      </x:c>
      <x:c r="D324" s="17" t="n">
        <x:v>389</x:v>
      </x:c>
      <x:c r="E324" s="17" t="str">
        <x:v>00:05:10</x:v>
      </x:c>
      <x:c r="F324" s="17" t="str">
        <x:v>00:06:29</x:v>
      </x:c>
      <x:c r="G324" s="17" t="n">
        <x:v>80</x:v>
      </x:c>
      <x:c r="H324" s="17" t="str">
        <x:v>Slot</x:v>
      </x:c>
      <x:c r="I324" s="17" t="str">
        <x:v>BET/能量/金币/主进度通常可见；以事件帧为准</x:v>
      </x:c>
      <x:c r="J324" s="17" t="str">
        <x:v>否</x:v>
      </x:c>
      <x:c r="K324" s="17" t="str">
        <x:v>保留机制；缺逐 Spin 前后快照</x:v>
      </x:c>
      <x:c r="L324" s="18" t="str">
        <x:v>/Users/mac/Documents/智囊团/video_analysis/Top_Tycoon新号流程_20260804/frames/TT_NEW_05/TT_NEW_05_t000350.jpg</x:v>
      </x:c>
      <x:c r="M324" s="17" t="n">
        <x:v>350</x:v>
      </x:c>
      <x:c r="N324" s="17" t="str">
        <x:v>已确认</x:v>
      </x:c>
      <x:c r="O324" s="17" t="str">
        <x:v>OCR 命中 SPIN/BET 词</x:v>
      </x:c>
      <x:c r="P324" s="17" t="str">
        <x:v>744000 | 225,940 | 28th | 0/3 | QUES | SLoTs | 5 | 0% | 16:08:27 | 7% | %06 | +66 | 10d22h | 02d22h | H | 01d23h | 0/10 | 02d22h | 01d16h | 55 | Sale | 01d16h | 01d22h | FREE | SPIN | 16h08m | 16h08m | 8 | 4% | 16h08m | 01d16h | BETx100 | SALE | 50/50 | 01d16h | +4226 | 01d16h | SPIN | 0% | 16h08m | HOLD FOR AUTO | Spin in the slots(o/10) | 15 | Game | 744000 | 248,940 | 28th | 0/3 | QUES | SLOTs | 5 | 0% | 16:08:17 | 90% | +66 | 10d22h | 02d22h | + 23,000 | H | 01d23h | 0/10</x:v>
      </x:c>
    </x:row>
    <x:row r="325">
      <x:c r="A325" s="17" t="str">
        <x:v>SEG_05_015</x:v>
      </x:c>
      <x:c r="B325" s="17" t="str">
        <x:v>TT_NEW_05</x:v>
      </x:c>
      <x:c r="C325" s="17" t="n">
        <x:v>390</x:v>
      </x:c>
      <x:c r="D325" s="17" t="n">
        <x:v>399</x:v>
      </x:c>
      <x:c r="E325" s="17" t="str">
        <x:v>00:06:30</x:v>
      </x:c>
      <x:c r="F325" s="17" t="str">
        <x:v>00:06:39</x:v>
      </x:c>
      <x:c r="G325" s="17" t="n">
        <x:v>10</x:v>
      </x:c>
      <x:c r="H325" s="17" t="str">
        <x:v>礼包</x:v>
      </x:c>
      <x:c r="I325" s="17" t="str">
        <x:v>价格/内容可能可见；未观察购买后余额</x:v>
      </x:c>
      <x:c r="J325" s="17" t="str">
        <x:v>否</x:v>
      </x:c>
      <x:c r="K325" s="17" t="str">
        <x:v>保留 offer_shown；无购买前后闭环</x:v>
      </x:c>
      <x:c r="L325" s="18" t="str">
        <x:v>/Users/mac/Documents/智囊团/video_analysis/Top_Tycoon新号流程_20260804/frames/TT_NEW_05/TT_NEW_05_t000390.jpg</x:v>
      </x:c>
      <x:c r="M325" s="17" t="n">
        <x:v>390</x:v>
      </x:c>
      <x:c r="N325" s="17" t="str">
        <x:v>已确认</x:v>
      </x:c>
      <x:c r="O325" s="17" t="str">
        <x:v>OCR 命中价格/商店词</x:v>
      </x:c>
      <x:c r="P325" s="17" t="str">
        <x:v>10m | ? | REDOUEEN'SPARTY | X | GrandPrize | 2.2K | 210K | 01d16h | HK$31.00 | 10m | 25 | 15 | 10 | 55K</x:v>
      </x:c>
    </x:row>
    <x:row r="326">
      <x:c r="A326" s="17" t="str">
        <x:v>SEG_05_016</x:v>
      </x:c>
      <x:c r="B326" s="17" t="str">
        <x:v>TT_NEW_05</x:v>
      </x:c>
      <x:c r="C326" s="17" t="n">
        <x:v>400</x:v>
      </x:c>
      <x:c r="D326" s="17" t="n">
        <x:v>459</x:v>
      </x:c>
      <x:c r="E326" s="17" t="str">
        <x:v>00:06:40</x:v>
      </x:c>
      <x:c r="F326" s="17" t="str">
        <x:v>00:07:39</x:v>
      </x:c>
      <x:c r="G326" s="17" t="n">
        <x:v>60</x:v>
      </x:c>
      <x:c r="H326" s="17" t="str">
        <x:v>Slot</x:v>
      </x:c>
      <x:c r="I326" s="17" t="str">
        <x:v>BET/能量/金币/主进度通常可见；以事件帧为准</x:v>
      </x:c>
      <x:c r="J326" s="17" t="str">
        <x:v>否</x:v>
      </x:c>
      <x:c r="K326" s="17" t="str">
        <x:v>保留机制；缺逐 Spin 前后快照</x:v>
      </x:c>
      <x:c r="L326" s="18" t="str">
        <x:v>/Users/mac/Documents/智囊团/video_analysis/Top_Tycoon新号流程_20260804/frames/TT_NEW_05/TT_NEW_05_t000430.jpg</x:v>
      </x:c>
      <x:c r="M326" s="17" t="n">
        <x:v>430</x:v>
      </x:c>
      <x:c r="N326" s="17" t="str">
        <x:v>已确认</x:v>
      </x:c>
      <x:c r="O326" s="17" t="str">
        <x:v>OCR 命中 SPIN/BET 词</x:v>
      </x:c>
      <x:c r="P326" s="17" t="str">
        <x:v>744000 | 3,504,940 | 28th | 0/3 | QUES | LLots | 5 | 0% | 16:06:57 | 73% | 90% | +66 | 10d22h | 02d22h | + 120,000 | H | 01d23h | 523/900 | 02d22h | 01d16h | 1.8K | 17 | Sale | 01d16h | 01d22h | FREE | SPIN | 16h06m | 16h06m | 8 | 34% | 16h06m | 01d16h | BETx100 | SALE | 50/50 | 01d16h | 01d16h | +3481 | 29 | SPIN | 7% | 16h06m | HOLD FOR AUTO | Spin in the slots(8/10) | 15 | Game | 744000 | 3,504,940 | 28th | 0/3 | QUES | Lots | 5 | 0% | 16:06:47 | 73% | %06 | 99+ | 10d22h |</x:v>
      </x:c>
    </x:row>
    <x:row r="327">
      <x:c r="A327" s="17" t="str">
        <x:v>SEG_05_017</x:v>
      </x:c>
      <x:c r="B327" s="17" t="str">
        <x:v>TT_NEW_05</x:v>
      </x:c>
      <x:c r="C327" s="17" t="n">
        <x:v>460</x:v>
      </x:c>
      <x:c r="D327" s="17" t="n">
        <x:v>469</x:v>
      </x:c>
      <x:c r="E327" s="17" t="str">
        <x:v>00:07:40</x:v>
      </x:c>
      <x:c r="F327" s="17" t="str">
        <x:v>00:07:49</x:v>
      </x:c>
      <x:c r="G327" s="17" t="n">
        <x:v>10</x:v>
      </x:c>
      <x:c r="H327" s="17" t="str">
        <x:v>建造</x:v>
      </x:c>
      <x:c r="I327" s="17" t="str">
        <x:v>金币可见；Site tasks/Next task cost 依画面</x:v>
      </x:c>
      <x:c r="J327" s="17" t="str">
        <x:v>否</x:v>
      </x:c>
      <x:c r="K327" s="17" t="str">
        <x:v>保留机制；待建造余额闭合</x:v>
      </x:c>
      <x:c r="L327" s="18" t="str">
        <x:v>/Users/mac/Documents/智囊团/video_analysis/Top_Tycoon新号流程_20260804/frames/TT_NEW_05/TT_NEW_05_t000460.jpg</x:v>
      </x:c>
      <x:c r="M327" s="17" t="n">
        <x:v>460</x:v>
      </x:c>
      <x:c r="N327" s="17" t="str">
        <x:v>待复核</x:v>
      </x:c>
      <x:c r="O327" s="17" t="str">
        <x:v>画面原型近邻；margin=0.0041</x:v>
      </x:c>
      <x:c r="P327" s="17" t="str">
        <x:v>EDA's Site | x100 | Random | Revenge</x:v>
      </x:c>
    </x:row>
    <x:row r="328">
      <x:c r="A328" s="17" t="str">
        <x:v>SEG_05_018</x:v>
      </x:c>
      <x:c r="B328" s="17" t="str">
        <x:v>TT_NEW_05</x:v>
      </x:c>
      <x:c r="C328" s="17" t="n">
        <x:v>470</x:v>
      </x:c>
      <x:c r="D328" s="17" t="n">
        <x:v>479</x:v>
      </x:c>
      <x:c r="E328" s="17" t="str">
        <x:v>00:07:50</x:v>
      </x:c>
      <x:c r="F328" s="17" t="str">
        <x:v>00:07:59</x:v>
      </x:c>
      <x:c r="G328" s="17" t="n">
        <x:v>10</x:v>
      </x:c>
      <x:c r="H328" s="17" t="str">
        <x:v>转场/加载</x:v>
      </x:c>
      <x:c r="I328" s="17" t="str">
        <x:v>数值不可读或不适用</x:v>
      </x:c>
      <x:c r="J328" s="17" t="str">
        <x:v>否</x:v>
      </x:c>
      <x:c r="K328" s="17" t="str">
        <x:v>排除：转场/加载，不进入数值统计</x:v>
      </x:c>
      <x:c r="L328" s="18" t="str">
        <x:v>/Users/mac/Documents/智囊团/video_analysis/Top_Tycoon新号流程_20260804/frames/TT_NEW_05/TT_NEW_05_t000470.jpg</x:v>
      </x:c>
      <x:c r="M328" s="17" t="n">
        <x:v>470</x:v>
      </x:c>
      <x:c r="N328" s="17" t="str">
        <x:v>待复核</x:v>
      </x:c>
      <x:c r="O328" s="17" t="str">
        <x:v>画面原型近邻；margin=0.0001</x:v>
      </x:c>
      <x:c r="P328" s="17"/>
    </x:row>
    <x:row r="329">
      <x:c r="A329" s="17" t="str">
        <x:v>SEG_05_019</x:v>
      </x:c>
      <x:c r="B329" s="17" t="str">
        <x:v>TT_NEW_05</x:v>
      </x:c>
      <x:c r="C329" s="17" t="n">
        <x:v>480</x:v>
      </x:c>
      <x:c r="D329" s="17" t="n">
        <x:v>529</x:v>
      </x:c>
      <x:c r="E329" s="17" t="str">
        <x:v>00:08:00</x:v>
      </x:c>
      <x:c r="F329" s="17" t="str">
        <x:v>00:08:49</x:v>
      </x:c>
      <x:c r="G329" s="17" t="n">
        <x:v>50</x:v>
      </x:c>
      <x:c r="H329" s="17" t="str">
        <x:v>Slot</x:v>
      </x:c>
      <x:c r="I329" s="17" t="str">
        <x:v>BET/能量/金币/主进度通常可见；以事件帧为准</x:v>
      </x:c>
      <x:c r="J329" s="17" t="str">
        <x:v>否</x:v>
      </x:c>
      <x:c r="K329" s="17" t="str">
        <x:v>保留机制；缺逐 Spin 前后快照</x:v>
      </x:c>
      <x:c r="L329" s="18" t="str">
        <x:v>/Users/mac/Documents/智囊团/video_analysis/Top_Tycoon新号流程_20260804/frames/TT_NEW_05/TT_NEW_05_t000500.jpg</x:v>
      </x:c>
      <x:c r="M329" s="17" t="n">
        <x:v>500</x:v>
      </x:c>
      <x:c r="N329" s="17" t="str">
        <x:v>已确认</x:v>
      </x:c>
      <x:c r="O329" s="17" t="str">
        <x:v>OCR 命中 SPIN/BET 词</x:v>
      </x:c>
      <x:c r="P329" s="17" t="str">
        <x:v>744000 | 12,207,940 | 28th | QUES | ZLoTs | 5 | 0% | 05:37 | 59% | 97% | +66 | 10d22h | 02d22h | ATTACK | H | 01d23h | 723/900 | 02d22h | 01d16h | 1.8K | 17 | Sale. | 01d16h | 01d22h | FREE | SPIL | 16h05m | 16h05m | +40 | 10 | 22% | 16h05m | 01d16h | BETx100 | SALE | 50/50 | 01d16h | 01d16h | +2678 | 29 | SPIN | 7% | 16h05m | HOLD FOR AUTO | Spin in the slots (10/10) | 15 | Game | 744000 | 12,347,940 | 28th | QUES | SLots | 5 | 6 | 0% | 16:05:27 | 87% | 99+ | 10d22h | 02d22h</x:v>
      </x:c>
    </x:row>
    <x:row r="330">
      <x:c r="A330" s="17" t="str">
        <x:v>SEG_05_020</x:v>
      </x:c>
      <x:c r="B330" s="17" t="str">
        <x:v>TT_NEW_05</x:v>
      </x:c>
      <x:c r="C330" s="17" t="n">
        <x:v>530</x:v>
      </x:c>
      <x:c r="D330" s="17" t="n">
        <x:v>539</x:v>
      </x:c>
      <x:c r="E330" s="17" t="str">
        <x:v>00:08:50</x:v>
      </x:c>
      <x:c r="F330" s="17" t="str">
        <x:v>00:08:59</x:v>
      </x:c>
      <x:c r="G330" s="17" t="n">
        <x:v>10</x:v>
      </x:c>
      <x:c r="H330" s="17" t="str">
        <x:v>小游戏</x:v>
      </x:c>
      <x:c r="I330" s="17" t="str">
        <x:v>玩法/奖励依画面；主资源常不全显</x:v>
      </x:c>
      <x:c r="J330" s="17" t="str">
        <x:v>否</x:v>
      </x:c>
      <x:c r="K330" s="17" t="str">
        <x:v>保留机制；完整核账窗口不足</x:v>
      </x:c>
      <x:c r="L330" s="18" t="str">
        <x:v>/Users/mac/Documents/智囊团/video_analysis/Top_Tycoon新号流程_20260804/frames/TT_NEW_05/TT_NEW_05_t000530.jpg</x:v>
      </x:c>
      <x:c r="M330" s="17" t="n">
        <x:v>530</x:v>
      </x:c>
      <x:c r="N330" s="17" t="str">
        <x:v>已确认</x:v>
      </x:c>
      <x:c r="O330" s="17" t="str">
        <x:v>OCR 命中小游戏名称/玩法词</x:v>
      </x:c>
      <x:c r="P330" s="17" t="str">
        <x:v>Credit Grab! | Select Target: | SNair | casso904 | Natalia Corres</x:v>
      </x:c>
    </x:row>
    <x:row r="331">
      <x:c r="A331" s="17" t="str">
        <x:v>SEG_05_021</x:v>
      </x:c>
      <x:c r="B331" s="17" t="str">
        <x:v>TT_NEW_05</x:v>
      </x:c>
      <x:c r="C331" s="17" t="n">
        <x:v>540</x:v>
      </x:c>
      <x:c r="D331" s="17" t="n">
        <x:v>549</x:v>
      </x:c>
      <x:c r="E331" s="17" t="str">
        <x:v>00:09:00</x:v>
      </x:c>
      <x:c r="F331" s="17" t="str">
        <x:v>00:09:09</x:v>
      </x:c>
      <x:c r="G331" s="17" t="n">
        <x:v>10</x:v>
      </x:c>
      <x:c r="H331" s="17" t="str">
        <x:v>转场/加载</x:v>
      </x:c>
      <x:c r="I331" s="17" t="str">
        <x:v>数值不可读或不适用</x:v>
      </x:c>
      <x:c r="J331" s="17" t="str">
        <x:v>否</x:v>
      </x:c>
      <x:c r="K331" s="17" t="str">
        <x:v>排除：转场/加载，不进入数值统计</x:v>
      </x:c>
      <x:c r="L331" s="18" t="str">
        <x:v>/Users/mac/Documents/智囊团/video_analysis/Top_Tycoon新号流程_20260804/frames/TT_NEW_05/TT_NEW_05_t000540.jpg</x:v>
      </x:c>
      <x:c r="M331" s="17" t="n">
        <x:v>540</x:v>
      </x:c>
      <x:c r="N331" s="17" t="str">
        <x:v>待复核</x:v>
      </x:c>
      <x:c r="O331" s="17" t="str">
        <x:v>画面原型近邻；margin=0.0156</x:v>
      </x:c>
      <x:c r="P331" s="17" t="str">
        <x:v>Lino's Bank | Z | TOTAL LOOT | 0 | COINS</x:v>
      </x:c>
    </x:row>
    <x:row r="332">
      <x:c r="A332" s="17" t="str">
        <x:v>SEG_05_022</x:v>
      </x:c>
      <x:c r="B332" s="17" t="str">
        <x:v>TT_NEW_05</x:v>
      </x:c>
      <x:c r="C332" s="17" t="n">
        <x:v>550</x:v>
      </x:c>
      <x:c r="D332" s="17" t="n">
        <x:v>739</x:v>
      </x:c>
      <x:c r="E332" s="17" t="str">
        <x:v>00:09:10</x:v>
      </x:c>
      <x:c r="F332" s="17" t="str">
        <x:v>00:12:19</x:v>
      </x:c>
      <x:c r="G332" s="17" t="n">
        <x:v>190</x:v>
      </x:c>
      <x:c r="H332" s="17" t="str">
        <x:v>Slot</x:v>
      </x:c>
      <x:c r="I332" s="17" t="str">
        <x:v>BET/能量/金币/主进度通常可见；以事件帧为准</x:v>
      </x:c>
      <x:c r="J332" s="17" t="str">
        <x:v>否</x:v>
      </x:c>
      <x:c r="K332" s="17" t="str">
        <x:v>保留机制；缺逐 Spin 前后快照</x:v>
      </x:c>
      <x:c r="L332" s="18" t="str">
        <x:v>/Users/mac/Documents/智囊团/video_analysis/Top_Tycoon新号流程_20260804/frames/TT_NEW_05/TT_NEW_05_t000640.jpg</x:v>
      </x:c>
      <x:c r="M332" s="17" t="n">
        <x:v>640</x:v>
      </x:c>
      <x:c r="N332" s="17" t="str">
        <x:v>已确认</x:v>
      </x:c>
      <x:c r="O332" s="17" t="str">
        <x:v>OCR 命中 SPIN/BET 词; 画面原型近邻；margin=0.0090; 画面原型近邻；margin=0.0743; 画面原型近邻；margin=0.0751; 相邻两侧同模块，平滑孤立原型误差</x:v>
      </x:c>
      <x:c r="P332" s="17" t="str">
        <x:v>Lino's Bank | GRAB | SMALL | YOU STOLE | COINS | 953,940 | 28th | 0% | 10d22h | CREDIT GRAB | 723/900 | FREE | TOTAL WIN | SALE | 253,000 | FREE | Spin in the slots (10/10) | 15 | Game | 744000 | 17,183,940 | 28th | QUES | SLOTS | 5 | 0% | 16:04:07 | 87% | 99+ | 10d22h | 02d22h | H | +66 | 01d23h | 723/900 | 02d22h | 01d16h | 1.8K | 17 | Sale | 01d16h | 01d22h | SPEF | 16h04m | 16h04m | 2 | 99% | 16h04m | 01d16h | FREE | TOTALWIN | SALE | 4,383,000 | 01d16h | 01d16h | 35 | FR</x:v>
      </x:c>
    </x:row>
    <x:row r="333">
      <x:c r="A333" s="17" t="str">
        <x:v>SEG_05_023</x:v>
      </x:c>
      <x:c r="B333" s="17" t="str">
        <x:v>TT_NEW_05</x:v>
      </x:c>
      <x:c r="C333" s="17" t="n">
        <x:v>740</x:v>
      </x:c>
      <x:c r="D333" s="17" t="n">
        <x:v>759</x:v>
      </x:c>
      <x:c r="E333" s="17" t="str">
        <x:v>00:12:20</x:v>
      </x:c>
      <x:c r="F333" s="17" t="str">
        <x:v>00:12:39</x:v>
      </x:c>
      <x:c r="G333" s="17" t="n">
        <x:v>20</x:v>
      </x:c>
      <x:c r="H333" s="17" t="str">
        <x:v>建造</x:v>
      </x:c>
      <x:c r="I333" s="17" t="str">
        <x:v>金币可见；Site tasks/Next task cost 依画面</x:v>
      </x:c>
      <x:c r="J333" s="17" t="str">
        <x:v>否</x:v>
      </x:c>
      <x:c r="K333" s="17" t="str">
        <x:v>保留机制；待建造余额闭合</x:v>
      </x:c>
      <x:c r="L333" s="18" t="str">
        <x:v>/Users/mac/Documents/智囊团/video_analysis/Top_Tycoon新号流程_20260804/frames/TT_NEW_05/TT_NEW_05_t000750.jpg</x:v>
      </x:c>
      <x:c r="M333" s="17" t="n">
        <x:v>750</x:v>
      </x:c>
      <x:c r="N333" s="17" t="str">
        <x:v>待复核</x:v>
      </x:c>
      <x:c r="O333" s="17" t="str">
        <x:v>画面原型近邻；margin=0.0010; 画面原型近邻；margin=0.0042</x:v>
      </x:c>
      <x:c r="P333" s="17" t="n">
        <x:v>252</x:v>
      </x:c>
    </x:row>
    <x:row r="334">
      <x:c r="A334" s="17" t="str">
        <x:v>SEG_05_024</x:v>
      </x:c>
      <x:c r="B334" s="17" t="str">
        <x:v>TT_NEW_05</x:v>
      </x:c>
      <x:c r="C334" s="17" t="n">
        <x:v>760</x:v>
      </x:c>
      <x:c r="D334" s="17" t="n">
        <x:v>779</x:v>
      </x:c>
      <x:c r="E334" s="17" t="str">
        <x:v>00:12:40</x:v>
      </x:c>
      <x:c r="F334" s="17" t="str">
        <x:v>00:12:59</x:v>
      </x:c>
      <x:c r="G334" s="17" t="n">
        <x:v>20</x:v>
      </x:c>
      <x:c r="H334" s="17" t="str">
        <x:v>Slot</x:v>
      </x:c>
      <x:c r="I334" s="17" t="str">
        <x:v>BET/能量/金币/主进度通常可见；以事件帧为准</x:v>
      </x:c>
      <x:c r="J334" s="17" t="str">
        <x:v>否</x:v>
      </x:c>
      <x:c r="K334" s="17" t="str">
        <x:v>保留机制；缺逐 Spin 前后快照</x:v>
      </x:c>
      <x:c r="L334" s="18" t="str">
        <x:v>/Users/mac/Documents/智囊团/video_analysis/Top_Tycoon新号流程_20260804/frames/TT_NEW_05/TT_NEW_05_t000770.jpg</x:v>
      </x:c>
      <x:c r="M334" s="17" t="n">
        <x:v>770</x:v>
      </x:c>
      <x:c r="N334" s="17" t="str">
        <x:v>已确认</x:v>
      </x:c>
      <x:c r="O334" s="17" t="str">
        <x:v>OCR 命中 SPIN/BET 词</x:v>
      </x:c>
      <x:c r="P334" s="17" t="str">
        <x:v>744000 | 34,406,940 | 28th | QUES | LLots | 5 | 18% | 16:00:57 | +66 | 10d22h | 02d22h | ATTACK | H | +66 | 01d23h | 223/310 | 02d22h | 01d16h | 1.2M | 17 | Sale | 01d16h | 01d22h | FREE | SPIN | 16h00m | 16h00m | 18 | 35% | 16h00m | 01d16h | BETx100 | 12 | SALE | 50/50 | 01d16h | 01d16h | +2108 | 54 | SPIN | 30% | 16h00m | HOLD FOR AUTO | Spin in the slots(10/10) | 15 | Game | 744000 | 34,986,940 | 28th | QUES | LLots | 5 | 18% | 16:00:47 | 99+ | 10d22h | 02d22h | + 1,200,00</x:v>
      </x:c>
    </x:row>
    <x:row r="335">
      <x:c r="A335" s="17" t="str">
        <x:v>SEG_05_025</x:v>
      </x:c>
      <x:c r="B335" s="17" t="str">
        <x:v>TT_NEW_05</x:v>
      </x:c>
      <x:c r="C335" s="17" t="n">
        <x:v>780</x:v>
      </x:c>
      <x:c r="D335" s="17" t="n">
        <x:v>789</x:v>
      </x:c>
      <x:c r="E335" s="17" t="str">
        <x:v>00:13:00</x:v>
      </x:c>
      <x:c r="F335" s="17" t="str">
        <x:v>00:13:09</x:v>
      </x:c>
      <x:c r="G335" s="17" t="n">
        <x:v>10</x:v>
      </x:c>
      <x:c r="H335" s="17" t="str">
        <x:v>小游戏</x:v>
      </x:c>
      <x:c r="I335" s="17" t="str">
        <x:v>玩法/奖励依画面；主资源常不全显</x:v>
      </x:c>
      <x:c r="J335" s="17" t="str">
        <x:v>否</x:v>
      </x:c>
      <x:c r="K335" s="17" t="str">
        <x:v>保留机制；完整核账窗口不足</x:v>
      </x:c>
      <x:c r="L335" s="18" t="str">
        <x:v>/Users/mac/Documents/智囊团/video_analysis/Top_Tycoon新号流程_20260804/frames/TT_NEW_05/TT_NEW_05_t000780.jpg</x:v>
      </x:c>
      <x:c r="M335" s="17" t="n">
        <x:v>780</x:v>
      </x:c>
      <x:c r="N335" s="17" t="str">
        <x:v>已确认</x:v>
      </x:c>
      <x:c r="O335" s="17" t="str">
        <x:v>OCR 命中小游戏名称/玩法词</x:v>
      </x:c>
      <x:c r="P335" s="17" t="str">
        <x:v>Credit Grab! | Select Target: | Trudy L.Bien</x:v>
      </x:c>
    </x:row>
    <x:row r="336">
      <x:c r="A336" s="17" t="str">
        <x:v>SEG_05_026</x:v>
      </x:c>
      <x:c r="B336" s="17" t="str">
        <x:v>TT_NEW_05</x:v>
      </x:c>
      <x:c r="C336" s="17" t="n">
        <x:v>790</x:v>
      </x:c>
      <x:c r="D336" s="17" t="n">
        <x:v>799</x:v>
      </x:c>
      <x:c r="E336" s="17" t="str">
        <x:v>00:13:10</x:v>
      </x:c>
      <x:c r="F336" s="17" t="str">
        <x:v>00:13:19</x:v>
      </x:c>
      <x:c r="G336" s="17" t="n">
        <x:v>10</x:v>
      </x:c>
      <x:c r="H336" s="17" t="str">
        <x:v>建造</x:v>
      </x:c>
      <x:c r="I336" s="17" t="str">
        <x:v>金币可见；Site tasks/Next task cost 依画面</x:v>
      </x:c>
      <x:c r="J336" s="17" t="str">
        <x:v>否</x:v>
      </x:c>
      <x:c r="K336" s="17" t="str">
        <x:v>保留机制；待建造余额闭合</x:v>
      </x:c>
      <x:c r="L336" s="18" t="str">
        <x:v>/Users/mac/Documents/智囊团/video_analysis/Top_Tycoon新号流程_20260804/frames/TT_NEW_05/TT_NEW_05_t000790.jpg</x:v>
      </x:c>
      <x:c r="M336" s="17" t="n">
        <x:v>790</x:v>
      </x:c>
      <x:c r="N336" s="17" t="str">
        <x:v>待复核</x:v>
      </x:c>
      <x:c r="O336" s="17" t="str">
        <x:v>画面原型近邻；margin=0.0031</x:v>
      </x:c>
      <x:c r="P336" s="17" t="str">
        <x:v>dll pa's Bank | Z | TOTAL LOOT | 0 | COINS</x:v>
      </x:c>
    </x:row>
    <x:row r="337">
      <x:c r="A337" s="17" t="str">
        <x:v>SEG_05_027</x:v>
      </x:c>
      <x:c r="B337" s="17" t="str">
        <x:v>TT_NEW_05</x:v>
      </x:c>
      <x:c r="C337" s="17" t="n">
        <x:v>800</x:v>
      </x:c>
      <x:c r="D337" s="17" t="n">
        <x:v>809</x:v>
      </x:c>
      <x:c r="E337" s="17" t="str">
        <x:v>00:13:20</x:v>
      </x:c>
      <x:c r="F337" s="17" t="str">
        <x:v>00:13:29</x:v>
      </x:c>
      <x:c r="G337" s="17" t="n">
        <x:v>10</x:v>
      </x:c>
      <x:c r="H337" s="17" t="str">
        <x:v>转场/加载</x:v>
      </x:c>
      <x:c r="I337" s="17" t="str">
        <x:v>数值不可读或不适用</x:v>
      </x:c>
      <x:c r="J337" s="17" t="str">
        <x:v>否</x:v>
      </x:c>
      <x:c r="K337" s="17" t="str">
        <x:v>排除：转场/加载，不进入数值统计</x:v>
      </x:c>
      <x:c r="L337" s="18" t="str">
        <x:v>/Users/mac/Documents/智囊团/video_analysis/Top_Tycoon新号流程_20260804/frames/TT_NEW_05/TT_NEW_05_t000800.jpg</x:v>
      </x:c>
      <x:c r="M337" s="17" t="n">
        <x:v>800</x:v>
      </x:c>
      <x:c r="N337" s="17" t="str">
        <x:v>待复核</x:v>
      </x:c>
      <x:c r="O337" s="17" t="str">
        <x:v>画面原型近邻；margin=0.0015</x:v>
      </x:c>
      <x:c r="P337" s="17" t="str">
        <x:v>dll pa's Bank | 4,140,000 | COINS | 2,070,000 | COINS | Z | TOTAL LOOT | 6,210,000 | COINS</x:v>
      </x:c>
    </x:row>
    <x:row r="338">
      <x:c r="A338" s="17" t="str">
        <x:v>SEG_05_028</x:v>
      </x:c>
      <x:c r="B338" s="17" t="str">
        <x:v>TT_NEW_05</x:v>
      </x:c>
      <x:c r="C338" s="17" t="n">
        <x:v>810</x:v>
      </x:c>
      <x:c r="D338" s="17" t="n">
        <x:v>919</x:v>
      </x:c>
      <x:c r="E338" s="17" t="str">
        <x:v>00:13:30</x:v>
      </x:c>
      <x:c r="F338" s="17" t="str">
        <x:v>00:15:19</x:v>
      </x:c>
      <x:c r="G338" s="17" t="n">
        <x:v>110</x:v>
      </x:c>
      <x:c r="H338" s="17" t="str">
        <x:v>Slot</x:v>
      </x:c>
      <x:c r="I338" s="17" t="str">
        <x:v>BET/能量/金币/主进度通常可见；以事件帧为准</x:v>
      </x:c>
      <x:c r="J338" s="17" t="str">
        <x:v>否</x:v>
      </x:c>
      <x:c r="K338" s="17" t="str">
        <x:v>保留机制；缺逐 Spin 前后快照</x:v>
      </x:c>
      <x:c r="L338" s="18" t="str">
        <x:v>/Users/mac/Documents/智囊团/video_analysis/Top_Tycoon新号流程_20260804/frames/TT_NEW_05/TT_NEW_05_t000860.jpg</x:v>
      </x:c>
      <x:c r="M338" s="17" t="n">
        <x:v>860</x:v>
      </x:c>
      <x:c r="N338" s="17" t="str">
        <x:v>已确认</x:v>
      </x:c>
      <x:c r="O338" s="17" t="str">
        <x:v>OCR 命中 SPIN/BET 词; 画面原型近邻；margin=0.0126</x:v>
      </x:c>
      <x:c r="P338" s="17" t="str">
        <x:v>dll pa's Bank | GRAB | GREAT | YOU STOLE | 23,000,000 | COINS | COLLECT | 744000 | 59,706,940 | 28th | QUES | SLoTS | 5 | 18% | 15:59:57 | +66 | 10d22h | 02d22h | CREDITGRAB | H | +66 | 01d23h | 223/310 | 02d22h | 01d15h | 1.2M | 17 | Sale | 01d15h | 01d22h | FREE | SPIN | 15h59m | 15h59m | 18 | FREE | FREE | FREE | 35% | 15h59m | 01d15h | BETx100 | 12 | SALE | 50/50 | 01d15h | 01d15h | +1408 | 54 | SPIN | 30% | 15h59m | HOLD FOR AUTO | Spin in the slots (10/10) | 15 | Game |</x:v>
      </x:c>
    </x:row>
    <x:row r="339">
      <x:c r="A339" s="17" t="str">
        <x:v>SEG_05_029</x:v>
      </x:c>
      <x:c r="B339" s="17" t="str">
        <x:v>TT_NEW_05</x:v>
      </x:c>
      <x:c r="C339" s="17" t="n">
        <x:v>920</x:v>
      </x:c>
      <x:c r="D339" s="17" t="n">
        <x:v>929</x:v>
      </x:c>
      <x:c r="E339" s="17" t="str">
        <x:v>00:15:20</x:v>
      </x:c>
      <x:c r="F339" s="17" t="str">
        <x:v>00:15:29</x:v>
      </x:c>
      <x:c r="G339" s="17" t="n">
        <x:v>10</x:v>
      </x:c>
      <x:c r="H339" s="17" t="str">
        <x:v>建造</x:v>
      </x:c>
      <x:c r="I339" s="17" t="str">
        <x:v>金币可见；Site tasks/Next task cost 依画面</x:v>
      </x:c>
      <x:c r="J339" s="17" t="str">
        <x:v>否</x:v>
      </x:c>
      <x:c r="K339" s="17" t="str">
        <x:v>保留机制；待建造余额闭合</x:v>
      </x:c>
      <x:c r="L339" s="18" t="str">
        <x:v>/Users/mac/Documents/智囊团/video_analysis/Top_Tycoon新号流程_20260804/frames/TT_NEW_05/TT_NEW_05_t000920.jpg</x:v>
      </x:c>
      <x:c r="M339" s="17" t="n">
        <x:v>920</x:v>
      </x:c>
      <x:c r="N339" s="17" t="str">
        <x:v>待复核</x:v>
      </x:c>
      <x:c r="O339" s="17" t="str">
        <x:v>画面原型近邻；margin=0.0075</x:v>
      </x:c>
      <x:c r="P339" s="17" t="str">
        <x:v>25 | PARTY | CONGRATS! | 2:2K | 210K | 01d15h | 790 | 10 | 55K | 55K | COLLECT</x:v>
      </x:c>
    </x:row>
    <x:row r="340">
      <x:c r="A340" s="17" t="str">
        <x:v>SEG_05_030</x:v>
      </x:c>
      <x:c r="B340" s="17" t="str">
        <x:v>TT_NEW_05</x:v>
      </x:c>
      <x:c r="C340" s="17" t="n">
        <x:v>930</x:v>
      </x:c>
      <x:c r="D340" s="17" t="n">
        <x:v>959</x:v>
      </x:c>
      <x:c r="E340" s="17" t="str">
        <x:v>00:15:30</x:v>
      </x:c>
      <x:c r="F340" s="17" t="str">
        <x:v>00:15:59</x:v>
      </x:c>
      <x:c r="G340" s="17" t="n">
        <x:v>30</x:v>
      </x:c>
      <x:c r="H340" s="17" t="str">
        <x:v>礼包</x:v>
      </x:c>
      <x:c r="I340" s="17" t="str">
        <x:v>价格/内容可能可见；未观察购买后余额</x:v>
      </x:c>
      <x:c r="J340" s="17" t="str">
        <x:v>否</x:v>
      </x:c>
      <x:c r="K340" s="17" t="str">
        <x:v>保留 offer_shown；无购买前后闭环</x:v>
      </x:c>
      <x:c r="L340" s="18" t="str">
        <x:v>/Users/mac/Documents/智囊团/video_analysis/Top_Tycoon新号流程_20260804/frames/TT_NEW_05/TT_NEW_05_t000940.jpg</x:v>
      </x:c>
      <x:c r="M340" s="17" t="n">
        <x:v>940</x:v>
      </x:c>
      <x:c r="N340" s="17" t="str">
        <x:v>已确认</x:v>
      </x:c>
      <x:c r="O340" s="17" t="str">
        <x:v>OCR 命中价格/商店词; 相邻两侧同模块，平滑孤立原型误差</x:v>
      </x:c>
      <x:c r="P340" s="17" t="str">
        <x:v>HK$31.00 | REDOUEEN'SPARTY | X | Grand Prize | 2.2K | 210K | 01d15h | 25 | 780 | 15 | 55K | 50 | ? | REDOUEEN'SPARTY | Grand Prize | 2.2K | 210K | 01d15h | 765 | 10m | 25 | 15 | 55K | 50 | REDOUEEN'SPARTY | X | Grand Prize | 2.2K | 210K | 01d15h | 50 | 740 | HK$31.00 | 10m | 25</x:v>
      </x:c>
    </x:row>
    <x:row r="341">
      <x:c r="A341" s="17" t="str">
        <x:v>SEG_05_031</x:v>
      </x:c>
      <x:c r="B341" s="17" t="str">
        <x:v>TT_NEW_05</x:v>
      </x:c>
      <x:c r="C341" s="17" t="n">
        <x:v>960</x:v>
      </x:c>
      <x:c r="D341" s="17" t="n">
        <x:v>969</x:v>
      </x:c>
      <x:c r="E341" s="17" t="str">
        <x:v>00:16:00</x:v>
      </x:c>
      <x:c r="F341" s="17" t="str">
        <x:v>00:16:09</x:v>
      </x:c>
      <x:c r="G341" s="17" t="n">
        <x:v>10</x:v>
      </x:c>
      <x:c r="H341" s="17" t="str">
        <x:v>建造</x:v>
      </x:c>
      <x:c r="I341" s="17" t="str">
        <x:v>金币可见；Site tasks/Next task cost 依画面</x:v>
      </x:c>
      <x:c r="J341" s="17" t="str">
        <x:v>否</x:v>
      </x:c>
      <x:c r="K341" s="17" t="str">
        <x:v>保留机制；待建造余额闭合</x:v>
      </x:c>
      <x:c r="L341" s="18" t="str">
        <x:v>/Users/mac/Documents/智囊团/video_analysis/Top_Tycoon新号流程_20260804/frames/TT_NEW_05/TT_NEW_05_t000960.jpg</x:v>
      </x:c>
      <x:c r="M341" s="17" t="n">
        <x:v>960</x:v>
      </x:c>
      <x:c r="N341" s="17" t="str">
        <x:v>待复核</x:v>
      </x:c>
      <x:c r="O341" s="17" t="str">
        <x:v>画面原型近邻；margin=0.0099</x:v>
      </x:c>
      <x:c r="P341" s="17" t="str">
        <x:v>? | REDOUEEN'SPARTY | X | GrandPrize | 2.2K | 210K | 01d15h | 740 | Grand | Prize | 165 | M | 06 | 75</x:v>
      </x:c>
    </x:row>
    <x:row r="342">
      <x:c r="A342" s="17" t="str">
        <x:v>SEG_05_032</x:v>
      </x:c>
      <x:c r="B342" s="17" t="str">
        <x:v>TT_NEW_05</x:v>
      </x:c>
      <x:c r="C342" s="17" t="n">
        <x:v>970</x:v>
      </x:c>
      <x:c r="D342" s="17" t="n">
        <x:v>1049</x:v>
      </x:c>
      <x:c r="E342" s="17" t="str">
        <x:v>00:16:10</x:v>
      </x:c>
      <x:c r="F342" s="17" t="str">
        <x:v>00:17:29</x:v>
      </x:c>
      <x:c r="G342" s="17" t="n">
        <x:v>80</x:v>
      </x:c>
      <x:c r="H342" s="17" t="str">
        <x:v>Slot</x:v>
      </x:c>
      <x:c r="I342" s="17" t="str">
        <x:v>BET/能量/金币/主进度通常可见；以事件帧为准</x:v>
      </x:c>
      <x:c r="J342" s="17" t="str">
        <x:v>否</x:v>
      </x:c>
      <x:c r="K342" s="17" t="str">
        <x:v>保留机制；缺逐 Spin 前后快照</x:v>
      </x:c>
      <x:c r="L342" s="18" t="str">
        <x:v>/Users/mac/Documents/智囊团/video_analysis/Top_Tycoon新号流程_20260804/frames/TT_NEW_05/TT_NEW_05_t001010.jpg</x:v>
      </x:c>
      <x:c r="M342" s="17" t="n">
        <x:v>1010</x:v>
      </x:c>
      <x:c r="N342" s="17" t="str">
        <x:v>已确认</x:v>
      </x:c>
      <x:c r="O342" s="17" t="str">
        <x:v>OCR 命中 SPIN/BET 词; 相邻两侧同模块，平滑孤立原型误差</x:v>
      </x:c>
      <x:c r="P342" s="17" t="str">
        <x:v>744000 | 65,954,940 | 28th | QUES | LLots | 5 | 18% | 15:57:27 | +66 | 10d22h | 02d22h | +66 | 01d23h | 313/1500 | 02d22h | 01d15h | 17 | Sale | 01d15h | 01d22h | FREE | SPIN | 15h57m | 04:00 | 18 | 95% | 15h57m | 01d15h | BETx100 | 12 | 50/50 | 15h57m | 01d15h | 67 | SALE | 52% | Spin in the slots(10/10) | 15 | Game | ali.f | marley | X | 27100 | 5340 | 20K | 16 | 10m | +640 | 2960 | 960 | MORE | 1507 | FREE | BOOST | %09 | 180 | MORE | SPIN | BET×1 | 17 | ali.f | marley | X</x:v>
      </x:c>
    </x:row>
    <x:row r="343">
      <x:c r="A343" s="17" t="str">
        <x:v>SEG_05_033</x:v>
      </x:c>
      <x:c r="B343" s="17" t="str">
        <x:v>TT_NEW_05</x:v>
      </x:c>
      <x:c r="C343" s="17" t="n">
        <x:v>1050</x:v>
      </x:c>
      <x:c r="D343" s="17" t="n">
        <x:v>1059</x:v>
      </x:c>
      <x:c r="E343" s="17" t="str">
        <x:v>00:17:30</x:v>
      </x:c>
      <x:c r="F343" s="17" t="str">
        <x:v>00:17:39</x:v>
      </x:c>
      <x:c r="G343" s="17" t="n">
        <x:v>10</x:v>
      </x:c>
      <x:c r="H343" s="17" t="str">
        <x:v>建造</x:v>
      </x:c>
      <x:c r="I343" s="17" t="str">
        <x:v>金币可见；Site tasks/Next task cost 依画面</x:v>
      </x:c>
      <x:c r="J343" s="17" t="str">
        <x:v>否</x:v>
      </x:c>
      <x:c r="K343" s="17" t="str">
        <x:v>保留机制；待建造余额闭合</x:v>
      </x:c>
      <x:c r="L343" s="18" t="str">
        <x:v>/Users/mac/Documents/智囊团/video_analysis/Top_Tycoon新号流程_20260804/frames/TT_NEW_05/TT_NEW_05_t001050.jpg</x:v>
      </x:c>
      <x:c r="M343" s="17" t="n">
        <x:v>1050</x:v>
      </x:c>
      <x:c r="N343" s="17" t="str">
        <x:v>待复核</x:v>
      </x:c>
      <x:c r="O343" s="17" t="str">
        <x:v>画面原型近邻；margin=0.0096</x:v>
      </x:c>
      <x:c r="P343" s="17" t="n">
        <x:v>585</x:v>
      </x:c>
    </x:row>
    <x:row r="344">
      <x:c r="A344" s="17" t="str">
        <x:v>SEG_05_034</x:v>
      </x:c>
      <x:c r="B344" s="17" t="str">
        <x:v>TT_NEW_05</x:v>
      </x:c>
      <x:c r="C344" s="17" t="n">
        <x:v>1060</x:v>
      </x:c>
      <x:c r="D344" s="17" t="n">
        <x:v>1319</x:v>
      </x:c>
      <x:c r="E344" s="17" t="str">
        <x:v>00:17:40</x:v>
      </x:c>
      <x:c r="F344" s="17" t="str">
        <x:v>00:21:59</x:v>
      </x:c>
      <x:c r="G344" s="17" t="n">
        <x:v>260</x:v>
      </x:c>
      <x:c r="H344" s="17" t="str">
        <x:v>小游戏</x:v>
      </x:c>
      <x:c r="I344" s="17" t="str">
        <x:v>玩法/奖励依画面；主资源常不全显</x:v>
      </x:c>
      <x:c r="J344" s="17" t="str">
        <x:v>否</x:v>
      </x:c>
      <x:c r="K344" s="17" t="str">
        <x:v>保留机制；完整核账窗口不足</x:v>
      </x:c>
      <x:c r="L344" s="18" t="str">
        <x:v>/Users/mac/Documents/智囊团/video_analysis/Top_Tycoon新号流程_20260804/frames/TT_NEW_05/TT_NEW_05_t001190.jpg</x:v>
      </x:c>
      <x:c r="M344" s="17" t="n">
        <x:v>1190</x:v>
      </x:c>
      <x:c r="N344" s="17" t="str">
        <x:v>已确认</x:v>
      </x:c>
      <x:c r="O344" s="17" t="str">
        <x:v>OCR 命中小游戏名称/玩法词; 画面原型近邻；margin=0.0336; 相邻两侧同模块，平滑孤立原型误差</x:v>
      </x:c>
      <x:c r="P344" s="17" t="str">
        <x:v>GSTRiKE? | X | 750 | 190 | 01d15h | 120K | 230K | 460K | 120K | 120K | 350K | 230K | 120K | x1 | Skip animation | 66 | + | GSTRiKE? | ? | X | 750 | 190 | 01d15h | 120K | 230K | 460K | 120K | 120K | 8 | 350K | 2-0K | 120K | x1 | Skip animation | 65 | + | GSTRiKE? | ? | X | 750 | 190 | 01d15h | 120k | 230K | 460K | 120K | 350K | 2=0K | 120K | x1 | Skip animation | 63 | + | GSTRiKE? | X | 750 | 190 | 01d15h | 1201 | 230K | 460K | 120K | 350K | 2-0K | 120K | x1 | Skip animation |</x:v>
      </x:c>
    </x:row>
    <x:row r="345">
      <x:c r="A345" s="17" t="str">
        <x:v>SEG_05_035</x:v>
      </x:c>
      <x:c r="B345" s="17" t="str">
        <x:v>TT_NEW_05</x:v>
      </x:c>
      <x:c r="C345" s="17" t="n">
        <x:v>1320</x:v>
      </x:c>
      <x:c r="D345" s="17" t="n">
        <x:v>1329</x:v>
      </x:c>
      <x:c r="E345" s="17" t="str">
        <x:v>00:22:00</x:v>
      </x:c>
      <x:c r="F345" s="17" t="str">
        <x:v>00:22:09</x:v>
      </x:c>
      <x:c r="G345" s="17" t="n">
        <x:v>10</x:v>
      </x:c>
      <x:c r="H345" s="17" t="str">
        <x:v>礼包</x:v>
      </x:c>
      <x:c r="I345" s="17" t="str">
        <x:v>价格/内容可能可见；未观察购买后余额</x:v>
      </x:c>
      <x:c r="J345" s="17" t="str">
        <x:v>否</x:v>
      </x:c>
      <x:c r="K345" s="17" t="str">
        <x:v>保留 offer_shown；无购买前后闭环</x:v>
      </x:c>
      <x:c r="L345" s="18" t="str">
        <x:v>/Users/mac/Documents/智囊团/video_analysis/Top_Tycoon新号流程_20260804/frames/TT_NEW_05/TT_NEW_05_t001320.jpg</x:v>
      </x:c>
      <x:c r="M345" s="17" t="n">
        <x:v>1320</x:v>
      </x:c>
      <x:c r="N345" s="17" t="str">
        <x:v>已确认</x:v>
      </x:c>
      <x:c r="O345" s="17" t="str">
        <x:v>OCR 命中价格/商店词</x:v>
      </x:c>
      <x:c r="P345" s="17" t="str">
        <x:v>CSTRiKE? | X | 25% | OFF | 110 | 450 | 15 | HK$25.00 | HK$70.90 | 01d 15h</x:v>
      </x:c>
    </x:row>
    <x:row r="346">
      <x:c r="A346" s="17" t="str">
        <x:v>SEG_05_036</x:v>
      </x:c>
      <x:c r="B346" s="17" t="str">
        <x:v>TT_NEW_05</x:v>
      </x:c>
      <x:c r="C346" s="17" t="n">
        <x:v>1330</x:v>
      </x:c>
      <x:c r="D346" s="17" t="n">
        <x:v>1359</x:v>
      </x:c>
      <x:c r="E346" s="17" t="str">
        <x:v>00:22:10</x:v>
      </x:c>
      <x:c r="F346" s="17" t="str">
        <x:v>00:22:39</x:v>
      </x:c>
      <x:c r="G346" s="17" t="n">
        <x:v>30</x:v>
      </x:c>
      <x:c r="H346" s="17" t="str">
        <x:v>Slot</x:v>
      </x:c>
      <x:c r="I346" s="17" t="str">
        <x:v>BET/能量/金币/主进度通常可见；以事件帧为准</x:v>
      </x:c>
      <x:c r="J346" s="17" t="str">
        <x:v>否</x:v>
      </x:c>
      <x:c r="K346" s="17" t="str">
        <x:v>保留机制；缺逐 Spin 前后快照</x:v>
      </x:c>
      <x:c r="L346" s="18" t="str">
        <x:v>/Users/mac/Documents/智囊团/video_analysis/Top_Tycoon新号流程_20260804/frames/TT_NEW_05/TT_NEW_05_t001340.jpg</x:v>
      </x:c>
      <x:c r="M346" s="17" t="n">
        <x:v>1340</x:v>
      </x:c>
      <x:c r="N346" s="17" t="str">
        <x:v>已确认</x:v>
      </x:c>
      <x:c r="O346" s="17" t="str">
        <x:v>OCR 命中 SPIN/BET 词</x:v>
      </x:c>
      <x:c r="P346" s="17" t="str">
        <x:v>744000 | 67,787,940 | 28th | QUES | ZLots | 5 | 18% | 15:51:27 | +66 | 10d22h | 02d22h | H | +66 | 01d23h | 313/1500 | 02d21h | 01d15h | 17 | Sale | 01d15h | 01d21h | FREE | SPIN | 15h51m | 15h51m | 95% | 15h51m | 01d15h | BETx100 | 12 | SALE | 50/50 | 01d15h | 01d15h | +9140 | SPIN | 52% | 15h51m | HOLD FOR AUTO SPIN | Spin in the slots (10/10) | 16 | Game | 744000 | 67,815,540 | 28th | QUEs | SLots | 5 | 18% | 15:51:17 | 7% | +66 | 10d22h | 02d22h | H | +66 | 01d23h | 02d21</x:v>
      </x:c>
    </x:row>
    <x:row r="347">
      <x:c r="A347" s="17" t="str">
        <x:v>SEG_05_037</x:v>
      </x:c>
      <x:c r="B347" s="17" t="str">
        <x:v>TT_NEW_05</x:v>
      </x:c>
      <x:c r="C347" s="17" t="n">
        <x:v>1360</x:v>
      </x:c>
      <x:c r="D347" s="17" t="n">
        <x:v>1369</x:v>
      </x:c>
      <x:c r="E347" s="17" t="str">
        <x:v>00:22:40</x:v>
      </x:c>
      <x:c r="F347" s="17" t="str">
        <x:v>00:22:49</x:v>
      </x:c>
      <x:c r="G347" s="17" t="n">
        <x:v>10</x:v>
      </x:c>
      <x:c r="H347" s="17" t="str">
        <x:v>建造</x:v>
      </x:c>
      <x:c r="I347" s="17" t="str">
        <x:v>金币可见；Site tasks/Next task cost 依画面</x:v>
      </x:c>
      <x:c r="J347" s="17" t="str">
        <x:v>否</x:v>
      </x:c>
      <x:c r="K347" s="17" t="str">
        <x:v>保留机制；待建造余额闭合</x:v>
      </x:c>
      <x:c r="L347" s="18" t="str">
        <x:v>/Users/mac/Documents/智囊团/video_analysis/Top_Tycoon新号流程_20260804/frames/TT_NEW_05/TT_NEW_05_t001360.jpg</x:v>
      </x:c>
      <x:c r="M347" s="17" t="n">
        <x:v>1360</x:v>
      </x:c>
      <x:c r="N347" s="17" t="str">
        <x:v>待复核</x:v>
      </x:c>
      <x:c r="O347" s="17" t="str">
        <x:v>画面原型近邻；margin=0.0045</x:v>
      </x:c>
      <x:c r="P347" s="17" t="n">
        <x:v>256</x:v>
      </x:c>
    </x:row>
    <x:row r="348">
      <x:c r="A348" s="17" t="str">
        <x:v>SEG_05_038</x:v>
      </x:c>
      <x:c r="B348" s="17" t="str">
        <x:v>TT_NEW_05</x:v>
      </x:c>
      <x:c r="C348" s="17" t="n">
        <x:v>1370</x:v>
      </x:c>
      <x:c r="D348" s="17" t="n">
        <x:v>1379</x:v>
      </x:c>
      <x:c r="E348" s="17" t="str">
        <x:v>00:22:50</x:v>
      </x:c>
      <x:c r="F348" s="17" t="str">
        <x:v>00:22:59</x:v>
      </x:c>
      <x:c r="G348" s="17" t="n">
        <x:v>10</x:v>
      </x:c>
      <x:c r="H348" s="17" t="str">
        <x:v>转场/加载</x:v>
      </x:c>
      <x:c r="I348" s="17" t="str">
        <x:v>数值不可读或不适用</x:v>
      </x:c>
      <x:c r="J348" s="17" t="str">
        <x:v>否</x:v>
      </x:c>
      <x:c r="K348" s="17" t="str">
        <x:v>排除：转场/加载，不进入数值统计</x:v>
      </x:c>
      <x:c r="L348" s="18" t="str">
        <x:v>/Users/mac/Documents/智囊团/video_analysis/Top_Tycoon新号流程_20260804/frames/TT_NEW_05/TT_NEW_05_t001370.jpg</x:v>
      </x:c>
      <x:c r="M348" s="17" t="n">
        <x:v>1370</x:v>
      </x:c>
      <x:c r="N348" s="17" t="str">
        <x:v>待复核</x:v>
      </x:c>
      <x:c r="O348" s="17" t="str">
        <x:v>画面原型近邻；margin=0.0000</x:v>
      </x:c>
      <x:c r="P348" s="17"/>
    </x:row>
    <x:row r="349">
      <x:c r="A349" s="17" t="str">
        <x:v>SEG_05_039</x:v>
      </x:c>
      <x:c r="B349" s="17" t="str">
        <x:v>TT_NEW_05</x:v>
      </x:c>
      <x:c r="C349" s="17" t="n">
        <x:v>1380</x:v>
      </x:c>
      <x:c r="D349" s="17" t="n">
        <x:v>1399</x:v>
      </x:c>
      <x:c r="E349" s="17" t="str">
        <x:v>00:23:00</x:v>
      </x:c>
      <x:c r="F349" s="17" t="str">
        <x:v>00:23:19</x:v>
      </x:c>
      <x:c r="G349" s="17" t="n">
        <x:v>20</x:v>
      </x:c>
      <x:c r="H349" s="17" t="str">
        <x:v>Slot</x:v>
      </x:c>
      <x:c r="I349" s="17" t="str">
        <x:v>BET/能量/金币/主进度通常可见；以事件帧为准</x:v>
      </x:c>
      <x:c r="J349" s="17" t="str">
        <x:v>否</x:v>
      </x:c>
      <x:c r="K349" s="17" t="str">
        <x:v>保留机制；缺逐 Spin 前后快照</x:v>
      </x:c>
      <x:c r="L349" s="18" t="str">
        <x:v>/Users/mac/Documents/智囊团/video_analysis/Top_Tycoon新号流程_20260804/frames/TT_NEW_05/TT_NEW_05_t001390.jpg</x:v>
      </x:c>
      <x:c r="M349" s="17" t="n">
        <x:v>1390</x:v>
      </x:c>
      <x:c r="N349" s="17" t="str">
        <x:v>已确认</x:v>
      </x:c>
      <x:c r="O349" s="17" t="str">
        <x:v>OCR 命中 SPIN/BET 词</x:v>
      </x:c>
      <x:c r="P349" s="17" t="str">
        <x:v>744000 | 76,391,540 | 28th | QUES | LLots | 5 | 18% | 15:50:37 | 7% | +66 | 10d22h | 02d22h | ATTACK | H | +66 | 01d23h | 313/1500 | 02d21h | 01d15h | 2.4K | 17 | Sale | 01d15h | 01d21h | FREE | SPIN | 15h50m | 15h50m | 95% | 15h50m | 01d15h | BETx100 | 12 | SALET | 50/50 | 01d15h | 01d15h | +514 | SPIN | 33% | 15h50m | HOLD FOR AUTO SPIN | Spin in the slots.(10/10) | 16 | Game | 744000 | 76,411,840 | 28th | QUES | LLots | 5 | 18% | 15:50:27 | +66 | 10d22h | 02d22h | H | +66 </x:v>
      </x:c>
    </x:row>
    <x:row r="350">
      <x:c r="A350" s="17" t="str">
        <x:v>SEG_05_040</x:v>
      </x:c>
      <x:c r="B350" s="17" t="str">
        <x:v>TT_NEW_05</x:v>
      </x:c>
      <x:c r="C350" s="17" t="n">
        <x:v>1400</x:v>
      </x:c>
      <x:c r="D350" s="17" t="n">
        <x:v>1409</x:v>
      </x:c>
      <x:c r="E350" s="17" t="str">
        <x:v>00:23:20</x:v>
      </x:c>
      <x:c r="F350" s="17" t="str">
        <x:v>00:23:29</x:v>
      </x:c>
      <x:c r="G350" s="17" t="n">
        <x:v>10</x:v>
      </x:c>
      <x:c r="H350" s="17" t="str">
        <x:v>小游戏</x:v>
      </x:c>
      <x:c r="I350" s="17" t="str">
        <x:v>玩法/奖励依画面；主资源常不全显</x:v>
      </x:c>
      <x:c r="J350" s="17" t="str">
        <x:v>否</x:v>
      </x:c>
      <x:c r="K350" s="17" t="str">
        <x:v>保留机制；完整核账窗口不足</x:v>
      </x:c>
      <x:c r="L350" s="18" t="str">
        <x:v>/Users/mac/Documents/智囊团/video_analysis/Top_Tycoon新号流程_20260804/frames/TT_NEW_05/TT_NEW_05_t001400.jpg</x:v>
      </x:c>
      <x:c r="M350" s="17" t="n">
        <x:v>1400</x:v>
      </x:c>
      <x:c r="N350" s="17" t="str">
        <x:v>已确认</x:v>
      </x:c>
      <x:c r="O350" s="17" t="str">
        <x:v>OCR 命中小游戏名称/玩法词</x:v>
      </x:c>
      <x:c r="P350" s="17" t="str">
        <x:v>Credit Grab! | Select Target: | Ellen E.Finlay | S.Tigner | Stephen M.Charme</x:v>
      </x:c>
    </x:row>
    <x:row r="351">
      <x:c r="A351" s="17" t="str">
        <x:v>SEG_05_041</x:v>
      </x:c>
      <x:c r="B351" s="17" t="str">
        <x:v>TT_NEW_05</x:v>
      </x:c>
      <x:c r="C351" s="17" t="n">
        <x:v>1410</x:v>
      </x:c>
      <x:c r="D351" s="17" t="n">
        <x:v>1419</x:v>
      </x:c>
      <x:c r="E351" s="17" t="str">
        <x:v>00:23:30</x:v>
      </x:c>
      <x:c r="F351" s="17" t="str">
        <x:v>00:23:39</x:v>
      </x:c>
      <x:c r="G351" s="17" t="n">
        <x:v>10</x:v>
      </x:c>
      <x:c r="H351" s="17" t="str">
        <x:v>转场/加载</x:v>
      </x:c>
      <x:c r="I351" s="17" t="str">
        <x:v>数值不可读或不适用</x:v>
      </x:c>
      <x:c r="J351" s="17" t="str">
        <x:v>否</x:v>
      </x:c>
      <x:c r="K351" s="17" t="str">
        <x:v>排除：转场/加载，不进入数值统计</x:v>
      </x:c>
      <x:c r="L351" s="18" t="str">
        <x:v>/Users/mac/Documents/智囊团/video_analysis/Top_Tycoon新号流程_20260804/frames/TT_NEW_05/TT_NEW_05_t001410.jpg</x:v>
      </x:c>
      <x:c r="M351" s="17" t="n">
        <x:v>1410</x:v>
      </x:c>
      <x:c r="N351" s="17" t="str">
        <x:v>待复核</x:v>
      </x:c>
      <x:c r="O351" s="17" t="str">
        <x:v>画面原型近邻；margin=0.0190</x:v>
      </x:c>
      <x:c r="P351" s="17" t="str">
        <x:v>Javiercbr'sBank | 889,200 | COINS | Z | Z | TOTAL LOOT | 889,200 | COINS</x:v>
      </x:c>
    </x:row>
    <x:row r="352">
      <x:c r="A352" s="17" t="str">
        <x:v>SEG_05_042</x:v>
      </x:c>
      <x:c r="B352" s="17" t="str">
        <x:v>TT_NEW_05</x:v>
      </x:c>
      <x:c r="C352" s="17" t="n">
        <x:v>1420</x:v>
      </x:c>
      <x:c r="D352" s="17" t="n">
        <x:v>1439</x:v>
      </x:c>
      <x:c r="E352" s="17" t="str">
        <x:v>00:23:40</x:v>
      </x:c>
      <x:c r="F352" s="17" t="str">
        <x:v>00:23:59</x:v>
      </x:c>
      <x:c r="G352" s="17" t="n">
        <x:v>20</x:v>
      </x:c>
      <x:c r="H352" s="17" t="str">
        <x:v>Slot</x:v>
      </x:c>
      <x:c r="I352" s="17" t="str">
        <x:v>BET/能量/金币/主进度通常可见；以事件帧为准</x:v>
      </x:c>
      <x:c r="J352" s="17" t="str">
        <x:v>否</x:v>
      </x:c>
      <x:c r="K352" s="17" t="str">
        <x:v>保留机制；缺逐 Spin 前后快照</x:v>
      </x:c>
      <x:c r="L352" s="18" t="str">
        <x:v>/Users/mac/Documents/智囊团/video_analysis/Top_Tycoon新号流程_20260804/frames/TT_NEW_05/TT_NEW_05_t001430.jpg</x:v>
      </x:c>
      <x:c r="M352" s="17" t="n">
        <x:v>1430</x:v>
      </x:c>
      <x:c r="N352" s="17" t="str">
        <x:v>已确认</x:v>
      </x:c>
      <x:c r="O352" s="17" t="str">
        <x:v>OCR 命中 SPIN/BET 词; 画面原型近邻；margin=0.0075</x:v>
      </x:c>
      <x:c r="P352" s="17" t="str">
        <x:v>Javiercbr'sBank | LARGE GRAB | YOU STOLE | COINS | 744000 | 83,251,840 | 28th | QUES | CLots | 5 | 18% | 15:49:47 | +66 | 10d22h | 02d22h | CREDIT GRAB | H | +66 | 01d23h | 313/1500 | 02d21h | 01d15h | 2.4K | 13 | 17 | Sale | 01d15h | 01d21h | FREE | SPIN | 15h49m | 15h49m | +200 | FREE | FREE | FREE | 95% | 15h49m | 01d15h | BETx100 | 12 | SALE | 50/50 | 01d15h | +214 | 01d15h | 5 | SPIN | 33% | 15h49m | HOLD FOR AUTO SPIN | Helpotherplayers (o/1) | 16 | Game</x:v>
      </x:c>
    </x:row>
    <x:row r="353">
      <x:c r="A353" s="17" t="str">
        <x:v>SEG_05_043</x:v>
      </x:c>
      <x:c r="B353" s="17" t="str">
        <x:v>TT_NEW_05</x:v>
      </x:c>
      <x:c r="C353" s="17" t="n">
        <x:v>1440</x:v>
      </x:c>
      <x:c r="D353" s="17" t="n">
        <x:v>1449</x:v>
      </x:c>
      <x:c r="E353" s="17" t="str">
        <x:v>00:24:00</x:v>
      </x:c>
      <x:c r="F353" s="17" t="str">
        <x:v>00:24:09</x:v>
      </x:c>
      <x:c r="G353" s="17" t="n">
        <x:v>10</x:v>
      </x:c>
      <x:c r="H353" s="17" t="str">
        <x:v>礼包</x:v>
      </x:c>
      <x:c r="I353" s="17" t="str">
        <x:v>价格/内容可能可见；未观察购买后余额</x:v>
      </x:c>
      <x:c r="J353" s="17" t="str">
        <x:v>否</x:v>
      </x:c>
      <x:c r="K353" s="17" t="str">
        <x:v>保留 offer_shown；无购买前后闭环</x:v>
      </x:c>
      <x:c r="L353" s="18" t="str">
        <x:v>/Users/mac/Documents/智囊团/video_analysis/Top_Tycoon新号流程_20260804/frames/TT_NEW_05/TT_NEW_05_t001440.jpg</x:v>
      </x:c>
      <x:c r="M353" s="17" t="n">
        <x:v>1440</x:v>
      </x:c>
      <x:c r="N353" s="17" t="str">
        <x:v>已确认</x:v>
      </x:c>
      <x:c r="O353" s="17" t="str">
        <x:v>OCR 命中价格/商店词</x:v>
      </x:c>
      <x:c r="P353" s="17" t="str">
        <x:v>744000 | 83,555,440 | 28th | 18% | PRiZE | CARNIVAL | Unlock to advance! | 100% | 150% | MORE | MORE | 660 | 1.4K | 1.9K | 1.2M | 2.6M | 3.5M | V★1 | 1K3177.00 | HK$40.00 | HK$40.00 | HK$40.0d | 15h 49m | HelpotherplayersO | 16 | Game</x:v>
      </x:c>
    </x:row>
    <x:row r="354">
      <x:c r="A354" s="17" t="str">
        <x:v>SEG_05_044</x:v>
      </x:c>
      <x:c r="B354" s="17" t="str">
        <x:v>TT_NEW_05</x:v>
      </x:c>
      <x:c r="C354" s="17" t="n">
        <x:v>1450</x:v>
      </x:c>
      <x:c r="D354" s="17" t="n">
        <x:v>1459</x:v>
      </x:c>
      <x:c r="E354" s="17" t="str">
        <x:v>00:24:10</x:v>
      </x:c>
      <x:c r="F354" s="17" t="str">
        <x:v>00:24:19</x:v>
      </x:c>
      <x:c r="G354" s="17" t="n">
        <x:v>10</x:v>
      </x:c>
      <x:c r="H354" s="17" t="str">
        <x:v>Slot</x:v>
      </x:c>
      <x:c r="I354" s="17" t="str">
        <x:v>BET/能量/金币/主进度通常可见；以事件帧为准</x:v>
      </x:c>
      <x:c r="J354" s="17" t="str">
        <x:v>否</x:v>
      </x:c>
      <x:c r="K354" s="17" t="str">
        <x:v>保留机制；缺逐 Spin 前后快照</x:v>
      </x:c>
      <x:c r="L354" s="18" t="str">
        <x:v>/Users/mac/Documents/智囊团/video_analysis/Top_Tycoon新号流程_20260804/frames/TT_NEW_05/TT_NEW_05_t001450.jpg</x:v>
      </x:c>
      <x:c r="M354" s="17" t="n">
        <x:v>1450</x:v>
      </x:c>
      <x:c r="N354" s="17" t="str">
        <x:v>已确认</x:v>
      </x:c>
      <x:c r="O354" s="17" t="str">
        <x:v>OCR 命中 SPIN/BET 词</x:v>
      </x:c>
      <x:c r="P354" s="17" t="str">
        <x:v>744000 | 83,555,440 | 28th | QUES | LLots | 5 | 18% | 15:49:27 | +66 | 10d22h | 02d22h | + 27600 | +66 | 01d23h | 313/1500 | 02d21h | 01d15h | 2.4K | 13 | 17 | Sale | 01d15h | 01d21h | FREE | SPIN | 15h49m | 04:57 | FREE | 95% | 15h49m | 01d15h | BETx100 | 12 | 50/50 | 15h49m | +14 | 01d15h | SALE | SPIN | 33% | HOLD FOR AUTO SPIN | Helpotherplayers(o/1) | 16 | Game</x:v>
      </x:c>
    </x:row>
    <x:row r="355">
      <x:c r="A355" s="17" t="str">
        <x:v>SEG_05_045</x:v>
      </x:c>
      <x:c r="B355" s="17" t="str">
        <x:v>TT_NEW_05</x:v>
      </x:c>
      <x:c r="C355" s="17" t="n">
        <x:v>1460</x:v>
      </x:c>
      <x:c r="D355" s="17" t="n">
        <x:v>1519</x:v>
      </x:c>
      <x:c r="E355" s="17" t="str">
        <x:v>00:24:20</x:v>
      </x:c>
      <x:c r="F355" s="17" t="str">
        <x:v>00:25:19</x:v>
      </x:c>
      <x:c r="G355" s="17" t="n">
        <x:v>60</x:v>
      </x:c>
      <x:c r="H355" s="17" t="str">
        <x:v>建造</x:v>
      </x:c>
      <x:c r="I355" s="17" t="str">
        <x:v>金币可见；Site tasks/Next task cost 依画面</x:v>
      </x:c>
      <x:c r="J355" s="17" t="str">
        <x:v>是</x:v>
      </x:c>
      <x:c r="K355" s="17" t="str">
        <x:v>保留：建造金币核账窗口</x:v>
      </x:c>
      <x:c r="L355" s="18" t="str">
        <x:v>/Users/mac/Documents/智囊团/video_analysis/Top_Tycoon新号流程_20260804/frames/TT_NEW_05/TT_NEW_05_t001490.jpg</x:v>
      </x:c>
      <x:c r="M355" s="17" t="n">
        <x:v>1490</x:v>
      </x:c>
      <x:c r="N355" s="17" t="str">
        <x:v>已确认</x:v>
      </x:c>
      <x:c r="O355" s="17" t="str">
        <x:v>OCR 命中建造/Site tasks 词; 画面原型近邻；margin=0.0088; 相邻两侧同模块，平滑孤立原型误差</x:v>
      </x:c>
      <x:c r="P355" s="17" t="str">
        <x:v>746000 | 83,285,053 | 28th | Port | 24000/57000 | Showrewards | MAP | +20% | 01:33 | Helpother players(O） | 1 | TO | +1/SeCIGS | NEXTTASKCOST | 816,327 | 204,100 | +744/Sec | 16 | 22 | Site | 758000 | 80,220,903 | 28th | Port | 32000/57000 | Showrewards | M | +20% | 01:23 | Helpotherplayers(o/1) | NEXTTASKCOST | TO | 895,124 | 414,700 | +28/Sec | 16 | 222 | Site | 770000 | 72,170,421 | 28th | Port | 49000/57000 | Showrewards | MAP | +20% | 01:13 | Freight Station | Helpotherp</x:v>
      </x:c>
    </x:row>
    <x:row r="356">
      <x:c r="A356" s="17" t="str">
        <x:v>SEG_05_046</x:v>
      </x:c>
      <x:c r="B356" s="17" t="str">
        <x:v>TT_NEW_05</x:v>
      </x:c>
      <x:c r="C356" s="17" t="n">
        <x:v>1520</x:v>
      </x:c>
      <x:c r="D356" s="17" t="n">
        <x:v>1539</x:v>
      </x:c>
      <x:c r="E356" s="17" t="str">
        <x:v>00:25:20</x:v>
      </x:c>
      <x:c r="F356" s="17" t="str">
        <x:v>00:25:39</x:v>
      </x:c>
      <x:c r="G356" s="17" t="n">
        <x:v>20</x:v>
      </x:c>
      <x:c r="H356" s="17" t="str">
        <x:v>主进度</x:v>
      </x:c>
      <x:c r="I356" s="17" t="str">
        <x:v>阶段进度/奖励可见；BET 可能不可见</x:v>
      </x:c>
      <x:c r="J356" s="17" t="str">
        <x:v>否</x:v>
      </x:c>
      <x:c r="K356" s="17" t="str">
        <x:v>保留：主进度节点；缺完整起止则不算成本</x:v>
      </x:c>
      <x:c r="L356" s="18" t="str">
        <x:v>/Users/mac/Documents/智囊团/video_analysis/Top_Tycoon新号流程_20260804/frames/TT_NEW_05/TT_NEW_05_t001530.jpg</x:v>
      </x:c>
      <x:c r="M356" s="17" t="n">
        <x:v>1530</x:v>
      </x:c>
      <x:c r="N356" s="17" t="str">
        <x:v>已确认</x:v>
      </x:c>
      <x:c r="O356" s="17" t="str">
        <x:v>OCR 命中进度/阶段奖励词</x:v>
      </x:c>
      <x:c r="P356" s="17" t="str">
        <x:v>5800% | CHAPTER PRIZE | 0/97000 | 2 | Activate | 60 | 185 | Locked | 65 | 4 | 190 | 2.3M | 3 | 4 | 200 | 205 | 3.5M | 5 | 210 | 6 | 215 | 4.6M | X | 5800% | CHAPTER PRIZE | 0/97000 | 2 | Activate | 60 | 185 | Locked | 4 | 190 | 2.3M | 3 | 200 | 205 | 3.5M | 5 | 210 | 6 | 215 | 4.6M</x:v>
      </x:c>
    </x:row>
    <x:row r="357">
      <x:c r="A357" s="17" t="str">
        <x:v>SEG_05_047</x:v>
      </x:c>
      <x:c r="B357" s="17" t="str">
        <x:v>TT_NEW_05</x:v>
      </x:c>
      <x:c r="C357" s="17" t="n">
        <x:v>1540</x:v>
      </x:c>
      <x:c r="D357" s="17" t="n">
        <x:v>1549</x:v>
      </x:c>
      <x:c r="E357" s="17" t="str">
        <x:v>00:25:40</x:v>
      </x:c>
      <x:c r="F357" s="17" t="str">
        <x:v>00:25:49</x:v>
      </x:c>
      <x:c r="G357" s="17" t="n">
        <x:v>10</x:v>
      </x:c>
      <x:c r="H357" s="17" t="str">
        <x:v>礼包</x:v>
      </x:c>
      <x:c r="I357" s="17" t="str">
        <x:v>价格/内容可能可见；未观察购买后余额</x:v>
      </x:c>
      <x:c r="J357" s="17" t="str">
        <x:v>否</x:v>
      </x:c>
      <x:c r="K357" s="17" t="str">
        <x:v>保留 offer_shown；无购买前后闭环</x:v>
      </x:c>
      <x:c r="L357" s="18" t="str">
        <x:v>/Users/mac/Documents/智囊团/video_analysis/Top_Tycoon新号流程_20260804/frames/TT_NEW_05/TT_NEW_05_t001540.jpg</x:v>
      </x:c>
      <x:c r="M357" s="17" t="n">
        <x:v>1540</x:v>
      </x:c>
      <x:c r="N357" s="17" t="str">
        <x:v>已确认</x:v>
      </x:c>
      <x:c r="O357" s="17" t="str">
        <x:v>OCR 命中价格/商店词</x:v>
      </x:c>
      <x:c r="P357" s="17" t="str">
        <x:v>REWERBS | X | 5800% | Unlockextra rewards | and more earnings! | ACTIVATE GOLD PASS8 | GOLD PASS | WIN UP TO | 2620! | HK$55.90</x:v>
      </x:c>
    </x:row>
    <x:row r="358">
      <x:c r="A358" s="17" t="str">
        <x:v>SEG_05_048</x:v>
      </x:c>
      <x:c r="B358" s="17" t="str">
        <x:v>TT_NEW_05</x:v>
      </x:c>
      <x:c r="C358" s="17" t="n">
        <x:v>1550</x:v>
      </x:c>
      <x:c r="D358" s="17" t="n">
        <x:v>1699</x:v>
      </x:c>
      <x:c r="E358" s="17" t="str">
        <x:v>00:25:50</x:v>
      </x:c>
      <x:c r="F358" s="17" t="str">
        <x:v>00:28:19</x:v>
      </x:c>
      <x:c r="G358" s="17" t="n">
        <x:v>150</x:v>
      </x:c>
      <x:c r="H358" s="17" t="str">
        <x:v>建造</x:v>
      </x:c>
      <x:c r="I358" s="17" t="str">
        <x:v>金币可见；Site tasks/Next task cost 依画面</x:v>
      </x:c>
      <x:c r="J358" s="17" t="str">
        <x:v>是</x:v>
      </x:c>
      <x:c r="K358" s="17" t="str">
        <x:v>保留：建造金币核账窗口</x:v>
      </x:c>
      <x:c r="L358" s="18" t="str">
        <x:v>/Users/mac/Documents/智囊团/video_analysis/Top_Tycoon新号流程_20260804/frames/TT_NEW_05/TT_NEW_05_t001620.jpg</x:v>
      </x:c>
      <x:c r="M358" s="17" t="n">
        <x:v>1620</x:v>
      </x:c>
      <x:c r="N358" s="17" t="str">
        <x:v>已确认</x:v>
      </x:c>
      <x:c r="O358" s="17" t="str">
        <x:v>OCR 命中建造/Site tasks 词</x:v>
      </x:c>
      <x:c r="P358" s="17" t="str">
        <x:v>777000 | 63,694,833 | 28th | Wind Farm | 0/97000 | Showrewards | MAP | +20% | 00:03 | Helpotherplayers(0/1) | NEXT TASKCOST | TOTAL EARNINGS | 24,956 | 0350 | +777/Sec | 17 | 22 | Site | 789000 | 63,638,458 | 28th | Wind Farm | 11000/97 | Showrew | MAP | Helpotherplayers(o/1) | NEXTTASKCOST | TOTAL EARNINGS | 32,820 | 013,650 | +789/Sec | 17 | Site | 800000 | 63,393,346 | 28th | Wind Farm | 21000/97000 | Showrewards | MAP | Helpotherplayers (0/1) | +1/SeeiGs | NEXTTASKCOST | </x:v>
      </x:c>
    </x:row>
    <x:row r="359">
      <x:c r="A359" s="17" t="str">
        <x:v>SEG_05_049</x:v>
      </x:c>
      <x:c r="B359" s="17" t="str">
        <x:v>TT_NEW_05</x:v>
      </x:c>
      <x:c r="C359" s="17" t="n">
        <x:v>1700</x:v>
      </x:c>
      <x:c r="D359" s="17" t="n">
        <x:v>1709</x:v>
      </x:c>
      <x:c r="E359" s="17" t="str">
        <x:v>00:28:20</x:v>
      </x:c>
      <x:c r="F359" s="17" t="str">
        <x:v>00:28:29</x:v>
      </x:c>
      <x:c r="G359" s="17" t="n">
        <x:v>10</x:v>
      </x:c>
      <x:c r="H359" s="17" t="str">
        <x:v>转场/加载</x:v>
      </x:c>
      <x:c r="I359" s="17" t="str">
        <x:v>数值不可读或不适用</x:v>
      </x:c>
      <x:c r="J359" s="17" t="str">
        <x:v>否</x:v>
      </x:c>
      <x:c r="K359" s="17" t="str">
        <x:v>排除：转场/加载，不进入数值统计</x:v>
      </x:c>
      <x:c r="L359" s="18" t="str">
        <x:v>/Users/mac/Documents/智囊团/video_analysis/Top_Tycoon新号流程_20260804/frames/TT_NEW_05/TT_NEW_05_t001700.jpg</x:v>
      </x:c>
      <x:c r="M359" s="17" t="n">
        <x:v>1700</x:v>
      </x:c>
      <x:c r="N359" s="17" t="str">
        <x:v>已确认</x:v>
      </x:c>
      <x:c r="O359" s="17" t="str">
        <x:v>低亮度/低饱和转场</x:v>
      </x:c>
      <x:c r="P359" s="17" t="str">
        <x:v>919000 | 6,679,623 | NaturalGas | 0/39000 | Hey, we can open the first | box now! | Emily | reightStation | 153,936 | 7.080</x:v>
      </x:c>
    </x:row>
    <x:row r="360">
      <x:c r="A360" s="17" t="str">
        <x:v>SEG_05_050</x:v>
      </x:c>
      <x:c r="B360" s="17" t="str">
        <x:v>TT_NEW_05</x:v>
      </x:c>
      <x:c r="C360" s="17" t="n">
        <x:v>1710</x:v>
      </x:c>
      <x:c r="D360" s="17" t="n">
        <x:v>1759</x:v>
      </x:c>
      <x:c r="E360" s="17" t="str">
        <x:v>00:28:30</x:v>
      </x:c>
      <x:c r="F360" s="17" t="str">
        <x:v>00:29:19</x:v>
      </x:c>
      <x:c r="G360" s="17" t="n">
        <x:v>50</x:v>
      </x:c>
      <x:c r="H360" s="17" t="str">
        <x:v>建造</x:v>
      </x:c>
      <x:c r="I360" s="17" t="str">
        <x:v>金币可见；Site tasks/Next task cost 依画面</x:v>
      </x:c>
      <x:c r="J360" s="17" t="str">
        <x:v>是</x:v>
      </x:c>
      <x:c r="K360" s="17" t="str">
        <x:v>保留：建造金币核账窗口</x:v>
      </x:c>
      <x:c r="L360" s="18" t="str">
        <x:v>/Users/mac/Documents/智囊团/video_analysis/Top_Tycoon新号流程_20260804/frames/TT_NEW_05/TT_NEW_05_t001730.jpg</x:v>
      </x:c>
      <x:c r="M360" s="17" t="n">
        <x:v>1730</x:v>
      </x:c>
      <x:c r="N360" s="17" t="str">
        <x:v>已确认</x:v>
      </x:c>
      <x:c r="O360" s="17" t="str">
        <x:v>OCR 命中建造/Site tasks 词</x:v>
      </x:c>
      <x:c r="P360" s="17" t="str">
        <x:v>919000 | 6,679,623 | 28th | Natural Gas | 0/39000 | Showrewards | MAP | 306 | Sewage Tank | Help other players (o/1) | NEXTTASKCOST | TOTAL EARNINGS | 163,125 | 07,080 | +919/Sec | 17 | 22 | Site | 930000 | 5,861,035 | 28th | Natural Gas | 8000/39000 | Sh | wards | MAP | Sewage Tank | Helpotherplayers(o/1) | +1/SeGGS | NEXTTASKCOST | TO | 172,425 | 240,720 | +928/Sec | 17 | Site | 940000 | 1,593,886 | 28th | Natural Gas | 18000/39000 | Showrewards | MAP | Fuel Tank | Sewage T</x:v>
      </x:c>
    </x:row>
    <x:row r="361">
      <x:c r="A361" s="17" t="str">
        <x:v>SEG_05_051</x:v>
      </x:c>
      <x:c r="B361" s="17" t="str">
        <x:v>TT_NEW_05</x:v>
      </x:c>
      <x:c r="C361" s="17" t="n">
        <x:v>1760</x:v>
      </x:c>
      <x:c r="D361" s="17" t="n">
        <x:v>1819</x:v>
      </x:c>
      <x:c r="E361" s="17" t="str">
        <x:v>00:29:20</x:v>
      </x:c>
      <x:c r="F361" s="17" t="str">
        <x:v>00:30:19</x:v>
      </x:c>
      <x:c r="G361" s="17" t="n">
        <x:v>60</x:v>
      </x:c>
      <x:c r="H361" s="17" t="str">
        <x:v>小游戏</x:v>
      </x:c>
      <x:c r="I361" s="17" t="str">
        <x:v>玩法/奖励依画面；主资源常不全显</x:v>
      </x:c>
      <x:c r="J361" s="17" t="str">
        <x:v>否</x:v>
      </x:c>
      <x:c r="K361" s="17" t="str">
        <x:v>保留机制；完整核账窗口不足</x:v>
      </x:c>
      <x:c r="L361" s="18" t="str">
        <x:v>/Users/mac/Documents/智囊团/video_analysis/Top_Tycoon新号流程_20260804/frames/TT_NEW_05/TT_NEW_05_t001790.jpg</x:v>
      </x:c>
      <x:c r="M361" s="17" t="n">
        <x:v>1790</x:v>
      </x:c>
      <x:c r="N361" s="17" t="str">
        <x:v>待复核</x:v>
      </x:c>
      <x:c r="O361" s="17" t="str">
        <x:v>OCR 命中小游戏名称/玩法词; 画面原型近邻；margin=0.0351; 画面原型近邻；margin=0.0387; 画面原型近邻；margin=0.0420; 画面原型近邻；margin=0.0439</x:v>
      </x:c>
      <x:c r="P361" s="17" t="str">
        <x:v>GSTRiKE? | Luci | ? | X | 750 | COMPLETED! | 01d15h | UK | 4C0K | 120K | 2 | 3.0K | 2-0K | x3 | Skip animation | 5 | + | WHACK | PIG | 3 | 3 | 0/1 | 1500 | 380 | 35 | 5 | 3 | 3 | 0/1 | 1500 | 380 | 35 | 4 | 0/1 | 4 | 1500 | 380 | 35 | 100 | 6 | 6 | X | 1500 | 380 | 35 | 100 | 120</x:v>
      </x:c>
    </x:row>
    <x:row r="362">
      <x:c r="A362" s="17" t="str">
        <x:v>SEG_05_052</x:v>
      </x:c>
      <x:c r="B362" s="17" t="str">
        <x:v>TT_NEW_05</x:v>
      </x:c>
      <x:c r="C362" s="17" t="n">
        <x:v>1820</x:v>
      </x:c>
      <x:c r="D362" s="17" t="n">
        <x:v>1829</x:v>
      </x:c>
      <x:c r="E362" s="17" t="str">
        <x:v>00:30:20</x:v>
      </x:c>
      <x:c r="F362" s="17" t="str">
        <x:v>00:30:29</x:v>
      </x:c>
      <x:c r="G362" s="17" t="n">
        <x:v>10</x:v>
      </x:c>
      <x:c r="H362" s="17" t="str">
        <x:v>礼包</x:v>
      </x:c>
      <x:c r="I362" s="17" t="str">
        <x:v>价格/内容可能可见；未观察购买后余额</x:v>
      </x:c>
      <x:c r="J362" s="17" t="str">
        <x:v>否</x:v>
      </x:c>
      <x:c r="K362" s="17" t="str">
        <x:v>保留 offer_shown；无购买前后闭环</x:v>
      </x:c>
      <x:c r="L362" s="18" t="str">
        <x:v>/Users/mac/Documents/智囊团/video_analysis/Top_Tycoon新号流程_20260804/frames/TT_NEW_05/TT_NEW_05_t001820.jpg</x:v>
      </x:c>
      <x:c r="M362" s="17" t="n">
        <x:v>1820</x:v>
      </x:c>
      <x:c r="N362" s="17" t="str">
        <x:v>已确认</x:v>
      </x:c>
      <x:c r="O362" s="17" t="str">
        <x:v>OCR 命中价格/商店词</x:v>
      </x:c>
      <x:c r="P362" s="17" t="str">
        <x:v>PIGGY PASS | 01d 15h | 0/1 | 6 | HK$40.00 | 17K | 17K | 17K | 52K | 35 | Locked | CLAIM ALL</x:v>
      </x:c>
    </x:row>
    <x:row r="363">
      <x:c r="A363" s="17" t="str">
        <x:v>SEG_05_053</x:v>
      </x:c>
      <x:c r="B363" s="17" t="str">
        <x:v>TT_NEW_05</x:v>
      </x:c>
      <x:c r="C363" s="17" t="n">
        <x:v>1830</x:v>
      </x:c>
      <x:c r="D363" s="17" t="n">
        <x:v>1839</x:v>
      </x:c>
      <x:c r="E363" s="17" t="str">
        <x:v>00:30:30</x:v>
      </x:c>
      <x:c r="F363" s="17" t="str">
        <x:v>00:30:39</x:v>
      </x:c>
      <x:c r="G363" s="17" t="n">
        <x:v>10</x:v>
      </x:c>
      <x:c r="H363" s="17" t="str">
        <x:v>小游戏</x:v>
      </x:c>
      <x:c r="I363" s="17" t="str">
        <x:v>玩法/奖励依画面；主资源常不全显</x:v>
      </x:c>
      <x:c r="J363" s="17" t="str">
        <x:v>否</x:v>
      </x:c>
      <x:c r="K363" s="17" t="str">
        <x:v>保留机制；完整核账窗口不足</x:v>
      </x:c>
      <x:c r="L363" s="18" t="str">
        <x:v>/Users/mac/Documents/智囊团/video_analysis/Top_Tycoon新号流程_20260804/frames/TT_NEW_05/TT_NEW_05_t001830.jpg</x:v>
      </x:c>
      <x:c r="M363" s="17" t="n">
        <x:v>1830</x:v>
      </x:c>
      <x:c r="N363" s="17" t="str">
        <x:v>待复核</x:v>
      </x:c>
      <x:c r="O363" s="17" t="str">
        <x:v>画面原型近邻；margin=0.0292</x:v>
      </x:c>
      <x:c r="P363" s="17" t="str">
        <x:v>6 | X | 1500 | 380 | 75 | 100 | 120</x:v>
      </x:c>
    </x:row>
    <x:row r="364">
      <x:c r="A364" s="17" t="str">
        <x:v>SEG_05_054</x:v>
      </x:c>
      <x:c r="B364" s="17" t="str">
        <x:v>TT_NEW_05</x:v>
      </x:c>
      <x:c r="C364" s="17" t="n">
        <x:v>1840</x:v>
      </x:c>
      <x:c r="D364" s="17" t="n">
        <x:v>1859</x:v>
      </x:c>
      <x:c r="E364" s="17" t="str">
        <x:v>00:30:40</x:v>
      </x:c>
      <x:c r="F364" s="17" t="str">
        <x:v>00:30:59</x:v>
      </x:c>
      <x:c r="G364" s="17" t="n">
        <x:v>20</x:v>
      </x:c>
      <x:c r="H364" s="17" t="str">
        <x:v>Slot</x:v>
      </x:c>
      <x:c r="I364" s="17" t="str">
        <x:v>BET/能量/金币/主进度通常可见；以事件帧为准</x:v>
      </x:c>
      <x:c r="J364" s="17" t="str">
        <x:v>否</x:v>
      </x:c>
      <x:c r="K364" s="17" t="str">
        <x:v>保留机制；缺逐 Spin 前后快照</x:v>
      </x:c>
      <x:c r="L364" s="18" t="str">
        <x:v>/Users/mac/Documents/智囊团/video_analysis/Top_Tycoon新号流程_20260804/frames/TT_NEW_05/TT_NEW_05_t001850.jpg</x:v>
      </x:c>
      <x:c r="M364" s="17" t="n">
        <x:v>1850</x:v>
      </x:c>
      <x:c r="N364" s="17" t="str">
        <x:v>已确认</x:v>
      </x:c>
      <x:c r="O364" s="17" t="str">
        <x:v>OCR 命中 SPIN/BET 词; 画面原型近邻；margin=0.0734</x:v>
      </x:c>
      <x:c r="P364" s="17" t="str">
        <x:v>·Ⅱ | ·I | 4 | IILA | ali.f | marley | X | 32220 | 7260 | 10m | 60 | 5 | 15100 | 4520 | 7000 | 7000 | SPIN | BET*2</x:v>
      </x:c>
    </x:row>
    <x:row r="365">
      <x:c r="A365" s="17" t="str">
        <x:v>SEG_05_055</x:v>
      </x:c>
      <x:c r="B365" s="17" t="str">
        <x:v>TT_NEW_05</x:v>
      </x:c>
      <x:c r="C365" s="17" t="n">
        <x:v>1860</x:v>
      </x:c>
      <x:c r="D365" s="17" t="n">
        <x:v>1869</x:v>
      </x:c>
      <x:c r="E365" s="17" t="str">
        <x:v>00:31:00</x:v>
      </x:c>
      <x:c r="F365" s="17" t="str">
        <x:v>00:31:09</x:v>
      </x:c>
      <x:c r="G365" s="17" t="n">
        <x:v>10</x:v>
      </x:c>
      <x:c r="H365" s="17" t="str">
        <x:v>小游戏</x:v>
      </x:c>
      <x:c r="I365" s="17" t="str">
        <x:v>玩法/奖励依画面；主资源常不全显</x:v>
      </x:c>
      <x:c r="J365" s="17" t="str">
        <x:v>否</x:v>
      </x:c>
      <x:c r="K365" s="17" t="str">
        <x:v>保留机制；完整核账窗口不足</x:v>
      </x:c>
      <x:c r="L365" s="18" t="str">
        <x:v>/Users/mac/Documents/智囊团/video_analysis/Top_Tycoon新号流程_20260804/frames/TT_NEW_05/TT_NEW_05_t001860.jpg</x:v>
      </x:c>
      <x:c r="M365" s="17" t="n">
        <x:v>1860</x:v>
      </x:c>
      <x:c r="N365" s="17" t="str">
        <x:v>已确认</x:v>
      </x:c>
      <x:c r="O365" s="17" t="str">
        <x:v>OCR 命中小游戏名称/玩法词</x:v>
      </x:c>
      <x:c r="P365" s="17" t="str">
        <x:v>941000 | 734,018 | 28th | QUESS | Lead Pursuit | 01d21h | 60 | 600K | 170 | 310 | 600 | 1200 | 1800 | 2400 | 3000 | 1087/3200 | Collect4Calendarre | (GOld) | 2/4 | CASCADE | +20% | Attack160 | Machine Coins! | 10m | claim | Credit Grab 140 times | 80 | 10m | Earn 2200 Bonus pts | 100 | 8 | Complete 80 site | tasks | 100 | DAY1 | DAY2 | DAY3 | DAY4 | DAY5 | DAY6 | 8 | Helpotherplayers（ | 777 | Game</x:v>
      </x:c>
    </x:row>
    <x:row r="366">
      <x:c r="A366" s="17" t="str">
        <x:v>SEG_05_056</x:v>
      </x:c>
      <x:c r="B366" s="17" t="str">
        <x:v>TT_NEW_05</x:v>
      </x:c>
      <x:c r="C366" s="17" t="n">
        <x:v>1870</x:v>
      </x:c>
      <x:c r="D366" s="17" t="n">
        <x:v>1889</x:v>
      </x:c>
      <x:c r="E366" s="17" t="str">
        <x:v>00:31:10</x:v>
      </x:c>
      <x:c r="F366" s="17" t="str">
        <x:v>00:31:29</x:v>
      </x:c>
      <x:c r="G366" s="17" t="n">
        <x:v>20</x:v>
      </x:c>
      <x:c r="H366" s="17" t="str">
        <x:v>Slot</x:v>
      </x:c>
      <x:c r="I366" s="17" t="str">
        <x:v>BET/能量/金币/主进度通常可见；以事件帧为准</x:v>
      </x:c>
      <x:c r="J366" s="17" t="str">
        <x:v>否</x:v>
      </x:c>
      <x:c r="K366" s="17" t="str">
        <x:v>保留机制；缺逐 Spin 前后快照</x:v>
      </x:c>
      <x:c r="L366" s="18" t="str">
        <x:v>/Users/mac/Documents/智囊团/video_analysis/Top_Tycoon新号流程_20260804/frames/TT_NEW_05/TT_NEW_05_t001880.jpg</x:v>
      </x:c>
      <x:c r="M366" s="17" t="n">
        <x:v>1880</x:v>
      </x:c>
      <x:c r="N366" s="17" t="str">
        <x:v>已确认</x:v>
      </x:c>
      <x:c r="O366" s="17" t="str">
        <x:v>OCR 命中 SPIN/BET 词</x:v>
      </x:c>
      <x:c r="P366" s="17" t="str">
        <x:v>941000 | 1,334,018 | 28th | QUES 5 | 18% | 10d21h | +27600 | H | 313/1500 | BETx100 | SALE | 50/50 | SPIN | Helpother | 17 | 941000 | 1,334,018 | 28th | QUESS | 18% | 10d21h | NEW | H | Sale | Daphne | BETx100男 | SALL | 50/50 | SPIN | HelpotherplayersCo/ | 18 | Game</x:v>
      </x:c>
    </x:row>
    <x:row r="367">
      <x:c r="A367" s="17" t="str">
        <x:v>SEG_05_057</x:v>
      </x:c>
      <x:c r="B367" s="17" t="str">
        <x:v>TT_NEW_05</x:v>
      </x:c>
      <x:c r="C367" s="17" t="n">
        <x:v>1890</x:v>
      </x:c>
      <x:c r="D367" s="17" t="n">
        <x:v>1909</x:v>
      </x:c>
      <x:c r="E367" s="17" t="str">
        <x:v>00:31:30</x:v>
      </x:c>
      <x:c r="F367" s="17" t="str">
        <x:v>00:31:49</x:v>
      </x:c>
      <x:c r="G367" s="17" t="n">
        <x:v>20</x:v>
      </x:c>
      <x:c r="H367" s="17" t="str">
        <x:v>转场/加载</x:v>
      </x:c>
      <x:c r="I367" s="17" t="str">
        <x:v>数值不可读或不适用</x:v>
      </x:c>
      <x:c r="J367" s="17" t="str">
        <x:v>否</x:v>
      </x:c>
      <x:c r="K367" s="17" t="str">
        <x:v>排除：转场/加载，不进入数值统计</x:v>
      </x:c>
      <x:c r="L367" s="18" t="str">
        <x:v>/Users/mac/Documents/智囊团/video_analysis/Top_Tycoon新号流程_20260804/frames/TT_NEW_05/TT_NEW_05_t001900.jpg</x:v>
      </x:c>
      <x:c r="M367" s="17" t="n">
        <x:v>1900</x:v>
      </x:c>
      <x:c r="N367" s="17" t="str">
        <x:v>待复核</x:v>
      </x:c>
      <x:c r="O367" s="17" t="str">
        <x:v>画面原型近邻；margin=0.0004; 画面原型近邻；margin=0.0017</x:v>
      </x:c>
      <x:c r="P367" s="17" t="str">
        <x:v>941000 | 1,334,018 | 583 | Ocean | Fruits | Mining | 0/9 | 6/0 | 6/0 | 23K | Snow White | Thanksgiving | Frankenstein | 0/9 | 6/0 | 0/9 | 5K | Beauty8Beast | Iconic Statues | Colorful Animals | 0/9 | 0/9 | 0/9 | 15K | 15K | 18K | Greek | Dinosaurs | Red Riding Hood | 0/9 | 6/0 | 0/9 | 20K | 22K | 25K | Disco | Desserts | Wizardry | 18 | 222 | Album | 941000 | 1,334,018 | ooompleted! | 9 | 5/9 | Card Exchange | Trade duplicates | for chests | 477 | 20 | 75 | 300 | 0/9 | Album</x:v>
      </x:c>
    </x:row>
    <x:row r="368">
      <x:c r="A368" s="17" t="str">
        <x:v>SEG_05_058</x:v>
      </x:c>
      <x:c r="B368" s="17" t="str">
        <x:v>TT_NEW_05</x:v>
      </x:c>
      <x:c r="C368" s="17" t="n">
        <x:v>1910</x:v>
      </x:c>
      <x:c r="D368" s="17" t="n">
        <x:v>1919</x:v>
      </x:c>
      <x:c r="E368" s="17" t="str">
        <x:v>00:31:50</x:v>
      </x:c>
      <x:c r="F368" s="17" t="str">
        <x:v>00:31:59</x:v>
      </x:c>
      <x:c r="G368" s="17" t="n">
        <x:v>10</x:v>
      </x:c>
      <x:c r="H368" s="17" t="str">
        <x:v>小游戏</x:v>
      </x:c>
      <x:c r="I368" s="17" t="str">
        <x:v>玩法/奖励依画面；主资源常不全显</x:v>
      </x:c>
      <x:c r="J368" s="17" t="str">
        <x:v>否</x:v>
      </x:c>
      <x:c r="K368" s="17" t="str">
        <x:v>保留机制；完整核账窗口不足</x:v>
      </x:c>
      <x:c r="L368" s="18" t="str">
        <x:v>/Users/mac/Documents/智囊团/video_analysis/Top_Tycoon新号流程_20260804/frames/TT_NEW_05/TT_NEW_05_t001910.jpg</x:v>
      </x:c>
      <x:c r="M368" s="17" t="n">
        <x:v>1910</x:v>
      </x:c>
      <x:c r="N368" s="17" t="str">
        <x:v>待复核</x:v>
      </x:c>
      <x:c r="O368" s="17" t="str">
        <x:v>画面原型近邻；margin=0.0316</x:v>
      </x:c>
      <x:c r="P368" s="17" t="str">
        <x:v>941000 | 1,387,018 | 1,033 | mpleted! | 5/9 | Dogs | Football | Tropical | 3/9 | 1/9 | Jewelry | Space | Horror | 0/9 | 0/9 | 0/9 | Aladdin | Pirates | Ancient Egypt | 6/0 | 6/0 | 6/0 | Mexican | Wizard of Oz | Circus | 0/9 | 0/9 | 0/9 | Album</x:v>
      </x:c>
    </x:row>
    <x:row r="369">
      <x:c r="A369" s="17" t="str">
        <x:v>SEG_05_059</x:v>
      </x:c>
      <x:c r="B369" s="17" t="str">
        <x:v>TT_NEW_05</x:v>
      </x:c>
      <x:c r="C369" s="17" t="n">
        <x:v>1920</x:v>
      </x:c>
      <x:c r="D369" s="17" t="n">
        <x:v>1929</x:v>
      </x:c>
      <x:c r="E369" s="17" t="str">
        <x:v>00:32:00</x:v>
      </x:c>
      <x:c r="F369" s="17" t="str">
        <x:v>00:32:09</x:v>
      </x:c>
      <x:c r="G369" s="17" t="n">
        <x:v>10</x:v>
      </x:c>
      <x:c r="H369" s="17" t="str">
        <x:v>建造</x:v>
      </x:c>
      <x:c r="I369" s="17" t="str">
        <x:v>金币可见；Site tasks/Next task cost 依画面</x:v>
      </x:c>
      <x:c r="J369" s="17" t="str">
        <x:v>否</x:v>
      </x:c>
      <x:c r="K369" s="17" t="str">
        <x:v>保留机制；待建造余额闭合</x:v>
      </x:c>
      <x:c r="L369" s="18" t="str">
        <x:v>/Users/mac/Documents/智囊团/video_analysis/Top_Tycoon新号流程_20260804/frames/TT_NEW_05/TT_NEW_05_t001920.jpg</x:v>
      </x:c>
      <x:c r="M369" s="17" t="n">
        <x:v>1920</x:v>
      </x:c>
      <x:c r="N369" s="17" t="str">
        <x:v>已确认</x:v>
      </x:c>
      <x:c r="O369" s="17" t="str">
        <x:v>OCR 命中建造/Site tasks 词</x:v>
      </x:c>
      <x:c r="P369" s="17" t="str">
        <x:v>941000 | 1,387,018 | 28th | Natural Gas | 22000/39000 | Showrewards | MAP | +20% | 09:21 | 1134 | Sewa | ooo | Help other players(o/1) | Storage | NEXT TASKCOST | TOTAL EARNINGS | 287,824 | 814,200 | +941/Sec | 18 | Site</x:v>
      </x:c>
    </x:row>
    <x:row r="370">
      <x:c r="A370" s="17" t="str">
        <x:v>SEG_05_060</x:v>
      </x:c>
      <x:c r="B370" s="17" t="str">
        <x:v>TT_NEW_05</x:v>
      </x:c>
      <x:c r="C370" s="17" t="n">
        <x:v>1930</x:v>
      </x:c>
      <x:c r="D370" s="17" t="n">
        <x:v>1989</x:v>
      </x:c>
      <x:c r="E370" s="17" t="str">
        <x:v>00:32:10</x:v>
      </x:c>
      <x:c r="F370" s="17" t="str">
        <x:v>00:33:09</x:v>
      </x:c>
      <x:c r="G370" s="17" t="n">
        <x:v>60</x:v>
      </x:c>
      <x:c r="H370" s="17" t="str">
        <x:v>Slot</x:v>
      </x:c>
      <x:c r="I370" s="17" t="str">
        <x:v>BET/能量/金币/主进度通常可见；以事件帧为准</x:v>
      </x:c>
      <x:c r="J370" s="17" t="str">
        <x:v>否</x:v>
      </x:c>
      <x:c r="K370" s="17" t="str">
        <x:v>保留机制；缺逐 Spin 前后快照</x:v>
      </x:c>
      <x:c r="L370" s="18" t="str">
        <x:v>/Users/mac/Documents/智囊团/video_analysis/Top_Tycoon新号流程_20260804/frames/TT_NEW_05/TT_NEW_05_t001960.jpg</x:v>
      </x:c>
      <x:c r="M370" s="17" t="n">
        <x:v>1960</x:v>
      </x:c>
      <x:c r="N370" s="17" t="str">
        <x:v>已确认</x:v>
      </x:c>
      <x:c r="O370" s="17" t="str">
        <x:v>OCR 命中 SPIN/BET 词; 画面原型近邻；margin=0.0688; 相邻两侧同模块，平滑孤立原型误差</x:v>
      </x:c>
      <x:c r="P370" s="17" t="str">
        <x:v>941000 | 1,387,018 | 28th | QUES | ZLots | 5 | 18% | 15:41:27 | 8 | 100% | +66 | 10d21h | 02d21h | H | +66 | 01d23h | 313/1500 | 02d21h | 01d15h | SPIN | 2.4K | 13 | Sale | 01d15h | 01d21h | FREE | SPIN | 15h41m | 15h41m | 24% | 15h41m | 01d15h | BETx100 | SALE | 50/50 | 01d15h | +8830 | 01d15h | SPIN | 33% | 15h41m | HOLD FOR AUTO SPIN | Helpotherplayers(o/1) | 18 | Game | Boss nik's Site | x100 | Random | Revenge | Blocked | Damage | 0% | BET | x100 | GOLD CASCADE | 20 % | </x:v>
      </x:c>
    </x:row>
    <x:row r="371">
      <x:c r="A371" s="17" t="str">
        <x:v>SEG_05_061</x:v>
      </x:c>
      <x:c r="B371" s="17" t="str">
        <x:v>TT_NEW_05</x:v>
      </x:c>
      <x:c r="C371" s="17" t="n">
        <x:v>1990</x:v>
      </x:c>
      <x:c r="D371" s="17" t="n">
        <x:v>1999</x:v>
      </x:c>
      <x:c r="E371" s="17" t="str">
        <x:v>00:33:10</x:v>
      </x:c>
      <x:c r="F371" s="17" t="str">
        <x:v>00:33:19</x:v>
      </x:c>
      <x:c r="G371" s="17" t="n">
        <x:v>10</x:v>
      </x:c>
      <x:c r="H371" s="17" t="str">
        <x:v>礼包</x:v>
      </x:c>
      <x:c r="I371" s="17" t="str">
        <x:v>价格/内容可能可见；未观察购买后余额</x:v>
      </x:c>
      <x:c r="J371" s="17" t="str">
        <x:v>否</x:v>
      </x:c>
      <x:c r="K371" s="17" t="str">
        <x:v>保留 offer_shown；无购买前后闭环</x:v>
      </x:c>
      <x:c r="L371" s="18" t="str">
        <x:v>/Users/mac/Documents/智囊团/video_analysis/Top_Tycoon新号流程_20260804/frames/TT_NEW_05/TT_NEW_05_t001990.jpg</x:v>
      </x:c>
      <x:c r="M371" s="17" t="n">
        <x:v>1990</x:v>
      </x:c>
      <x:c r="N371" s="17" t="str">
        <x:v>已确认</x:v>
      </x:c>
      <x:c r="O371" s="17" t="str">
        <x:v>OCR 命中价格/商店词</x:v>
      </x:c>
      <x:c r="P371" s="17" t="str">
        <x:v>941000 | 2,857,018 | 28th | 18% | PRiZE | X | CARNIVAL | Unlockto advance! | 100% | 150% | MORE | MORE | 660 | 1.4K | 1.9K | 1.3M | 2.8M | 3.8M | V★1#V | 1K3173.00 | HK$40.00 | HK$40.00 | HK$40.00 | 15h 40m | Helpotherplayers(O | 18 | 777 | Game</x:v>
      </x:c>
    </x:row>
    <x:row r="372">
      <x:c r="A372" s="17" t="str">
        <x:v>SEG_06_001</x:v>
      </x:c>
      <x:c r="B372" s="17" t="str">
        <x:v>TT_NEW_06</x:v>
      </x:c>
      <x:c r="C372" s="17" t="n">
        <x:v>0</x:v>
      </x:c>
      <x:c r="D372" s="17" t="n">
        <x:v>9</x:v>
      </x:c>
      <x:c r="E372" s="17" t="str">
        <x:v>00:00:00</x:v>
      </x:c>
      <x:c r="F372" s="17" t="str">
        <x:v>00:00:09</x:v>
      </x:c>
      <x:c r="G372" s="17" t="n">
        <x:v>10</x:v>
      </x:c>
      <x:c r="H372" s="17" t="str">
        <x:v>建造</x:v>
      </x:c>
      <x:c r="I372" s="17" t="str">
        <x:v>金币可见；Site tasks/Next task cost 依画面</x:v>
      </x:c>
      <x:c r="J372" s="17" t="str">
        <x:v>否</x:v>
      </x:c>
      <x:c r="K372" s="17" t="str">
        <x:v>保留机制；待建造余额闭合</x:v>
      </x:c>
      <x:c r="L372" s="18" t="str">
        <x:v>/Users/mac/Documents/智囊团/video_analysis/Top_Tycoon新号流程_20260804/frames/TT_NEW_06/TT_NEW_06_t000000.jpg</x:v>
      </x:c>
      <x:c r="M372" s="17" t="n">
        <x:v>0</x:v>
      </x:c>
      <x:c r="N372" s="17" t="str">
        <x:v>待复核</x:v>
      </x:c>
      <x:c r="O372" s="17" t="str">
        <x:v>画面原型近邻；margin=0.0063</x:v>
      </x:c>
      <x:c r="P372" s="17" t="str">
        <x:v>2:16 | 今90 | Gallery | Top Tycoon | Bank | LARGE GRAB | 36,000 | COINS | Play Store | Gallery | top tycoon | × | Sponsored | Caimssl corOon ss | Wio Candie Son.LC - Simulatior | Puy | Irstelled</x:v>
      </x:c>
    </x:row>
    <x:row r="373">
      <x:c r="A373" s="17" t="str">
        <x:v>SEG_06_002</x:v>
      </x:c>
      <x:c r="B373" s="17" t="str">
        <x:v>TT_NEW_06</x:v>
      </x:c>
      <x:c r="C373" s="17" t="n">
        <x:v>10</x:v>
      </x:c>
      <x:c r="D373" s="17" t="n">
        <x:v>69</x:v>
      </x:c>
      <x:c r="E373" s="17" t="str">
        <x:v>00:00:10</x:v>
      </x:c>
      <x:c r="F373" s="17" t="str">
        <x:v>00:01:09</x:v>
      </x:c>
      <x:c r="G373" s="17" t="n">
        <x:v>60</x:v>
      </x:c>
      <x:c r="H373" s="17" t="str">
        <x:v>Slot</x:v>
      </x:c>
      <x:c r="I373" s="17" t="str">
        <x:v>BET/能量/金币/主进度通常可见；以事件帧为准</x:v>
      </x:c>
      <x:c r="J373" s="17" t="str">
        <x:v>否</x:v>
      </x:c>
      <x:c r="K373" s="17" t="str">
        <x:v>保留机制；缺逐 Spin 前后快照</x:v>
      </x:c>
      <x:c r="L373" s="18" t="str">
        <x:v>/Users/mac/Documents/智囊团/video_analysis/Top_Tycoon新号流程_20260804/frames/TT_NEW_06/TT_NEW_06_t000040.jpg</x:v>
      </x:c>
      <x:c r="M373" s="17" t="n">
        <x:v>40</x:v>
      </x:c>
      <x:c r="N373" s="17" t="str">
        <x:v>已确认</x:v>
      </x:c>
      <x:c r="O373" s="17" t="str">
        <x:v>OCR 命中 SPIN/BET 词</x:v>
      </x:c>
      <x:c r="P373" s="17" t="str">
        <x:v>68000 | 162,002 | RUES | 1 | %6 | 31% | 22% | JEZPLO | 28% | FREE | 14d23h | 08d17h | +500 | 01d23h | 19/50 | 130 | 0 | 21/50 | 5 spins in 21:07 | SPIN | HOLD FOR AUTO | Spin in the slots(35/40) | Game | 68000 | 163,002 | QUEs | CLOTS | 1 | %6 | 32% | 27% | 01d23h | 29% | FREE | 14d23h | 08d17h | + 500 | 01d23h | 25/50 | 130 | 0 | 18/50 | 5 spins in 20:58 | SPIN | HOLD FOR AUTO | Spin in the slots(38/40) | Game | 68000 | 175,202 | Ques | 1 | %6 | 38% | %15 | 01dz3h | 34% | FR</x:v>
      </x:c>
    </x:row>
    <x:row r="374">
      <x:c r="A374" s="17" t="str">
        <x:v>SEG_06_003</x:v>
      </x:c>
      <x:c r="B374" s="17" t="str">
        <x:v>TT_NEW_06</x:v>
      </x:c>
      <x:c r="C374" s="17" t="n">
        <x:v>70</x:v>
      </x:c>
      <x:c r="D374" s="17" t="n">
        <x:v>129</x:v>
      </x:c>
      <x:c r="E374" s="17" t="str">
        <x:v>00:01:10</x:v>
      </x:c>
      <x:c r="F374" s="17" t="str">
        <x:v>00:02:09</x:v>
      </x:c>
      <x:c r="G374" s="17" t="n">
        <x:v>60</x:v>
      </x:c>
      <x:c r="H374" s="17" t="str">
        <x:v>建造</x:v>
      </x:c>
      <x:c r="I374" s="17" t="str">
        <x:v>金币可见；Site tasks/Next task cost 依画面</x:v>
      </x:c>
      <x:c r="J374" s="17" t="str">
        <x:v>否</x:v>
      </x:c>
      <x:c r="K374" s="17" t="str">
        <x:v>保留机制；待建造余额闭合</x:v>
      </x:c>
      <x:c r="L374" s="18" t="str">
        <x:v>/Users/mac/Documents/智囊团/video_analysis/Top_Tycoon新号流程_20260804/frames/TT_NEW_06/TT_NEW_06_t000100.jpg</x:v>
      </x:c>
      <x:c r="M374" s="17" t="n">
        <x:v>100</x:v>
      </x:c>
      <x:c r="N374" s="17" t="str">
        <x:v>已确认</x:v>
      </x:c>
      <x:c r="O374" s="17" t="str">
        <x:v>OCR 命中建造/Site tasks 词; 相邻两侧同模块，平滑孤立原型误差</x:v>
      </x:c>
      <x:c r="P374" s="17" t="str">
        <x:v>68000 | 194,202 | RUEs | 1 | %6 | 46% | 48% | UEZPLO | 41% | FREE | 14d23h | 08d17h | 01d23h | 50/50 | 130 | QQ | 0 | 4/50 | 5 spins in 20:10 | SPIN | HOLD FOR AUTO | Complete site tasks(o/5) | Game | 68000 | 195,202 | QuEs | 1 | %6 | 46% | 50% | 01d23h | 41% | FREE | 14d23h | 08d17h | + 200 | 01d23h | 1/200 | 001 | 50/50 | +83 | SPIN | HOLD FOR AUTO | Complete site tasks(o/5) | 777 | Game | 68000 | 218,402 | QUES | SLOTS | 1 | %6 | 58% | 56% | EZPLO | 52% | FREE | 14d23h | 0</x:v>
      </x:c>
    </x:row>
    <x:row r="375">
      <x:c r="A375" s="17" t="str">
        <x:v>SEG_06_004</x:v>
      </x:c>
      <x:c r="B375" s="17" t="str">
        <x:v>TT_NEW_06</x:v>
      </x:c>
      <x:c r="C375" s="17" t="n">
        <x:v>130</x:v>
      </x:c>
      <x:c r="D375" s="17" t="n">
        <x:v>159</x:v>
      </x:c>
      <x:c r="E375" s="17" t="str">
        <x:v>00:02:10</x:v>
      </x:c>
      <x:c r="F375" s="17" t="str">
        <x:v>00:02:39</x:v>
      </x:c>
      <x:c r="G375" s="17" t="n">
        <x:v>30</x:v>
      </x:c>
      <x:c r="H375" s="17" t="str">
        <x:v>Slot</x:v>
      </x:c>
      <x:c r="I375" s="17" t="str">
        <x:v>BET/能量/金币/主进度通常可见；以事件帧为准</x:v>
      </x:c>
      <x:c r="J375" s="17" t="str">
        <x:v>是</x:v>
      </x:c>
      <x:c r="K375" s="17" t="str">
        <x:v>保留：Slot 样本</x:v>
      </x:c>
      <x:c r="L375" s="18" t="str">
        <x:v>/Users/mac/Documents/智囊团/video_analysis/Top_Tycoon新号流程_20260804/frames/TT_NEW_06/TT_NEW_06_t000140.jpg</x:v>
      </x:c>
      <x:c r="M375" s="17" t="n">
        <x:v>140</x:v>
      </x:c>
      <x:c r="N375" s="17" t="str">
        <x:v>已确认</x:v>
      </x:c>
      <x:c r="O375" s="17" t="str">
        <x:v>OCR 命中 SPIN/BET 词; 相邻两侧同模块，平滑孤立原型误差</x:v>
      </x:c>
      <x:c r="P375" s="17" t="str">
        <x:v>68000 | 263,102 | QUEs | LOTS | 1 | %6 | 8196 | %56 | 06d23h | 73% | 14d23h | 01d23h | H | （ | 01d23h | FREE | 55/200 | 06d23h | 08d17h | 400 | QQ | QQ | 0 | BETx5 | 50/50 | +74 | SPIN | HOLD FOR AUTO | tasks(0/5) | ZL | Game | CarolA.Reed'sSite | x5 | Random | Revenge | Blocked | Damage | 0% | BET | x5 | 15,000 | COLLECT</x:v>
      </x:c>
    </x:row>
    <x:row r="376">
      <x:c r="A376" s="17" t="str">
        <x:v>SEG_06_005</x:v>
      </x:c>
      <x:c r="B376" s="17" t="str">
        <x:v>TT_NEW_06</x:v>
      </x:c>
      <x:c r="C376" s="17" t="n">
        <x:v>160</x:v>
      </x:c>
      <x:c r="D376" s="17" t="n">
        <x:v>259</x:v>
      </x:c>
      <x:c r="E376" s="17" t="str">
        <x:v>00:02:40</x:v>
      </x:c>
      <x:c r="F376" s="17" t="str">
        <x:v>00:04:19</x:v>
      </x:c>
      <x:c r="G376" s="17" t="n">
        <x:v>100</x:v>
      </x:c>
      <x:c r="H376" s="17" t="str">
        <x:v>建造</x:v>
      </x:c>
      <x:c r="I376" s="17" t="str">
        <x:v>金币可见；Site tasks/Next task cost 依画面</x:v>
      </x:c>
      <x:c r="J376" s="17" t="str">
        <x:v>否</x:v>
      </x:c>
      <x:c r="K376" s="17" t="str">
        <x:v>保留机制；待建造余额闭合</x:v>
      </x:c>
      <x:c r="L376" s="18" t="str">
        <x:v>/Users/mac/Documents/智囊团/video_analysis/Top_Tycoon新号流程_20260804/frames/TT_NEW_06/TT_NEW_06_t000210.jpg</x:v>
      </x:c>
      <x:c r="M376" s="17" t="n">
        <x:v>210</x:v>
      </x:c>
      <x:c r="N376" s="17" t="str">
        <x:v>已确认</x:v>
      </x:c>
      <x:c r="O376" s="17" t="str">
        <x:v>OCR 命中建造/Site tasks 词; 画面原型近邻；margin=0.0020; 画面原型近邻；margin=0.0089; 相邻两侧同模块，平滑孤立原型误差</x:v>
      </x:c>
      <x:c r="P376" s="17" t="str">
        <x:v>68000 | 306,902 | Rues | ZLOTS | 3 | 54% | 36% | 20 | 06d23h | %6 | 14d23h | 01d23h | 9 | 01d23h | FREE | 55/200 | 08d17h | 400 | BETx5 | 50/50 | +54 | SPIN | HOLD FOR AUTO | Complete site tasks(0/5) | Game | 68000 | 311,902 | Ques | LLOTS | 3 | 54% | 36% | 20 | 06d23h | 96% | 14d23h | 01d23h | 9 | 01d23h | FREE | 75/200 | 4EZP90 | 08d17h | 0 | BETx5 | 50/50 | +44 | SPIN | HOLD FOR AUTO | Complete site tasks(0/5) | Game | 68000 | 364,402 | QUES | ALOTS | 5 | 54% | 36% | 20 | </x:v>
      </x:c>
    </x:row>
    <x:row r="377">
      <x:c r="A377" s="17" t="str">
        <x:v>SEG_06_006</x:v>
      </x:c>
      <x:c r="B377" s="17" t="str">
        <x:v>TT_NEW_06</x:v>
      </x:c>
      <x:c r="C377" s="17" t="n">
        <x:v>260</x:v>
      </x:c>
      <x:c r="D377" s="17" t="n">
        <x:v>289</x:v>
      </x:c>
      <x:c r="E377" s="17" t="str">
        <x:v>00:04:20</x:v>
      </x:c>
      <x:c r="F377" s="17" t="str">
        <x:v>00:04:49</x:v>
      </x:c>
      <x:c r="G377" s="17" t="n">
        <x:v>30</x:v>
      </x:c>
      <x:c r="H377" s="17" t="str">
        <x:v>Slot</x:v>
      </x:c>
      <x:c r="I377" s="17" t="str">
        <x:v>BET/能量/金币/主进度通常可见；以事件帧为准</x:v>
      </x:c>
      <x:c r="J377" s="17" t="str">
        <x:v>是</x:v>
      </x:c>
      <x:c r="K377" s="17" t="str">
        <x:v>保留：Slot 样本</x:v>
      </x:c>
      <x:c r="L377" s="18" t="str">
        <x:v>/Users/mac/Documents/智囊团/video_analysis/Top_Tycoon新号流程_20260804/frames/TT_NEW_06/TT_NEW_06_t000270.jpg</x:v>
      </x:c>
      <x:c r="M377" s="17" t="n">
        <x:v>270</x:v>
      </x:c>
      <x:c r="N377" s="17" t="str">
        <x:v>已确认</x:v>
      </x:c>
      <x:c r="O377" s="17" t="str">
        <x:v>OCR 命中 SPIN/BET 词; 画面原型近邻；margin=0.0387</x:v>
      </x:c>
      <x:c r="P377" s="17" t="str">
        <x:v>TYCOON PASS | 10/10 | 11 | 11 | 14d 23h | 3 | Now! | TRAVE | SPIN | 2 | PHASE1 | 68000 | 562,502 | 23 | QuEs | LLOtS | 13 | 3% | 66% | 40 | 3% | 06d23h | 0% | 14d23h | 01d23h | 01d23h | FREE | 155/200 | 06d23h | 08d17h | 400 | BETx5 | 1/50 | 5 spins in 28:41 | SPIN | HOLD FOR AUTO | Complete sit | Game</x:v>
      </x:c>
    </x:row>
    <x:row r="378">
      <x:c r="A378" s="17" t="str">
        <x:v>SEG_06_007</x:v>
      </x:c>
      <x:c r="B378" s="17" t="str">
        <x:v>TT_NEW_06</x:v>
      </x:c>
      <x:c r="C378" s="17" t="n">
        <x:v>290</x:v>
      </x:c>
      <x:c r="D378" s="17" t="n">
        <x:v>319</x:v>
      </x:c>
      <x:c r="E378" s="17" t="str">
        <x:v>00:04:50</x:v>
      </x:c>
      <x:c r="F378" s="17" t="str">
        <x:v>00:05:19</x:v>
      </x:c>
      <x:c r="G378" s="17" t="n">
        <x:v>30</x:v>
      </x:c>
      <x:c r="H378" s="17" t="str">
        <x:v>建造</x:v>
      </x:c>
      <x:c r="I378" s="17" t="str">
        <x:v>金币可见；Site tasks/Next task cost 依画面</x:v>
      </x:c>
      <x:c r="J378" s="17" t="str">
        <x:v>是</x:v>
      </x:c>
      <x:c r="K378" s="17" t="str">
        <x:v>保留：建造金币核账窗口</x:v>
      </x:c>
      <x:c r="L378" s="18" t="str">
        <x:v>/Users/mac/Documents/智囊团/video_analysis/Top_Tycoon新号流程_20260804/frames/TT_NEW_06/TT_NEW_06_t000300.jpg</x:v>
      </x:c>
      <x:c r="M378" s="17" t="n">
        <x:v>300</x:v>
      </x:c>
      <x:c r="N378" s="17" t="str">
        <x:v>已确认</x:v>
      </x:c>
      <x:c r="O378" s="17" t="str">
        <x:v>OCR 命中建造/Site tasks 词</x:v>
      </x:c>
      <x:c r="P378" s="17" t="str">
        <x:v>75000 | 517,537 | Sky Plunge | 17200/57000 | owrawards | 1710 | er | Complete site tasks(5/5)) | NEXT TASKCOST | 011,400 | Site | 88000 | 263,450 | Sky Plunge | 33000/57000 | Showrewards | 1737 | Drop Tower | Complete site tasks(5/5) | NEXTTASKCOST | 43,000 | Site | 92000 | CCNCPATU | ge | 57000 | Showrewards | Drop Tower | ompleTe | Te TuskS | NEXT TASK COST | 66,200 | Site</x:v>
      </x:c>
    </x:row>
    <x:row r="379">
      <x:c r="A379" s="17" t="str">
        <x:v>SEG_06_008</x:v>
      </x:c>
      <x:c r="B379" s="17" t="str">
        <x:v>TT_NEW_06</x:v>
      </x:c>
      <x:c r="C379" s="17" t="n">
        <x:v>320</x:v>
      </x:c>
      <x:c r="D379" s="17" t="n">
        <x:v>329</x:v>
      </x:c>
      <x:c r="E379" s="17" t="str">
        <x:v>00:05:20</x:v>
      </x:c>
      <x:c r="F379" s="17" t="str">
        <x:v>00:05:29</x:v>
      </x:c>
      <x:c r="G379" s="17" t="n">
        <x:v>10</x:v>
      </x:c>
      <x:c r="H379" s="17" t="str">
        <x:v>礼包</x:v>
      </x:c>
      <x:c r="I379" s="17" t="str">
        <x:v>价格/内容可能可见；未观察购买后余额</x:v>
      </x:c>
      <x:c r="J379" s="17" t="str">
        <x:v>否</x:v>
      </x:c>
      <x:c r="K379" s="17" t="str">
        <x:v>保留 offer_shown；无购买前后闭环</x:v>
      </x:c>
      <x:c r="L379" s="18" t="str">
        <x:v>/Users/mac/Documents/智囊团/video_analysis/Top_Tycoon新号流程_20260804/frames/TT_NEW_06/TT_NEW_06_t000320.jpg</x:v>
      </x:c>
      <x:c r="M379" s="17" t="n">
        <x:v>320</x:v>
      </x:c>
      <x:c r="N379" s="17" t="str">
        <x:v>已确认</x:v>
      </x:c>
      <x:c r="O379" s="17" t="str">
        <x:v>OCR 命中价格/商店词</x:v>
      </x:c>
      <x:c r="P379" s="17" t="str">
        <x:v>92000 | 56,154 | 13 | FREE GIFT | FREE | CHAPTER PRIZE | UPTO | 2.06K | HK$40.00 | Agtivate | MISSION PAS. | UP TO | 4K | HK$55.90 | Activate | ADS | 130 | 60K | Ads Removal Pack | HK$40.00 | 2 | Shop</x:v>
      </x:c>
    </x:row>
    <x:row r="380">
      <x:c r="A380" s="17" t="str">
        <x:v>SEG_06_009</x:v>
      </x:c>
      <x:c r="B380" s="17" t="str">
        <x:v>TT_NEW_06</x:v>
      </x:c>
      <x:c r="C380" s="17" t="n">
        <x:v>330</x:v>
      </x:c>
      <x:c r="D380" s="17" t="n">
        <x:v>339</x:v>
      </x:c>
      <x:c r="E380" s="17" t="str">
        <x:v>00:05:30</x:v>
      </x:c>
      <x:c r="F380" s="17" t="str">
        <x:v>00:05:39</x:v>
      </x:c>
      <x:c r="G380" s="17" t="n">
        <x:v>10</x:v>
      </x:c>
      <x:c r="H380" s="17" t="str">
        <x:v>Slot</x:v>
      </x:c>
      <x:c r="I380" s="17" t="str">
        <x:v>BET/能量/金币/主进度通常可见；以事件帧为准</x:v>
      </x:c>
      <x:c r="J380" s="17" t="str">
        <x:v>是</x:v>
      </x:c>
      <x:c r="K380" s="17" t="str">
        <x:v>保留：Slot 样本</x:v>
      </x:c>
      <x:c r="L380" s="18" t="str">
        <x:v>/Users/mac/Documents/智囊团/video_analysis/Top_Tycoon新号流程_20260804/frames/TT_NEW_06/TT_NEW_06_t000330.jpg</x:v>
      </x:c>
      <x:c r="M380" s="17" t="n">
        <x:v>330</x:v>
      </x:c>
      <x:c r="N380" s="17" t="str">
        <x:v>已确认</x:v>
      </x:c>
      <x:c r="O380" s="17" t="str">
        <x:v>OCR 命中 SPIN/BET 词</x:v>
      </x:c>
      <x:c r="P380" s="17" t="str">
        <x:v>92000 | 56,154 | HAVEFUN? | Rate our game for a FREE GIFT! | X | SPIN | oruplete sllelasks(5/s) | Game</x:v>
      </x:c>
    </x:row>
    <x:row r="381">
      <x:c r="A381" s="17" t="str">
        <x:v>SEG_06_010</x:v>
      </x:c>
      <x:c r="B381" s="17" t="str">
        <x:v>TT_NEW_06</x:v>
      </x:c>
      <x:c r="C381" s="17" t="n">
        <x:v>340</x:v>
      </x:c>
      <x:c r="D381" s="17" t="n">
        <x:v>349</x:v>
      </x:c>
      <x:c r="E381" s="17" t="str">
        <x:v>00:05:40</x:v>
      </x:c>
      <x:c r="F381" s="17" t="str">
        <x:v>00:05:49</x:v>
      </x:c>
      <x:c r="G381" s="17" t="n">
        <x:v>10</x:v>
      </x:c>
      <x:c r="H381" s="17" t="str">
        <x:v>建造</x:v>
      </x:c>
      <x:c r="I381" s="17" t="str">
        <x:v>金币可见；Site tasks/Next task cost 依画面</x:v>
      </x:c>
      <x:c r="J381" s="17" t="str">
        <x:v>否</x:v>
      </x:c>
      <x:c r="K381" s="17" t="str">
        <x:v>保留机制；待建造余额闭合</x:v>
      </x:c>
      <x:c r="L381" s="18" t="str">
        <x:v>/Users/mac/Documents/智囊团/video_analysis/Top_Tycoon新号流程_20260804/frames/TT_NEW_06/TT_NEW_06_t000340.jpg</x:v>
      </x:c>
      <x:c r="M381" s="17" t="n">
        <x:v>340</x:v>
      </x:c>
      <x:c r="N381" s="17" t="str">
        <x:v>已确认</x:v>
      </x:c>
      <x:c r="O381" s="17" t="str">
        <x:v>OCR 命中建造/Site tasks 词</x:v>
      </x:c>
      <x:c r="P381" s="17" t="str">
        <x:v>92000 | 62,654 | Facebook | EARN 5O Spins | EARN 150, 000 coins | Save game progress | Play with friends | Log in | omplete site tasks(10/10 | Game</x:v>
      </x:c>
    </x:row>
    <x:row r="382">
      <x:c r="A382" s="17" t="str">
        <x:v>SEG_06_011</x:v>
      </x:c>
      <x:c r="B382" s="17" t="str">
        <x:v>TT_NEW_06</x:v>
      </x:c>
      <x:c r="C382" s="17" t="n">
        <x:v>350</x:v>
      </x:c>
      <x:c r="D382" s="17" t="n">
        <x:v>359</x:v>
      </x:c>
      <x:c r="E382" s="17" t="str">
        <x:v>00:05:50</x:v>
      </x:c>
      <x:c r="F382" s="17" t="str">
        <x:v>00:05:59</x:v>
      </x:c>
      <x:c r="G382" s="17" t="n">
        <x:v>10</x:v>
      </x:c>
      <x:c r="H382" s="17" t="str">
        <x:v>Slot</x:v>
      </x:c>
      <x:c r="I382" s="17" t="str">
        <x:v>BET/能量/金币/主进度通常可见；以事件帧为准</x:v>
      </x:c>
      <x:c r="J382" s="17" t="str">
        <x:v>是</x:v>
      </x:c>
      <x:c r="K382" s="17" t="str">
        <x:v>保留：Slot 样本</x:v>
      </x:c>
      <x:c r="L382" s="18" t="str">
        <x:v>/Users/mac/Documents/智囊团/video_analysis/Top_Tycoon新号流程_20260804/frames/TT_NEW_06/TT_NEW_06_t000350.jpg</x:v>
      </x:c>
      <x:c r="M382" s="17" t="n">
        <x:v>350</x:v>
      </x:c>
      <x:c r="N382" s="17" t="str">
        <x:v>已确认</x:v>
      </x:c>
      <x:c r="O382" s="17" t="str">
        <x:v>OCR 命中 SPIN/BET 词</x:v>
      </x:c>
      <x:c r="P382" s="17" t="str">
        <x:v>92000 | 103,654 | QUEs | SLOT | 13 | 3% | 66% | 40 | 7% | 06d23h | 0% | 14d23h | CREDIT GRAB | 1 | 01d23h | 155/200 | 06d23h | 05d23h | 400 | 08d17h | BETX5 | 18/50 | 5 spins in 27:32 | SPIN | HOLD FOR AUTO | Spin in the slots (o/10) | Game</x:v>
      </x:c>
    </x:row>
    <x:row r="383">
      <x:c r="A383" s="17" t="str">
        <x:v>SEG_06_012</x:v>
      </x:c>
      <x:c r="B383" s="17" t="str">
        <x:v>TT_NEW_06</x:v>
      </x:c>
      <x:c r="C383" s="17" t="n">
        <x:v>360</x:v>
      </x:c>
      <x:c r="D383" s="17" t="n">
        <x:v>369</x:v>
      </x:c>
      <x:c r="E383" s="17" t="str">
        <x:v>00:06:00</x:v>
      </x:c>
      <x:c r="F383" s="17" t="str">
        <x:v>00:06:09</x:v>
      </x:c>
      <x:c r="G383" s="17" t="n">
        <x:v>10</x:v>
      </x:c>
      <x:c r="H383" s="17" t="str">
        <x:v>建造</x:v>
      </x:c>
      <x:c r="I383" s="17" t="str">
        <x:v>金币可见；Site tasks/Next task cost 依画面</x:v>
      </x:c>
      <x:c r="J383" s="17" t="str">
        <x:v>否</x:v>
      </x:c>
      <x:c r="K383" s="17" t="str">
        <x:v>保留机制；待建造余额闭合</x:v>
      </x:c>
      <x:c r="L383" s="18" t="str">
        <x:v>/Users/mac/Documents/智囊团/video_analysis/Top_Tycoon新号流程_20260804/frames/TT_NEW_06/TT_NEW_06_t000360.jpg</x:v>
      </x:c>
      <x:c r="M383" s="17" t="n">
        <x:v>360</x:v>
      </x:c>
      <x:c r="N383" s="17" t="str">
        <x:v>待复核</x:v>
      </x:c>
      <x:c r="O383" s="17" t="str">
        <x:v>画面原型近邻；margin=0.0034</x:v>
      </x:c>
      <x:c r="P383" s="17"/>
    </x:row>
    <x:row r="384">
      <x:c r="A384" s="17" t="str">
        <x:v>SEG_06_013</x:v>
      </x:c>
      <x:c r="B384" s="17" t="str">
        <x:v>TT_NEW_06</x:v>
      </x:c>
      <x:c r="C384" s="17" t="n">
        <x:v>370</x:v>
      </x:c>
      <x:c r="D384" s="17" t="n">
        <x:v>379</x:v>
      </x:c>
      <x:c r="E384" s="17" t="str">
        <x:v>00:06:10</x:v>
      </x:c>
      <x:c r="F384" s="17" t="str">
        <x:v>00:06:19</x:v>
      </x:c>
      <x:c r="G384" s="17" t="n">
        <x:v>10</x:v>
      </x:c>
      <x:c r="H384" s="17" t="str">
        <x:v>转场/加载</x:v>
      </x:c>
      <x:c r="I384" s="17" t="str">
        <x:v>数值不可读或不适用</x:v>
      </x:c>
      <x:c r="J384" s="17" t="str">
        <x:v>否</x:v>
      </x:c>
      <x:c r="K384" s="17" t="str">
        <x:v>排除：转场/加载，不进入数值统计</x:v>
      </x:c>
      <x:c r="L384" s="18" t="str">
        <x:v>/Users/mac/Documents/智囊团/video_analysis/Top_Tycoon新号流程_20260804/frames/TT_NEW_06/TT_NEW_06_t000370.jpg</x:v>
      </x:c>
      <x:c r="M384" s="17" t="n">
        <x:v>370</x:v>
      </x:c>
      <x:c r="N384" s="17" t="str">
        <x:v>待复核</x:v>
      </x:c>
      <x:c r="O384" s="17" t="str">
        <x:v>画面原型近邻；margin=0.0038</x:v>
      </x:c>
      <x:c r="P384" s="17" t="str">
        <x:v>willie's Bank | 103,95( | 250 | 57,750 | COINS | COINS | Z | Z | TOTAL LOOT | 180,950 | COINS</x:v>
      </x:c>
    </x:row>
    <x:row r="385">
      <x:c r="A385" s="17" t="str">
        <x:v>SEG_06_014</x:v>
      </x:c>
      <x:c r="B385" s="17" t="str">
        <x:v>TT_NEW_06</x:v>
      </x:c>
      <x:c r="C385" s="17" t="n">
        <x:v>380</x:v>
      </x:c>
      <x:c r="D385" s="17" t="n">
        <x:v>449</x:v>
      </x:c>
      <x:c r="E385" s="17" t="str">
        <x:v>00:06:20</x:v>
      </x:c>
      <x:c r="F385" s="17" t="str">
        <x:v>00:07:29</x:v>
      </x:c>
      <x:c r="G385" s="17" t="n">
        <x:v>70</x:v>
      </x:c>
      <x:c r="H385" s="17" t="str">
        <x:v>Slot</x:v>
      </x:c>
      <x:c r="I385" s="17" t="str">
        <x:v>BET/能量/金币/主进度通常可见；以事件帧为准</x:v>
      </x:c>
      <x:c r="J385" s="17" t="str">
        <x:v>是</x:v>
      </x:c>
      <x:c r="K385" s="17" t="str">
        <x:v>保留：Slot 样本</x:v>
      </x:c>
      <x:c r="L385" s="18" t="str">
        <x:v>/Users/mac/Documents/智囊团/video_analysis/Top_Tycoon新号流程_20260804/frames/TT_NEW_06/TT_NEW_06_t000410.jpg</x:v>
      </x:c>
      <x:c r="M385" s="17" t="n">
        <x:v>410</x:v>
      </x:c>
      <x:c r="N385" s="17" t="str">
        <x:v>已确认</x:v>
      </x:c>
      <x:c r="O385" s="17" t="str">
        <x:v>OCR 命中 SPIN/BET 词; 画面原型近邻；margin=0.0078; 相邻两侧同模块，平滑孤立原型误差</x:v>
      </x:c>
      <x:c r="P385" s="17" t="str">
        <x:v>willie's Bank | GRAB | GREAT | YOU STOLE | 385,000 | COINS | 204,050 | COINS | COLLECT | 92000 | 493,654 | Ques | LLOTS | 13 | 52% | 66% | 11% | 06d23h | 0% | 14d23h | 01d23h | 2 | 01d23h | 155/200 | 06d23h | 05d23h | 400 | FREE | 08d17h | BETx5 | 8/50 | 5 spins.in 26:51 | SPIN | HOLD FOR AUTO | Spin in the slots(2/10) | Game | 92000 | 498,654 | RUES13 | 53% | Facebook | EARN 50 Spins | EARN 150, 000 coins | Save game progress | th friends | g in | Spin in the slots（ | 418.0 </x:v>
      </x:c>
    </x:row>
    <x:row r="386">
      <x:c r="A386" s="17" t="str">
        <x:v>SEG_06_015</x:v>
      </x:c>
      <x:c r="B386" s="17" t="str">
        <x:v>TT_NEW_06</x:v>
      </x:c>
      <x:c r="C386" s="17" t="n">
        <x:v>450</x:v>
      </x:c>
      <x:c r="D386" s="17" t="n">
        <x:v>469</x:v>
      </x:c>
      <x:c r="E386" s="17" t="str">
        <x:v>00:07:30</x:v>
      </x:c>
      <x:c r="F386" s="17" t="str">
        <x:v>00:07:49</x:v>
      </x:c>
      <x:c r="G386" s="17" t="n">
        <x:v>20</x:v>
      </x:c>
      <x:c r="H386" s="17" t="str">
        <x:v>建造</x:v>
      </x:c>
      <x:c r="I386" s="17" t="str">
        <x:v>金币可见；Site tasks/Next task cost 依画面</x:v>
      </x:c>
      <x:c r="J386" s="17" t="str">
        <x:v>否</x:v>
      </x:c>
      <x:c r="K386" s="17" t="str">
        <x:v>保留机制；待建造余额闭合</x:v>
      </x:c>
      <x:c r="L386" s="18" t="str">
        <x:v>/Users/mac/Documents/智囊团/video_analysis/Top_Tycoon新号流程_20260804/frames/TT_NEW_06/TT_NEW_06_t000460.jpg</x:v>
      </x:c>
      <x:c r="M386" s="17" t="n">
        <x:v>460</x:v>
      </x:c>
      <x:c r="N386" s="17" t="str">
        <x:v>待复核</x:v>
      </x:c>
      <x:c r="O386" s="17" t="str">
        <x:v>画面原型近邻；margin=0.0051; 画面原型近邻；margin=0.0160</x:v>
      </x:c>
      <x:c r="P386" s="17" t="str">
        <x:v>Brian A. Lee's Site | x5 | Random | Revenge | 米</x:v>
      </x:c>
    </x:row>
    <x:row r="387">
      <x:c r="A387" s="17" t="str">
        <x:v>SEG_06_016</x:v>
      </x:c>
      <x:c r="B387" s="17" t="str">
        <x:v>TT_NEW_06</x:v>
      </x:c>
      <x:c r="C387" s="17" t="n">
        <x:v>470</x:v>
      </x:c>
      <x:c r="D387" s="17" t="n">
        <x:v>479</x:v>
      </x:c>
      <x:c r="E387" s="17" t="str">
        <x:v>00:07:50</x:v>
      </x:c>
      <x:c r="F387" s="17" t="str">
        <x:v>00:07:59</x:v>
      </x:c>
      <x:c r="G387" s="17" t="n">
        <x:v>10</x:v>
      </x:c>
      <x:c r="H387" s="17" t="str">
        <x:v>Slot</x:v>
      </x:c>
      <x:c r="I387" s="17" t="str">
        <x:v>BET/能量/金币/主进度通常可见；以事件帧为准</x:v>
      </x:c>
      <x:c r="J387" s="17" t="str">
        <x:v>是</x:v>
      </x:c>
      <x:c r="K387" s="17" t="str">
        <x:v>保留：Slot 样本</x:v>
      </x:c>
      <x:c r="L387" s="18" t="str">
        <x:v>/Users/mac/Documents/智囊团/video_analysis/Top_Tycoon新号流程_20260804/frames/TT_NEW_06/TT_NEW_06_t000470.jpg</x:v>
      </x:c>
      <x:c r="M387" s="17" t="n">
        <x:v>470</x:v>
      </x:c>
      <x:c r="N387" s="17" t="str">
        <x:v>已确认</x:v>
      </x:c>
      <x:c r="O387" s="17" t="str">
        <x:v>OCR 命中 SPIN/BET 词</x:v>
      </x:c>
      <x:c r="P387" s="17" t="str">
        <x:v>92000 | 680,854 | Ques | SLOTS | 14 | 73% | 0% | 90 | 28% | 06d23h | 14d23h | 01d23h | 25 Spins | H | 3 | 01d23h | 165/200 | 06d23h | 05d23h | 400 | FREE | 08d17h | BETx5 | 17/50 | 5 spins in 29:21 | SPIN | HOLD FOR AUTO | Spin in the slots (10/10) | Game</x:v>
      </x:c>
    </x:row>
    <x:row r="388">
      <x:c r="A388" s="17" t="str">
        <x:v>SEG_06_017</x:v>
      </x:c>
      <x:c r="B388" s="17" t="str">
        <x:v>TT_NEW_06</x:v>
      </x:c>
      <x:c r="C388" s="17" t="n">
        <x:v>480</x:v>
      </x:c>
      <x:c r="D388" s="17" t="n">
        <x:v>499</x:v>
      </x:c>
      <x:c r="E388" s="17" t="str">
        <x:v>00:08:00</x:v>
      </x:c>
      <x:c r="F388" s="17" t="str">
        <x:v>00:08:19</x:v>
      </x:c>
      <x:c r="G388" s="17" t="n">
        <x:v>20</x:v>
      </x:c>
      <x:c r="H388" s="17" t="str">
        <x:v>建造</x:v>
      </x:c>
      <x:c r="I388" s="17" t="str">
        <x:v>金币可见；Site tasks/Next task cost 依画面</x:v>
      </x:c>
      <x:c r="J388" s="17" t="str">
        <x:v>否</x:v>
      </x:c>
      <x:c r="K388" s="17" t="str">
        <x:v>保留机制；待建造余额闭合</x:v>
      </x:c>
      <x:c r="L388" s="18" t="str">
        <x:v>/Users/mac/Documents/智囊团/video_analysis/Top_Tycoon新号流程_20260804/frames/TT_NEW_06/TT_NEW_06_t000490.jpg</x:v>
      </x:c>
      <x:c r="M388" s="17" t="n">
        <x:v>490</x:v>
      </x:c>
      <x:c r="N388" s="17" t="str">
        <x:v>待复核</x:v>
      </x:c>
      <x:c r="O388" s="17" t="str">
        <x:v>画面原型近邻；margin=0.0057; 画面原型近邻；margin=0.0107</x:v>
      </x:c>
      <x:c r="P388" s="17" t="str">
        <x:v>451.0 | tycoon754's Site | Random</x:v>
      </x:c>
    </x:row>
    <x:row r="389">
      <x:c r="A389" s="17" t="str">
        <x:v>SEG_06_018</x:v>
      </x:c>
      <x:c r="B389" s="17" t="str">
        <x:v>TT_NEW_06</x:v>
      </x:c>
      <x:c r="C389" s="17" t="n">
        <x:v>500</x:v>
      </x:c>
      <x:c r="D389" s="17" t="n">
        <x:v>529</x:v>
      </x:c>
      <x:c r="E389" s="17" t="str">
        <x:v>00:08:20</x:v>
      </x:c>
      <x:c r="F389" s="17" t="str">
        <x:v>00:08:49</x:v>
      </x:c>
      <x:c r="G389" s="17" t="n">
        <x:v>30</x:v>
      </x:c>
      <x:c r="H389" s="17" t="str">
        <x:v>Slot</x:v>
      </x:c>
      <x:c r="I389" s="17" t="str">
        <x:v>BET/能量/金币/主进度通常可见；以事件帧为准</x:v>
      </x:c>
      <x:c r="J389" s="17" t="str">
        <x:v>是</x:v>
      </x:c>
      <x:c r="K389" s="17" t="str">
        <x:v>保留：Slot 样本</x:v>
      </x:c>
      <x:c r="L389" s="18" t="str">
        <x:v>/Users/mac/Documents/智囊团/video_analysis/Top_Tycoon新号流程_20260804/frames/TT_NEW_06/TT_NEW_06_t000510.jpg</x:v>
      </x:c>
      <x:c r="M389" s="17" t="n">
        <x:v>510</x:v>
      </x:c>
      <x:c r="N389" s="17" t="str">
        <x:v>已确认</x:v>
      </x:c>
      <x:c r="O389" s="17" t="str">
        <x:v>OCR 命中 SPIN/BET 词</x:v>
      </x:c>
      <x:c r="P389" s="17" t="str">
        <x:v>92000 | 834,054 | QUES | 14 | LLOTS | 92% | 0% | +66 | 33% | 06d23h | 14d23h | 01d23h | 3 | 01d23h | 福 | 165/200 | 06d23h | 05d23h | 007 | FREE | 08d17h | 27/50 | 5 spins in 28:51 | SPIN | HOLD FOR AUTO | Spin in the slots(10/10) | Game | 92000 | 889,551 | 3/3 | Dues | 14 | CLOTS | %86 | 0% | +66 | 40% | 06d25h | 14d23h | 01d23h | + 5,000 | 3 | 01d23h | 165/200 | 06d23h | 05d23h | 400 | FREE- | 08d17h | BETx5 | 12/50 | 5 spins in 28:40 | SPIN | HOLD FOR AUTO | Spin in the slo</x:v>
      </x:c>
    </x:row>
    <x:row r="390">
      <x:c r="A390" s="17" t="str">
        <x:v>SEG_06_019</x:v>
      </x:c>
      <x:c r="B390" s="17" t="str">
        <x:v>TT_NEW_06</x:v>
      </x:c>
      <x:c r="C390" s="17" t="n">
        <x:v>530</x:v>
      </x:c>
      <x:c r="D390" s="17" t="n">
        <x:v>539</x:v>
      </x:c>
      <x:c r="E390" s="17" t="str">
        <x:v>00:08:50</x:v>
      </x:c>
      <x:c r="F390" s="17" t="str">
        <x:v>00:08:59</x:v>
      </x:c>
      <x:c r="G390" s="17" t="n">
        <x:v>10</x:v>
      </x:c>
      <x:c r="H390" s="17" t="str">
        <x:v>建造</x:v>
      </x:c>
      <x:c r="I390" s="17" t="str">
        <x:v>金币可见；Site tasks/Next task cost 依画面</x:v>
      </x:c>
      <x:c r="J390" s="17" t="str">
        <x:v>否</x:v>
      </x:c>
      <x:c r="K390" s="17" t="str">
        <x:v>保留机制；待建造余额闭合</x:v>
      </x:c>
      <x:c r="L390" s="18" t="str">
        <x:v>/Users/mac/Documents/智囊团/video_analysis/Top_Tycoon新号流程_20260804/frames/TT_NEW_06/TT_NEW_06_t000530.jpg</x:v>
      </x:c>
      <x:c r="M390" s="17" t="n">
        <x:v>530</x:v>
      </x:c>
      <x:c r="N390" s="17" t="str">
        <x:v>已确认</x:v>
      </x:c>
      <x:c r="O390" s="17" t="str">
        <x:v>OCR 命中建造/Site tasks 词</x:v>
      </x:c>
      <x:c r="P390" s="17" t="str">
        <x:v>92000 | 918,719 | 3/3 | Ques | ZLOTS | 15 | 0% | +66 | 44% | 06d23h | 14d23h | 01d23h | + 25,000 | 3 | 01d23h | 福 | 165/200 | 06d23h | 05d23h | 400 | FREE | 08d17h | 2/50 | 5 spins in 28:20 | SPIN | HOLD FOR AUTO | omplete site tasks(o/5) | Game</x:v>
      </x:c>
    </x:row>
    <x:row r="391">
      <x:c r="A391" s="17" t="str">
        <x:v>SEG_06_020</x:v>
      </x:c>
      <x:c r="B391" s="17" t="str">
        <x:v>TT_NEW_06</x:v>
      </x:c>
      <x:c r="C391" s="17" t="n">
        <x:v>540</x:v>
      </x:c>
      <x:c r="D391" s="17" t="n">
        <x:v>579</x:v>
      </x:c>
      <x:c r="E391" s="17" t="str">
        <x:v>00:09:00</x:v>
      </x:c>
      <x:c r="F391" s="17" t="str">
        <x:v>00:09:39</x:v>
      </x:c>
      <x:c r="G391" s="17" t="n">
        <x:v>40</x:v>
      </x:c>
      <x:c r="H391" s="17" t="str">
        <x:v>礼包</x:v>
      </x:c>
      <x:c r="I391" s="17" t="str">
        <x:v>价格/内容可能可见；未观察购买后余额</x:v>
      </x:c>
      <x:c r="J391" s="17" t="str">
        <x:v>否</x:v>
      </x:c>
      <x:c r="K391" s="17" t="str">
        <x:v>保留 offer_shown；无购买前后闭环</x:v>
      </x:c>
      <x:c r="L391" s="18" t="str">
        <x:v>/Users/mac/Documents/智囊团/video_analysis/Top_Tycoon新号流程_20260804/frames/TT_NEW_06/TT_NEW_06_t000560.jpg</x:v>
      </x:c>
      <x:c r="M391" s="17" t="n">
        <x:v>560</x:v>
      </x:c>
      <x:c r="N391" s="17" t="str">
        <x:v>已确认</x:v>
      </x:c>
      <x:c r="O391" s="17" t="str">
        <x:v>OCR 命中价格/商店词</x:v>
      </x:c>
      <x:c r="P391" s="17" t="str">
        <x:v>SrM | 5800% | Unlockextra rewards | and more earnings! | ACTIVATE GOLD PASS 8 | GOLD PASS | WIN UP TO | 2065! | HK$40.00 | 92000 | 920,054 | FREE GIFT | FREE | CHAPTER PRIZE | UP TO | 2.06K | HK$40.00 | Agtivate | MISSION PASS | UP TO | 4K | HK$55.90 | Activate | ADS | 130 | 60K | Ads Removal Pack | HK$40.00 | 222 | Shop | 92000 | 920,054 | 2 | HK$40.00 | Agtivate | MISSION PASS | UPTO | 4K | HK$55.90 | Activate | ADS | 130 | 60K | Ads Removal Pack | HK$40.00 | 3.7K | 1.8M | </x:v>
      </x:c>
    </x:row>
    <x:row r="392">
      <x:c r="A392" s="17" t="str">
        <x:v>SEG_06_021</x:v>
      </x:c>
      <x:c r="B392" s="17" t="str">
        <x:v>TT_NEW_06</x:v>
      </x:c>
      <x:c r="C392" s="17" t="n">
        <x:v>580</x:v>
      </x:c>
      <x:c r="D392" s="17" t="n">
        <x:v>586</x:v>
      </x:c>
      <x:c r="E392" s="17" t="str">
        <x:v>00:09:40</x:v>
      </x:c>
      <x:c r="F392" s="17" t="str">
        <x:v>00:09:46</x:v>
      </x:c>
      <x:c r="G392" s="17" t="n">
        <x:v>7</x:v>
      </x:c>
      <x:c r="H392" s="17" t="str">
        <x:v>Slot</x:v>
      </x:c>
      <x:c r="I392" s="17" t="str">
        <x:v>BET/能量/金币/主进度通常可见；以事件帧为准</x:v>
      </x:c>
      <x:c r="J392" s="17" t="str">
        <x:v>否</x:v>
      </x:c>
      <x:c r="K392" s="17" t="str">
        <x:v>保留机制；缺逐 Spin 前后快照</x:v>
      </x:c>
      <x:c r="L392" s="18" t="str">
        <x:v>/Users/mac/Documents/智囊团/video_analysis/Top_Tycoon新号流程_20260804/frames/TT_NEW_06/TT_NEW_06_t000580.jpg</x:v>
      </x:c>
      <x:c r="M392" s="17" t="n">
        <x:v>580</x:v>
      </x:c>
      <x:c r="N392" s="17" t="str">
        <x:v>待复核</x:v>
      </x:c>
      <x:c r="O392" s="17" t="str">
        <x:v>画面原型近邻；margin=0.0721</x:v>
      </x:c>
      <x:c r="P392" s="17" t="str">
        <x:v>2:26 | × | 87 | 92000 | 920,054 | Tycoon Album | Christmas | Wild West | Food | 0/9 | 6/0 | 6/0 | 1K | 2.5K | Dogs | Football | Tropical | 0/9 | 6/0 | 0/9 | 3.5K | 4.5K | Jewelry | Space | Horror | 0/9 | 6/0 | 0/9 | 5.5K | 6.5K | 8 | Aladdin | Pirates | Ancient Egypt | 0/9 | 6/0 | 6/0 | 13K | Album</x:v>
      </x:c>
    </x:row>
  </x:sheetData>
  <x:pageMargins left="0.7" right="0.7" top="0.75" bottom="0.75" header="0.3" footer="0.3"/>
  <x:tableParts count="1">
    <x:tablePart xmlns:r="http://schemas.openxmlformats.org/officeDocument/2006/relationships" r:id="R1568e35c52d74eaa"/>
  </x:tableParts>
</x:worksheet>
</file>