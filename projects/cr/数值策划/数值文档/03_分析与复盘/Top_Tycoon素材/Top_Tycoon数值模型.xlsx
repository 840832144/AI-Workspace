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558eee66e94c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论看板" sheetId="1" r:id="R4e7ba80b388e4260"/>
    <x:sheet xmlns:r="http://schemas.openxmlformats.org/officeDocument/2006/relationships" name="概率表" sheetId="2" r:id="R751781a0bd604b0f"/>
    <x:sheet xmlns:r="http://schemas.openxmlformats.org/officeDocument/2006/relationships" name="奖励表" sheetId="3" r:id="R69d64c62570d4e4a"/>
    <x:sheet xmlns:r="http://schemas.openxmlformats.org/officeDocument/2006/relationships" name="进度与模块" sheetId="4" r:id="R0936fdb41c3c4557"/>
    <x:sheet xmlns:r="http://schemas.openxmlformats.org/officeDocument/2006/relationships" name="循环模型" sheetId="5" r:id="Rfe860e94e00d46ff"/>
    <x:sheet xmlns:r="http://schemas.openxmlformats.org/officeDocument/2006/relationships" name="付费展示" sheetId="6" r:id="Rbcb7cdc1da9f4aca"/>
    <x:sheet xmlns:r="http://schemas.openxmlformats.org/officeDocument/2006/relationships" name="敏感性" sheetId="7" r:id="R452d3d0a481e424f"/>
    <x:sheet xmlns:r="http://schemas.openxmlformats.org/officeDocument/2006/relationships" name="假设与缺口" sheetId="8" r:id="R0b88c40528544055"/>
    <x:sheet xmlns:r="http://schemas.openxmlformats.org/officeDocument/2006/relationships" name="Spin样本" sheetId="9" r:id="R00de0e1ca36146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#,##0.00"/>
    <x:numFmt numFmtId="202" formatCode="HK$#,##0.00"/>
    <x:numFmt numFmtId="203" formatCode="0.000"/>
    <x:numFmt numFmtId="204" formatCode="+0%;-0%;0%"/>
  </x:numFmts>
  <x:fonts count="6">
    <x:font>
      <x:sz val="11"/>
      <x:name val="Carlito"/>
    </x:font>
    <x:font>
      <x:sz val="10"/>
      <x:color rgb="FF1F2933"/>
      <x:name val="Arial"/>
    </x:font>
    <x:font>
      <x:b/>
      <x:sz val="10"/>
      <x:color rgb="FFFFFFFF"/>
      <x:name val="Arial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1F7A8C"/>
      </x:patternFill>
    </x:fill>
    <x:fill>
      <x:patternFill patternType="solid">
        <x:fgColor rgb="FFFFF4CC"/>
      </x:patternFill>
    </x:fill>
  </x:fills>
  <x:borders count="18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1F7A8C"/>
      </x:left>
      <x:top style="thin">
        <x:color rgb="FF1F7A8C"/>
      </x:top>
      <x:bottom style="thin">
        <x:color rgb="FF1F7A8C"/>
      </x:bottom>
    </x:border>
    <x:border>
      <x:top style="thin">
        <x:color rgb="FF1F7A8C"/>
      </x:top>
      <x:bottom style="thin">
        <x:color rgb="FF1F7A8C"/>
      </x:bottom>
    </x:border>
    <x:border>
      <x:right style="thin">
        <x:color rgb="FF1F7A8C"/>
      </x:right>
      <x:top style="thin">
        <x:color rgb="FF1F7A8C"/>
      </x:top>
      <x:bottom style="thin">
        <x:color rgb="FF1F7A8C"/>
      </x:bottom>
    </x:border>
    <x:border>
      <x:left style="thin">
        <x:color rgb="FFF4A261"/>
      </x:left>
      <x:top style="thin">
        <x:color rgb="FFF4A261"/>
      </x:top>
    </x:border>
    <x:border>
      <x:top style="thin">
        <x:color rgb="FFF4A261"/>
      </x:top>
    </x:border>
    <x:border>
      <x:right style="thin">
        <x:color rgb="FFF4A261"/>
      </x:right>
      <x:top style="thin">
        <x:color rgb="FFF4A261"/>
      </x:top>
    </x:border>
    <x:border>
      <x:left style="thin">
        <x:color rgb="FFF4A261"/>
      </x:left>
    </x:border>
    <x:border>
      <x:right style="thin">
        <x:color rgb="FFF4A261"/>
      </x:right>
    </x:border>
    <x:border>
      <x:left style="thin">
        <x:color rgb="FFF4A261"/>
      </x:left>
      <x:bottom style="thin">
        <x:color rgb="FFF4A261"/>
      </x:bottom>
    </x:border>
    <x:border>
      <x:bottom style="thin">
        <x:color rgb="FFF4A261"/>
      </x:bottom>
    </x:border>
    <x:border>
      <x:right style="thin">
        <x:color rgb="FFF4A261"/>
      </x:right>
      <x:bottom style="thin">
        <x:color rgb="FFF4A261"/>
      </x:bottom>
    </x:border>
    <x:border>
      <x:left style="thin">
        <x:color rgb="FF17324D"/>
      </x:left>
    </x:border>
    <x:border>
      <x:left style="thin">
        <x:color rgb="FF17324D"/>
      </x:left>
      <x:bottom style="thin">
        <x:color rgb="FF17324D"/>
      </x:bottom>
    </x:border>
    <x:border>
      <x:bottom style="thin">
        <x:color rgb="FF17324D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200" fontId="5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17" xfId="0" applyNumberFormat="1" applyFont="1" applyFill="1" applyBorder="1"/>
    <x:xf numFmtId="201" fontId="0" fillId="0" borderId="0" xfId="0" applyNumberFormat="1" applyFont="1" applyFill="1" applyBorder="1"/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7A4E00"/>
      </x:font>
      <x:fill>
        <x:patternFill patternType="solid">
          <x:bgColor rgb="FFFFF4CC"/>
        </x:patternFill>
      </x:fill>
    </x:dxf>
    <x:dxf>
      <x:fill>
        <x:patternFill patternType="solid">
          <x:bgColor rgb="FFFFF4CC"/>
        </x:patternFill>
      </x:fill>
    </x:dxf>
    <x:dxf>
      <x:fill>
        <x:patternFill patternType="solid">
          <x:bgColor rgb="FFFDE2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af86725cb44f68" /><Relationship Type="http://schemas.openxmlformats.org/officeDocument/2006/relationships/theme" Target="/xl/theme/theme1.xml" Id="R6642391b4b604d45" /><Relationship Type="http://schemas.openxmlformats.org/officeDocument/2006/relationships/sharedStrings" Target="/xl/sharedStrings.xml" Id="R8ddd248c06ac4f92" /><Relationship Type="http://schemas.openxmlformats.org/officeDocument/2006/relationships/worksheet" Target="/xl/worksheets/sheet1.xml" Id="R4e7ba80b388e4260" /><Relationship Type="http://schemas.openxmlformats.org/officeDocument/2006/relationships/worksheet" Target="/xl/worksheets/sheet2.xml" Id="R751781a0bd604b0f" /><Relationship Type="http://schemas.openxmlformats.org/officeDocument/2006/relationships/worksheet" Target="/xl/worksheets/sheet3.xml" Id="R69d64c62570d4e4a" /><Relationship Type="http://schemas.openxmlformats.org/officeDocument/2006/relationships/worksheet" Target="/xl/worksheets/sheet4.xml" Id="R0936fdb41c3c4557" /><Relationship Type="http://schemas.openxmlformats.org/officeDocument/2006/relationships/worksheet" Target="/xl/worksheets/sheet5.xml" Id="Rfe860e94e00d46ff" /><Relationship Type="http://schemas.openxmlformats.org/officeDocument/2006/relationships/worksheet" Target="/xl/worksheets/sheet6.xml" Id="Rbcb7cdc1da9f4aca" /><Relationship Type="http://schemas.openxmlformats.org/officeDocument/2006/relationships/worksheet" Target="/xl/worksheets/sheet7.xml" Id="R452d3d0a481e424f" /><Relationship Type="http://schemas.openxmlformats.org/officeDocument/2006/relationships/worksheet" Target="/xl/worksheets/sheet8.xml" Id="R0b88c40528544055" /><Relationship Type="http://schemas.openxmlformats.org/officeDocument/2006/relationships/worksheet" Target="/xl/worksheets/sheet9.xml" Id="R00de0e1ca36146f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14b6a8eeeb24da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各下注切片样本均低于 500 Spin 初筛门槛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有效 n</c:v>
          </c:tx>
          <c:cat>
            <c:strRef>
              <c:f>'结论看板'!$A$18:$A$23</c:f>
              <c:strCache>
                <c:ptCount val="0"/>
              </c:strCache>
            </c:strRef>
          </c:cat>
          <c:val>
            <c:numRef>
              <c:f>'结论看板'!$B$18:$B$23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初筛门槛</c:v>
          </c:tx>
          <c:cat>
            <c:strRef>
              <c:f>'结论看板'!$A$18:$A$23</c:f>
              <c:strCache>
                <c:ptCount val="0"/>
              </c:strCache>
            </c:strRef>
          </c:cat>
          <c:val>
            <c:numRef>
              <c:f>'结论看板'!$C$18:$C$23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55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4b6a8eeeb24da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delSpinSampleTable" displayName="ModelSpinSampleTable" ref="A1:AB141" headerRowCount="1" totalsRowCount="0" totalsRowShown="0">
  <x:tableColumns count="28">
    <x:tableColumn id="1" name="video_id"/>
    <x:tableColumn id="2" name="spin_id"/>
    <x:tableColumn id="3" name="timestamp"/>
    <x:tableColumn id="4" name="timestamp_seconds"/>
    <x:tableColumn id="5" name="spin_count"/>
    <x:tableColumn id="6" name="bet_multiplier"/>
    <x:tableColumn id="7" name="energy_before"/>
    <x:tableColumn id="8" name="energy_after_spend"/>
    <x:tableColumn id="9" name="energy_cost"/>
    <x:tableColumn id="10" name="energy_return_observed"/>
    <x:tableColumn id="11" name="coins_before"/>
    <x:tableColumn id="12" name="coins_after"/>
    <x:tableColumn id="13" name="coin_gain_observed"/>
    <x:tableColumn id="14" name="progress_before"/>
    <x:tableColumn id="15" name="progress_after"/>
    <x:tableColumn id="16" name="progress_gain_observed"/>
    <x:tableColumn id="17" name="result_type"/>
    <x:tableColumn id="18" name="evidence_frame"/>
    <x:tableColumn id="19" name="evidence_window_end"/>
    <x:tableColumn id="20" name="status"/>
    <x:tableColumn id="21" name="confidence"/>
    <x:tableColumn id="22" name="notes"/>
    <x:tableColumn id="23" name="primary_category"/>
    <x:tableColumn id="24" name="probability_sample"/>
    <x:tableColumn id="25" name="newbie_segment"/>
    <x:tableColumn id="26" name="payment_tier"/>
    <x:tableColumn id="27" name="vip_status"/>
    <x:tableColumn id="28" name="near_deple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08012fc276049e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.xml" Id="R0bace01369ad41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34" hidden="0" customWidth="1"/>
  </x:cols>
  <x:sheetData>
    <x:row r="1" ht="36" customHeight="1">
      <x:c r="A1" s="22" t="str">
        <x:v>Top Tycoon 数值模型｜证据门控看板</x:v>
      </x:c>
      <x:c r="B1" s="22" t="str">
        <x:v>Top Tycoon 数值模型｜证据门控看板</x:v>
      </x:c>
      <x:c r="C1" s="22" t="str">
        <x:v>Top Tycoon 数值模型｜证据门控看板</x:v>
      </x:c>
      <x:c r="D1" s="22" t="str">
        <x:v>Top Tycoon 数值模型｜证据门控看板</x:v>
      </x:c>
      <x:c r="E1" s="22" t="str">
        <x:v>Top Tycoon 数值模型｜证据门控看板</x:v>
      </x:c>
      <x:c r="F1" s="22" t="str">
        <x:v>Top Tycoon 数值模型｜证据门控看板</x:v>
      </x:c>
      <x:c r="G1" s="22" t="str">
        <x:v>Top Tycoon 数值模型｜证据门控看板</x:v>
      </x:c>
      <x:c r="H1" s="22" t="str">
        <x:v>Top Tycoon 数值模型｜证据门控看板</x:v>
      </x:c>
      <x:c r="I1" s="22" t="str">
        <x:v>Top Tycoon 数值模型｜证据门控看板</x:v>
      </x:c>
      <x:c r="J1" s="22" t="str">
        <x:v>Top Tycoon 数值模型｜证据门控看板</x:v>
      </x:c>
      <x:c r="K1" s="22" t="str">
        <x:v>Top Tycoon 数值模型｜证据门控看板</x:v>
      </x:c>
      <x:c r="L1" s="22" t="str">
        <x:v>Top Tycoon 数值模型｜证据门控看板</x:v>
      </x:c>
      <x:c r="M1" s="22" t="str">
        <x:v>Top Tycoon 数值模型｜证据门控看板</x:v>
      </x:c>
      <x:c r="N1" s="22" t="str">
        <x:v>Top Tycoon 数值模型｜证据门控看板</x:v>
      </x:c>
    </x:row>
    <x:row r="3" ht="30" customHeight="1">
      <x:c r="A3" s="33" t="str">
        <x:v>核心指标</x:v>
      </x:c>
      <x:c r="B3" s="34" t="str">
        <x:v>结果</x:v>
      </x:c>
      <x:c r="C3" s="35" t="str">
        <x:v>判定</x:v>
      </x:c>
    </x:row>
    <x:row r="4">
      <x:c r="A4" s="37" t="str">
        <x:v>有效单 Spin 样本</x:v>
      </x:c>
      <x:c r="B4" s="42" t="n">
        <x:f>COUNTIF('Spin样本'!$X$2:$X$141,"是")</x:f>
        <x:v>136</x:v>
      </x:c>
      <x:c r="C4" s="37" t="str">
        <x:v>每主要切片门槛 500</x:v>
      </x:c>
    </x:row>
    <x:row r="5">
      <x:c r="A5" s="37" t="str">
        <x:v>A/B 级闭环率</x:v>
      </x:c>
      <x:c r="B5" s="43" t="n">
        <x:f>(COUNTIF('Spin样本'!$U$2:$U$141,"A")+COUNTIF('Spin样本'!$U$2:$U$141,"B"))/COUNTA('Spin样本'!$A$2:$A$141)</x:f>
        <x:v>0.9714285714285714</x:v>
      </x:c>
      <x:c r="C5" s="37" t="str">
        <x:v>P2 门槛 ≥95%</x:v>
      </x:c>
    </x:row>
    <x:row r="6">
      <x:c r="A6" s="37" t="str">
        <x:v>最小切片样本</x:v>
      </x:c>
      <x:c r="B6" s="42" t="n">
        <x:f>MIN('奖励表'!$C$4:$C$9)</x:f>
        <x:v>3</x:v>
      </x:c>
      <x:c r="C6" s="37" t="str">
        <x:v>未达标时只做方向性观察</x:v>
      </x:c>
    </x:row>
    <x:row r="7">
      <x:c r="A7" s="37" t="str">
        <x:v>观察到的实际购买</x:v>
      </x:c>
      <x:c r="B7" s="42" t="n">
        <x:f>COUNTIF('付费展示'!$O$2:$O$11,"是")</x:f>
        <x:v>0</x:v>
      </x:c>
      <x:c r="C7" s="37" t="str">
        <x:v>0 则付费前后对比不可识别</x:v>
      </x:c>
    </x:row>
    <x:row r="8">
      <x:c r="A8" s="37" t="str">
        <x:v>标准化总 RTP</x:v>
      </x:c>
      <x:c r="B8" s="37" t="str">
        <x:v>不计算</x:v>
      </x:c>
      <x:c r="C8" s="37" t="str">
        <x:v>缺少金币↔能量可靠锚点</x:v>
      </x:c>
    </x:row>
    <x:row r="10">
      <x:c r="A10" s="52" t="str">
        <x:v>结论边界</x:v>
      </x:c>
      <x:c r="B10" s="53" t="str">
        <x:v>结论边界</x:v>
      </x:c>
      <x:c r="C10" s="54" t="str">
        <x:v>结论边界</x:v>
      </x:c>
    </x:row>
    <x:row r="11">
      <x:c r="A11" s="73" t="str">
        <x:v>已确认：BET 倍率就是单 Spin 能量成本；能量条由 50 上限与 overflow 构成。</x:v>
      </x:c>
      <x:c r="B11" s="74"/>
      <x:c r="C11" s="75"/>
    </x:row>
    <x:row r="12">
      <x:c r="A12" s="76" t="str">
        <x:v>已确认：主进度目标/奖励随成长段明显放大（200→540→4100；400→1.2K→5K 能量）。</x:v>
      </x:c>
      <x:c r="B12" s="77"/>
      <x:c r="C12" s="78"/>
    </x:row>
    <x:row r="13">
      <x:c r="A13" s="76" t="str">
        <x:v>待复核：不同下注档的结果概率差异；当前 Wilson 区间过宽。</x:v>
      </x:c>
      <x:c r="B13" s="77"/>
      <x:c r="C13" s="78"/>
    </x:row>
    <x:row r="14">
      <x:c r="A14" s="76" t="str">
        <x:v>录屏未展示：购买前后连续窗口、累计付费档、VIP 因果、小游戏完整成功率。</x:v>
      </x:c>
      <x:c r="B14" s="77"/>
      <x:c r="C14" s="78"/>
    </x:row>
    <x:row r="15">
      <x:c r="A15" s="79" t="str">
        <x:v>不输出：服务端配置真值、标准化总 RTP、毕业成本、建造金币曲线。</x:v>
      </x:c>
      <x:c r="B15" s="80"/>
      <x:c r="C15" s="81"/>
    </x:row>
    <x:row r="17" ht="30" customHeight="1">
      <x:c r="A17" s="33" t="str">
        <x:v>样本切片</x:v>
      </x:c>
      <x:c r="B17" s="34" t="str">
        <x:v>有效 n</x:v>
      </x:c>
      <x:c r="C17" s="35" t="str">
        <x:v>初筛门槛</x:v>
      </x:c>
    </x:row>
    <x:row r="18">
      <x:c r="A18" t="str">
        <x:f>'奖励表'!A4&amp;" x"&amp;'奖励表'!B4</x:f>
        <x:v>TT_NEW_01 x1</x:v>
      </x:c>
      <x:c r="B18" t="n">
        <x:f>'奖励表'!C4</x:f>
        <x:v>44</x:v>
      </x:c>
      <x:c r="C18" t="n">
        <x:v>500</x:v>
      </x:c>
    </x:row>
    <x:row r="19">
      <x:c r="A19" t="str">
        <x:f>'奖励表'!A5&amp;" x"&amp;'奖励表'!B5</x:f>
        <x:v>TT_NEW_03 x5</x:v>
      </x:c>
      <x:c r="B19" t="n">
        <x:f>'奖励表'!C5</x:f>
        <x:v>17</x:v>
      </x:c>
      <x:c r="C19" t="n">
        <x:v>500</x:v>
      </x:c>
    </x:row>
    <x:row r="20">
      <x:c r="A20" t="str">
        <x:f>'奖励表'!A6&amp;" x"&amp;'奖励表'!B6</x:f>
        <x:v>TT_NEW_03 x10</x:v>
      </x:c>
      <x:c r="B20" t="n">
        <x:f>'奖励表'!C6</x:f>
        <x:v>24</x:v>
      </x:c>
      <x:c r="C20" t="n">
        <x:v>500</x:v>
      </x:c>
    </x:row>
    <x:row r="21">
      <x:c r="A21" t="str">
        <x:f>'奖励表'!A7&amp;" x"&amp;'奖励表'!B7</x:f>
        <x:v>TT_NEW_03 x20</x:v>
      </x:c>
      <x:c r="B21" t="n">
        <x:f>'奖励表'!C7</x:f>
        <x:v>3</x:v>
      </x:c>
      <x:c r="C21" t="n">
        <x:v>500</x:v>
      </x:c>
    </x:row>
    <x:row r="22">
      <x:c r="A22" t="str">
        <x:f>'奖励表'!A8&amp;" x"&amp;'奖励表'!B8</x:f>
        <x:v>TT_NEW_06 x2</x:v>
      </x:c>
      <x:c r="B22" t="n">
        <x:f>'奖励表'!C8</x:f>
        <x:v>3</x:v>
      </x:c>
      <x:c r="C22" t="n">
        <x:v>500</x:v>
      </x:c>
    </x:row>
    <x:row r="23">
      <x:c r="A23" t="str">
        <x:f>'奖励表'!A9&amp;" x"&amp;'奖励表'!B9</x:f>
        <x:v>TT_NEW_06 x5</x:v>
      </x:c>
      <x:c r="B23" t="n">
        <x:f>'奖励表'!C9</x:f>
        <x:v>45</x:v>
      </x:c>
      <x:c r="C23" t="n">
        <x:v>500</x:v>
      </x:c>
    </x:row>
    <x:row r="24">
      <x:c r="A24"/>
      <x:c r="B24"/>
      <x:c r="C24" t="n">
        <x:v>500</x:v>
      </x:c>
    </x:row>
  </x:sheetData>
  <x:mergeCells>
    <x:mergeCell ref="A1:N1"/>
    <x:mergeCell ref="A10:C10"/>
    <x:mergeCell ref="A11:C11"/>
    <x:mergeCell ref="A12:C12"/>
    <x:mergeCell ref="A13:C13"/>
    <x:mergeCell ref="A14:C14"/>
    <x:mergeCell ref="A15:C15"/>
  </x:mergeCells>
  <x:pageMargins left="0.7" right="0.7" top="0.75" bottom="0.75" header="0.3" footer="0.3"/>
  <x:drawing xmlns:r="http://schemas.openxmlformats.org/officeDocument/2006/relationships" r:id="R308012fc276049e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8" hidden="0" customWidth="1"/>
    <x:col min="4" max="4" width="12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4" hidden="0" customWidth="1"/>
  </x:cols>
  <x:sheetData>
    <x:row r="1" ht="36" customHeight="1">
      <x:c r="A1" s="22" t="str">
        <x:v>观察概率与 95% Wilson 区间｜仅方向性</x:v>
      </x:c>
      <x:c r="B1" s="22" t="str">
        <x:v>观察概率与 95% Wilson 区间｜仅方向性</x:v>
      </x:c>
      <x:c r="C1" s="22" t="str">
        <x:v>观察概率与 95% Wilson 区间｜仅方向性</x:v>
      </x:c>
      <x:c r="D1" s="22" t="str">
        <x:v>观察概率与 95% Wilson 区间｜仅方向性</x:v>
      </x:c>
      <x:c r="E1" s="22" t="str">
        <x:v>观察概率与 95% Wilson 区间｜仅方向性</x:v>
      </x:c>
      <x:c r="F1" s="22" t="str">
        <x:v>观察概率与 95% Wilson 区间｜仅方向性</x:v>
      </x:c>
      <x:c r="G1" s="22" t="str">
        <x:v>观察概率与 95% Wilson 区间｜仅方向性</x:v>
      </x:c>
      <x:c r="H1" s="22" t="str">
        <x:v>观察概率与 95% Wilson 区间｜仅方向性</x:v>
      </x:c>
      <x:c r="I1" s="22" t="str">
        <x:v>观察概率与 95% Wilson 区间｜仅方向性</x:v>
      </x:c>
    </x:row>
    <x:row r="3" ht="30" customHeight="1">
      <x:c r="A3" s="33" t="str">
        <x:v>video_id</x:v>
      </x:c>
      <x:c r="B3" s="34" t="str">
        <x:v>BET</x:v>
      </x:c>
      <x:c r="C3" s="34" t="str">
        <x:v>主结果类型</x:v>
      </x:c>
      <x:c r="D3" s="34" t="str">
        <x:v>有效 n</x:v>
      </x:c>
      <x:c r="E3" s="34" t="str">
        <x:v>出现数</x:v>
      </x:c>
      <x:c r="F3" s="34" t="str">
        <x:v>观察概率</x:v>
      </x:c>
      <x:c r="G3" s="34" t="str">
        <x:v>Wilson 下界</x:v>
      </x:c>
      <x:c r="H3" s="34" t="str">
        <x:v>Wilson 上界</x:v>
      </x:c>
      <x:c r="I3" s="34" t="str">
        <x:v>样本门控</x:v>
      </x:c>
    </x:row>
    <x:row r="4">
      <x:c r="A4" s="82" t="str">
        <x:v>TT_NEW_01</x:v>
      </x:c>
      <x:c r="B4" s="37" t="n">
        <x:v>1</x:v>
      </x:c>
      <x:c r="C4" s="37" t="str">
        <x:v>纯金币</x:v>
      </x:c>
      <x:c r="D4" s="37" t="n">
        <x:f>COUNTIFS('Spin样本'!$A$2:$A$141,A4,'Spin样本'!$F$2:$F$141,B4,'Spin样本'!$X$2:$X$141,"是")</x:f>
        <x:v>44</x:v>
      </x:c>
      <x:c r="E4" s="37" t="n">
        <x:f>COUNTIFS('Spin样本'!$A$2:$A$141,A4,'Spin样本'!$F$2:$F$141,B4,'Spin样本'!$W$2:$W$141,C4,'Spin样本'!$X$2:$X$141,"是")</x:f>
        <x:v>27</x:v>
      </x:c>
      <x:c r="F4" s="36" t="n">
        <x:f>IFERROR(E4/D4,0)</x:f>
        <x:v>0.6136363636363636</x:v>
      </x:c>
      <x:c r="G4" s="36" t="n">
        <x:f>IF(D4=0,0,((F4+1.96^2/(2*D4))/(1+1.96^2/D4))-1.96*SQRT(F4*(1-F4)/D4+1.96^2/(4*D4^2))/(1+1.96^2/D4))</x:f>
        <x:v>0.46623309846201666</x:v>
      </x:c>
      <x:c r="H4" s="36" t="n">
        <x:f>IF(D4=0,0,((F4+1.96^2/(2*D4))/(1+1.96^2/D4))+1.96*SQRT(F4*(1-F4)/D4+1.96^2/(4*D4^2))/(1+1.96^2/D4))</x:f>
        <x:v>0.7427900111329802</x:v>
      </x:c>
      <x:c r="I4" s="37" t="str">
        <x:f>IF(D4&gt;=500,"初筛达标","方向性")</x:f>
        <x:v>方向性</x:v>
      </x:c>
    </x:row>
    <x:row r="5">
      <x:c r="A5" s="82" t="str">
        <x:v>TT_NEW_01</x:v>
      </x:c>
      <x:c r="B5" s="37" t="n">
        <x:v>1</x:v>
      </x:c>
      <x:c r="C5" s="37" t="str">
        <x:v>混合奖励</x:v>
      </x:c>
      <x:c r="D5" s="37" t="n">
        <x:f>COUNTIFS('Spin样本'!$A$2:$A$141,A5,'Spin样本'!$F$2:$F$141,B5,'Spin样本'!$X$2:$X$141,"是")</x:f>
        <x:v>44</x:v>
      </x:c>
      <x:c r="E5" s="37" t="n">
        <x:f>COUNTIFS('Spin样本'!$A$2:$A$141,A5,'Spin样本'!$F$2:$F$141,B5,'Spin样本'!$W$2:$W$141,C5,'Spin样本'!$X$2:$X$141,"是")</x:f>
        <x:v>7</x:v>
      </x:c>
      <x:c r="F5" s="36" t="n">
        <x:f>IFERROR(E5/D5,0)</x:f>
        <x:v>0.1590909090909091</x:v>
      </x:c>
      <x:c r="G5" s="36" t="n">
        <x:f>IF(D5=0,0,((F5+1.96^2/(2*D5))/(1+1.96^2/D5))-1.96*SQRT(F5*(1-F5)/D5+1.96^2/(4*D5^2))/(1+1.96^2/D5))</x:f>
        <x:v>0.07926576557718398</x:v>
      </x:c>
      <x:c r="H5" s="36" t="n">
        <x:f>IF(D5=0,0,((F5+1.96^2/(2*D5))/(1+1.96^2/D5))+1.96*SQRT(F5*(1-F5)/D5+1.96^2/(4*D5^2))/(1+1.96^2/D5))</x:f>
        <x:v>0.29366490563782555</x:v>
      </x:c>
      <x:c r="I5" s="37" t="str">
        <x:f>IF(D5&gt;=500,"初筛达标","方向性")</x:f>
        <x:v>方向性</x:v>
      </x:c>
    </x:row>
    <x:row r="6">
      <x:c r="A6" s="82" t="str">
        <x:v>TT_NEW_01</x:v>
      </x:c>
      <x:c r="B6" s="37" t="n">
        <x:v>1</x:v>
      </x:c>
      <x:c r="C6" s="37" t="str">
        <x:v>Attack</x:v>
      </x:c>
      <x:c r="D6" s="37" t="n">
        <x:f>COUNTIFS('Spin样本'!$A$2:$A$141,A6,'Spin样本'!$F$2:$F$141,B6,'Spin样本'!$X$2:$X$141,"是")</x:f>
        <x:v>44</x:v>
      </x:c>
      <x:c r="E6" s="37" t="n">
        <x:f>COUNTIFS('Spin样本'!$A$2:$A$141,A6,'Spin样本'!$F$2:$F$141,B6,'Spin样本'!$W$2:$W$141,C6,'Spin样本'!$X$2:$X$141,"是")</x:f>
        <x:v>3</x:v>
      </x:c>
      <x:c r="F6" s="36" t="n">
        <x:f>IFERROR(E6/D6,0)</x:f>
        <x:v>0.06818181818181818</x:v>
      </x:c>
      <x:c r="G6" s="36" t="n">
        <x:f>IF(D6=0,0,((F6+1.96^2/(2*D6))/(1+1.96^2/D6))-1.96*SQRT(F6*(1-F6)/D6+1.96^2/(4*D6^2))/(1+1.96^2/D6))</x:f>
        <x:v>0.023458970172840127</x:v>
      </x:c>
      <x:c r="H6" s="36" t="n">
        <x:f>IF(D6=0,0,((F6+1.96^2/(2*D6))/(1+1.96^2/D6))+1.96*SQRT(F6*(1-F6)/D6+1.96^2/(4*D6^2))/(1+1.96^2/D6))</x:f>
        <x:v>0.1822532133661719</x:v>
      </x:c>
      <x:c r="I6" s="37" t="str">
        <x:f>IF(D6&gt;=500,"初筛达标","方向性")</x:f>
        <x:v>方向性</x:v>
      </x:c>
    </x:row>
    <x:row r="7">
      <x:c r="A7" s="82" t="str">
        <x:v>TT_NEW_01</x:v>
      </x:c>
      <x:c r="B7" s="37" t="n">
        <x:v>1</x:v>
      </x:c>
      <x:c r="C7" s="37" t="str">
        <x:v>空奖</x:v>
      </x:c>
      <x:c r="D7" s="37" t="n">
        <x:f>COUNTIFS('Spin样本'!$A$2:$A$141,A7,'Spin样本'!$F$2:$F$141,B7,'Spin样本'!$X$2:$X$141,"是")</x:f>
        <x:v>44</x:v>
      </x:c>
      <x:c r="E7" s="37" t="n">
        <x:f>COUNTIFS('Spin样本'!$A$2:$A$141,A7,'Spin样本'!$F$2:$F$141,B7,'Spin样本'!$W$2:$W$141,C7,'Spin样本'!$X$2:$X$141,"是")</x:f>
        <x:v>2</x:v>
      </x:c>
      <x:c r="F7" s="36" t="n">
        <x:f>IFERROR(E7/D7,0)</x:f>
        <x:v>0.045454545454545456</x:v>
      </x:c>
      <x:c r="G7" s="36" t="n">
        <x:f>IF(D7=0,0,((F7+1.96^2/(2*D7))/(1+1.96^2/D7))-1.96*SQRT(F7*(1-F7)/D7+1.96^2/(4*D7^2))/(1+1.96^2/D7))</x:f>
        <x:v>0.012554846366981079</x:v>
      </x:c>
      <x:c r="H7" s="36" t="n">
        <x:f>IF(D7=0,0,((F7+1.96^2/(2*D7))/(1+1.96^2/D7))+1.96*SQRT(F7*(1-F7)/D7+1.96^2/(4*D7^2))/(1+1.96^2/D7))</x:f>
        <x:v>0.15135271525303162</x:v>
      </x:c>
      <x:c r="I7" s="37" t="str">
        <x:f>IF(D7&gt;=500,"初筛达标","方向性")</x:f>
        <x:v>方向性</x:v>
      </x:c>
    </x:row>
    <x:row r="8">
      <x:c r="A8" s="82" t="str">
        <x:v>TT_NEW_01</x:v>
      </x:c>
      <x:c r="B8" s="37" t="n">
        <x:v>1</x:v>
      </x:c>
      <x:c r="C8" s="37" t="str">
        <x:v>纯进度</x:v>
      </x:c>
      <x:c r="D8" s="37" t="n">
        <x:f>COUNTIFS('Spin样本'!$A$2:$A$141,A8,'Spin样本'!$F$2:$F$141,B8,'Spin样本'!$X$2:$X$141,"是")</x:f>
        <x:v>44</x:v>
      </x:c>
      <x:c r="E8" s="37" t="n">
        <x:f>COUNTIFS('Spin样本'!$A$2:$A$141,A8,'Spin样本'!$F$2:$F$141,B8,'Spin样本'!$W$2:$W$141,C8,'Spin样本'!$X$2:$X$141,"是")</x:f>
        <x:v>1</x:v>
      </x:c>
      <x:c r="F8" s="36" t="n">
        <x:f>IFERROR(E8/D8,0)</x:f>
        <x:v>0.022727272727272728</x:v>
      </x:c>
      <x:c r="G8" s="36" t="n">
        <x:f>IF(D8=0,0,((F8+1.96^2/(2*D8))/(1+1.96^2/D8))-1.96*SQRT(F8*(1-F8)/D8+1.96^2/(4*D8^2))/(1+1.96^2/D8))</x:f>
        <x:v>0.004023148385637013</x:v>
      </x:c>
      <x:c r="H8" s="36" t="n">
        <x:f>IF(D8=0,0,((F8+1.96^2/(2*D8))/(1+1.96^2/D8))+1.96*SQRT(F8*(1-F8)/D8+1.96^2/(4*D8^2))/(1+1.96^2/D8))</x:f>
        <x:v>0.11807979131537633</x:v>
      </x:c>
      <x:c r="I8" s="37" t="str">
        <x:f>IF(D8&gt;=500,"初筛达标","方向性")</x:f>
        <x:v>方向性</x:v>
      </x:c>
    </x:row>
    <x:row r="9">
      <x:c r="A9" s="82" t="str">
        <x:v>TT_NEW_01</x:v>
      </x:c>
      <x:c r="B9" s="37" t="n">
        <x:v>1</x:v>
      </x:c>
      <x:c r="C9" s="37" t="str">
        <x:v>Shield</x:v>
      </x:c>
      <x:c r="D9" s="37" t="n">
        <x:f>COUNTIFS('Spin样本'!$A$2:$A$141,A9,'Spin样本'!$F$2:$F$141,B9,'Spin样本'!$X$2:$X$141,"是")</x:f>
        <x:v>44</x:v>
      </x:c>
      <x:c r="E9" s="37" t="n">
        <x:f>COUNTIFS('Spin样本'!$A$2:$A$141,A9,'Spin样本'!$F$2:$F$141,B9,'Spin样本'!$W$2:$W$141,C9,'Spin样本'!$X$2:$X$141,"是")</x:f>
        <x:v>2</x:v>
      </x:c>
      <x:c r="F9" s="36" t="n">
        <x:f>IFERROR(E9/D9,0)</x:f>
        <x:v>0.045454545454545456</x:v>
      </x:c>
      <x:c r="G9" s="36" t="n">
        <x:f>IF(D9=0,0,((F9+1.96^2/(2*D9))/(1+1.96^2/D9))-1.96*SQRT(F9*(1-F9)/D9+1.96^2/(4*D9^2))/(1+1.96^2/D9))</x:f>
        <x:v>0.012554846366981079</x:v>
      </x:c>
      <x:c r="H9" s="36" t="n">
        <x:f>IF(D9=0,0,((F9+1.96^2/(2*D9))/(1+1.96^2/D9))+1.96*SQRT(F9*(1-F9)/D9+1.96^2/(4*D9^2))/(1+1.96^2/D9))</x:f>
        <x:v>0.15135271525303162</x:v>
      </x:c>
      <x:c r="I9" s="37" t="str">
        <x:f>IF(D9&gt;=500,"初筛达标","方向性")</x:f>
        <x:v>方向性</x:v>
      </x:c>
    </x:row>
    <x:row r="10">
      <x:c r="A10" s="82" t="str">
        <x:v>TT_NEW_01</x:v>
      </x:c>
      <x:c r="B10" s="37" t="n">
        <x:v>1</x:v>
      </x:c>
      <x:c r="C10" s="37" t="str">
        <x:v>Credit Grab</x:v>
      </x:c>
      <x:c r="D10" s="37" t="n">
        <x:f>COUNTIFS('Spin样本'!$A$2:$A$141,A10,'Spin样本'!$F$2:$F$141,B10,'Spin样本'!$X$2:$X$141,"是")</x:f>
        <x:v>44</x:v>
      </x:c>
      <x:c r="E10" s="37" t="n">
        <x:f>COUNTIFS('Spin样本'!$A$2:$A$141,A10,'Spin样本'!$F$2:$F$141,B10,'Spin样本'!$W$2:$W$141,C10,'Spin样本'!$X$2:$X$141,"是")</x:f>
        <x:v>1</x:v>
      </x:c>
      <x:c r="F10" s="36" t="n">
        <x:f>IFERROR(E10/D10,0)</x:f>
        <x:v>0.022727272727272728</x:v>
      </x:c>
      <x:c r="G10" s="36" t="n">
        <x:f>IF(D10=0,0,((F10+1.96^2/(2*D10))/(1+1.96^2/D10))-1.96*SQRT(F10*(1-F10)/D10+1.96^2/(4*D10^2))/(1+1.96^2/D10))</x:f>
        <x:v>0.004023148385637013</x:v>
      </x:c>
      <x:c r="H10" s="36" t="n">
        <x:f>IF(D10=0,0,((F10+1.96^2/(2*D10))/(1+1.96^2/D10))+1.96*SQRT(F10*(1-F10)/D10+1.96^2/(4*D10^2))/(1+1.96^2/D10))</x:f>
        <x:v>0.11807979131537633</x:v>
      </x:c>
      <x:c r="I10" s="37" t="str">
        <x:f>IF(D10&gt;=500,"初筛达标","方向性")</x:f>
        <x:v>方向性</x:v>
      </x:c>
    </x:row>
    <x:row r="11">
      <x:c r="A11" s="82" t="str">
        <x:v>TT_NEW_01</x:v>
      </x:c>
      <x:c r="B11" s="37" t="n">
        <x:v>1</x:v>
      </x:c>
      <x:c r="C11" s="37" t="str">
        <x:v>大奖</x:v>
      </x:c>
      <x:c r="D11" s="37" t="n">
        <x:f>COUNTIFS('Spin样本'!$A$2:$A$141,A11,'Spin样本'!$F$2:$F$141,B11,'Spin样本'!$X$2:$X$141,"是")</x:f>
        <x:v>44</x:v>
      </x:c>
      <x:c r="E11" s="37" t="n">
        <x:f>COUNTIFS('Spin样本'!$A$2:$A$141,A11,'Spin样本'!$F$2:$F$141,B11,'Spin样本'!$W$2:$W$141,C11,'Spin样本'!$X$2:$X$141,"是")</x:f>
        <x:v>1</x:v>
      </x:c>
      <x:c r="F11" s="36" t="n">
        <x:f>IFERROR(E11/D11,0)</x:f>
        <x:v>0.022727272727272728</x:v>
      </x:c>
      <x:c r="G11" s="36" t="n">
        <x:f>IF(D11=0,0,((F11+1.96^2/(2*D11))/(1+1.96^2/D11))-1.96*SQRT(F11*(1-F11)/D11+1.96^2/(4*D11^2))/(1+1.96^2/D11))</x:f>
        <x:v>0.004023148385637013</x:v>
      </x:c>
      <x:c r="H11" s="36" t="n">
        <x:f>IF(D11=0,0,((F11+1.96^2/(2*D11))/(1+1.96^2/D11))+1.96*SQRT(F11*(1-F11)/D11+1.96^2/(4*D11^2))/(1+1.96^2/D11))</x:f>
        <x:v>0.11807979131537633</x:v>
      </x:c>
      <x:c r="I11" s="37" t="str">
        <x:f>IF(D11&gt;=500,"初筛达标","方向性")</x:f>
        <x:v>方向性</x:v>
      </x:c>
    </x:row>
    <x:row r="12">
      <x:c r="A12" s="82" t="str">
        <x:v>TT_NEW_03</x:v>
      </x:c>
      <x:c r="B12" s="37" t="n">
        <x:v>5</x:v>
      </x:c>
      <x:c r="C12" s="37" t="str">
        <x:v>纯金币</x:v>
      </x:c>
      <x:c r="D12" s="37" t="n">
        <x:f>COUNTIFS('Spin样本'!$A$2:$A$141,A12,'Spin样本'!$F$2:$F$141,B12,'Spin样本'!$X$2:$X$141,"是")</x:f>
        <x:v>17</x:v>
      </x:c>
      <x:c r="E12" s="37" t="n">
        <x:f>COUNTIFS('Spin样本'!$A$2:$A$141,A12,'Spin样本'!$F$2:$F$141,B12,'Spin样本'!$W$2:$W$141,C12,'Spin样本'!$X$2:$X$141,"是")</x:f>
        <x:v>8</x:v>
      </x:c>
      <x:c r="F12" s="36" t="n">
        <x:f>IFERROR(E12/D12,0)</x:f>
        <x:v>0.47058823529411764</x:v>
      </x:c>
      <x:c r="G12" s="36" t="n">
        <x:f>IF(D12=0,0,((F12+1.96^2/(2*D12))/(1+1.96^2/D12))-1.96*SQRT(F12*(1-F12)/D12+1.96^2/(4*D12^2))/(1+1.96^2/D12))</x:f>
        <x:v>0.26164801196088106</x:v>
      </x:c>
      <x:c r="H12" s="36" t="n">
        <x:f>IF(D12=0,0,((F12+1.96^2/(2*D12))/(1+1.96^2/D12))+1.96*SQRT(F12*(1-F12)/D12+1.96^2/(4*D12^2))/(1+1.96^2/D12))</x:f>
        <x:v>0.6903710268845051</x:v>
      </x:c>
      <x:c r="I12" s="37" t="str">
        <x:f>IF(D12&gt;=500,"初筛达标","方向性")</x:f>
        <x:v>方向性</x:v>
      </x:c>
    </x:row>
    <x:row r="13">
      <x:c r="A13" s="82" t="str">
        <x:v>TT_NEW_03</x:v>
      </x:c>
      <x:c r="B13" s="37" t="n">
        <x:v>5</x:v>
      </x:c>
      <x:c r="C13" s="37" t="str">
        <x:v>混合奖励</x:v>
      </x:c>
      <x:c r="D13" s="37" t="n">
        <x:f>COUNTIFS('Spin样本'!$A$2:$A$141,A13,'Spin样本'!$F$2:$F$141,B13,'Spin样本'!$X$2:$X$141,"是")</x:f>
        <x:v>17</x:v>
      </x:c>
      <x:c r="E13" s="37" t="n">
        <x:f>COUNTIFS('Spin样本'!$A$2:$A$141,A13,'Spin样本'!$F$2:$F$141,B13,'Spin样本'!$W$2:$W$141,C13,'Spin样本'!$X$2:$X$141,"是")</x:f>
        <x:v>3</x:v>
      </x:c>
      <x:c r="F13" s="36" t="n">
        <x:f>IFERROR(E13/D13,0)</x:f>
        <x:v>0.17647058823529413</x:v>
      </x:c>
      <x:c r="G13" s="36" t="n">
        <x:f>IF(D13=0,0,((F13+1.96^2/(2*D13))/(1+1.96^2/D13))-1.96*SQRT(F13*(1-F13)/D13+1.96^2/(4*D13^2))/(1+1.96^2/D13))</x:f>
        <x:v>0.0619101371254899</x:v>
      </x:c>
      <x:c r="H13" s="36" t="n">
        <x:f>IF(D13=0,0,((F13+1.96^2/(2*D13))/(1+1.96^2/D13))+1.96*SQRT(F13*(1-F13)/D13+1.96^2/(4*D13^2))/(1+1.96^2/D13))</x:f>
        <x:v>0.41029929017375777</x:v>
      </x:c>
      <x:c r="I13" s="37" t="str">
        <x:f>IF(D13&gt;=500,"初筛达标","方向性")</x:f>
        <x:v>方向性</x:v>
      </x:c>
    </x:row>
    <x:row r="14">
      <x:c r="A14" s="82" t="str">
        <x:v>TT_NEW_03</x:v>
      </x:c>
      <x:c r="B14" s="37" t="n">
        <x:v>5</x:v>
      </x:c>
      <x:c r="C14" s="37" t="str">
        <x:v>Attack</x:v>
      </x:c>
      <x:c r="D14" s="37" t="n">
        <x:f>COUNTIFS('Spin样本'!$A$2:$A$141,A14,'Spin样本'!$F$2:$F$141,B14,'Spin样本'!$X$2:$X$141,"是")</x:f>
        <x:v>17</x:v>
      </x:c>
      <x:c r="E14" s="37" t="n">
        <x:f>COUNTIFS('Spin样本'!$A$2:$A$141,A14,'Spin样本'!$F$2:$F$141,B14,'Spin样本'!$W$2:$W$141,C14,'Spin样本'!$X$2:$X$141,"是")</x:f>
        <x:v>2</x:v>
      </x:c>
      <x:c r="F14" s="36" t="n">
        <x:f>IFERROR(E14/D14,0)</x:f>
        <x:v>0.11764705882352941</x:v>
      </x:c>
      <x:c r="G14" s="36" t="n">
        <x:f>IF(D14=0,0,((F14+1.96^2/(2*D14))/(1+1.96^2/D14))-1.96*SQRT(F14*(1-F14)/D14+1.96^2/(4*D14^2))/(1+1.96^2/D14))</x:f>
        <x:v>0.03287908001292092</x:v>
      </x:c>
      <x:c r="H14" s="36" t="n">
        <x:f>IF(D14=0,0,((F14+1.96^2/(2*D14))/(1+1.96^2/D14))+1.96*SQRT(F14*(1-F14)/D14+1.96^2/(4*D14^2))/(1+1.96^2/D14))</x:f>
        <x:v>0.3433684249770991</x:v>
      </x:c>
      <x:c r="I14" s="37" t="str">
        <x:f>IF(D14&gt;=500,"初筛达标","方向性")</x:f>
        <x:v>方向性</x:v>
      </x:c>
    </x:row>
    <x:row r="15">
      <x:c r="A15" s="82" t="str">
        <x:v>TT_NEW_03</x:v>
      </x:c>
      <x:c r="B15" s="37" t="n">
        <x:v>5</x:v>
      </x:c>
      <x:c r="C15" s="37" t="str">
        <x:v>空奖</x:v>
      </x:c>
      <x:c r="D15" s="37" t="n">
        <x:f>COUNTIFS('Spin样本'!$A$2:$A$141,A15,'Spin样本'!$F$2:$F$141,B15,'Spin样本'!$X$2:$X$141,"是")</x:f>
        <x:v>17</x:v>
      </x:c>
      <x:c r="E15" s="37" t="n">
        <x:f>COUNTIFS('Spin样本'!$A$2:$A$141,A15,'Spin样本'!$F$2:$F$141,B15,'Spin样本'!$W$2:$W$141,C15,'Spin样本'!$X$2:$X$141,"是")</x:f>
        <x:v>2</x:v>
      </x:c>
      <x:c r="F15" s="36" t="n">
        <x:f>IFERROR(E15/D15,0)</x:f>
        <x:v>0.11764705882352941</x:v>
      </x:c>
      <x:c r="G15" s="36" t="n">
        <x:f>IF(D15=0,0,((F15+1.96^2/(2*D15))/(1+1.96^2/D15))-1.96*SQRT(F15*(1-F15)/D15+1.96^2/(4*D15^2))/(1+1.96^2/D15))</x:f>
        <x:v>0.03287908001292092</x:v>
      </x:c>
      <x:c r="H15" s="36" t="n">
        <x:f>IF(D15=0,0,((F15+1.96^2/(2*D15))/(1+1.96^2/D15))+1.96*SQRT(F15*(1-F15)/D15+1.96^2/(4*D15^2))/(1+1.96^2/D15))</x:f>
        <x:v>0.3433684249770991</x:v>
      </x:c>
      <x:c r="I15" s="37" t="str">
        <x:f>IF(D15&gt;=500,"初筛达标","方向性")</x:f>
        <x:v>方向性</x:v>
      </x:c>
    </x:row>
    <x:row r="16">
      <x:c r="A16" s="82" t="str">
        <x:v>TT_NEW_03</x:v>
      </x:c>
      <x:c r="B16" s="37" t="n">
        <x:v>5</x:v>
      </x:c>
      <x:c r="C16" s="37" t="str">
        <x:v>纯进度</x:v>
      </x:c>
      <x:c r="D16" s="37" t="n">
        <x:f>COUNTIFS('Spin样本'!$A$2:$A$141,A16,'Spin样本'!$F$2:$F$141,B16,'Spin样本'!$X$2:$X$141,"是")</x:f>
        <x:v>17</x:v>
      </x:c>
      <x:c r="E16" s="37" t="n">
        <x:f>COUNTIFS('Spin样本'!$A$2:$A$141,A16,'Spin样本'!$F$2:$F$141,B16,'Spin样本'!$W$2:$W$141,C16,'Spin样本'!$X$2:$X$141,"是")</x:f>
        <x:v>1</x:v>
      </x:c>
      <x:c r="F16" s="36" t="n">
        <x:f>IFERROR(E16/D16,0)</x:f>
        <x:v>0.058823529411764705</x:v>
      </x:c>
      <x:c r="G16" s="36" t="n">
        <x:f>IF(D16=0,0,((F16+1.96^2/(2*D16))/(1+1.96^2/D16))-1.96*SQRT(F16*(1-F16)/D16+1.96^2/(4*D16^2))/(1+1.96^2/D16))</x:f>
        <x:v>0.01046013064516424</x:v>
      </x:c>
      <x:c r="H16" s="36" t="n">
        <x:f>IF(D16=0,0,((F16+1.96^2/(2*D16))/(1+1.96^2/D16))+1.96*SQRT(F16*(1-F16)/D16+1.96^2/(4*D16^2))/(1+1.96^2/D16))</x:f>
        <x:v>0.269825452035628</x:v>
      </x:c>
      <x:c r="I16" s="37" t="str">
        <x:f>IF(D16&gt;=500,"初筛达标","方向性")</x:f>
        <x:v>方向性</x:v>
      </x:c>
    </x:row>
    <x:row r="17">
      <x:c r="A17" s="82" t="str">
        <x:v>TT_NEW_03</x:v>
      </x:c>
      <x:c r="B17" s="37" t="n">
        <x:v>5</x:v>
      </x:c>
      <x:c r="C17" s="37" t="str">
        <x:v>Shield</x:v>
      </x:c>
      <x:c r="D17" s="37" t="n">
        <x:f>COUNTIFS('Spin样本'!$A$2:$A$141,A17,'Spin样本'!$F$2:$F$141,B17,'Spin样本'!$X$2:$X$141,"是")</x:f>
        <x:v>17</x:v>
      </x:c>
      <x:c r="E17" s="37" t="n">
        <x:f>COUNTIFS('Spin样本'!$A$2:$A$141,A17,'Spin样本'!$F$2:$F$141,B17,'Spin样本'!$W$2:$W$141,C17,'Spin样本'!$X$2:$X$141,"是")</x:f>
        <x:v>1</x:v>
      </x:c>
      <x:c r="F17" s="36" t="n">
        <x:f>IFERROR(E17/D17,0)</x:f>
        <x:v>0.058823529411764705</x:v>
      </x:c>
      <x:c r="G17" s="36" t="n">
        <x:f>IF(D17=0,0,((F17+1.96^2/(2*D17))/(1+1.96^2/D17))-1.96*SQRT(F17*(1-F17)/D17+1.96^2/(4*D17^2))/(1+1.96^2/D17))</x:f>
        <x:v>0.01046013064516424</x:v>
      </x:c>
      <x:c r="H17" s="36" t="n">
        <x:f>IF(D17=0,0,((F17+1.96^2/(2*D17))/(1+1.96^2/D17))+1.96*SQRT(F17*(1-F17)/D17+1.96^2/(4*D17^2))/(1+1.96^2/D17))</x:f>
        <x:v>0.269825452035628</x:v>
      </x:c>
      <x:c r="I17" s="37" t="str">
        <x:f>IF(D17&gt;=500,"初筛达标","方向性")</x:f>
        <x:v>方向性</x:v>
      </x:c>
    </x:row>
    <x:row r="18">
      <x:c r="A18" s="82" t="str">
        <x:v>TT_NEW_03</x:v>
      </x:c>
      <x:c r="B18" s="37" t="n">
        <x:v>5</x:v>
      </x:c>
      <x:c r="C18" s="37" t="str">
        <x:v>Credit Grab</x:v>
      </x:c>
      <x:c r="D18" s="37" t="n">
        <x:f>COUNTIFS('Spin样本'!$A$2:$A$141,A18,'Spin样本'!$F$2:$F$141,B18,'Spin样本'!$X$2:$X$141,"是")</x:f>
        <x:v>17</x:v>
      </x:c>
      <x:c r="E18" s="37" t="n">
        <x:f>COUNTIFS('Spin样本'!$A$2:$A$141,A18,'Spin样本'!$F$2:$F$141,B18,'Spin样本'!$W$2:$W$141,C18,'Spin样本'!$X$2:$X$141,"是")</x:f>
        <x:v>0</x:v>
      </x:c>
      <x:c r="F18" s="36" t="n">
        <x:f>IFERROR(E18/D18,0)</x:f>
        <x:v>0</x:v>
      </x:c>
      <x:c r="G18" s="36" t="n">
        <x:f>IF(D18=0,0,((F18+1.96^2/(2*D18))/(1+1.96^2/D18))-1.96*SQRT(F18*(1-F18)/D18+1.96^2/(4*D18^2))/(1+1.96^2/D18))</x:f>
        <x:v>0</x:v>
      </x:c>
      <x:c r="H18" s="36" t="n">
        <x:f>IF(D18=0,0,((F18+1.96^2/(2*D18))/(1+1.96^2/D18))+1.96*SQRT(F18*(1-F18)/D18+1.96^2/(4*D18^2))/(1+1.96^2/D18))</x:f>
        <x:v>0.18432366037156456</x:v>
      </x:c>
      <x:c r="I18" s="37" t="str">
        <x:f>IF(D18&gt;=500,"初筛达标","方向性")</x:f>
        <x:v>方向性</x:v>
      </x:c>
    </x:row>
    <x:row r="19">
      <x:c r="A19" s="82" t="str">
        <x:v>TT_NEW_03</x:v>
      </x:c>
      <x:c r="B19" s="37" t="n">
        <x:v>5</x:v>
      </x:c>
      <x:c r="C19" s="37" t="str">
        <x:v>大奖</x:v>
      </x:c>
      <x:c r="D19" s="37" t="n">
        <x:f>COUNTIFS('Spin样本'!$A$2:$A$141,A19,'Spin样本'!$F$2:$F$141,B19,'Spin样本'!$X$2:$X$141,"是")</x:f>
        <x:v>17</x:v>
      </x:c>
      <x:c r="E19" s="37" t="n">
        <x:f>COUNTIFS('Spin样本'!$A$2:$A$141,A19,'Spin样本'!$F$2:$F$141,B19,'Spin样本'!$W$2:$W$141,C19,'Spin样本'!$X$2:$X$141,"是")</x:f>
        <x:v>0</x:v>
      </x:c>
      <x:c r="F19" s="36" t="n">
        <x:f>IFERROR(E19/D19,0)</x:f>
        <x:v>0</x:v>
      </x:c>
      <x:c r="G19" s="36" t="n">
        <x:f>IF(D19=0,0,((F19+1.96^2/(2*D19))/(1+1.96^2/D19))-1.96*SQRT(F19*(1-F19)/D19+1.96^2/(4*D19^2))/(1+1.96^2/D19))</x:f>
        <x:v>0</x:v>
      </x:c>
      <x:c r="H19" s="36" t="n">
        <x:f>IF(D19=0,0,((F19+1.96^2/(2*D19))/(1+1.96^2/D19))+1.96*SQRT(F19*(1-F19)/D19+1.96^2/(4*D19^2))/(1+1.96^2/D19))</x:f>
        <x:v>0.18432366037156456</x:v>
      </x:c>
      <x:c r="I19" s="37" t="str">
        <x:f>IF(D19&gt;=500,"初筛达标","方向性")</x:f>
        <x:v>方向性</x:v>
      </x:c>
    </x:row>
    <x:row r="20">
      <x:c r="A20" s="82" t="str">
        <x:v>TT_NEW_03</x:v>
      </x:c>
      <x:c r="B20" s="37" t="n">
        <x:v>10</x:v>
      </x:c>
      <x:c r="C20" s="37" t="str">
        <x:v>纯金币</x:v>
      </x:c>
      <x:c r="D20" s="37" t="n">
        <x:f>COUNTIFS('Spin样本'!$A$2:$A$141,A20,'Spin样本'!$F$2:$F$141,B20,'Spin样本'!$X$2:$X$141,"是")</x:f>
        <x:v>24</x:v>
      </x:c>
      <x:c r="E20" s="37" t="n">
        <x:f>COUNTIFS('Spin样本'!$A$2:$A$141,A20,'Spin样本'!$F$2:$F$141,B20,'Spin样本'!$W$2:$W$141,C20,'Spin样本'!$X$2:$X$141,"是")</x:f>
        <x:v>18</x:v>
      </x:c>
      <x:c r="F20" s="36" t="n">
        <x:f>IFERROR(E20/D20,0)</x:f>
        <x:v>0.75</x:v>
      </x:c>
      <x:c r="G20" s="36" t="n">
        <x:f>IF(D20=0,0,((F20+1.96^2/(2*D20))/(1+1.96^2/D20))-1.96*SQRT(F20*(1-F20)/D20+1.96^2/(4*D20^2))/(1+1.96^2/D20))</x:f>
        <x:v>0.5510017468789357</x:v>
      </x:c>
      <x:c r="H20" s="36" t="n">
        <x:f>IF(D20=0,0,((F20+1.96^2/(2*D20))/(1+1.96^2/D20))+1.96*SQRT(F20*(1-F20)/D20+1.96^2/(4*D20^2))/(1+1.96^2/D20))</x:f>
        <x:v>0.8800079652065766</x:v>
      </x:c>
      <x:c r="I20" s="37" t="str">
        <x:f>IF(D20&gt;=500,"初筛达标","方向性")</x:f>
        <x:v>方向性</x:v>
      </x:c>
    </x:row>
    <x:row r="21">
      <x:c r="A21" s="82" t="str">
        <x:v>TT_NEW_03</x:v>
      </x:c>
      <x:c r="B21" s="37" t="n">
        <x:v>10</x:v>
      </x:c>
      <x:c r="C21" s="37" t="str">
        <x:v>混合奖励</x:v>
      </x:c>
      <x:c r="D21" s="37" t="n">
        <x:f>COUNTIFS('Spin样本'!$A$2:$A$141,A21,'Spin样本'!$F$2:$F$141,B21,'Spin样本'!$X$2:$X$141,"是")</x:f>
        <x:v>24</x:v>
      </x:c>
      <x:c r="E21" s="37" t="n">
        <x:f>COUNTIFS('Spin样本'!$A$2:$A$141,A21,'Spin样本'!$F$2:$F$141,B21,'Spin样本'!$W$2:$W$141,C21,'Spin样本'!$X$2:$X$141,"是")</x:f>
        <x:v>2</x:v>
      </x:c>
      <x:c r="F21" s="36" t="n">
        <x:f>IFERROR(E21/D21,0)</x:f>
        <x:v>0.08333333333333333</x:v>
      </x:c>
      <x:c r="G21" s="36" t="n">
        <x:f>IF(D21=0,0,((F21+1.96^2/(2*D21))/(1+1.96^2/D21))-1.96*SQRT(F21*(1-F21)/D21+1.96^2/(4*D21^2))/(1+1.96^2/D21))</x:f>
        <x:v>0.023158327842973503</x:v>
      </x:c>
      <x:c r="H21" s="36" t="n">
        <x:f>IF(D21=0,0,((F21+1.96^2/(2*D21))/(1+1.96^2/D21))+1.96*SQRT(F21*(1-F21)/D21+1.96^2/(4*D21^2))/(1+1.96^2/D21))</x:f>
        <x:v>0.258492152014506</x:v>
      </x:c>
      <x:c r="I21" s="37" t="str">
        <x:f>IF(D21&gt;=500,"初筛达标","方向性")</x:f>
        <x:v>方向性</x:v>
      </x:c>
    </x:row>
    <x:row r="22">
      <x:c r="A22" s="82" t="str">
        <x:v>TT_NEW_03</x:v>
      </x:c>
      <x:c r="B22" s="37" t="n">
        <x:v>10</x:v>
      </x:c>
      <x:c r="C22" s="37" t="str">
        <x:v>Attack</x:v>
      </x:c>
      <x:c r="D22" s="37" t="n">
        <x:f>COUNTIFS('Spin样本'!$A$2:$A$141,A22,'Spin样本'!$F$2:$F$141,B22,'Spin样本'!$X$2:$X$141,"是")</x:f>
        <x:v>24</x:v>
      </x:c>
      <x:c r="E22" s="37" t="n">
        <x:f>COUNTIFS('Spin样本'!$A$2:$A$141,A22,'Spin样本'!$F$2:$F$141,B22,'Spin样本'!$W$2:$W$141,C22,'Spin样本'!$X$2:$X$141,"是")</x:f>
        <x:v>2</x:v>
      </x:c>
      <x:c r="F22" s="36" t="n">
        <x:f>IFERROR(E22/D22,0)</x:f>
        <x:v>0.08333333333333333</x:v>
      </x:c>
      <x:c r="G22" s="36" t="n">
        <x:f>IF(D22=0,0,((F22+1.96^2/(2*D22))/(1+1.96^2/D22))-1.96*SQRT(F22*(1-F22)/D22+1.96^2/(4*D22^2))/(1+1.96^2/D22))</x:f>
        <x:v>0.023158327842973503</x:v>
      </x:c>
      <x:c r="H22" s="36" t="n">
        <x:f>IF(D22=0,0,((F22+1.96^2/(2*D22))/(1+1.96^2/D22))+1.96*SQRT(F22*(1-F22)/D22+1.96^2/(4*D22^2))/(1+1.96^2/D22))</x:f>
        <x:v>0.258492152014506</x:v>
      </x:c>
      <x:c r="I22" s="37" t="str">
        <x:f>IF(D22&gt;=500,"初筛达标","方向性")</x:f>
        <x:v>方向性</x:v>
      </x:c>
    </x:row>
    <x:row r="23">
      <x:c r="A23" s="82" t="str">
        <x:v>TT_NEW_03</x:v>
      </x:c>
      <x:c r="B23" s="37" t="n">
        <x:v>10</x:v>
      </x:c>
      <x:c r="C23" s="37" t="str">
        <x:v>空奖</x:v>
      </x:c>
      <x:c r="D23" s="37" t="n">
        <x:f>COUNTIFS('Spin样本'!$A$2:$A$141,A23,'Spin样本'!$F$2:$F$141,B23,'Spin样本'!$X$2:$X$141,"是")</x:f>
        <x:v>24</x:v>
      </x:c>
      <x:c r="E23" s="37" t="n">
        <x:f>COUNTIFS('Spin样本'!$A$2:$A$141,A23,'Spin样本'!$F$2:$F$141,B23,'Spin样本'!$W$2:$W$141,C23,'Spin样本'!$X$2:$X$141,"是")</x:f>
        <x:v>1</x:v>
      </x:c>
      <x:c r="F23" s="36" t="n">
        <x:f>IFERROR(E23/D23,0)</x:f>
        <x:v>0.041666666666666664</x:v>
      </x:c>
      <x:c r="G23" s="36" t="n">
        <x:f>IF(D23=0,0,((F23+1.96^2/(2*D23))/(1+1.96^2/D23))-1.96*SQRT(F23*(1-F23)/D23+1.96^2/(4*D23^2))/(1+1.96^2/D23))</x:f>
        <x:v>0.007393265354805126</x:v>
      </x:c>
      <x:c r="H23" s="36" t="n">
        <x:f>IF(D23=0,0,((F23+1.96^2/(2*D23))/(1+1.96^2/D23))+1.96*SQRT(F23*(1-F23)/D23+1.96^2/(4*D23^2))/(1+1.96^2/D23))</x:f>
        <x:v>0.20242226248842232</x:v>
      </x:c>
      <x:c r="I23" s="37" t="str">
        <x:f>IF(D23&gt;=500,"初筛达标","方向性")</x:f>
        <x:v>方向性</x:v>
      </x:c>
    </x:row>
    <x:row r="24">
      <x:c r="A24" s="82" t="str">
        <x:v>TT_NEW_03</x:v>
      </x:c>
      <x:c r="B24" s="37" t="n">
        <x:v>10</x:v>
      </x:c>
      <x:c r="C24" s="37" t="str">
        <x:v>纯进度</x:v>
      </x:c>
      <x:c r="D24" s="37" t="n">
        <x:f>COUNTIFS('Spin样本'!$A$2:$A$141,A24,'Spin样本'!$F$2:$F$141,B24,'Spin样本'!$X$2:$X$141,"是")</x:f>
        <x:v>24</x:v>
      </x:c>
      <x:c r="E24" s="37" t="n">
        <x:f>COUNTIFS('Spin样本'!$A$2:$A$141,A24,'Spin样本'!$F$2:$F$141,B24,'Spin样本'!$W$2:$W$141,C24,'Spin样本'!$X$2:$X$141,"是")</x:f>
        <x:v>0</x:v>
      </x:c>
      <x:c r="F24" s="36" t="n">
        <x:f>IFERROR(E24/D24,0)</x:f>
        <x:v>0</x:v>
      </x:c>
      <x:c r="G24" s="36" t="n">
        <x:f>IF(D24=0,0,((F24+1.96^2/(2*D24))/(1+1.96^2/D24))-1.96*SQRT(F24*(1-F24)/D24+1.96^2/(4*D24^2))/(1+1.96^2/D24))</x:f>
        <x:v>0</x:v>
      </x:c>
      <x:c r="H24" s="36" t="n">
        <x:f>IF(D24=0,0,((F24+1.96^2/(2*D24))/(1+1.96^2/D24))+1.96*SQRT(F24*(1-F24)/D24+1.96^2/(4*D24^2))/(1+1.96^2/D24))</x:f>
        <x:v>0.13798057582897535</x:v>
      </x:c>
      <x:c r="I24" s="37" t="str">
        <x:f>IF(D24&gt;=500,"初筛达标","方向性")</x:f>
        <x:v>方向性</x:v>
      </x:c>
    </x:row>
    <x:row r="25">
      <x:c r="A25" s="82" t="str">
        <x:v>TT_NEW_03</x:v>
      </x:c>
      <x:c r="B25" s="37" t="n">
        <x:v>10</x:v>
      </x:c>
      <x:c r="C25" s="37" t="str">
        <x:v>Shield</x:v>
      </x:c>
      <x:c r="D25" s="37" t="n">
        <x:f>COUNTIFS('Spin样本'!$A$2:$A$141,A25,'Spin样本'!$F$2:$F$141,B25,'Spin样本'!$X$2:$X$141,"是")</x:f>
        <x:v>24</x:v>
      </x:c>
      <x:c r="E25" s="37" t="n">
        <x:f>COUNTIFS('Spin样本'!$A$2:$A$141,A25,'Spin样本'!$F$2:$F$141,B25,'Spin样本'!$W$2:$W$141,C25,'Spin样本'!$X$2:$X$141,"是")</x:f>
        <x:v>1</x:v>
      </x:c>
      <x:c r="F25" s="36" t="n">
        <x:f>IFERROR(E25/D25,0)</x:f>
        <x:v>0.041666666666666664</x:v>
      </x:c>
      <x:c r="G25" s="36" t="n">
        <x:f>IF(D25=0,0,((F25+1.96^2/(2*D25))/(1+1.96^2/D25))-1.96*SQRT(F25*(1-F25)/D25+1.96^2/(4*D25^2))/(1+1.96^2/D25))</x:f>
        <x:v>0.007393265354805126</x:v>
      </x:c>
      <x:c r="H25" s="36" t="n">
        <x:f>IF(D25=0,0,((F25+1.96^2/(2*D25))/(1+1.96^2/D25))+1.96*SQRT(F25*(1-F25)/D25+1.96^2/(4*D25^2))/(1+1.96^2/D25))</x:f>
        <x:v>0.20242226248842232</x:v>
      </x:c>
      <x:c r="I25" s="37" t="str">
        <x:f>IF(D25&gt;=500,"初筛达标","方向性")</x:f>
        <x:v>方向性</x:v>
      </x:c>
    </x:row>
    <x:row r="26">
      <x:c r="A26" s="82" t="str">
        <x:v>TT_NEW_03</x:v>
      </x:c>
      <x:c r="B26" s="37" t="n">
        <x:v>10</x:v>
      </x:c>
      <x:c r="C26" s="37" t="str">
        <x:v>Credit Grab</x:v>
      </x:c>
      <x:c r="D26" s="37" t="n">
        <x:f>COUNTIFS('Spin样本'!$A$2:$A$141,A26,'Spin样本'!$F$2:$F$141,B26,'Spin样本'!$X$2:$X$141,"是")</x:f>
        <x:v>24</x:v>
      </x:c>
      <x:c r="E26" s="37" t="n">
        <x:f>COUNTIFS('Spin样本'!$A$2:$A$141,A26,'Spin样本'!$F$2:$F$141,B26,'Spin样本'!$W$2:$W$141,C26,'Spin样本'!$X$2:$X$141,"是")</x:f>
        <x:v>0</x:v>
      </x:c>
      <x:c r="F26" s="36" t="n">
        <x:f>IFERROR(E26/D26,0)</x:f>
        <x:v>0</x:v>
      </x:c>
      <x:c r="G26" s="36" t="n">
        <x:f>IF(D26=0,0,((F26+1.96^2/(2*D26))/(1+1.96^2/D26))-1.96*SQRT(F26*(1-F26)/D26+1.96^2/(4*D26^2))/(1+1.96^2/D26))</x:f>
        <x:v>0</x:v>
      </x:c>
      <x:c r="H26" s="36" t="n">
        <x:f>IF(D26=0,0,((F26+1.96^2/(2*D26))/(1+1.96^2/D26))+1.96*SQRT(F26*(1-F26)/D26+1.96^2/(4*D26^2))/(1+1.96^2/D26))</x:f>
        <x:v>0.13798057582897535</x:v>
      </x:c>
      <x:c r="I26" s="37" t="str">
        <x:f>IF(D26&gt;=500,"初筛达标","方向性")</x:f>
        <x:v>方向性</x:v>
      </x:c>
    </x:row>
    <x:row r="27">
      <x:c r="A27" s="82" t="str">
        <x:v>TT_NEW_03</x:v>
      </x:c>
      <x:c r="B27" s="37" t="n">
        <x:v>10</x:v>
      </x:c>
      <x:c r="C27" s="37" t="str">
        <x:v>大奖</x:v>
      </x:c>
      <x:c r="D27" s="37" t="n">
        <x:f>COUNTIFS('Spin样本'!$A$2:$A$141,A27,'Spin样本'!$F$2:$F$141,B27,'Spin样本'!$X$2:$X$141,"是")</x:f>
        <x:v>24</x:v>
      </x:c>
      <x:c r="E27" s="37" t="n">
        <x:f>COUNTIFS('Spin样本'!$A$2:$A$141,A27,'Spin样本'!$F$2:$F$141,B27,'Spin样本'!$W$2:$W$141,C27,'Spin样本'!$X$2:$X$141,"是")</x:f>
        <x:v>0</x:v>
      </x:c>
      <x:c r="F27" s="36" t="n">
        <x:f>IFERROR(E27/D27,0)</x:f>
        <x:v>0</x:v>
      </x:c>
      <x:c r="G27" s="36" t="n">
        <x:f>IF(D27=0,0,((F27+1.96^2/(2*D27))/(1+1.96^2/D27))-1.96*SQRT(F27*(1-F27)/D27+1.96^2/(4*D27^2))/(1+1.96^2/D27))</x:f>
        <x:v>0</x:v>
      </x:c>
      <x:c r="H27" s="36" t="n">
        <x:f>IF(D27=0,0,((F27+1.96^2/(2*D27))/(1+1.96^2/D27))+1.96*SQRT(F27*(1-F27)/D27+1.96^2/(4*D27^2))/(1+1.96^2/D27))</x:f>
        <x:v>0.13798057582897535</x:v>
      </x:c>
      <x:c r="I27" s="37" t="str">
        <x:f>IF(D27&gt;=500,"初筛达标","方向性")</x:f>
        <x:v>方向性</x:v>
      </x:c>
    </x:row>
    <x:row r="28">
      <x:c r="A28" s="82" t="str">
        <x:v>TT_NEW_03</x:v>
      </x:c>
      <x:c r="B28" s="37" t="n">
        <x:v>20</x:v>
      </x:c>
      <x:c r="C28" s="37" t="str">
        <x:v>纯金币</x:v>
      </x:c>
      <x:c r="D28" s="37" t="n">
        <x:f>COUNTIFS('Spin样本'!$A$2:$A$141,A28,'Spin样本'!$F$2:$F$141,B28,'Spin样本'!$X$2:$X$141,"是")</x:f>
        <x:v>3</x:v>
      </x:c>
      <x:c r="E28" s="37" t="n">
        <x:f>COUNTIFS('Spin样本'!$A$2:$A$141,A28,'Spin样本'!$F$2:$F$141,B28,'Spin样本'!$W$2:$W$141,C28,'Spin样本'!$X$2:$X$141,"是")</x:f>
        <x:v>1</x:v>
      </x:c>
      <x:c r="F28" s="36" t="n">
        <x:f>IFERROR(E28/D28,0)</x:f>
        <x:v>0.3333333333333333</x:v>
      </x:c>
      <x:c r="G28" s="36" t="n">
        <x:f>IF(D28=0,0,((F28+1.96^2/(2*D28))/(1+1.96^2/D28))-1.96*SQRT(F28*(1-F28)/D28+1.96^2/(4*D28^2))/(1+1.96^2/D28))</x:f>
        <x:v>0.0614903152761605</x:v>
      </x:c>
      <x:c r="H28" s="36" t="n">
        <x:f>IF(D28=0,0,((F28+1.96^2/(2*D28))/(1+1.96^2/D28))+1.96*SQRT(F28*(1-F28)/D28+1.96^2/(4*D28^2))/(1+1.96^2/D28))</x:f>
        <x:v>0.7923450448735121</x:v>
      </x:c>
      <x:c r="I28" s="37" t="str">
        <x:f>IF(D28&gt;=500,"初筛达标","方向性")</x:f>
        <x:v>方向性</x:v>
      </x:c>
    </x:row>
    <x:row r="29">
      <x:c r="A29" s="82" t="str">
        <x:v>TT_NEW_03</x:v>
      </x:c>
      <x:c r="B29" s="37" t="n">
        <x:v>20</x:v>
      </x:c>
      <x:c r="C29" s="37" t="str">
        <x:v>混合奖励</x:v>
      </x:c>
      <x:c r="D29" s="37" t="n">
        <x:f>COUNTIFS('Spin样本'!$A$2:$A$141,A29,'Spin样本'!$F$2:$F$141,B29,'Spin样本'!$X$2:$X$141,"是")</x:f>
        <x:v>3</x:v>
      </x:c>
      <x:c r="E29" s="37" t="n">
        <x:f>COUNTIFS('Spin样本'!$A$2:$A$141,A29,'Spin样本'!$F$2:$F$141,B29,'Spin样本'!$W$2:$W$141,C29,'Spin样本'!$X$2:$X$141,"是")</x:f>
        <x:v>1</x:v>
      </x:c>
      <x:c r="F29" s="36" t="n">
        <x:f>IFERROR(E29/D29,0)</x:f>
        <x:v>0.3333333333333333</x:v>
      </x:c>
      <x:c r="G29" s="36" t="n">
        <x:f>IF(D29=0,0,((F29+1.96^2/(2*D29))/(1+1.96^2/D29))-1.96*SQRT(F29*(1-F29)/D29+1.96^2/(4*D29^2))/(1+1.96^2/D29))</x:f>
        <x:v>0.0614903152761605</x:v>
      </x:c>
      <x:c r="H29" s="36" t="n">
        <x:f>IF(D29=0,0,((F29+1.96^2/(2*D29))/(1+1.96^2/D29))+1.96*SQRT(F29*(1-F29)/D29+1.96^2/(4*D29^2))/(1+1.96^2/D29))</x:f>
        <x:v>0.7923450448735121</x:v>
      </x:c>
      <x:c r="I29" s="37" t="str">
        <x:f>IF(D29&gt;=500,"初筛达标","方向性")</x:f>
        <x:v>方向性</x:v>
      </x:c>
    </x:row>
    <x:row r="30">
      <x:c r="A30" s="82" t="str">
        <x:v>TT_NEW_03</x:v>
      </x:c>
      <x:c r="B30" s="37" t="n">
        <x:v>20</x:v>
      </x:c>
      <x:c r="C30" s="37" t="str">
        <x:v>Attack</x:v>
      </x:c>
      <x:c r="D30" s="37" t="n">
        <x:f>COUNTIFS('Spin样本'!$A$2:$A$141,A30,'Spin样本'!$F$2:$F$141,B30,'Spin样本'!$X$2:$X$141,"是")</x:f>
        <x:v>3</x:v>
      </x:c>
      <x:c r="E30" s="37" t="n">
        <x:f>COUNTIFS('Spin样本'!$A$2:$A$141,A30,'Spin样本'!$F$2:$F$141,B30,'Spin样本'!$W$2:$W$141,C30,'Spin样本'!$X$2:$X$141,"是")</x:f>
        <x:v>0</x:v>
      </x:c>
      <x:c r="F30" s="36" t="n">
        <x:f>IFERROR(E30/D30,0)</x:f>
        <x:v>0</x:v>
      </x:c>
      <x:c r="G30" s="36" t="n">
        <x:f>IF(D30=0,0,((F30+1.96^2/(2*D30))/(1+1.96^2/D30))-1.96*SQRT(F30*(1-F30)/D30+1.96^2/(4*D30^2))/(1+1.96^2/D30))</x:f>
        <x:v>0</x:v>
      </x:c>
      <x:c r="H30" s="36" t="n">
        <x:f>IF(D30=0,0,((F30+1.96^2/(2*D30))/(1+1.96^2/D30))+1.96*SQRT(F30*(1-F30)/D30+1.96^2/(4*D30^2))/(1+1.96^2/D30))</x:f>
        <x:v>0.5615060804490177</x:v>
      </x:c>
      <x:c r="I30" s="37" t="str">
        <x:f>IF(D30&gt;=500,"初筛达标","方向性")</x:f>
        <x:v>方向性</x:v>
      </x:c>
    </x:row>
    <x:row r="31">
      <x:c r="A31" s="82" t="str">
        <x:v>TT_NEW_03</x:v>
      </x:c>
      <x:c r="B31" s="37" t="n">
        <x:v>20</x:v>
      </x:c>
      <x:c r="C31" s="37" t="str">
        <x:v>空奖</x:v>
      </x:c>
      <x:c r="D31" s="37" t="n">
        <x:f>COUNTIFS('Spin样本'!$A$2:$A$141,A31,'Spin样本'!$F$2:$F$141,B31,'Spin样本'!$X$2:$X$141,"是")</x:f>
        <x:v>3</x:v>
      </x:c>
      <x:c r="E31" s="37" t="n">
        <x:f>COUNTIFS('Spin样本'!$A$2:$A$141,A31,'Spin样本'!$F$2:$F$141,B31,'Spin样本'!$W$2:$W$141,C31,'Spin样本'!$X$2:$X$141,"是")</x:f>
        <x:v>0</x:v>
      </x:c>
      <x:c r="F31" s="36" t="n">
        <x:f>IFERROR(E31/D31,0)</x:f>
        <x:v>0</x:v>
      </x:c>
      <x:c r="G31" s="36" t="n">
        <x:f>IF(D31=0,0,((F31+1.96^2/(2*D31))/(1+1.96^2/D31))-1.96*SQRT(F31*(1-F31)/D31+1.96^2/(4*D31^2))/(1+1.96^2/D31))</x:f>
        <x:v>0</x:v>
      </x:c>
      <x:c r="H31" s="36" t="n">
        <x:f>IF(D31=0,0,((F31+1.96^2/(2*D31))/(1+1.96^2/D31))+1.96*SQRT(F31*(1-F31)/D31+1.96^2/(4*D31^2))/(1+1.96^2/D31))</x:f>
        <x:v>0.5615060804490177</x:v>
      </x:c>
      <x:c r="I31" s="37" t="str">
        <x:f>IF(D31&gt;=500,"初筛达标","方向性")</x:f>
        <x:v>方向性</x:v>
      </x:c>
    </x:row>
    <x:row r="32">
      <x:c r="A32" s="82" t="str">
        <x:v>TT_NEW_03</x:v>
      </x:c>
      <x:c r="B32" s="37" t="n">
        <x:v>20</x:v>
      </x:c>
      <x:c r="C32" s="37" t="str">
        <x:v>纯进度</x:v>
      </x:c>
      <x:c r="D32" s="37" t="n">
        <x:f>COUNTIFS('Spin样本'!$A$2:$A$141,A32,'Spin样本'!$F$2:$F$141,B32,'Spin样本'!$X$2:$X$141,"是")</x:f>
        <x:v>3</x:v>
      </x:c>
      <x:c r="E32" s="37" t="n">
        <x:f>COUNTIFS('Spin样本'!$A$2:$A$141,A32,'Spin样本'!$F$2:$F$141,B32,'Spin样本'!$W$2:$W$141,C32,'Spin样本'!$X$2:$X$141,"是")</x:f>
        <x:v>0</x:v>
      </x:c>
      <x:c r="F32" s="36" t="n">
        <x:f>IFERROR(E32/D32,0)</x:f>
        <x:v>0</x:v>
      </x:c>
      <x:c r="G32" s="36" t="n">
        <x:f>IF(D32=0,0,((F32+1.96^2/(2*D32))/(1+1.96^2/D32))-1.96*SQRT(F32*(1-F32)/D32+1.96^2/(4*D32^2))/(1+1.96^2/D32))</x:f>
        <x:v>0</x:v>
      </x:c>
      <x:c r="H32" s="36" t="n">
        <x:f>IF(D32=0,0,((F32+1.96^2/(2*D32))/(1+1.96^2/D32))+1.96*SQRT(F32*(1-F32)/D32+1.96^2/(4*D32^2))/(1+1.96^2/D32))</x:f>
        <x:v>0.5615060804490177</x:v>
      </x:c>
      <x:c r="I32" s="37" t="str">
        <x:f>IF(D32&gt;=500,"初筛达标","方向性")</x:f>
        <x:v>方向性</x:v>
      </x:c>
    </x:row>
    <x:row r="33">
      <x:c r="A33" s="82" t="str">
        <x:v>TT_NEW_03</x:v>
      </x:c>
      <x:c r="B33" s="37" t="n">
        <x:v>20</x:v>
      </x:c>
      <x:c r="C33" s="37" t="str">
        <x:v>Shield</x:v>
      </x:c>
      <x:c r="D33" s="37" t="n">
        <x:f>COUNTIFS('Spin样本'!$A$2:$A$141,A33,'Spin样本'!$F$2:$F$141,B33,'Spin样本'!$X$2:$X$141,"是")</x:f>
        <x:v>3</x:v>
      </x:c>
      <x:c r="E33" s="37" t="n">
        <x:f>COUNTIFS('Spin样本'!$A$2:$A$141,A33,'Spin样本'!$F$2:$F$141,B33,'Spin样本'!$W$2:$W$141,C33,'Spin样本'!$X$2:$X$141,"是")</x:f>
        <x:v>0</x:v>
      </x:c>
      <x:c r="F33" s="36" t="n">
        <x:f>IFERROR(E33/D33,0)</x:f>
        <x:v>0</x:v>
      </x:c>
      <x:c r="G33" s="36" t="n">
        <x:f>IF(D33=0,0,((F33+1.96^2/(2*D33))/(1+1.96^2/D33))-1.96*SQRT(F33*(1-F33)/D33+1.96^2/(4*D33^2))/(1+1.96^2/D33))</x:f>
        <x:v>0</x:v>
      </x:c>
      <x:c r="H33" s="36" t="n">
        <x:f>IF(D33=0,0,((F33+1.96^2/(2*D33))/(1+1.96^2/D33))+1.96*SQRT(F33*(1-F33)/D33+1.96^2/(4*D33^2))/(1+1.96^2/D33))</x:f>
        <x:v>0.5615060804490177</x:v>
      </x:c>
      <x:c r="I33" s="37" t="str">
        <x:f>IF(D33&gt;=500,"初筛达标","方向性")</x:f>
        <x:v>方向性</x:v>
      </x:c>
    </x:row>
    <x:row r="34">
      <x:c r="A34" s="82" t="str">
        <x:v>TT_NEW_03</x:v>
      </x:c>
      <x:c r="B34" s="37" t="n">
        <x:v>20</x:v>
      </x:c>
      <x:c r="C34" s="37" t="str">
        <x:v>Credit Grab</x:v>
      </x:c>
      <x:c r="D34" s="37" t="n">
        <x:f>COUNTIFS('Spin样本'!$A$2:$A$141,A34,'Spin样本'!$F$2:$F$141,B34,'Spin样本'!$X$2:$X$141,"是")</x:f>
        <x:v>3</x:v>
      </x:c>
      <x:c r="E34" s="37" t="n">
        <x:f>COUNTIFS('Spin样本'!$A$2:$A$141,A34,'Spin样本'!$F$2:$F$141,B34,'Spin样本'!$W$2:$W$141,C34,'Spin样本'!$X$2:$X$141,"是")</x:f>
        <x:v>1</x:v>
      </x:c>
      <x:c r="F34" s="36" t="n">
        <x:f>IFERROR(E34/D34,0)</x:f>
        <x:v>0.3333333333333333</x:v>
      </x:c>
      <x:c r="G34" s="36" t="n">
        <x:f>IF(D34=0,0,((F34+1.96^2/(2*D34))/(1+1.96^2/D34))-1.96*SQRT(F34*(1-F34)/D34+1.96^2/(4*D34^2))/(1+1.96^2/D34))</x:f>
        <x:v>0.0614903152761605</x:v>
      </x:c>
      <x:c r="H34" s="36" t="n">
        <x:f>IF(D34=0,0,((F34+1.96^2/(2*D34))/(1+1.96^2/D34))+1.96*SQRT(F34*(1-F34)/D34+1.96^2/(4*D34^2))/(1+1.96^2/D34))</x:f>
        <x:v>0.7923450448735121</x:v>
      </x:c>
      <x:c r="I34" s="37" t="str">
        <x:f>IF(D34&gt;=500,"初筛达标","方向性")</x:f>
        <x:v>方向性</x:v>
      </x:c>
    </x:row>
    <x:row r="35">
      <x:c r="A35" s="82" t="str">
        <x:v>TT_NEW_03</x:v>
      </x:c>
      <x:c r="B35" s="37" t="n">
        <x:v>20</x:v>
      </x:c>
      <x:c r="C35" s="37" t="str">
        <x:v>大奖</x:v>
      </x:c>
      <x:c r="D35" s="37" t="n">
        <x:f>COUNTIFS('Spin样本'!$A$2:$A$141,A35,'Spin样本'!$F$2:$F$141,B35,'Spin样本'!$X$2:$X$141,"是")</x:f>
        <x:v>3</x:v>
      </x:c>
      <x:c r="E35" s="37" t="n">
        <x:f>COUNTIFS('Spin样本'!$A$2:$A$141,A35,'Spin样本'!$F$2:$F$141,B35,'Spin样本'!$W$2:$W$141,C35,'Spin样本'!$X$2:$X$141,"是")</x:f>
        <x:v>0</x:v>
      </x:c>
      <x:c r="F35" s="36" t="n">
        <x:f>IFERROR(E35/D35,0)</x:f>
        <x:v>0</x:v>
      </x:c>
      <x:c r="G35" s="36" t="n">
        <x:f>IF(D35=0,0,((F35+1.96^2/(2*D35))/(1+1.96^2/D35))-1.96*SQRT(F35*(1-F35)/D35+1.96^2/(4*D35^2))/(1+1.96^2/D35))</x:f>
        <x:v>0</x:v>
      </x:c>
      <x:c r="H35" s="36" t="n">
        <x:f>IF(D35=0,0,((F35+1.96^2/(2*D35))/(1+1.96^2/D35))+1.96*SQRT(F35*(1-F35)/D35+1.96^2/(4*D35^2))/(1+1.96^2/D35))</x:f>
        <x:v>0.5615060804490177</x:v>
      </x:c>
      <x:c r="I35" s="37" t="str">
        <x:f>IF(D35&gt;=500,"初筛达标","方向性")</x:f>
        <x:v>方向性</x:v>
      </x:c>
    </x:row>
    <x:row r="36">
      <x:c r="A36" s="82" t="str">
        <x:v>TT_NEW_06</x:v>
      </x:c>
      <x:c r="B36" s="37" t="n">
        <x:v>2</x:v>
      </x:c>
      <x:c r="C36" s="37" t="str">
        <x:v>纯金币</x:v>
      </x:c>
      <x:c r="D36" s="37" t="n">
        <x:f>COUNTIFS('Spin样本'!$A$2:$A$141,A36,'Spin样本'!$F$2:$F$141,B36,'Spin样本'!$X$2:$X$141,"是")</x:f>
        <x:v>3</x:v>
      </x:c>
      <x:c r="E36" s="37" t="n">
        <x:f>COUNTIFS('Spin样本'!$A$2:$A$141,A36,'Spin样本'!$F$2:$F$141,B36,'Spin样本'!$W$2:$W$141,C36,'Spin样本'!$X$2:$X$141,"是")</x:f>
        <x:v>1</x:v>
      </x:c>
      <x:c r="F36" s="36" t="n">
        <x:f>IFERROR(E36/D36,0)</x:f>
        <x:v>0.3333333333333333</x:v>
      </x:c>
      <x:c r="G36" s="36" t="n">
        <x:f>IF(D36=0,0,((F36+1.96^2/(2*D36))/(1+1.96^2/D36))-1.96*SQRT(F36*(1-F36)/D36+1.96^2/(4*D36^2))/(1+1.96^2/D36))</x:f>
        <x:v>0.0614903152761605</x:v>
      </x:c>
      <x:c r="H36" s="36" t="n">
        <x:f>IF(D36=0,0,((F36+1.96^2/(2*D36))/(1+1.96^2/D36))+1.96*SQRT(F36*(1-F36)/D36+1.96^2/(4*D36^2))/(1+1.96^2/D36))</x:f>
        <x:v>0.7923450448735121</x:v>
      </x:c>
      <x:c r="I36" s="37" t="str">
        <x:f>IF(D36&gt;=500,"初筛达标","方向性")</x:f>
        <x:v>方向性</x:v>
      </x:c>
    </x:row>
    <x:row r="37">
      <x:c r="A37" s="82" t="str">
        <x:v>TT_NEW_06</x:v>
      </x:c>
      <x:c r="B37" s="37" t="n">
        <x:v>2</x:v>
      </x:c>
      <x:c r="C37" s="37" t="str">
        <x:v>混合奖励</x:v>
      </x:c>
      <x:c r="D37" s="37" t="n">
        <x:f>COUNTIFS('Spin样本'!$A$2:$A$141,A37,'Spin样本'!$F$2:$F$141,B37,'Spin样本'!$X$2:$X$141,"是")</x:f>
        <x:v>3</x:v>
      </x:c>
      <x:c r="E37" s="37" t="n">
        <x:f>COUNTIFS('Spin样本'!$A$2:$A$141,A37,'Spin样本'!$F$2:$F$141,B37,'Spin样本'!$W$2:$W$141,C37,'Spin样本'!$X$2:$X$141,"是")</x:f>
        <x:v>1</x:v>
      </x:c>
      <x:c r="F37" s="36" t="n">
        <x:f>IFERROR(E37/D37,0)</x:f>
        <x:v>0.3333333333333333</x:v>
      </x:c>
      <x:c r="G37" s="36" t="n">
        <x:f>IF(D37=0,0,((F37+1.96^2/(2*D37))/(1+1.96^2/D37))-1.96*SQRT(F37*(1-F37)/D37+1.96^2/(4*D37^2))/(1+1.96^2/D37))</x:f>
        <x:v>0.0614903152761605</x:v>
      </x:c>
      <x:c r="H37" s="36" t="n">
        <x:f>IF(D37=0,0,((F37+1.96^2/(2*D37))/(1+1.96^2/D37))+1.96*SQRT(F37*(1-F37)/D37+1.96^2/(4*D37^2))/(1+1.96^2/D37))</x:f>
        <x:v>0.7923450448735121</x:v>
      </x:c>
      <x:c r="I37" s="37" t="str">
        <x:f>IF(D37&gt;=500,"初筛达标","方向性")</x:f>
        <x:v>方向性</x:v>
      </x:c>
    </x:row>
    <x:row r="38">
      <x:c r="A38" s="82" t="str">
        <x:v>TT_NEW_06</x:v>
      </x:c>
      <x:c r="B38" s="37" t="n">
        <x:v>2</x:v>
      </x:c>
      <x:c r="C38" s="37" t="str">
        <x:v>Attack</x:v>
      </x:c>
      <x:c r="D38" s="37" t="n">
        <x:f>COUNTIFS('Spin样本'!$A$2:$A$141,A38,'Spin样本'!$F$2:$F$141,B38,'Spin样本'!$X$2:$X$141,"是")</x:f>
        <x:v>3</x:v>
      </x:c>
      <x:c r="E38" s="37" t="n">
        <x:f>COUNTIFS('Spin样本'!$A$2:$A$141,A38,'Spin样本'!$F$2:$F$141,B38,'Spin样本'!$W$2:$W$141,C38,'Spin样本'!$X$2:$X$141,"是")</x:f>
        <x:v>0</x:v>
      </x:c>
      <x:c r="F38" s="36" t="n">
        <x:f>IFERROR(E38/D38,0)</x:f>
        <x:v>0</x:v>
      </x:c>
      <x:c r="G38" s="36" t="n">
        <x:f>IF(D38=0,0,((F38+1.96^2/(2*D38))/(1+1.96^2/D38))-1.96*SQRT(F38*(1-F38)/D38+1.96^2/(4*D38^2))/(1+1.96^2/D38))</x:f>
        <x:v>0</x:v>
      </x:c>
      <x:c r="H38" s="36" t="n">
        <x:f>IF(D38=0,0,((F38+1.96^2/(2*D38))/(1+1.96^2/D38))+1.96*SQRT(F38*(1-F38)/D38+1.96^2/(4*D38^2))/(1+1.96^2/D38))</x:f>
        <x:v>0.5615060804490177</x:v>
      </x:c>
      <x:c r="I38" s="37" t="str">
        <x:f>IF(D38&gt;=500,"初筛达标","方向性")</x:f>
        <x:v>方向性</x:v>
      </x:c>
    </x:row>
    <x:row r="39">
      <x:c r="A39" s="82" t="str">
        <x:v>TT_NEW_06</x:v>
      </x:c>
      <x:c r="B39" s="37" t="n">
        <x:v>2</x:v>
      </x:c>
      <x:c r="C39" s="37" t="str">
        <x:v>空奖</x:v>
      </x:c>
      <x:c r="D39" s="37" t="n">
        <x:f>COUNTIFS('Spin样本'!$A$2:$A$141,A39,'Spin样本'!$F$2:$F$141,B39,'Spin样本'!$X$2:$X$141,"是")</x:f>
        <x:v>3</x:v>
      </x:c>
      <x:c r="E39" s="37" t="n">
        <x:f>COUNTIFS('Spin样本'!$A$2:$A$141,A39,'Spin样本'!$F$2:$F$141,B39,'Spin样本'!$W$2:$W$141,C39,'Spin样本'!$X$2:$X$141,"是")</x:f>
        <x:v>0</x:v>
      </x:c>
      <x:c r="F39" s="36" t="n">
        <x:f>IFERROR(E39/D39,0)</x:f>
        <x:v>0</x:v>
      </x:c>
      <x:c r="G39" s="36" t="n">
        <x:f>IF(D39=0,0,((F39+1.96^2/(2*D39))/(1+1.96^2/D39))-1.96*SQRT(F39*(1-F39)/D39+1.96^2/(4*D39^2))/(1+1.96^2/D39))</x:f>
        <x:v>0</x:v>
      </x:c>
      <x:c r="H39" s="36" t="n">
        <x:f>IF(D39=0,0,((F39+1.96^2/(2*D39))/(1+1.96^2/D39))+1.96*SQRT(F39*(1-F39)/D39+1.96^2/(4*D39^2))/(1+1.96^2/D39))</x:f>
        <x:v>0.5615060804490177</x:v>
      </x:c>
      <x:c r="I39" s="37" t="str">
        <x:f>IF(D39&gt;=500,"初筛达标","方向性")</x:f>
        <x:v>方向性</x:v>
      </x:c>
    </x:row>
    <x:row r="40">
      <x:c r="A40" s="82" t="str">
        <x:v>TT_NEW_06</x:v>
      </x:c>
      <x:c r="B40" s="37" t="n">
        <x:v>2</x:v>
      </x:c>
      <x:c r="C40" s="37" t="str">
        <x:v>纯进度</x:v>
      </x:c>
      <x:c r="D40" s="37" t="n">
        <x:f>COUNTIFS('Spin样本'!$A$2:$A$141,A40,'Spin样本'!$F$2:$F$141,B40,'Spin样本'!$X$2:$X$141,"是")</x:f>
        <x:v>3</x:v>
      </x:c>
      <x:c r="E40" s="37" t="n">
        <x:f>COUNTIFS('Spin样本'!$A$2:$A$141,A40,'Spin样本'!$F$2:$F$141,B40,'Spin样本'!$W$2:$W$141,C40,'Spin样本'!$X$2:$X$141,"是")</x:f>
        <x:v>1</x:v>
      </x:c>
      <x:c r="F40" s="36" t="n">
        <x:f>IFERROR(E40/D40,0)</x:f>
        <x:v>0.3333333333333333</x:v>
      </x:c>
      <x:c r="G40" s="36" t="n">
        <x:f>IF(D40=0,0,((F40+1.96^2/(2*D40))/(1+1.96^2/D40))-1.96*SQRT(F40*(1-F40)/D40+1.96^2/(4*D40^2))/(1+1.96^2/D40))</x:f>
        <x:v>0.0614903152761605</x:v>
      </x:c>
      <x:c r="H40" s="36" t="n">
        <x:f>IF(D40=0,0,((F40+1.96^2/(2*D40))/(1+1.96^2/D40))+1.96*SQRT(F40*(1-F40)/D40+1.96^2/(4*D40^2))/(1+1.96^2/D40))</x:f>
        <x:v>0.7923450448735121</x:v>
      </x:c>
      <x:c r="I40" s="37" t="str">
        <x:f>IF(D40&gt;=500,"初筛达标","方向性")</x:f>
        <x:v>方向性</x:v>
      </x:c>
    </x:row>
    <x:row r="41">
      <x:c r="A41" s="82" t="str">
        <x:v>TT_NEW_06</x:v>
      </x:c>
      <x:c r="B41" s="37" t="n">
        <x:v>2</x:v>
      </x:c>
      <x:c r="C41" s="37" t="str">
        <x:v>Shield</x:v>
      </x:c>
      <x:c r="D41" s="37" t="n">
        <x:f>COUNTIFS('Spin样本'!$A$2:$A$141,A41,'Spin样本'!$F$2:$F$141,B41,'Spin样本'!$X$2:$X$141,"是")</x:f>
        <x:v>3</x:v>
      </x:c>
      <x:c r="E41" s="37" t="n">
        <x:f>COUNTIFS('Spin样本'!$A$2:$A$141,A41,'Spin样本'!$F$2:$F$141,B41,'Spin样本'!$W$2:$W$141,C41,'Spin样本'!$X$2:$X$141,"是")</x:f>
        <x:v>0</x:v>
      </x:c>
      <x:c r="F41" s="36" t="n">
        <x:f>IFERROR(E41/D41,0)</x:f>
        <x:v>0</x:v>
      </x:c>
      <x:c r="G41" s="36" t="n">
        <x:f>IF(D41=0,0,((F41+1.96^2/(2*D41))/(1+1.96^2/D41))-1.96*SQRT(F41*(1-F41)/D41+1.96^2/(4*D41^2))/(1+1.96^2/D41))</x:f>
        <x:v>0</x:v>
      </x:c>
      <x:c r="H41" s="36" t="n">
        <x:f>IF(D41=0,0,((F41+1.96^2/(2*D41))/(1+1.96^2/D41))+1.96*SQRT(F41*(1-F41)/D41+1.96^2/(4*D41^2))/(1+1.96^2/D41))</x:f>
        <x:v>0.5615060804490177</x:v>
      </x:c>
      <x:c r="I41" s="37" t="str">
        <x:f>IF(D41&gt;=500,"初筛达标","方向性")</x:f>
        <x:v>方向性</x:v>
      </x:c>
    </x:row>
    <x:row r="42">
      <x:c r="A42" s="82" t="str">
        <x:v>TT_NEW_06</x:v>
      </x:c>
      <x:c r="B42" s="37" t="n">
        <x:v>2</x:v>
      </x:c>
      <x:c r="C42" s="37" t="str">
        <x:v>Credit Grab</x:v>
      </x:c>
      <x:c r="D42" s="37" t="n">
        <x:f>COUNTIFS('Spin样本'!$A$2:$A$141,A42,'Spin样本'!$F$2:$F$141,B42,'Spin样本'!$X$2:$X$141,"是")</x:f>
        <x:v>3</x:v>
      </x:c>
      <x:c r="E42" s="37" t="n">
        <x:f>COUNTIFS('Spin样本'!$A$2:$A$141,A42,'Spin样本'!$F$2:$F$141,B42,'Spin样本'!$W$2:$W$141,C42,'Spin样本'!$X$2:$X$141,"是")</x:f>
        <x:v>0</x:v>
      </x:c>
      <x:c r="F42" s="36" t="n">
        <x:f>IFERROR(E42/D42,0)</x:f>
        <x:v>0</x:v>
      </x:c>
      <x:c r="G42" s="36" t="n">
        <x:f>IF(D42=0,0,((F42+1.96^2/(2*D42))/(1+1.96^2/D42))-1.96*SQRT(F42*(1-F42)/D42+1.96^2/(4*D42^2))/(1+1.96^2/D42))</x:f>
        <x:v>0</x:v>
      </x:c>
      <x:c r="H42" s="36" t="n">
        <x:f>IF(D42=0,0,((F42+1.96^2/(2*D42))/(1+1.96^2/D42))+1.96*SQRT(F42*(1-F42)/D42+1.96^2/(4*D42^2))/(1+1.96^2/D42))</x:f>
        <x:v>0.5615060804490177</x:v>
      </x:c>
      <x:c r="I42" s="37" t="str">
        <x:f>IF(D42&gt;=500,"初筛达标","方向性")</x:f>
        <x:v>方向性</x:v>
      </x:c>
    </x:row>
    <x:row r="43">
      <x:c r="A43" s="82" t="str">
        <x:v>TT_NEW_06</x:v>
      </x:c>
      <x:c r="B43" s="37" t="n">
        <x:v>2</x:v>
      </x:c>
      <x:c r="C43" s="37" t="str">
        <x:v>大奖</x:v>
      </x:c>
      <x:c r="D43" s="37" t="n">
        <x:f>COUNTIFS('Spin样本'!$A$2:$A$141,A43,'Spin样本'!$F$2:$F$141,B43,'Spin样本'!$X$2:$X$141,"是")</x:f>
        <x:v>3</x:v>
      </x:c>
      <x:c r="E43" s="37" t="n">
        <x:f>COUNTIFS('Spin样本'!$A$2:$A$141,A43,'Spin样本'!$F$2:$F$141,B43,'Spin样本'!$W$2:$W$141,C43,'Spin样本'!$X$2:$X$141,"是")</x:f>
        <x:v>0</x:v>
      </x:c>
      <x:c r="F43" s="36" t="n">
        <x:f>IFERROR(E43/D43,0)</x:f>
        <x:v>0</x:v>
      </x:c>
      <x:c r="G43" s="36" t="n">
        <x:f>IF(D43=0,0,((F43+1.96^2/(2*D43))/(1+1.96^2/D43))-1.96*SQRT(F43*(1-F43)/D43+1.96^2/(4*D43^2))/(1+1.96^2/D43))</x:f>
        <x:v>0</x:v>
      </x:c>
      <x:c r="H43" s="36" t="n">
        <x:f>IF(D43=0,0,((F43+1.96^2/(2*D43))/(1+1.96^2/D43))+1.96*SQRT(F43*(1-F43)/D43+1.96^2/(4*D43^2))/(1+1.96^2/D43))</x:f>
        <x:v>0.5615060804490177</x:v>
      </x:c>
      <x:c r="I43" s="37" t="str">
        <x:f>IF(D43&gt;=500,"初筛达标","方向性")</x:f>
        <x:v>方向性</x:v>
      </x:c>
    </x:row>
    <x:row r="44">
      <x:c r="A44" s="82" t="str">
        <x:v>TT_NEW_06</x:v>
      </x:c>
      <x:c r="B44" s="37" t="n">
        <x:v>5</x:v>
      </x:c>
      <x:c r="C44" s="37" t="str">
        <x:v>纯金币</x:v>
      </x:c>
      <x:c r="D44" s="37" t="n">
        <x:f>COUNTIFS('Spin样本'!$A$2:$A$141,A44,'Spin样本'!$F$2:$F$141,B44,'Spin样本'!$X$2:$X$141,"是")</x:f>
        <x:v>45</x:v>
      </x:c>
      <x:c r="E44" s="37" t="n">
        <x:f>COUNTIFS('Spin样本'!$A$2:$A$141,A44,'Spin样本'!$F$2:$F$141,B44,'Spin样本'!$W$2:$W$141,C44,'Spin样本'!$X$2:$X$141,"是")</x:f>
        <x:v>24</x:v>
      </x:c>
      <x:c r="F44" s="36" t="n">
        <x:f>IFERROR(E44/D44,0)</x:f>
        <x:v>0.5333333333333333</x:v>
      </x:c>
      <x:c r="G44" s="36" t="n">
        <x:f>IF(D44=0,0,((F44+1.96^2/(2*D44))/(1+1.96^2/D44))-1.96*SQRT(F44*(1-F44)/D44+1.96^2/(4*D44^2))/(1+1.96^2/D44))</x:f>
        <x:v>0.3907720886241046</x:v>
      </x:c>
      <x:c r="H44" s="36" t="n">
        <x:f>IF(D44=0,0,((F44+1.96^2/(2*D44))/(1+1.96^2/D44))+1.96*SQRT(F44*(1-F44)/D44+1.96^2/(4*D44^2))/(1+1.96^2/D44))</x:f>
        <x:v>0.6706509605798527</x:v>
      </x:c>
      <x:c r="I44" s="37" t="str">
        <x:f>IF(D44&gt;=500,"初筛达标","方向性")</x:f>
        <x:v>方向性</x:v>
      </x:c>
    </x:row>
    <x:row r="45">
      <x:c r="A45" s="82" t="str">
        <x:v>TT_NEW_06</x:v>
      </x:c>
      <x:c r="B45" s="37" t="n">
        <x:v>5</x:v>
      </x:c>
      <x:c r="C45" s="37" t="str">
        <x:v>混合奖励</x:v>
      </x:c>
      <x:c r="D45" s="37" t="n">
        <x:f>COUNTIFS('Spin样本'!$A$2:$A$141,A45,'Spin样本'!$F$2:$F$141,B45,'Spin样本'!$X$2:$X$141,"是")</x:f>
        <x:v>45</x:v>
      </x:c>
      <x:c r="E45" s="37" t="n">
        <x:f>COUNTIFS('Spin样本'!$A$2:$A$141,A45,'Spin样本'!$F$2:$F$141,B45,'Spin样本'!$W$2:$W$141,C45,'Spin样本'!$X$2:$X$141,"是")</x:f>
        <x:v>10</x:v>
      </x:c>
      <x:c r="F45" s="36" t="n">
        <x:f>IFERROR(E45/D45,0)</x:f>
        <x:v>0.2222222222222222</x:v>
      </x:c>
      <x:c r="G45" s="36" t="n">
        <x:f>IF(D45=0,0,((F45+1.96^2/(2*D45))/(1+1.96^2/D45))-1.96*SQRT(F45*(1-F45)/D45+1.96^2/(4*D45^2))/(1+1.96^2/D45))</x:f>
        <x:v>0.12544551866005632</x:v>
      </x:c>
      <x:c r="H45" s="36" t="n">
        <x:f>IF(D45=0,0,((F45+1.96^2/(2*D45))/(1+1.96^2/D45))+1.96*SQRT(F45*(1-F45)/D45+1.96^2/(4*D45^2))/(1+1.96^2/D45))</x:f>
        <x:v>0.3626957379736329</x:v>
      </x:c>
      <x:c r="I45" s="37" t="str">
        <x:f>IF(D45&gt;=500,"初筛达标","方向性")</x:f>
        <x:v>方向性</x:v>
      </x:c>
    </x:row>
    <x:row r="46">
      <x:c r="A46" s="82" t="str">
        <x:v>TT_NEW_06</x:v>
      </x:c>
      <x:c r="B46" s="37" t="n">
        <x:v>5</x:v>
      </x:c>
      <x:c r="C46" s="37" t="str">
        <x:v>Attack</x:v>
      </x:c>
      <x:c r="D46" s="37" t="n">
        <x:f>COUNTIFS('Spin样本'!$A$2:$A$141,A46,'Spin样本'!$F$2:$F$141,B46,'Spin样本'!$X$2:$X$141,"是")</x:f>
        <x:v>45</x:v>
      </x:c>
      <x:c r="E46" s="37" t="n">
        <x:f>COUNTIFS('Spin样本'!$A$2:$A$141,A46,'Spin样本'!$F$2:$F$141,B46,'Spin样本'!$W$2:$W$141,C46,'Spin样本'!$X$2:$X$141,"是")</x:f>
        <x:v>6</x:v>
      </x:c>
      <x:c r="F46" s="36" t="n">
        <x:f>IFERROR(E46/D46,0)</x:f>
        <x:v>0.13333333333333333</x:v>
      </x:c>
      <x:c r="G46" s="36" t="n">
        <x:f>IF(D46=0,0,((F46+1.96^2/(2*D46))/(1+1.96^2/D46))-1.96*SQRT(F46*(1-F46)/D46+1.96^2/(4*D46^2))/(1+1.96^2/D46))</x:f>
        <x:v>0.0625706363434968</x:v>
      </x:c>
      <x:c r="H46" s="36" t="n">
        <x:f>IF(D46=0,0,((F46+1.96^2/(2*D46))/(1+1.96^2/D46))+1.96*SQRT(F46*(1-F46)/D46+1.96^2/(4*D46^2))/(1+1.96^2/D46))</x:f>
        <x:v>0.2617758224129731</x:v>
      </x:c>
      <x:c r="I46" s="37" t="str">
        <x:f>IF(D46&gt;=500,"初筛达标","方向性")</x:f>
        <x:v>方向性</x:v>
      </x:c>
    </x:row>
    <x:row r="47">
      <x:c r="A47" s="82" t="str">
        <x:v>TT_NEW_06</x:v>
      </x:c>
      <x:c r="B47" s="37" t="n">
        <x:v>5</x:v>
      </x:c>
      <x:c r="C47" s="37" t="str">
        <x:v>空奖</x:v>
      </x:c>
      <x:c r="D47" s="37" t="n">
        <x:f>COUNTIFS('Spin样本'!$A$2:$A$141,A47,'Spin样本'!$F$2:$F$141,B47,'Spin样本'!$X$2:$X$141,"是")</x:f>
        <x:v>45</x:v>
      </x:c>
      <x:c r="E47" s="37" t="n">
        <x:f>COUNTIFS('Spin样本'!$A$2:$A$141,A47,'Spin样本'!$F$2:$F$141,B47,'Spin样本'!$W$2:$W$141,C47,'Spin样本'!$X$2:$X$141,"是")</x:f>
        <x:v>1</x:v>
      </x:c>
      <x:c r="F47" s="36" t="n">
        <x:f>IFERROR(E47/D47,0)</x:f>
        <x:v>0.022222222222222223</x:v>
      </x:c>
      <x:c r="G47" s="36" t="n">
        <x:f>IF(D47=0,0,((F47+1.96^2/(2*D47))/(1+1.96^2/D47))-1.96*SQRT(F47*(1-F47)/D47+1.96^2/(4*D47^2))/(1+1.96^2/D47))</x:f>
        <x:v>0.003933497522757505</x:v>
      </x:c>
      <x:c r="H47" s="36" t="n">
        <x:f>IF(D47=0,0,((F47+1.96^2/(2*D47))/(1+1.96^2/D47))+1.96*SQRT(F47*(1-F47)/D47+1.96^2/(4*D47^2))/(1+1.96^2/D47))</x:f>
        <x:v>0.11566946388718813</x:v>
      </x:c>
      <x:c r="I47" s="37" t="str">
        <x:f>IF(D47&gt;=500,"初筛达标","方向性")</x:f>
        <x:v>方向性</x:v>
      </x:c>
    </x:row>
    <x:row r="48">
      <x:c r="A48" s="82" t="str">
        <x:v>TT_NEW_06</x:v>
      </x:c>
      <x:c r="B48" s="37" t="n">
        <x:v>5</x:v>
      </x:c>
      <x:c r="C48" s="37" t="str">
        <x:v>纯进度</x:v>
      </x:c>
      <x:c r="D48" s="37" t="n">
        <x:f>COUNTIFS('Spin样本'!$A$2:$A$141,A48,'Spin样本'!$F$2:$F$141,B48,'Spin样本'!$X$2:$X$141,"是")</x:f>
        <x:v>45</x:v>
      </x:c>
      <x:c r="E48" s="37" t="n">
        <x:f>COUNTIFS('Spin样本'!$A$2:$A$141,A48,'Spin样本'!$F$2:$F$141,B48,'Spin样本'!$W$2:$W$141,C48,'Spin样本'!$X$2:$X$141,"是")</x:f>
        <x:v>2</x:v>
      </x:c>
      <x:c r="F48" s="36" t="n">
        <x:f>IFERROR(E48/D48,0)</x:f>
        <x:v>0.044444444444444446</x:v>
      </x:c>
      <x:c r="G48" s="36" t="n">
        <x:f>IF(D48=0,0,((F48+1.96^2/(2*D48))/(1+1.96^2/D48))-1.96*SQRT(F48*(1-F48)/D48+1.96^2/(4*D48^2))/(1+1.96^2/D48))</x:f>
        <x:v>0.012273869040444335</x:v>
      </x:c>
      <x:c r="H48" s="36" t="n">
        <x:f>IF(D48=0,0,((F48+1.96^2/(2*D48))/(1+1.96^2/D48))+1.96*SQRT(F48*(1-F48)/D48+1.96^2/(4*D48^2))/(1+1.96^2/D48))</x:f>
        <x:v>0.14827779183880616</x:v>
      </x:c>
      <x:c r="I48" s="37" t="str">
        <x:f>IF(D48&gt;=500,"初筛达标","方向性")</x:f>
        <x:v>方向性</x:v>
      </x:c>
    </x:row>
    <x:row r="49">
      <x:c r="A49" s="82" t="str">
        <x:v>TT_NEW_06</x:v>
      </x:c>
      <x:c r="B49" s="37" t="n">
        <x:v>5</x:v>
      </x:c>
      <x:c r="C49" s="37" t="str">
        <x:v>Shield</x:v>
      </x:c>
      <x:c r="D49" s="37" t="n">
        <x:f>COUNTIFS('Spin样本'!$A$2:$A$141,A49,'Spin样本'!$F$2:$F$141,B49,'Spin样本'!$X$2:$X$141,"是")</x:f>
        <x:v>45</x:v>
      </x:c>
      <x:c r="E49" s="37" t="n">
        <x:f>COUNTIFS('Spin样本'!$A$2:$A$141,A49,'Spin样本'!$F$2:$F$141,B49,'Spin样本'!$W$2:$W$141,C49,'Spin样本'!$X$2:$X$141,"是")</x:f>
        <x:v>1</x:v>
      </x:c>
      <x:c r="F49" s="36" t="n">
        <x:f>IFERROR(E49/D49,0)</x:f>
        <x:v>0.022222222222222223</x:v>
      </x:c>
      <x:c r="G49" s="36" t="n">
        <x:f>IF(D49=0,0,((F49+1.96^2/(2*D49))/(1+1.96^2/D49))-1.96*SQRT(F49*(1-F49)/D49+1.96^2/(4*D49^2))/(1+1.96^2/D49))</x:f>
        <x:v>0.003933497522757505</x:v>
      </x:c>
      <x:c r="H49" s="36" t="n">
        <x:f>IF(D49=0,0,((F49+1.96^2/(2*D49))/(1+1.96^2/D49))+1.96*SQRT(F49*(1-F49)/D49+1.96^2/(4*D49^2))/(1+1.96^2/D49))</x:f>
        <x:v>0.11566946388718813</x:v>
      </x:c>
      <x:c r="I49" s="37" t="str">
        <x:f>IF(D49&gt;=500,"初筛达标","方向性")</x:f>
        <x:v>方向性</x:v>
      </x:c>
    </x:row>
    <x:row r="50">
      <x:c r="A50" s="82" t="str">
        <x:v>TT_NEW_06</x:v>
      </x:c>
      <x:c r="B50" s="37" t="n">
        <x:v>5</x:v>
      </x:c>
      <x:c r="C50" s="37" t="str">
        <x:v>Credit Grab</x:v>
      </x:c>
      <x:c r="D50" s="37" t="n">
        <x:f>COUNTIFS('Spin样本'!$A$2:$A$141,A50,'Spin样本'!$F$2:$F$141,B50,'Spin样本'!$X$2:$X$141,"是")</x:f>
        <x:v>45</x:v>
      </x:c>
      <x:c r="E50" s="37" t="n">
        <x:f>COUNTIFS('Spin样本'!$A$2:$A$141,A50,'Spin样本'!$F$2:$F$141,B50,'Spin样本'!$W$2:$W$141,C50,'Spin样本'!$X$2:$X$141,"是")</x:f>
        <x:v>1</x:v>
      </x:c>
      <x:c r="F50" s="36" t="n">
        <x:f>IFERROR(E50/D50,0)</x:f>
        <x:v>0.022222222222222223</x:v>
      </x:c>
      <x:c r="G50" s="36" t="n">
        <x:f>IF(D50=0,0,((F50+1.96^2/(2*D50))/(1+1.96^2/D50))-1.96*SQRT(F50*(1-F50)/D50+1.96^2/(4*D50^2))/(1+1.96^2/D50))</x:f>
        <x:v>0.003933497522757505</x:v>
      </x:c>
      <x:c r="H50" s="36" t="n">
        <x:f>IF(D50=0,0,((F50+1.96^2/(2*D50))/(1+1.96^2/D50))+1.96*SQRT(F50*(1-F50)/D50+1.96^2/(4*D50^2))/(1+1.96^2/D50))</x:f>
        <x:v>0.11566946388718813</x:v>
      </x:c>
      <x:c r="I50" s="37" t="str">
        <x:f>IF(D50&gt;=500,"初筛达标","方向性")</x:f>
        <x:v>方向性</x:v>
      </x:c>
    </x:row>
    <x:row r="51">
      <x:c r="A51" s="83" t="str">
        <x:v>TT_NEW_06</x:v>
      </x:c>
      <x:c r="B51" s="84" t="n">
        <x:v>5</x:v>
      </x:c>
      <x:c r="C51" s="84" t="str">
        <x:v>大奖</x:v>
      </x:c>
      <x:c r="D51" s="84" t="n">
        <x:f>COUNTIFS('Spin样本'!$A$2:$A$141,A51,'Spin样本'!$F$2:$F$141,B51,'Spin样本'!$X$2:$X$141,"是")</x:f>
        <x:v>45</x:v>
      </x:c>
      <x:c r="E51" s="84" t="n">
        <x:f>COUNTIFS('Spin样本'!$A$2:$A$141,A51,'Spin样本'!$F$2:$F$141,B51,'Spin样本'!$W$2:$W$141,C51,'Spin样本'!$X$2:$X$141,"是")</x:f>
        <x:v>0</x:v>
      </x:c>
      <x:c r="F51" s="85" t="n">
        <x:f>IFERROR(E51/D51,0)</x:f>
        <x:v>0</x:v>
      </x:c>
      <x:c r="G51" s="85" t="n">
        <x:f>IF(D51=0,0,((F51+1.96^2/(2*D51))/(1+1.96^2/D51))-1.96*SQRT(F51*(1-F51)/D51+1.96^2/(4*D51^2))/(1+1.96^2/D51))</x:f>
        <x:v>0</x:v>
      </x:c>
      <x:c r="H51" s="85" t="n">
        <x:f>IF(D51=0,0,((F51+1.96^2/(2*D51))/(1+1.96^2/D51))+1.96*SQRT(F51*(1-F51)/D51+1.96^2/(4*D51^2))/(1+1.96^2/D51))</x:f>
        <x:v>0.07865426194064076</x:v>
      </x:c>
      <x:c r="I51" s="84" t="str">
        <x:f>IF(D51&gt;=500,"初筛达标","方向性")</x:f>
        <x:v>方向性</x:v>
      </x:c>
    </x:row>
  </x:sheetData>
  <x:mergeCells>
    <x:mergeCell ref="A1:I1"/>
  </x:mergeCells>
  <x:conditionalFormatting sqref="I4:I51">
    <x:cfRule type="containsText" dxfId="0" priority="1" operator="containsText" text="方向性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36" customHeight="1">
      <x:c r="A1" s="22" t="str">
        <x:v>Slot 奖励与能量返还｜按视频 × BET 切片</x:v>
      </x:c>
      <x:c r="B1" s="22" t="str">
        <x:v>Slot 奖励与能量返还｜按视频 × BET 切片</x:v>
      </x:c>
      <x:c r="C1" s="22" t="str">
        <x:v>Slot 奖励与能量返还｜按视频 × BET 切片</x:v>
      </x:c>
      <x:c r="D1" s="22" t="str">
        <x:v>Slot 奖励与能量返还｜按视频 × BET 切片</x:v>
      </x:c>
      <x:c r="E1" s="22" t="str">
        <x:v>Slot 奖励与能量返还｜按视频 × BET 切片</x:v>
      </x:c>
      <x:c r="F1" s="22" t="str">
        <x:v>Slot 奖励与能量返还｜按视频 × BET 切片</x:v>
      </x:c>
      <x:c r="G1" s="22" t="str">
        <x:v>Slot 奖励与能量返还｜按视频 × BET 切片</x:v>
      </x:c>
      <x:c r="H1" s="22" t="str">
        <x:v>Slot 奖励与能量返还｜按视频 × BET 切片</x:v>
      </x:c>
      <x:c r="I1" s="22" t="str">
        <x:v>Slot 奖励与能量返还｜按视频 × BET 切片</x:v>
      </x:c>
      <x:c r="J1" s="22" t="str">
        <x:v>Slot 奖励与能量返还｜按视频 × BET 切片</x:v>
      </x:c>
      <x:c r="K1" s="22" t="str">
        <x:v>Slot 奖励与能量返还｜按视频 × BET 切片</x:v>
      </x:c>
      <x:c r="L1" s="22" t="str">
        <x:v>Slot 奖励与能量返还｜按视频 × BET 切片</x:v>
      </x:c>
      <x:c r="M1" s="22" t="str">
        <x:v>Slot 奖励与能量返还｜按视频 × BET 切片</x:v>
      </x:c>
      <x:c r="N1" s="22" t="str">
        <x:v>Slot 奖励与能量返还｜按视频 × BET 切片</x:v>
      </x:c>
    </x:row>
    <x:row r="3" ht="30" customHeight="1">
      <x:c r="A3" s="33" t="str">
        <x:v>video_id</x:v>
      </x:c>
      <x:c r="B3" s="34" t="str">
        <x:v>BET</x:v>
      </x:c>
      <x:c r="C3" s="34" t="str">
        <x:v>有效 n</x:v>
      </x:c>
      <x:c r="D3" s="34" t="str">
        <x:v>均次消耗</x:v>
      </x:c>
      <x:c r="E3" s="34" t="str">
        <x:v>金币命中率</x:v>
      </x:c>
      <x:c r="F3" s="34" t="str">
        <x:v>均次金币</x:v>
      </x:c>
      <x:c r="G3" s="34" t="str">
        <x:v>金币/耗能</x:v>
      </x:c>
      <x:c r="H3" s="34" t="str">
        <x:v>均次能量返还</x:v>
      </x:c>
      <x:c r="I3" s="34" t="str">
        <x:v>观察自返还率</x:v>
      </x:c>
      <x:c r="J3" s="34" t="str">
        <x:v>均次进度</x:v>
      </x:c>
      <x:c r="K3" s="34" t="str">
        <x:v>金币/耗能中位</x:v>
      </x:c>
      <x:c r="L3" s="34" t="str">
        <x:v>P10</x:v>
      </x:c>
      <x:c r="M3" s="34" t="str">
        <x:v>P90</x:v>
      </x:c>
      <x:c r="N3" s="35" t="str">
        <x:v>最大</x:v>
      </x:c>
    </x:row>
    <x:row r="4">
      <x:c r="A4" t="str">
        <x:v>TT_NEW_01</x:v>
      </x:c>
      <x:c r="B4" t="n">
        <x:v>1</x:v>
      </x:c>
      <x:c r="C4" t="n">
        <x:f>COUNTIFS('Spin样本'!$A$2:$A$141,A4,'Spin样本'!$F$2:$F$141,B4,'Spin样本'!$X$2:$X$141,"是")</x:f>
        <x:v>44</x:v>
      </x:c>
      <x:c r="D4" s="86" t="n">
        <x:f>IFERROR(SUMIFS('Spin样本'!$I$2:$I$141,'Spin样本'!$A$2:$A$141,A4,'Spin样本'!$F$2:$F$141,B4,'Spin样本'!$X$2:$X$141,"是")/C4,0)</x:f>
        <x:v>1</x:v>
      </x:c>
      <x:c r="E4" s="36" t="n">
        <x:f>IFERROR(COUNTIFS('Spin样本'!$A$2:$A$141,A4,'Spin样本'!$F$2:$F$141,B4,'Spin样本'!$M$2:$M$141,"&gt;0",'Spin样本'!$X$2:$X$141,"是")/C4,0)</x:f>
        <x:v>0.9090909090909091</x:v>
      </x:c>
      <x:c r="F4" s="86" t="n">
        <x:f>IFERROR(SUMIFS('Spin样本'!$M$2:$M$141,'Spin样本'!$A$2:$A$141,A4,'Spin样本'!$F$2:$F$141,B4,'Spin样本'!$X$2:$X$141,"是")/C4,0)</x:f>
        <x:v>4042.931818181818</x:v>
      </x:c>
      <x:c r="G4" s="86" t="n">
        <x:f>IFERROR(SUMIFS('Spin样本'!$M$2:$M$141,'Spin样本'!$A$2:$A$141,A4,'Spin样本'!$F$2:$F$141,B4,'Spin样本'!$X$2:$X$141,"是")/SUMIFS('Spin样本'!$I$2:$I$141,'Spin样本'!$A$2:$A$141,A4,'Spin样本'!$F$2:$F$141,B4,'Spin样本'!$X$2:$X$141,"是"),0)</x:f>
        <x:v>4042.931818181818</x:v>
      </x:c>
      <x:c r="H4" s="86" t="n">
        <x:f>IFERROR(SUMIFS('Spin样本'!$J$2:$J$141,'Spin样本'!$A$2:$A$141,A4,'Spin样本'!$F$2:$F$141,B4,'Spin样本'!$X$2:$X$141,"是")/C4,0)</x:f>
        <x:v>0.7954545454545454</x:v>
      </x:c>
      <x:c r="I4" s="36" t="n">
        <x:f>IFERROR(SUMIFS('Spin样本'!$J$2:$J$141,'Spin样本'!$A$2:$A$141,A4,'Spin样本'!$F$2:$F$141,B4,'Spin样本'!$X$2:$X$141,"是")/SUMIFS('Spin样本'!$I$2:$I$141,'Spin样本'!$A$2:$A$141,A4,'Spin样本'!$F$2:$F$141,B4,'Spin样本'!$X$2:$X$141,"是"),0)</x:f>
        <x:v>0.7954545454545454</x:v>
      </x:c>
      <x:c r="J4" s="86" t="n">
        <x:f>IFERROR(SUMIFS('Spin样本'!$P$2:$P$141,'Spin样本'!$A$2:$A$141,A4,'Spin样本'!$F$2:$F$141,B4,'Spin样本'!$X$2:$X$141,"是")/C4,0)</x:f>
        <x:v>0.5454545454545454</x:v>
      </x:c>
      <x:c r="K4" s="86" t="n">
        <x:v>1000</x:v>
      </x:c>
      <x:c r="L4" s="86" t="n">
        <x:v>100</x:v>
      </x:c>
      <x:c r="M4" s="86" t="n">
        <x:v>10121.1</x:v>
      </x:c>
      <x:c r="N4" s="86" t="n">
        <x:v>42000</x:v>
      </x:c>
    </x:row>
    <x:row r="5">
      <x:c r="A5" t="str">
        <x:v>TT_NEW_03</x:v>
      </x:c>
      <x:c r="B5" t="n">
        <x:v>5</x:v>
      </x:c>
      <x:c r="C5" t="n">
        <x:f>COUNTIFS('Spin样本'!$A$2:$A$141,A5,'Spin样本'!$F$2:$F$141,B5,'Spin样本'!$X$2:$X$141,"是")</x:f>
        <x:v>17</x:v>
      </x:c>
      <x:c r="D5" s="86" t="n">
        <x:f>IFERROR(SUMIFS('Spin样本'!$I$2:$I$141,'Spin样本'!$A$2:$A$141,A5,'Spin样本'!$F$2:$F$141,B5,'Spin样本'!$X$2:$X$141,"是")/C5,0)</x:f>
        <x:v>5</x:v>
      </x:c>
      <x:c r="E5" s="36" t="n">
        <x:f>IFERROR(COUNTIFS('Spin样本'!$A$2:$A$141,A5,'Spin样本'!$F$2:$F$141,B5,'Spin样本'!$M$2:$M$141,"&gt;0",'Spin样本'!$X$2:$X$141,"是")/C5,0)</x:f>
        <x:v>0.8235294117647058</x:v>
      </x:c>
      <x:c r="F5" s="86" t="n">
        <x:f>IFERROR(SUMIFS('Spin样本'!$M$2:$M$141,'Spin样本'!$A$2:$A$141,A5,'Spin样本'!$F$2:$F$141,B5,'Spin样本'!$X$2:$X$141,"是")/C5,0)</x:f>
        <x:v>18189.058823529413</x:v>
      </x:c>
      <x:c r="G5" s="86" t="n">
        <x:f>IFERROR(SUMIFS('Spin样本'!$M$2:$M$141,'Spin样本'!$A$2:$A$141,A5,'Spin样本'!$F$2:$F$141,B5,'Spin样本'!$X$2:$X$141,"是")/SUMIFS('Spin样本'!$I$2:$I$141,'Spin样本'!$A$2:$A$141,A5,'Spin样本'!$F$2:$F$141,B5,'Spin样本'!$X$2:$X$141,"是"),0)</x:f>
        <x:v>3637.8117647058825</x:v>
      </x:c>
      <x:c r="H5" s="86" t="n">
        <x:f>IFERROR(SUMIFS('Spin样本'!$J$2:$J$141,'Spin样本'!$A$2:$A$141,A5,'Spin样本'!$F$2:$F$141,B5,'Spin样本'!$X$2:$X$141,"是")/C5,0)</x:f>
        <x:v>23.58823529411765</x:v>
      </x:c>
      <x:c r="I5" s="36" t="n">
        <x:f>IFERROR(SUMIFS('Spin样本'!$J$2:$J$141,'Spin样本'!$A$2:$A$141,A5,'Spin样本'!$F$2:$F$141,B5,'Spin样本'!$X$2:$X$141,"是")/SUMIFS('Spin样本'!$I$2:$I$141,'Spin样本'!$A$2:$A$141,A5,'Spin样本'!$F$2:$F$141,B5,'Spin样本'!$X$2:$X$141,"是"),0)</x:f>
        <x:v>4.7176470588235295</x:v>
      </x:c>
      <x:c r="J5" s="86" t="n">
        <x:f>IFERROR(SUMIFS('Spin样本'!$P$2:$P$141,'Spin样本'!$A$2:$A$141,A5,'Spin样本'!$F$2:$F$141,B5,'Spin样本'!$X$2:$X$141,"是")/C5,0)</x:f>
        <x:v>2.0588235294117645</x:v>
      </x:c>
      <x:c r="K5" s="86" t="n">
        <x:v>3000</x:v>
      </x:c>
      <x:c r="L5" s="86" t="n">
        <x:v>0</x:v>
      </x:c>
      <x:c r="M5" s="86" t="n">
        <x:v>9028</x:v>
      </x:c>
      <x:c r="N5" s="86" t="n">
        <x:v>10735.2</x:v>
      </x:c>
    </x:row>
    <x:row r="6">
      <x:c r="A6" t="str">
        <x:v>TT_NEW_03</x:v>
      </x:c>
      <x:c r="B6" t="n">
        <x:v>10</x:v>
      </x:c>
      <x:c r="C6" t="n">
        <x:f>COUNTIFS('Spin样本'!$A$2:$A$141,A6,'Spin样本'!$F$2:$F$141,B6,'Spin样本'!$X$2:$X$141,"是")</x:f>
        <x:v>24</x:v>
      </x:c>
      <x:c r="D6" s="86" t="n">
        <x:f>IFERROR(SUMIFS('Spin样本'!$I$2:$I$141,'Spin样本'!$A$2:$A$141,A6,'Spin样本'!$F$2:$F$141,B6,'Spin样本'!$X$2:$X$141,"是")/C6,0)</x:f>
        <x:v>10</x:v>
      </x:c>
      <x:c r="E6" s="36" t="n">
        <x:f>IFERROR(COUNTIFS('Spin样本'!$A$2:$A$141,A6,'Spin样本'!$F$2:$F$141,B6,'Spin样本'!$M$2:$M$141,"&gt;0",'Spin样本'!$X$2:$X$141,"是")/C6,0)</x:f>
        <x:v>0.9583333333333334</x:v>
      </x:c>
      <x:c r="F6" s="86" t="n">
        <x:f>IFERROR(SUMIFS('Spin样本'!$M$2:$M$141,'Spin样本'!$A$2:$A$141,A6,'Spin样本'!$F$2:$F$141,B6,'Spin样本'!$X$2:$X$141,"是")/C6,0)</x:f>
        <x:v>54821.208333333336</x:v>
      </x:c>
      <x:c r="G6" s="86" t="n">
        <x:f>IFERROR(SUMIFS('Spin样本'!$M$2:$M$141,'Spin样本'!$A$2:$A$141,A6,'Spin样本'!$F$2:$F$141,B6,'Spin样本'!$X$2:$X$141,"是")/SUMIFS('Spin样本'!$I$2:$I$141,'Spin样本'!$A$2:$A$141,A6,'Spin样本'!$F$2:$F$141,B6,'Spin样本'!$X$2:$X$141,"是"),0)</x:f>
        <x:v>5482.120833333333</x:v>
      </x:c>
      <x:c r="H6" s="86" t="n">
        <x:f>IFERROR(SUMIFS('Spin样本'!$J$2:$J$141,'Spin样本'!$A$2:$A$141,A6,'Spin样本'!$F$2:$F$141,B6,'Spin样本'!$X$2:$X$141,"是")/C6,0)</x:f>
        <x:v>0.9583333333333334</x:v>
      </x:c>
      <x:c r="I6" s="36" t="n">
        <x:f>IFERROR(SUMIFS('Spin样本'!$J$2:$J$141,'Spin样本'!$A$2:$A$141,A6,'Spin样本'!$F$2:$F$141,B6,'Spin样本'!$X$2:$X$141,"是")/SUMIFS('Spin样本'!$I$2:$I$141,'Spin样本'!$A$2:$A$141,A6,'Spin样本'!$F$2:$F$141,B6,'Spin样本'!$X$2:$X$141,"是"),0)</x:f>
        <x:v>0.09583333333333334</x:v>
      </x:c>
      <x:c r="J6" s="86" t="n">
        <x:f>IFERROR(SUMIFS('Spin样本'!$P$2:$P$141,'Spin样本'!$A$2:$A$141,A6,'Spin样本'!$F$2:$F$141,B6,'Spin样本'!$X$2:$X$141,"是")/C6,0)</x:f>
        <x:v>0.8333333333333334</x:v>
      </x:c>
      <x:c r="K6" s="86" t="n">
        <x:v>1079.4</x:v>
      </x:c>
      <x:c r="L6" s="86" t="n">
        <x:v>97.55</x:v>
      </x:c>
      <x:c r="M6" s="86" t="n">
        <x:v>21969.999999999985</x:v>
      </x:c>
      <x:c r="N6" s="86" t="n">
        <x:v>31100</x:v>
      </x:c>
    </x:row>
    <x:row r="7">
      <x:c r="A7" t="str">
        <x:v>TT_NEW_03</x:v>
      </x:c>
      <x:c r="B7" t="n">
        <x:v>20</x:v>
      </x:c>
      <x:c r="C7" t="n">
        <x:f>COUNTIFS('Spin样本'!$A$2:$A$141,A7,'Spin样本'!$F$2:$F$141,B7,'Spin样本'!$X$2:$X$141,"是")</x:f>
        <x:v>3</x:v>
      </x:c>
      <x:c r="D7" s="86" t="n">
        <x:f>IFERROR(SUMIFS('Spin样本'!$I$2:$I$141,'Spin样本'!$A$2:$A$141,A7,'Spin样本'!$F$2:$F$141,B7,'Spin样本'!$X$2:$X$141,"是")/C7,0)</x:f>
        <x:v>20</x:v>
      </x:c>
      <x:c r="E7" s="36" t="n">
        <x:f>IFERROR(COUNTIFS('Spin样本'!$A$2:$A$141,A7,'Spin样本'!$F$2:$F$141,B7,'Spin样本'!$M$2:$M$141,"&gt;0",'Spin样本'!$X$2:$X$141,"是")/C7,0)</x:f>
        <x:v>1</x:v>
      </x:c>
      <x:c r="F7" s="86" t="n">
        <x:f>IFERROR(SUMIFS('Spin样本'!$M$2:$M$141,'Spin样本'!$A$2:$A$141,A7,'Spin样本'!$F$2:$F$141,B7,'Spin样本'!$X$2:$X$141,"是")/C7,0)</x:f>
        <x:v>113366.66666666667</x:v>
      </x:c>
      <x:c r="G7" s="86" t="n">
        <x:f>IFERROR(SUMIFS('Spin样本'!$M$2:$M$141,'Spin样本'!$A$2:$A$141,A7,'Spin样本'!$F$2:$F$141,B7,'Spin样本'!$X$2:$X$141,"是")/SUMIFS('Spin样本'!$I$2:$I$141,'Spin样本'!$A$2:$A$141,A7,'Spin样本'!$F$2:$F$141,B7,'Spin样本'!$X$2:$X$141,"是"),0)</x:f>
        <x:v>5668.333333333333</x:v>
      </x:c>
      <x:c r="H7" s="86" t="n">
        <x:f>IFERROR(SUMIFS('Spin样本'!$J$2:$J$141,'Spin样本'!$A$2:$A$141,A7,'Spin样本'!$F$2:$F$141,B7,'Spin样本'!$X$2:$X$141,"是")/C7,0)</x:f>
        <x:v>13.333333333333334</x:v>
      </x:c>
      <x:c r="I7" s="36" t="n">
        <x:f>IFERROR(SUMIFS('Spin样本'!$J$2:$J$141,'Spin样本'!$A$2:$A$141,A7,'Spin样本'!$F$2:$F$141,B7,'Spin样本'!$X$2:$X$141,"是")/SUMIFS('Spin样本'!$I$2:$I$141,'Spin样本'!$A$2:$A$141,A7,'Spin样本'!$F$2:$F$141,B7,'Spin样本'!$X$2:$X$141,"是"),0)</x:f>
        <x:v>0.6666666666666666</x:v>
      </x:c>
      <x:c r="J7" s="86" t="n">
        <x:f>IFERROR(SUMIFS('Spin样本'!$P$2:$P$141,'Spin样本'!$A$2:$A$141,A7,'Spin样本'!$F$2:$F$141,B7,'Spin样本'!$X$2:$X$141,"是")/C7,0)</x:f>
        <x:v>6.666666666666667</x:v>
      </x:c>
      <x:c r="K7" s="86" t="n">
        <x:v>130</x:v>
      </x:c>
      <x:c r="L7" s="86" t="n">
        <x:v>106</x:v>
      </x:c>
      <x:c r="M7" s="86" t="n">
        <x:v>13446</x:v>
      </x:c>
      <x:c r="N7" s="86" t="n">
        <x:v>16775</x:v>
      </x:c>
    </x:row>
    <x:row r="8">
      <x:c r="A8" t="str">
        <x:v>TT_NEW_06</x:v>
      </x:c>
      <x:c r="B8" t="n">
        <x:v>2</x:v>
      </x:c>
      <x:c r="C8" t="n">
        <x:f>COUNTIFS('Spin样本'!$A$2:$A$141,A8,'Spin样本'!$F$2:$F$141,B8,'Spin样本'!$X$2:$X$141,"是")</x:f>
        <x:v>3</x:v>
      </x:c>
      <x:c r="D8" s="86" t="n">
        <x:f>IFERROR(SUMIFS('Spin样本'!$I$2:$I$141,'Spin样本'!$A$2:$A$141,A8,'Spin样本'!$F$2:$F$141,B8,'Spin样本'!$X$2:$X$141,"是")/C8,0)</x:f>
        <x:v>2</x:v>
      </x:c>
      <x:c r="E8" s="36" t="n">
        <x:f>IFERROR(COUNTIFS('Spin样本'!$A$2:$A$141,A8,'Spin样本'!$F$2:$F$141,B8,'Spin样本'!$M$2:$M$141,"&gt;0",'Spin样本'!$X$2:$X$141,"是")/C8,0)</x:f>
        <x:v>0.6666666666666666</x:v>
      </x:c>
      <x:c r="F8" s="86" t="n">
        <x:f>IFERROR(SUMIFS('Spin样本'!$M$2:$M$141,'Spin样本'!$A$2:$A$141,A8,'Spin样本'!$F$2:$F$141,B8,'Spin样本'!$X$2:$X$141,"是")/C8,0)</x:f>
        <x:v>4566.666666666667</x:v>
      </x:c>
      <x:c r="G8" s="86" t="n">
        <x:f>IFERROR(SUMIFS('Spin样本'!$M$2:$M$141,'Spin样本'!$A$2:$A$141,A8,'Spin样本'!$F$2:$F$141,B8,'Spin样本'!$X$2:$X$141,"是")/SUMIFS('Spin样本'!$I$2:$I$141,'Spin样本'!$A$2:$A$141,A8,'Spin样本'!$F$2:$F$141,B8,'Spin样本'!$X$2:$X$141,"是"),0)</x:f>
        <x:v>2283.3333333333335</x:v>
      </x:c>
      <x:c r="H8" s="86" t="n">
        <x:f>IFERROR(SUMIFS('Spin样本'!$J$2:$J$141,'Spin样本'!$A$2:$A$141,A8,'Spin样本'!$F$2:$F$141,B8,'Spin样本'!$X$2:$X$141,"是")/C8,0)</x:f>
        <x:v>6.666666666666667</x:v>
      </x:c>
      <x:c r="I8" s="36" t="n">
        <x:f>IFERROR(SUMIFS('Spin样本'!$J$2:$J$141,'Spin样本'!$A$2:$A$141,A8,'Spin样本'!$F$2:$F$141,B8,'Spin样本'!$X$2:$X$141,"是")/SUMIFS('Spin样本'!$I$2:$I$141,'Spin样本'!$A$2:$A$141,A8,'Spin样本'!$F$2:$F$141,B8,'Spin样本'!$X$2:$X$141,"是"),0)</x:f>
        <x:v>3.3333333333333335</x:v>
      </x:c>
      <x:c r="J8" s="86" t="n">
        <x:f>IFERROR(SUMIFS('Spin样本'!$P$2:$P$141,'Spin样本'!$A$2:$A$141,A8,'Spin样本'!$F$2:$F$141,B8,'Spin样本'!$X$2:$X$141,"是")/C8,0)</x:f>
        <x:v>2.6666666666666665</x:v>
      </x:c>
      <x:c r="K8" s="86" t="n">
        <x:v>1850</x:v>
      </x:c>
      <x:c r="L8" s="86" t="n">
        <x:v>370</x:v>
      </x:c>
      <x:c r="M8" s="86" t="n">
        <x:v>4370</x:v>
      </x:c>
      <x:c r="N8" s="86" t="n">
        <x:v>5000</x:v>
      </x:c>
    </x:row>
    <x:row r="9">
      <x:c r="A9" t="str">
        <x:v>TT_NEW_06</x:v>
      </x:c>
      <x:c r="B9" t="n">
        <x:v>5</x:v>
      </x:c>
      <x:c r="C9" t="n">
        <x:f>COUNTIFS('Spin样本'!$A$2:$A$141,A9,'Spin样本'!$F$2:$F$141,B9,'Spin样本'!$X$2:$X$141,"是")</x:f>
        <x:v>45</x:v>
      </x:c>
      <x:c r="D9" s="86" t="n">
        <x:f>IFERROR(SUMIFS('Spin样本'!$I$2:$I$141,'Spin样本'!$A$2:$A$141,A9,'Spin样本'!$F$2:$F$141,B9,'Spin样本'!$X$2:$X$141,"是")/C9,0)</x:f>
        <x:v>5</x:v>
      </x:c>
      <x:c r="E9" s="36" t="n">
        <x:f>IFERROR(COUNTIFS('Spin样本'!$A$2:$A$141,A9,'Spin样本'!$F$2:$F$141,B9,'Spin样本'!$M$2:$M$141,"&gt;0",'Spin样本'!$X$2:$X$141,"是")/C9,0)</x:f>
        <x:v>0.9333333333333333</x:v>
      </x:c>
      <x:c r="F9" s="86" t="n">
        <x:f>IFERROR(SUMIFS('Spin样本'!$M$2:$M$141,'Spin样本'!$A$2:$A$141,A9,'Spin样本'!$F$2:$F$141,B9,'Spin样本'!$X$2:$X$141,"是")/C9,0)</x:f>
        <x:v>28429.71111111111</x:v>
      </x:c>
      <x:c r="G9" s="86" t="n">
        <x:f>IFERROR(SUMIFS('Spin样本'!$M$2:$M$141,'Spin样本'!$A$2:$A$141,A9,'Spin样本'!$F$2:$F$141,B9,'Spin样本'!$X$2:$X$141,"是")/SUMIFS('Spin样本'!$I$2:$I$141,'Spin样本'!$A$2:$A$141,A9,'Spin样本'!$F$2:$F$141,B9,'Spin样本'!$X$2:$X$141,"是"),0)</x:f>
        <x:v>5685.942222222222</x:v>
      </x:c>
      <x:c r="H9" s="86" t="n">
        <x:f>IFERROR(SUMIFS('Spin样本'!$J$2:$J$141,'Spin样本'!$A$2:$A$141,A9,'Spin样本'!$F$2:$F$141,B9,'Spin样本'!$X$2:$X$141,"是")/C9,0)</x:f>
        <x:v>25.333333333333332</x:v>
      </x:c>
      <x:c r="I9" s="36" t="n">
        <x:f>IFERROR(SUMIFS('Spin样本'!$J$2:$J$141,'Spin样本'!$A$2:$A$141,A9,'Spin样本'!$F$2:$F$141,B9,'Spin样本'!$X$2:$X$141,"是")/SUMIFS('Spin样本'!$I$2:$I$141,'Spin样本'!$A$2:$A$141,A9,'Spin样本'!$F$2:$F$141,B9,'Spin样本'!$X$2:$X$141,"是"),0)</x:f>
        <x:v>5.066666666666666</x:v>
      </x:c>
      <x:c r="J9" s="86" t="n">
        <x:f>IFERROR(SUMIFS('Spin样本'!$P$2:$P$141,'Spin样本'!$A$2:$A$141,A9,'Spin样本'!$F$2:$F$141,B9,'Spin样本'!$X$2:$X$141,"是")/C9,0)</x:f>
        <x:v>6</x:v>
      </x:c>
      <x:c r="K9" s="86" t="n">
        <x:v>1100</x:v>
      </x:c>
      <x:c r="L9" s="86" t="n">
        <x:v>106.96000000000001</x:v>
      </x:c>
      <x:c r="M9" s="86" t="n">
        <x:v>10300</x:v>
      </x:c>
      <x:c r="N9" s="86" t="n">
        <x:v>77000</x:v>
      </x:c>
    </x:row>
    <x:row r="11">
      <x:c r="A11" s="64" t="str">
        <x:v>注意：能量返还样本包含离散大额返还，且并非完整、等概率抽样；观察自返还率只能描述这批事件，不能外推总体。</x:v>
      </x:c>
      <x:c r="B11" s="65"/>
      <x:c r="C11" s="65"/>
      <x:c r="D11" s="65"/>
      <x:c r="E11" s="65"/>
      <x:c r="F11" s="65"/>
      <x:c r="G11" s="65"/>
      <x:c r="H11" s="65"/>
      <x:c r="I11" s="65"/>
      <x:c r="J11" s="65"/>
      <x:c r="K11" s="65"/>
      <x:c r="L11" s="65"/>
      <x:c r="M11" s="65"/>
      <x:c r="N11" s="66"/>
    </x:row>
    <x:row r="12">
      <x:c r="A12" s="67" t="str">
        <x:v>金币/耗能保留原生单位，不与能量相加。P10/P50/P90/最大来自当前有效样本的静态复算。</x:v>
      </x:c>
      <x:c r="B12" s="68"/>
      <x:c r="C12" s="68"/>
      <x:c r="D12" s="68"/>
      <x:c r="E12" s="68"/>
      <x:c r="F12" s="68"/>
      <x:c r="G12" s="68"/>
      <x:c r="H12" s="68"/>
      <x:c r="I12" s="68"/>
      <x:c r="J12" s="68"/>
      <x:c r="K12" s="68"/>
      <x:c r="L12" s="68"/>
      <x:c r="M12" s="68"/>
      <x:c r="N12" s="69"/>
    </x:row>
    <x:row r="13">
      <x:c r="A13" s="70" t="str">
        <x:v>同一视频内仍需按成长段、活动状态、会话位置进一步分层；当前样本不足以识别动态调控。</x:v>
      </x:c>
      <x:c r="B13" s="71"/>
      <x:c r="C13" s="71"/>
      <x:c r="D13" s="71"/>
      <x:c r="E13" s="71"/>
      <x:c r="F13" s="71"/>
      <x:c r="G13" s="71"/>
      <x:c r="H13" s="71"/>
      <x:c r="I13" s="71"/>
      <x:c r="J13" s="71"/>
      <x:c r="K13" s="71"/>
      <x:c r="L13" s="71"/>
      <x:c r="M13" s="71"/>
      <x:c r="N13" s="72"/>
    </x:row>
  </x:sheetData>
  <x:mergeCells>
    <x:mergeCell ref="A1:N1"/>
    <x:mergeCell ref="A11:N11"/>
    <x:mergeCell ref="A12:N12"/>
    <x:mergeCell ref="A13:N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7" hidden="0" customWidth="1"/>
    <x:col min="4" max="4" width="14" hidden="0" customWidth="1"/>
    <x:col min="5" max="5" width="36" hidden="0" customWidth="1"/>
    <x:col min="6" max="6" width="28" hidden="0" customWidth="1"/>
    <x:col min="7" max="7" width="28" hidden="0" customWidth="1"/>
    <x:col min="8" max="8" width="26" hidden="0" customWidth="1"/>
    <x:col min="9" max="9" width="18" hidden="0" customWidth="1"/>
    <x:col min="10" max="10" width="24" hidden="0" customWidth="1"/>
    <x:col min="11" max="11" width="56" hidden="0" customWidth="1"/>
    <x:col min="12" max="12" width="22" hidden="0" customWidth="1"/>
    <x:col min="13" max="13" width="15" hidden="0" customWidth="1"/>
    <x:col min="14" max="14" width="12" hidden="0" customWidth="1"/>
    <x:col min="15" max="15" width="68" hidden="0" customWidth="1"/>
    <x:col min="16" max="16" width="13" hidden="0" customWidth="1"/>
    <x:col min="17" max="17" width="11" hidden="0" customWidth="1"/>
    <x:col min="18" max="18" width="58" hidden="0" customWidth="1"/>
  </x:cols>
  <x:sheetData>
    <x:row r="1" ht="30" customHeight="1">
      <x:c r="A1" s="87" t="str">
        <x:v>module</x:v>
      </x:c>
      <x:c r="B1" s="88" t="str">
        <x:v>stage</x:v>
      </x:c>
      <x:c r="C1" s="88" t="str">
        <x:v>target_value</x:v>
      </x:c>
      <x:c r="D1" s="88" t="str">
        <x:v>initial_value</x:v>
      </x:c>
      <x:c r="E1" s="88" t="str">
        <x:v>increment_rule</x:v>
      </x:c>
      <x:c r="F1" s="88" t="str">
        <x:v>entry_source</x:v>
      </x:c>
      <x:c r="G1" s="88" t="str">
        <x:v>entry_cost</x:v>
      </x:c>
      <x:c r="H1" s="88" t="str">
        <x:v>attempts</x:v>
      </x:c>
      <x:c r="I1" s="88" t="str">
        <x:v>outcome</x:v>
      </x:c>
      <x:c r="J1" s="88" t="str">
        <x:v>failure_retention</x:v>
      </x:c>
      <x:c r="K1" s="88" t="str">
        <x:v>reward_list</x:v>
      </x:c>
      <x:c r="L1" s="88" t="str">
        <x:v>next_target</x:v>
      </x:c>
      <x:c r="M1" s="88" t="str">
        <x:v>video_id</x:v>
      </x:c>
      <x:c r="N1" s="88" t="str">
        <x:v>timestamp</x:v>
      </x:c>
      <x:c r="O1" s="88" t="str">
        <x:v>evidence_path</x:v>
      </x:c>
      <x:c r="P1" s="88" t="str">
        <x:v>status</x:v>
      </x:c>
      <x:c r="Q1" s="88" t="str">
        <x:v>confidence</x:v>
      </x:c>
      <x:c r="R1" s="89" t="str">
        <x:v>notes</x:v>
      </x:c>
    </x:row>
    <x:row r="2">
      <x:c r="A2" s="17" t="str">
        <x:v>Slot主进度</x:v>
      </x:c>
      <x:c r="B2" s="17" t="str">
        <x:v>前期样本</x:v>
      </x:c>
      <x:c r="C2" s="17" t="n">
        <x:v>200</x:v>
      </x:c>
      <x:c r="D2" s="17" t="n">
        <x:v>175</x:v>
      </x:c>
      <x:c r="E2" s="17" t="str">
        <x:v>每次命中贡献待按事件账复核</x:v>
      </x:c>
      <x:c r="F2" s="17" t="str">
        <x:v>Slot Spin</x:v>
      </x:c>
      <x:c r="G2" s="17" t="str">
        <x:v>BET x5，每次 5 能量</x:v>
      </x:c>
      <x:c r="H2" s="17" t="str">
        <x:v>录屏片段未形成完整一轮</x:v>
      </x:c>
      <x:c r="I2" s="17" t="str">
        <x:v>进行中</x:v>
      </x:c>
      <x:c r="J2" s="17" t="str">
        <x:v>不适用</x:v>
      </x:c>
      <x:c r="K2" s="17" t="str">
        <x:v>400 能量</x:v>
      </x:c>
      <x:c r="L2" s="17" t="str">
        <x:v>录屏未展示</x:v>
      </x:c>
      <x:c r="M2" s="17" t="str">
        <x:v>TT_NEW_03</x:v>
      </x:c>
      <x:c r="N2" s="17" t="str">
        <x:v>00:02:17</x:v>
      </x:c>
      <x:c r="O2" s="18" t="str">
        <x:v>/Users/mac/Documents/智囊团/video_analysis/Top_Tycoon新号流程_20260804/frames/TT_NEW_03/TT_NEW_03_t000137.jpg</x:v>
      </x:c>
      <x:c r="P2" s="17" t="str">
        <x:v>已确认</x:v>
      </x:c>
      <x:c r="Q2" s="17" t="str">
        <x:v>A</x:v>
      </x:c>
      <x:c r="R2" s="17" t="str">
        <x:v>界面显示 175/200 与 400 能量奖励；不含建造成本曲线。</x:v>
      </x:c>
    </x:row>
    <x:row r="3">
      <x:c r="A3" s="17" t="str">
        <x:v>Slot主进度</x:v>
      </x:c>
      <x:c r="B3" s="17" t="str">
        <x:v>较后样本</x:v>
      </x:c>
      <x:c r="C3" s="17" t="n">
        <x:v>540</x:v>
      </x:c>
      <x:c r="D3" s="17" t="n">
        <x:v>5</x:v>
      </x:c>
      <x:c r="E3" s="17" t="str">
        <x:v>结果图标贡献，单位增量随结果而变</x:v>
      </x:c>
      <x:c r="F3" s="17" t="str">
        <x:v>Slot Spin</x:v>
      </x:c>
      <x:c r="G3" s="17" t="str">
        <x:v>BET x10，每次 10 能量</x:v>
      </x:c>
      <x:c r="H3" s="17" t="str">
        <x:v>录屏片段未形成完整一轮</x:v>
      </x:c>
      <x:c r="I3" s="17" t="str">
        <x:v>进行中</x:v>
      </x:c>
      <x:c r="J3" s="17" t="str">
        <x:v>不适用</x:v>
      </x:c>
      <x:c r="K3" s="17" t="str">
        <x:v>1.2K 能量</x:v>
      </x:c>
      <x:c r="L3" s="17" t="str">
        <x:v>录屏未展示</x:v>
      </x:c>
      <x:c r="M3" s="17" t="str">
        <x:v>TT_NEW_03</x:v>
      </x:c>
      <x:c r="N3" s="17" t="str">
        <x:v>00:12:50</x:v>
      </x:c>
      <x:c r="O3" s="18" t="str">
        <x:v>/Users/mac/Documents/智囊团/video_analysis/Top_Tycoon新号流程_20260804/frames/TT_NEW_03/TT_NEW_03_t000770.jpg</x:v>
      </x:c>
      <x:c r="P3" s="17" t="str">
        <x:v>已确认</x:v>
      </x:c>
      <x:c r="Q3" s="17" t="str">
        <x:v>A</x:v>
      </x:c>
      <x:c r="R3" s="17" t="str">
        <x:v>目标与奖励可见；跨阶段增长不能由两个截面直接拟合。</x:v>
      </x:c>
    </x:row>
    <x:row r="4">
      <x:c r="A4" s="17" t="str">
        <x:v>Slot主进度</x:v>
      </x:c>
      <x:c r="B4" s="17" t="str">
        <x:v>高成长段样本</x:v>
      </x:c>
      <x:c r="C4" s="17" t="n">
        <x:v>4100</x:v>
      </x:c>
      <x:c r="D4" s="17" t="n">
        <x:v>2075</x:v>
      </x:c>
      <x:c r="E4" s="17" t="str">
        <x:v>结果图标贡献，单位增量随结果而变</x:v>
      </x:c>
      <x:c r="F4" s="17" t="str">
        <x:v>Slot Spin</x:v>
      </x:c>
      <x:c r="G4" s="17" t="str">
        <x:v>BET x100，每次 100 能量</x:v>
      </x:c>
      <x:c r="H4" s="17" t="str">
        <x:v>录屏片段未形成完整一轮</x:v>
      </x:c>
      <x:c r="I4" s="17" t="str">
        <x:v>OVER 段进行中</x:v>
      </x:c>
      <x:c r="J4" s="17" t="str">
        <x:v>不适用</x:v>
      </x:c>
      <x:c r="K4" s="17" t="str">
        <x:v>5K 能量</x:v>
      </x:c>
      <x:c r="L4" s="17" t="str">
        <x:v>录屏未展示</x:v>
      </x:c>
      <x:c r="M4" s="17" t="str">
        <x:v>TT_NEW_05</x:v>
      </x:c>
      <x:c r="N4" s="17" t="str">
        <x:v>00:01:40</x:v>
      </x:c>
      <x:c r="O4" s="18" t="str">
        <x:v>/Users/mac/Documents/智囊团/video_analysis/Top_Tycoon新号流程_20260804/frames/TT_NEW_05/TT_NEW_05_t000100.jpg</x:v>
      </x:c>
      <x:c r="P4" s="17" t="str">
        <x:v>已确认</x:v>
      </x:c>
      <x:c r="Q4" s="17" t="str">
        <x:v>A</x:v>
      </x:c>
      <x:c r="R4" s="17" t="str">
        <x:v>用于证明目标规模随账号/阶段显著不同；不与前期样本直接合并。</x:v>
      </x:c>
    </x:row>
    <x:row r="5">
      <x:c r="A5" s="17" t="str">
        <x:v>Friendship Tower</x:v>
      </x:c>
      <x:c r="B5" s="17" t="str">
        <x:v>邀请 1 人</x:v>
      </x:c>
      <x:c r="C5" s="17" t="n">
        <x:v>1</x:v>
      </x:c>
      <x:c r="D5" s="17" t="n">
        <x:v>0</x:v>
      </x:c>
      <x:c r="E5" s="17" t="str">
        <x:v>每成功邀请 1 人 +1</x:v>
      </x:c>
      <x:c r="F5" s="17" t="str">
        <x:v>邀请码/邀请</x:v>
      </x:c>
      <x:c r="G5" s="17" t="str">
        <x:v>社交行为；资源成本录屏未展示</x:v>
      </x:c>
      <x:c r="H5" s="17" t="n">
        <x:v>0</x:v>
      </x:c>
      <x:c r="I5" s="17" t="str">
        <x:v>未完成</x:v>
      </x:c>
      <x:c r="J5" s="17" t="str">
        <x:v>录屏未展示</x:v>
      </x:c>
      <x:c r="K5" s="17" t="str">
        <x:v>40 能量</x:v>
      </x:c>
      <x:c r="L5" s="17" t="str">
        <x:v>见同模块相邻行</x:v>
      </x:c>
      <x:c r="M5" s="17" t="str">
        <x:v>TT_NEW_03</x:v>
      </x:c>
      <x:c r="N5" s="17" t="str">
        <x:v>00:01:40</x:v>
      </x:c>
      <x:c r="O5" s="18" t="str">
        <x:v>/Users/mac/Documents/智囊团/video_analysis/Top_Tycoon新号流程_20260804/frames/TT_NEW_03/TT_NEW_03_t000100.jpg</x:v>
      </x:c>
      <x:c r="P5" s="17" t="str">
        <x:v>已确认</x:v>
      </x:c>
      <x:c r="Q5" s="17" t="str">
        <x:v>A</x:v>
      </x:c>
      <x:c r="R5" s="17" t="str">
        <x:v>单一界面完整展示阶梯。</x:v>
      </x:c>
    </x:row>
    <x:row r="6">
      <x:c r="A6" s="17" t="str">
        <x:v>Friendship Tower</x:v>
      </x:c>
      <x:c r="B6" s="17" t="str">
        <x:v>邀请 2 人</x:v>
      </x:c>
      <x:c r="C6" s="17" t="n">
        <x:v>2</x:v>
      </x:c>
      <x:c r="D6" s="17" t="n">
        <x:v>0</x:v>
      </x:c>
      <x:c r="E6" s="17" t="str">
        <x:v>每成功邀请 1 人 +1</x:v>
      </x:c>
      <x:c r="F6" s="17" t="str">
        <x:v>邀请码/邀请</x:v>
      </x:c>
      <x:c r="G6" s="17" t="str">
        <x:v>社交行为；资源成本录屏未展示</x:v>
      </x:c>
      <x:c r="H6" s="17" t="n">
        <x:v>0</x:v>
      </x:c>
      <x:c r="I6" s="17" t="str">
        <x:v>未完成</x:v>
      </x:c>
      <x:c r="J6" s="17" t="str">
        <x:v>录屏未展示</x:v>
      </x:c>
      <x:c r="K6" s="17" t="str">
        <x:v>40 能量</x:v>
      </x:c>
      <x:c r="L6" s="17" t="str">
        <x:v>见同模块相邻行</x:v>
      </x:c>
      <x:c r="M6" s="17" t="str">
        <x:v>TT_NEW_03</x:v>
      </x:c>
      <x:c r="N6" s="17" t="str">
        <x:v>00:01:40</x:v>
      </x:c>
      <x:c r="O6" s="18" t="str">
        <x:v>/Users/mac/Documents/智囊团/video_analysis/Top_Tycoon新号流程_20260804/frames/TT_NEW_03/TT_NEW_03_t000100.jpg</x:v>
      </x:c>
      <x:c r="P6" s="17" t="str">
        <x:v>已确认</x:v>
      </x:c>
      <x:c r="Q6" s="17" t="str">
        <x:v>A</x:v>
      </x:c>
      <x:c r="R6" s="17" t="str">
        <x:v>单一界面完整展示阶梯。</x:v>
      </x:c>
    </x:row>
    <x:row r="7">
      <x:c r="A7" s="17" t="str">
        <x:v>Friendship Tower</x:v>
      </x:c>
      <x:c r="B7" s="17" t="str">
        <x:v>邀请 5 人</x:v>
      </x:c>
      <x:c r="C7" s="17" t="n">
        <x:v>5</x:v>
      </x:c>
      <x:c r="D7" s="17" t="n">
        <x:v>0</x:v>
      </x:c>
      <x:c r="E7" s="17" t="str">
        <x:v>每成功邀请 1 人 +1</x:v>
      </x:c>
      <x:c r="F7" s="17" t="str">
        <x:v>邀请码/邀请</x:v>
      </x:c>
      <x:c r="G7" s="17" t="str">
        <x:v>社交行为；资源成本录屏未展示</x:v>
      </x:c>
      <x:c r="H7" s="17" t="n">
        <x:v>0</x:v>
      </x:c>
      <x:c r="I7" s="17" t="str">
        <x:v>未完成</x:v>
      </x:c>
      <x:c r="J7" s="17" t="str">
        <x:v>录屏未展示</x:v>
      </x:c>
      <x:c r="K7" s="17" t="str">
        <x:v>170 能量</x:v>
      </x:c>
      <x:c r="L7" s="17" t="str">
        <x:v>见同模块相邻行</x:v>
      </x:c>
      <x:c r="M7" s="17" t="str">
        <x:v>TT_NEW_03</x:v>
      </x:c>
      <x:c r="N7" s="17" t="str">
        <x:v>00:01:40</x:v>
      </x:c>
      <x:c r="O7" s="18" t="str">
        <x:v>/Users/mac/Documents/智囊团/video_analysis/Top_Tycoon新号流程_20260804/frames/TT_NEW_03/TT_NEW_03_t000100.jpg</x:v>
      </x:c>
      <x:c r="P7" s="17" t="str">
        <x:v>已确认</x:v>
      </x:c>
      <x:c r="Q7" s="17" t="str">
        <x:v>A</x:v>
      </x:c>
      <x:c r="R7" s="17" t="str">
        <x:v>单一界面完整展示阶梯。</x:v>
      </x:c>
    </x:row>
    <x:row r="8">
      <x:c r="A8" s="17" t="str">
        <x:v>Friendship Tower</x:v>
      </x:c>
      <x:c r="B8" s="17" t="str">
        <x:v>邀请 8 人</x:v>
      </x:c>
      <x:c r="C8" s="17" t="n">
        <x:v>8</x:v>
      </x:c>
      <x:c r="D8" s="17" t="n">
        <x:v>0</x:v>
      </x:c>
      <x:c r="E8" s="17" t="str">
        <x:v>每成功邀请 1 人 +1</x:v>
      </x:c>
      <x:c r="F8" s="17" t="str">
        <x:v>邀请码/邀请</x:v>
      </x:c>
      <x:c r="G8" s="17" t="str">
        <x:v>社交行为；资源成本录屏未展示</x:v>
      </x:c>
      <x:c r="H8" s="17" t="n">
        <x:v>0</x:v>
      </x:c>
      <x:c r="I8" s="17" t="str">
        <x:v>未完成</x:v>
      </x:c>
      <x:c r="J8" s="17" t="str">
        <x:v>录屏未展示</x:v>
      </x:c>
      <x:c r="K8" s="17" t="str">
        <x:v>210 能量</x:v>
      </x:c>
      <x:c r="L8" s="17" t="str">
        <x:v>见同模块相邻行</x:v>
      </x:c>
      <x:c r="M8" s="17" t="str">
        <x:v>TT_NEW_03</x:v>
      </x:c>
      <x:c r="N8" s="17" t="str">
        <x:v>00:01:40</x:v>
      </x:c>
      <x:c r="O8" s="18" t="str">
        <x:v>/Users/mac/Documents/智囊团/video_analysis/Top_Tycoon新号流程_20260804/frames/TT_NEW_03/TT_NEW_03_t000100.jpg</x:v>
      </x:c>
      <x:c r="P8" s="17" t="str">
        <x:v>已确认</x:v>
      </x:c>
      <x:c r="Q8" s="17" t="str">
        <x:v>A</x:v>
      </x:c>
      <x:c r="R8" s="17" t="str">
        <x:v>单一界面完整展示阶梯。</x:v>
      </x:c>
    </x:row>
    <x:row r="9">
      <x:c r="A9" s="17" t="str">
        <x:v>Friendship Tower</x:v>
      </x:c>
      <x:c r="B9" s="17" t="str">
        <x:v>邀请 10 人</x:v>
      </x:c>
      <x:c r="C9" s="17" t="n">
        <x:v>10</x:v>
      </x:c>
      <x:c r="D9" s="17" t="n">
        <x:v>0</x:v>
      </x:c>
      <x:c r="E9" s="17" t="str">
        <x:v>每成功邀请 1 人 +1</x:v>
      </x:c>
      <x:c r="F9" s="17" t="str">
        <x:v>邀请码/邀请</x:v>
      </x:c>
      <x:c r="G9" s="17" t="str">
        <x:v>社交行为；资源成本录屏未展示</x:v>
      </x:c>
      <x:c r="H9" s="17" t="n">
        <x:v>0</x:v>
      </x:c>
      <x:c r="I9" s="17" t="str">
        <x:v>未完成</x:v>
      </x:c>
      <x:c r="J9" s="17" t="str">
        <x:v>录屏未展示</x:v>
      </x:c>
      <x:c r="K9" s="17" t="str">
        <x:v>420 能量</x:v>
      </x:c>
      <x:c r="L9" s="17" t="str">
        <x:v>见同模块相邻行</x:v>
      </x:c>
      <x:c r="M9" s="17" t="str">
        <x:v>TT_NEW_03</x:v>
      </x:c>
      <x:c r="N9" s="17" t="str">
        <x:v>00:01:40</x:v>
      </x:c>
      <x:c r="O9" s="18" t="str">
        <x:v>/Users/mac/Documents/智囊团/video_analysis/Top_Tycoon新号流程_20260804/frames/TT_NEW_03/TT_NEW_03_t000100.jpg</x:v>
      </x:c>
      <x:c r="P9" s="17" t="str">
        <x:v>已确认</x:v>
      </x:c>
      <x:c r="Q9" s="17" t="str">
        <x:v>A</x:v>
      </x:c>
      <x:c r="R9" s="17" t="str">
        <x:v>单一界面完整展示阶梯。</x:v>
      </x:c>
    </x:row>
    <x:row r="10">
      <x:c r="A10" s="17" t="str">
        <x:v>Friendship Tower</x:v>
      </x:c>
      <x:c r="B10" s="17" t="str">
        <x:v>邀请 20 人</x:v>
      </x:c>
      <x:c r="C10" s="17" t="n">
        <x:v>20</x:v>
      </x:c>
      <x:c r="D10" s="17" t="n">
        <x:v>0</x:v>
      </x:c>
      <x:c r="E10" s="17" t="str">
        <x:v>每成功邀请 1 人 +1</x:v>
      </x:c>
      <x:c r="F10" s="17" t="str">
        <x:v>邀请码/邀请</x:v>
      </x:c>
      <x:c r="G10" s="17" t="str">
        <x:v>社交行为；资源成本录屏未展示</x:v>
      </x:c>
      <x:c r="H10" s="17" t="n">
        <x:v>0</x:v>
      </x:c>
      <x:c r="I10" s="17" t="str">
        <x:v>未完成</x:v>
      </x:c>
      <x:c r="J10" s="17" t="str">
        <x:v>录屏未展示</x:v>
      </x:c>
      <x:c r="K10" s="17" t="str">
        <x:v>1000 能量</x:v>
      </x:c>
      <x:c r="L10" s="17" t="str">
        <x:v>见同模块相邻行</x:v>
      </x:c>
      <x:c r="M10" s="17" t="str">
        <x:v>TT_NEW_03</x:v>
      </x:c>
      <x:c r="N10" s="17" t="str">
        <x:v>00:01:40</x:v>
      </x:c>
      <x:c r="O10" s="18" t="str">
        <x:v>/Users/mac/Documents/智囊团/video_analysis/Top_Tycoon新号流程_20260804/frames/TT_NEW_03/TT_NEW_03_t000100.jpg</x:v>
      </x:c>
      <x:c r="P10" s="17" t="str">
        <x:v>已确认</x:v>
      </x:c>
      <x:c r="Q10" s="17" t="str">
        <x:v>A</x:v>
      </x:c>
      <x:c r="R10" s="17" t="str">
        <x:v>单一界面完整展示阶梯。</x:v>
      </x:c>
    </x:row>
    <x:row r="11">
      <x:c r="A11" s="17" t="str">
        <x:v>Lead Pursuit</x:v>
      </x:c>
      <x:c r="B11" s="17" t="str">
        <x:v>Day 1</x:v>
      </x:c>
      <x:c r="C11" s="17" t="n">
        <x:v>3200</x:v>
      </x:c>
      <x:c r="D11" s="17" t="n">
        <x:v>280</x:v>
      </x:c>
      <x:c r="E11" s="17" t="str">
        <x:v>完成任务获得放大镜积分</x:v>
      </x:c>
      <x:c r="F11" s="17" t="str">
        <x:v>Bonus、Attack、Credit Grab、Spin、Site tasks</x:v>
      </x:c>
      <x:c r="G11" s="17" t="str">
        <x:v>任务行为成本；部分依赖 Spin/建造</x:v>
      </x:c>
      <x:c r="H11" s="17" t="str">
        <x:v>任务清单可见，完整日循环未展示</x:v>
      </x:c>
      <x:c r="I11" s="17" t="str">
        <x:v>进行中</x:v>
      </x:c>
      <x:c r="J11" s="17" t="str">
        <x:v>跨日保留规则录屏未展示</x:v>
      </x:c>
      <x:c r="K11" s="17" t="str">
        <x:v>里程碑：600→60能量；1200→600K金币；1800→170能量；2400→310能量；3000→Wild</x:v>
      </x:c>
      <x:c r="L11" s="17" t="str">
        <x:v>Day 2 锁定</x:v>
      </x:c>
      <x:c r="M11" s="17" t="str">
        <x:v>TT_NEW_03</x:v>
      </x:c>
      <x:c r="N11" s="17" t="str">
        <x:v>00:02:29</x:v>
      </x:c>
      <x:c r="O11" s="18" t="str">
        <x:v>/Users/mac/Documents/智囊团/video_analysis/Top_Tycoon新号流程_20260804/frames/TT_NEW_03/TT_NEW_03_t000149.jpg</x:v>
      </x:c>
      <x:c r="P11" s="17" t="str">
        <x:v>已确认</x:v>
      </x:c>
      <x:c r="Q11" s="17" t="str">
        <x:v>A</x:v>
      </x:c>
      <x:c r="R11" s="17" t="str">
        <x:v>任务奖励可见：25 Bonus pts→40积分+20K；Attack 1→80；Credit Grab 1→100+20K；9 Spins→100+20K；10 Site tasks→120。</x:v>
      </x:c>
    </x:row>
    <x:row r="12">
      <x:c r="A12" s="17" t="str">
        <x:v>Lead Pursuit</x:v>
      </x:c>
      <x:c r="B12" s="17" t="str">
        <x:v>Day 5</x:v>
      </x:c>
      <x:c r="C12" s="17" t="n">
        <x:v>3200</x:v>
      </x:c>
      <x:c r="D12" s="17" t="n">
        <x:v>880</x:v>
      </x:c>
      <x:c r="E12" s="17" t="str">
        <x:v>完成任务获得放大镜积分</x:v>
      </x:c>
      <x:c r="F12" s="17" t="str">
        <x:v>日历、Attack、Credit Grab、Bonus、Site tasks</x:v>
      </x:c>
      <x:c r="G12" s="17" t="str">
        <x:v>任务行为成本；部分依赖 Spin/建造</x:v>
      </x:c>
      <x:c r="H12" s="17" t="str">
        <x:v>完整日循环未展示</x:v>
      </x:c>
      <x:c r="I12" s="17" t="str">
        <x:v>进行中</x:v>
      </x:c>
      <x:c r="J12" s="17" t="str">
        <x:v>录屏未展示</x:v>
      </x:c>
      <x:c r="K12" s="17" t="str">
        <x:v>里程碑同页可见；部分奖励已领取</x:v>
      </x:c>
      <x:c r="L12" s="17" t="str">
        <x:v>Day 6 锁定</x:v>
      </x:c>
      <x:c r="M12" s="17" t="str">
        <x:v>TT_NEW_05</x:v>
      </x:c>
      <x:c r="N12" s="17" t="str">
        <x:v>00:31:07</x:v>
      </x:c>
      <x:c r="O12" s="18" t="str">
        <x:v>/Users/mac/Documents/智囊团/video_analysis/Top_Tycoon新号流程_20260804/frames/TT_NEW_05/TT_NEW_05_t001867.jpg</x:v>
      </x:c>
      <x:c r="P12" s="17" t="str">
        <x:v>已确认</x:v>
      </x:c>
      <x:c r="Q12" s="17" t="str">
        <x:v>A</x:v>
      </x:c>
      <x:c r="R12" s="17" t="str">
        <x:v>任务规模已膨胀至 Attack 160、Credit Grab 140、Bonus 7200、Site tasks 80。</x:v>
      </x:c>
    </x:row>
    <x:row r="13">
      <x:c r="A13" s="17" t="str">
        <x:v>Strike Lucky</x:v>
      </x:c>
      <x:c r="B13" s="17" t="str">
        <x:v>蓝环探索</x:v>
      </x:c>
      <x:c r="C13" s="17" t="str">
        <x:v>落到宝箱/红环并推进</x:v>
      </x:c>
      <x:c r="D13" s="17" t="str">
        <x:v>3 代币可见</x:v>
      </x:c>
      <x:c r="E13" s="17" t="str">
        <x:v>每次探索消耗 1 代币</x:v>
      </x:c>
      <x:c r="F13" s="17" t="str">
        <x:v>Slot 产出代币</x:v>
      </x:c>
      <x:c r="G13" s="17" t="str">
        <x:v>1 Strike 代币</x:v>
      </x:c>
      <x:c r="H13" s="17" t="str">
        <x:v>完整棋盘结算未覆盖</x:v>
      </x:c>
      <x:c r="I13" s="17" t="str">
        <x:v>机制已展示</x:v>
      </x:c>
      <x:c r="J13" s="17" t="str">
        <x:v>棋盘保留规则录屏未展示</x:v>
      </x:c>
      <x:c r="K13" s="17" t="str">
        <x:v>棋盘含金币、能量、卡包、Wild、宝箱；顶部组合示例 750/190 能量</x:v>
      </x:c>
      <x:c r="L13" s="17" t="str">
        <x:v>Surprise Box 进入内环</x:v>
      </x:c>
      <x:c r="M13" s="17" t="str">
        <x:v>TT_NEW_05</x:v>
      </x:c>
      <x:c r="N13" s="17" t="str">
        <x:v>00:02:47</x:v>
      </x:c>
      <x:c r="O13" s="18" t="str">
        <x:v>/Users/mac/Documents/智囊团/video_analysis/Top_Tycoon新号流程_20260804/frames/TT_NEW_05/TT_NEW_05_t000167.jpg</x:v>
      </x:c>
      <x:c r="P13" s="17" t="str">
        <x:v>已确认</x:v>
      </x:c>
      <x:c r="Q13" s="17" t="str">
        <x:v>A</x:v>
      </x:c>
      <x:c r="R13" s="17" t="str">
        <x:v>只确认入口、单位消耗与可见奖格；未形成成功率和期望奖励样本。</x:v>
      </x:c>
    </x:row>
    <x:row r="14">
      <x:c r="A14" s="17" t="str">
        <x:v>Whack a Pig</x:v>
      </x:c>
      <x:c r="B14" s="17" t="str">
        <x:v>第 1 层</x:v>
      </x:c>
      <x:c r="C14" s="17" t="str">
        <x:v>击破 1 只猪以推进 0/1</x:v>
      </x:c>
      <x:c r="D14" s="17" t="n">
        <x:v>0</x:v>
      </x:c>
      <x:c r="E14" s="17" t="str">
        <x:v>每锤击打 1 个目标，结果可能含奖励或 TNT</x:v>
      </x:c>
      <x:c r="F14" s="17" t="str">
        <x:v>锤子；来源界面录屏未完整展示</x:v>
      </x:c>
      <x:c r="G14" s="17" t="str">
        <x:v>1 锤/次（界面持有 5）</x:v>
      </x:c>
      <x:c r="H14" s="17" t="str">
        <x:v>单轮未完整覆盖</x:v>
      </x:c>
      <x:c r="I14" s="17" t="str">
        <x:v>教程中</x:v>
      </x:c>
      <x:c r="J14" s="17" t="str">
        <x:v>录屏未展示</x:v>
      </x:c>
      <x:c r="K14" s="17" t="str">
        <x:v>可见能量档：35 / 380 / 1500</x:v>
      </x:c>
      <x:c r="L14" s="17" t="str">
        <x:v>层级 2 锁定</x:v>
      </x:c>
      <x:c r="M14" s="17" t="str">
        <x:v>TT_NEW_05</x:v>
      </x:c>
      <x:c r="N14" s="17" t="str">
        <x:v>00:03:45</x:v>
      </x:c>
      <x:c r="O14" s="18" t="str">
        <x:v>/Users/mac/Documents/智囊团/video_analysis/Top_Tycoon新号流程_20260804/frames/TT_NEW_05/TT_NEW_05_t000225.jpg</x:v>
      </x:c>
      <x:c r="P14" s="17" t="str">
        <x:v>已确认</x:v>
      </x:c>
      <x:c r="Q14" s="17" t="str">
        <x:v>A</x:v>
      </x:c>
      <x:c r="R14" s="17" t="str">
        <x:v>无法仅凭教程页计算击中概率、失败成本或毕业成本。</x:v>
      </x:c>
    </x:row>
    <x:row r="15">
      <x:c r="A15" s="17" t="str">
        <x:v>Jackpot 三轨板</x:v>
      </x:c>
      <x:c r="B15" s="17" t="str">
        <x:v>Stage 1</x:v>
      </x:c>
      <x:c r="C15" s="17" t="str">
        <x:v>每种宝石 3 个</x:v>
      </x:c>
      <x:c r="D15" s="17" t="n">
        <x:v>0</x:v>
      </x:c>
      <x:c r="E15" s="17" t="str">
        <x:v>不同轨道独立推进</x:v>
      </x:c>
      <x:c r="F15" s="17" t="str">
        <x:v>门票</x:v>
      </x:c>
      <x:c r="G15" s="17" t="str">
        <x:v>绿/蓝/紫轨分别 2/5/10 门票</x:v>
      </x:c>
      <x:c r="H15" s="17" t="str">
        <x:v>持有 5 门票；完整结算未覆盖</x:v>
      </x:c>
      <x:c r="I15" s="17" t="str">
        <x:v>教程中</x:v>
      </x:c>
      <x:c r="J15" s="17" t="str">
        <x:v>录屏未展示</x:v>
      </x:c>
      <x:c r="K15" s="17" t="str">
        <x:v>绿 60、蓝 360、紫 1.3K 能量</x:v>
      </x:c>
      <x:c r="L15" s="17" t="str">
        <x:v>Stage 2 锁定</x:v>
      </x:c>
      <x:c r="M15" s="17" t="str">
        <x:v>TT_NEW_03</x:v>
      </x:c>
      <x:c r="N15" s="17" t="str">
        <x:v>00:24:16</x:v>
      </x:c>
      <x:c r="O15" s="18" t="str">
        <x:v>/Users/mac/Documents/智囊团/video_analysis/Top_Tycoon新号流程_20260804/frames/TT_NEW_03/TT_NEW_03_t001456.jpg</x:v>
      </x:c>
      <x:c r="P15" s="17" t="str">
        <x:v>已确认</x:v>
      </x:c>
      <x:c r="Q15" s="17" t="str">
        <x:v>A</x:v>
      </x:c>
      <x:c r="R15" s="17" t="str">
        <x:v>只确认票价与首层目标/奖励；随机命中率录屏未展示。</x:v>
      </x:c>
    </x:row>
    <x:row r="16">
      <x:c r="A16" s="17" t="str">
        <x:v>Tycoon Pass</x:v>
      </x:c>
      <x:c r="B16" s="17" t="str">
        <x:v>Phase 1 / 节点 4</x:v>
      </x:c>
      <x:c r="C16" s="17" t="n">
        <x:v>60</x:v>
      </x:c>
      <x:c r="D16" s="17" t="n">
        <x:v>25</x:v>
      </x:c>
      <x:c r="E16" s="17" t="str">
        <x:v>Pass 进度来源录屏未完整展示</x:v>
      </x:c>
      <x:c r="F16" s="17" t="str">
        <x:v>任务/活动行为</x:v>
      </x:c>
      <x:c r="G16" s="17" t="str">
        <x:v>免费轨与付费轨结构可见，价格该页未展示</x:v>
      </x:c>
      <x:c r="H16" s="17" t="str">
        <x:v>进行中</x:v>
      </x:c>
      <x:c r="I16" s="17" t="str">
        <x:v>25/60</x:v>
      </x:c>
      <x:c r="J16" s="17" t="str">
        <x:v>周期 14d18h 可见；重置规则录屏未展示</x:v>
      </x:c>
      <x:c r="K16" s="17" t="str">
        <x:v>沿路径节点领取，当前节点为 Three Pigs Spin</x:v>
      </x:c>
      <x:c r="L16" s="17" t="str">
        <x:v>节点 5</x:v>
      </x:c>
      <x:c r="M16" s="17" t="str">
        <x:v>TT_NEW_03</x:v>
      </x:c>
      <x:c r="N16" s="17" t="str">
        <x:v>00:17:05</x:v>
      </x:c>
      <x:c r="O16" s="18" t="str">
        <x:v>/Users/mac/Documents/智囊团/video_analysis/Top_Tycoon新号流程_20260804/frames/TT_NEW_03/TT_NEW_03_t001025.jpg</x:v>
      </x:c>
      <x:c r="P16" s="17" t="str">
        <x:v>已确认</x:v>
      </x:c>
      <x:c r="Q16" s="17" t="str">
        <x:v>A</x:v>
      </x:c>
      <x:c r="R16" s="17" t="str">
        <x:v>未展示完整免费/付费两轨总奖励，不能计算通行证总价值。</x:v>
      </x:c>
    </x:row>
    <x:row r="17">
      <x:c r="A17" s="17" t="str">
        <x:v>Boxing Pass</x:v>
      </x:c>
      <x:c r="B17" s="17" t="str">
        <x:v>等级 1–6 可见</x:v>
      </x:c>
      <x:c r="C17" s="17" t="str">
        <x:v>每级 1 门票进度</x:v>
      </x:c>
      <x:c r="D17" s="17" t="n">
        <x:v>0</x:v>
      </x:c>
      <x:c r="E17" s="17" t="str">
        <x:v>门票来源录屏未展示</x:v>
      </x:c>
      <x:c r="F17" s="17" t="str">
        <x:v>门票</x:v>
      </x:c>
      <x:c r="G17" s="17" t="str">
        <x:v>付费轨 HK$40（展示页）</x:v>
      </x:c>
      <x:c r="H17" s="17" t="str">
        <x:v>0/1</x:v>
      </x:c>
      <x:c r="I17" s="17" t="str">
        <x:v>等级 3 可见</x:v>
      </x:c>
      <x:c r="J17" s="17" t="str">
        <x:v>周期 2d12h 可见</x:v>
      </x:c>
      <x:c r="K17" s="17" t="str">
        <x:v>付费轨标称总计 940 能量；免费/付费分层奖励可见</x:v>
      </x:c>
      <x:c r="L17" s="17" t="str">
        <x:v>后续等级未完整展示</x:v>
      </x:c>
      <x:c r="M17" s="17" t="str">
        <x:v>TT_NEW_03</x:v>
      </x:c>
      <x:c r="N17" s="17" t="str">
        <x:v>00:24:25</x:v>
      </x:c>
      <x:c r="O17" s="18" t="str">
        <x:v>/Users/mac/Documents/智囊团/video_analysis/Top_Tycoon新号流程_20260804/frames/TT_NEW_03/TT_NEW_03_t001465.jpg</x:v>
      </x:c>
      <x:c r="P17" s="17" t="str">
        <x:v>已确认</x:v>
      </x:c>
      <x:c r="Q17" s="17" t="str">
        <x:v>A</x:v>
      </x:c>
      <x:c r="R17" s="17" t="str">
        <x:v>标称总计不等于已领取；未观察购买。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6" customHeight="1">
      <x:c r="A1" s="22" t="str">
        <x:v>全局资源循环｜可识别项与门控模型</x:v>
      </x:c>
      <x:c r="B1" s="22" t="str">
        <x:v>全局资源循环｜可识别项与门控模型</x:v>
      </x:c>
      <x:c r="C1" s="22" t="str">
        <x:v>全局资源循环｜可识别项与门控模型</x:v>
      </x:c>
      <x:c r="D1" s="22" t="str">
        <x:v>全局资源循环｜可识别项与门控模型</x:v>
      </x:c>
      <x:c r="E1" s="22" t="str">
        <x:v>全局资源循环｜可识别项与门控模型</x:v>
      </x:c>
      <x:c r="F1" s="22" t="str">
        <x:v>全局资源循环｜可识别项与门控模型</x:v>
      </x:c>
      <x:c r="G1" s="22" t="str">
        <x:v>全局资源循环｜可识别项与门控模型</x:v>
      </x:c>
      <x:c r="H1" s="22" t="str">
        <x:v>全局资源循环｜可识别项与门控模型</x:v>
      </x:c>
    </x:row>
    <x:row r="3" ht="30" customHeight="1">
      <x:c r="A3" s="33" t="str">
        <x:v>输入/指标</x:v>
      </x:c>
      <x:c r="B3" s="35" t="str">
        <x:v>值</x:v>
      </x:c>
      <x:c r="D3" s="52" t="str">
        <x:v>状态节点</x:v>
      </x:c>
      <x:c r="E3" s="53" t="str">
        <x:v>状态节点</x:v>
      </x:c>
      <x:c r="F3" s="53" t="str">
        <x:v>状态节点</x:v>
      </x:c>
      <x:c r="G3" s="53" t="str">
        <x:v>状态节点</x:v>
      </x:c>
      <x:c r="H3" s="54" t="str">
        <x:v>状态节点</x:v>
      </x:c>
    </x:row>
    <x:row r="4" ht="30" customHeight="1">
      <x:c r="A4" t="str">
        <x:v>示例分层</x:v>
      </x:c>
      <x:c r="B4" t="str">
        <x:v>TT_NEW_01 x1（新手段，方向性）</x:v>
      </x:c>
      <x:c r="D4" s="33" t="str">
        <x:v>节点</x:v>
      </x:c>
      <x:c r="E4" s="34" t="str">
        <x:v>输入</x:v>
      </x:c>
      <x:c r="F4" s="34" t="str">
        <x:v>可见转移</x:v>
      </x:c>
      <x:c r="G4" s="34" t="str">
        <x:v>输出</x:v>
      </x:c>
      <x:c r="H4" s="35" t="str">
        <x:v>识别状态</x:v>
      </x:c>
    </x:row>
    <x:row r="5">
      <x:c r="A5" t="str">
        <x:v>初始能量</x:v>
      </x:c>
      <x:c r="B5" s="55" t="n">
        <x:v>50</x:v>
      </x:c>
      <x:c r="D5" s="90" t="str">
        <x:v>能量</x:v>
      </x:c>
      <x:c r="E5" s="90" t="str">
        <x:v>免费/礼包/活动</x:v>
      </x:c>
      <x:c r="F5" s="90" t="str">
        <x:v>下注后进入 Slot</x:v>
      </x:c>
      <x:c r="G5" s="90" t="str">
        <x:v>Spin 次数</x:v>
      </x:c>
      <x:c r="H5" s="90" t="str">
        <x:v>已确认</x:v>
      </x:c>
    </x:row>
    <x:row r="6">
      <x:c r="A6" t="str">
        <x:v>初筛样本门槛</x:v>
      </x:c>
      <x:c r="B6" s="55" t="n">
        <x:v>500</x:v>
      </x:c>
      <x:c r="D6" s="90" t="str">
        <x:v>Slot</x:v>
      </x:c>
      <x:c r="E6" s="90" t="str">
        <x:v>BET × 能量</x:v>
      </x:c>
      <x:c r="F6" s="90" t="str">
        <x:v>结算图标/特殊事件</x:v>
      </x:c>
      <x:c r="G6" s="90" t="str">
        <x:v>金币/能量/进度</x:v>
      </x:c>
      <x:c r="H6" s="90" t="str">
        <x:v>已确认；概率方向性</x:v>
      </x:c>
    </x:row>
    <x:row r="7">
      <x:c r="A7" t="str">
        <x:v>有效样本 n</x:v>
      </x:c>
      <x:c r="B7" t="n">
        <x:f>'奖励表'!C4</x:f>
        <x:v>44</x:v>
      </x:c>
      <x:c r="D7" s="90" t="str">
        <x:v>主进度</x:v>
      </x:c>
      <x:c r="E7" s="90" t="str">
        <x:v>Slot 结果贡献</x:v>
      </x:c>
      <x:c r="F7" s="90" t="str">
        <x:v>达到阈值领奖</x:v>
      </x:c>
      <x:c r="G7" s="90" t="str">
        <x:v>能量等</x:v>
      </x:c>
      <x:c r="H7" s="90" t="str">
        <x:v>节点可见，完整轮次缺失</x:v>
      </x:c>
    </x:row>
    <x:row r="8">
      <x:c r="A8" t="str">
        <x:v>均次能量消耗</x:v>
      </x:c>
      <x:c r="B8" t="n">
        <x:f>'奖励表'!D4</x:f>
        <x:v>1</x:v>
      </x:c>
      <x:c r="D8" s="90" t="str">
        <x:v>小游戏</x:v>
      </x:c>
      <x:c r="E8" s="90" t="str">
        <x:v>代币/门票/锤子</x:v>
      </x:c>
      <x:c r="F8" s="90" t="str">
        <x:v>关卡或棋盘</x:v>
      </x:c>
      <x:c r="G8" s="90" t="str">
        <x:v>金币/能量/卡包</x:v>
      </x:c>
      <x:c r="H8" s="90" t="str">
        <x:v>机制已确认，期望值缺失</x:v>
      </x:c>
    </x:row>
    <x:row r="9">
      <x:c r="A9" t="str">
        <x:v>均次直接能量返还</x:v>
      </x:c>
      <x:c r="B9" t="n">
        <x:f>'奖励表'!H4</x:f>
        <x:v>0.7954545454545454</x:v>
      </x:c>
      <x:c r="D9" s="90" t="str">
        <x:v>建造</x:v>
      </x:c>
      <x:c r="E9" s="90" t="str">
        <x:v>金币</x:v>
      </x:c>
      <x:c r="F9" s="90" t="str">
        <x:v>Site tasks/地图推进</x:v>
      </x:c>
      <x:c r="G9" s="90" t="str">
        <x:v>主进度/任务</x:v>
      </x:c>
      <x:c r="H9" s="90" t="str">
        <x:v>仅记金币去向，不拆成本曲线</x:v>
      </x:c>
    </x:row>
    <x:row r="10">
      <x:c r="A10" t="str">
        <x:v>观察自返还率 r</x:v>
      </x:c>
      <x:c r="B10" s="36" t="n">
        <x:f>IFERROR(B9/B8,0)</x:f>
        <x:v>0.7954545454545454</x:v>
      </x:c>
      <x:c r="D10" s="90" t="str">
        <x:v>付费</x:v>
      </x:c>
      <x:c r="E10" s="90" t="str">
        <x:v>HK$</x:v>
      </x:c>
      <x:c r="F10" s="90" t="str">
        <x:v>直给或解锁奖励轨</x:v>
      </x:c>
      <x:c r="G10" s="90" t="str">
        <x:v>资源/权益</x:v>
      </x:c>
      <x:c r="H10" s="90" t="str">
        <x:v>仅 offer_shown，无购买因果</x:v>
      </x:c>
    </x:row>
    <x:row r="11">
      <x:c r="A11" t="str">
        <x:v>门控后的理论 Spin 倍数</x:v>
      </x:c>
      <x:c r="B11" t="str">
        <x:f>IF(AND(B10&lt;1,B7&gt;=B6),1/(1-B10),"不用于主结论")</x:f>
        <x:v>不用于主结论</x:v>
      </x:c>
    </x:row>
    <x:row r="12">
      <x:c r="A12" t="str">
        <x:v>不门控的方向性倍数</x:v>
      </x:c>
      <x:c r="B12" t="n">
        <x:f>IF(B10&lt;1,1/(1-B10),"不收敛")</x:f>
        <x:v>4.8888888888888875</x:v>
      </x:c>
    </x:row>
    <x:row r="13">
      <x:c r="A13" t="str">
        <x:v>方向性总 Spin</x:v>
      </x:c>
      <x:c r="B13" t="n">
        <x:f>IF(ISNUMBER(B12),B5/B8*B12,"不收敛")</x:f>
        <x:v>244.44444444444437</x:v>
      </x:c>
    </x:row>
  </x:sheetData>
  <x:mergeCells>
    <x:mergeCell ref="A1:H1"/>
    <x:mergeCell ref="D3:H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2" hidden="0" customWidth="1"/>
    <x:col min="4" max="4" width="20" hidden="0" customWidth="1"/>
    <x:col min="5" max="5" width="27" hidden="0" customWidth="1"/>
    <x:col min="6" max="6" width="12" hidden="0" customWidth="1"/>
    <x:col min="7" max="7" width="12" hidden="0" customWidth="1"/>
    <x:col min="8" max="8" width="16" hidden="0" customWidth="1"/>
    <x:col min="9" max="9" width="22" hidden="0" customWidth="1"/>
    <x:col min="10" max="10" width="32" hidden="0" customWidth="1"/>
    <x:col min="11" max="11" width="22" hidden="0" customWidth="1"/>
    <x:col min="12" max="12" width="18" hidden="0" customWidth="1"/>
    <x:col min="13" max="13" width="28" hidden="0" customWidth="1"/>
    <x:col min="14" max="14" width="28" hidden="0" customWidth="1"/>
    <x:col min="15" max="15" width="18" hidden="0" customWidth="1"/>
    <x:col min="16" max="16" width="18" hidden="0" customWidth="1"/>
    <x:col min="17" max="17" width="18" hidden="0" customWidth="1"/>
    <x:col min="18" max="18" width="68" hidden="0" customWidth="1"/>
    <x:col min="19" max="19" width="13" hidden="0" customWidth="1"/>
    <x:col min="20" max="20" width="11" hidden="0" customWidth="1"/>
    <x:col min="21" max="21" width="52" hidden="0" customWidth="1"/>
    <x:col min="22" max="22" width="19" hidden="0" customWidth="1"/>
    <x:col min="23" max="23" width="28" hidden="0" customWidth="1"/>
  </x:cols>
  <x:sheetData>
    <x:row r="1" ht="30" customHeight="1">
      <x:c r="A1" s="14" t="str">
        <x:v>purchase_id</x:v>
      </x:c>
      <x:c r="B1" s="15" t="str">
        <x:v>video_id</x:v>
      </x:c>
      <x:c r="C1" s="15" t="str">
        <x:v>timestamp</x:v>
      </x:c>
      <x:c r="D1" s="15" t="str">
        <x:v>event_type</x:v>
      </x:c>
      <x:c r="E1" s="15" t="str">
        <x:v>offer_name</x:v>
      </x:c>
      <x:c r="F1" s="15" t="str">
        <x:v>local_currency</x:v>
      </x:c>
      <x:c r="G1" s="15" t="str">
        <x:v>local_price</x:v>
      </x:c>
      <x:c r="H1" s="15" t="str">
        <x:v>direct_energy</x:v>
      </x:c>
      <x:c r="I1" s="15" t="str">
        <x:v>direct_coins</x:v>
      </x:c>
      <x:c r="J1" s="15" t="str">
        <x:v>other_contents</x:v>
      </x:c>
      <x:c r="K1" s="15" t="str">
        <x:v>time_limited_contents</x:v>
      </x:c>
      <x:c r="L1" s="15" t="str">
        <x:v>buff</x:v>
      </x:c>
      <x:c r="M1" s="15" t="str">
        <x:v>vip_change</x:v>
      </x:c>
      <x:c r="N1" s="15" t="str">
        <x:v>unlock_content</x:v>
      </x:c>
      <x:c r="O1" s="15" t="str">
        <x:v>purchase_observed</x:v>
      </x:c>
      <x:c r="P1" s="15" t="str">
        <x:v>pre_window</x:v>
      </x:c>
      <x:c r="Q1" s="15" t="str">
        <x:v>post_window</x:v>
      </x:c>
      <x:c r="R1" s="15" t="str">
        <x:v>evidence_path</x:v>
      </x:c>
      <x:c r="S1" s="15" t="str">
        <x:v>status</x:v>
      </x:c>
      <x:c r="T1" s="15" t="str">
        <x:v>confidence</x:v>
      </x:c>
      <x:c r="U1" s="16" t="str">
        <x:v>notes</x:v>
      </x:c>
      <x:c r="V1" s="33" t="str">
        <x:v>HK$/可见能量</x:v>
      </x:c>
      <x:c r="W1" s="35" t="str">
        <x:v>可用于什么结论</x:v>
      </x:c>
    </x:row>
    <x:row r="2">
      <x:c r="A2" s="17" t="str">
        <x:v>OFFER_001</x:v>
      </x:c>
      <x:c r="B2" s="17" t="str">
        <x:v>TT_NEW_03</x:v>
      </x:c>
      <x:c r="C2" s="17" t="str">
        <x:v>00:00:25</x:v>
      </x:c>
      <x:c r="D2" s="17" t="str">
        <x:v>offer_shown</x:v>
      </x:c>
      <x:c r="E2" s="17" t="str">
        <x:v>Chapter Prize</x:v>
      </x:c>
      <x:c r="F2" s="17" t="str">
        <x:v>HKD</x:v>
      </x:c>
      <x:c r="G2" s="91" t="n">
        <x:v>40</x:v>
      </x:c>
      <x:c r="H2" s="17" t="n">
        <x:v>2060</x:v>
      </x:c>
      <x:c r="I2" s="17" t="str">
        <x:v>录屏未展示</x:v>
      </x:c>
      <x:c r="J2" s="17" t="str">
        <x:v>礼包图标；明细录屏未展示</x:v>
      </x:c>
      <x:c r="K2" s="17" t="str">
        <x:v>未知</x:v>
      </x:c>
      <x:c r="L2" s="17" t="str">
        <x:v>未知</x:v>
      </x:c>
      <x:c r="M2" s="17" t="str">
        <x:v>录屏未展示</x:v>
      </x:c>
      <x:c r="N2" s="17" t="str">
        <x:v>Chapter Prize</x:v>
      </x:c>
      <x:c r="O2" s="17" t="str">
        <x:v>否</x:v>
      </x:c>
      <x:c r="P2" s="17" t="str">
        <x:v>无购买事件</x:v>
      </x:c>
      <x:c r="Q2" s="17" t="str">
        <x:v>无购买事件</x:v>
      </x:c>
      <x:c r="R2" s="18" t="str">
        <x:v>/Users/mac/Documents/智囊团/video_analysis/Top_Tycoon新号流程_20260804/frames/TT_NEW_03/TT_NEW_03_t000025.jpg</x:v>
      </x:c>
      <x:c r="S2" s="17" t="str">
        <x:v>已确认</x:v>
      </x:c>
      <x:c r="T2" s="17" t="str">
        <x:v>A</x:v>
      </x:c>
      <x:c r="U2" s="17" t="str">
        <x:v>Up to 2.06K 为界面标称上限，不等于即时到账。</x:v>
      </x:c>
      <x:c r="V2" s="92" t="n">
        <x:f>IFERROR(G2/H2,"")</x:f>
        <x:v>0.019417475728155338</x:v>
      </x:c>
      <x:c r="W2" t="str">
        <x:f>IF(O2="是","可做购买前后窗","仅展示，不推断购买效果")</x:f>
        <x:v>仅展示，不推断购买效果</x:v>
      </x:c>
    </x:row>
    <x:row r="3">
      <x:c r="A3" s="17" t="str">
        <x:v>OFFER_002</x:v>
      </x:c>
      <x:c r="B3" s="17" t="str">
        <x:v>TT_NEW_03</x:v>
      </x:c>
      <x:c r="C3" s="17" t="str">
        <x:v>00:00:25</x:v>
      </x:c>
      <x:c r="D3" s="17" t="str">
        <x:v>offer_shown</x:v>
      </x:c>
      <x:c r="E3" s="17" t="str">
        <x:v>Mission Pass</x:v>
      </x:c>
      <x:c r="F3" s="17" t="str">
        <x:v>HKD</x:v>
      </x:c>
      <x:c r="G3" s="91" t="n">
        <x:v>55.9</x:v>
      </x:c>
      <x:c r="H3" s="17" t="n">
        <x:v>4000</x:v>
      </x:c>
      <x:c r="I3" s="17" t="str">
        <x:v>录屏未展示</x:v>
      </x:c>
      <x:c r="J3" s="17" t="str">
        <x:v>通行证周期奖励</x:v>
      </x:c>
      <x:c r="K3" s="17" t="str">
        <x:v>是</x:v>
      </x:c>
      <x:c r="L3" s="17" t="str">
        <x:v>未知</x:v>
      </x:c>
      <x:c r="M3" s="17" t="str">
        <x:v>录屏未展示</x:v>
      </x:c>
      <x:c r="N3" s="17" t="str">
        <x:v>Mission Pass</x:v>
      </x:c>
      <x:c r="O3" s="17" t="str">
        <x:v>否</x:v>
      </x:c>
      <x:c r="P3" s="17" t="str">
        <x:v>无购买事件</x:v>
      </x:c>
      <x:c r="Q3" s="17" t="str">
        <x:v>无购买事件</x:v>
      </x:c>
      <x:c r="R3" s="18" t="str">
        <x:v>/Users/mac/Documents/智囊团/video_analysis/Top_Tycoon新号流程_20260804/frames/TT_NEW_03/TT_NEW_03_t000025.jpg</x:v>
      </x:c>
      <x:c r="S3" s="17" t="str">
        <x:v>已确认</x:v>
      </x:c>
      <x:c r="T3" s="17" t="str">
        <x:v>A</x:v>
      </x:c>
      <x:c r="U3" s="17" t="str">
        <x:v>Up to 4K 为界面标称总量。</x:v>
      </x:c>
      <x:c r="V3" s="92" t="n">
        <x:f>IFERROR(G3/H3,"")</x:f>
        <x:v>0.013975</x:v>
      </x:c>
      <x:c r="W3" t="str">
        <x:f>IF(O3="是","可做购买前后窗","仅展示，不推断购买效果")</x:f>
        <x:v>仅展示，不推断购买效果</x:v>
      </x:c>
    </x:row>
    <x:row r="4">
      <x:c r="A4" s="17" t="str">
        <x:v>OFFER_003</x:v>
      </x:c>
      <x:c r="B4" s="17" t="str">
        <x:v>TT_NEW_03</x:v>
      </x:c>
      <x:c r="C4" s="17" t="str">
        <x:v>00:00:25</x:v>
      </x:c>
      <x:c r="D4" s="17" t="str">
        <x:v>offer_shown</x:v>
      </x:c>
      <x:c r="E4" s="17" t="str">
        <x:v>Ads Removal Pack</x:v>
      </x:c>
      <x:c r="F4" s="17" t="str">
        <x:v>HKD</x:v>
      </x:c>
      <x:c r="G4" s="91" t="n">
        <x:v>40</x:v>
      </x:c>
      <x:c r="H4" s="17" t="n">
        <x:v>130</x:v>
      </x:c>
      <x:c r="I4" s="17" t="n">
        <x:v>60000</x:v>
      </x:c>
      <x:c r="J4" s="17" t="str">
        <x:v>去广告权益</x:v>
      </x:c>
      <x:c r="K4" s="17" t="str">
        <x:v>录屏未展示</x:v>
      </x:c>
      <x:c r="L4" s="17" t="str">
        <x:v>移除广告</x:v>
      </x:c>
      <x:c r="M4" s="17" t="str">
        <x:v>录屏未展示</x:v>
      </x:c>
      <x:c r="N4" s="17" t="str">
        <x:v>Ads Removal</x:v>
      </x:c>
      <x:c r="O4" s="17" t="str">
        <x:v>否</x:v>
      </x:c>
      <x:c r="P4" s="17" t="str">
        <x:v>无购买事件</x:v>
      </x:c>
      <x:c r="Q4" s="17" t="str">
        <x:v>无购买事件</x:v>
      </x:c>
      <x:c r="R4" s="18" t="str">
        <x:v>/Users/mac/Documents/智囊团/video_analysis/Top_Tycoon新号流程_20260804/frames/TT_NEW_03/TT_NEW_03_t000025.jpg</x:v>
      </x:c>
      <x:c r="S4" s="17" t="str">
        <x:v>已确认</x:v>
      </x:c>
      <x:c r="T4" s="17" t="str">
        <x:v>A</x:v>
      </x:c>
      <x:c r="U4" s="17" t="str">
        <x:v>只记录可见直给资源与权益，不折算总价值。</x:v>
      </x:c>
      <x:c r="V4" s="92" t="n">
        <x:f>IFERROR(G4/H4,"")</x:f>
        <x:v>0.3076923076923077</x:v>
      </x:c>
      <x:c r="W4" t="str">
        <x:f>IF(O4="是","可做购买前后窗","仅展示，不推断购买效果")</x:f>
        <x:v>仅展示，不推断购买效果</x:v>
      </x:c>
    </x:row>
    <x:row r="5">
      <x:c r="A5" s="17" t="str">
        <x:v>OFFER_004</x:v>
      </x:c>
      <x:c r="B5" s="17" t="str">
        <x:v>TT_NEW_03</x:v>
      </x:c>
      <x:c r="C5" s="17" t="str">
        <x:v>00:02:00</x:v>
      </x:c>
      <x:c r="D5" s="17" t="str">
        <x:v>offer_shown</x:v>
      </x:c>
      <x:c r="E5" s="17" t="str">
        <x:v>Champion's Pack</x:v>
      </x:c>
      <x:c r="F5" s="17" t="str">
        <x:v>HKD</x:v>
      </x:c>
      <x:c r="G5" s="91" t="n">
        <x:v>788</x:v>
      </x:c>
      <x:c r="H5" s="17" t="n">
        <x:v>3700</x:v>
      </x:c>
      <x:c r="I5" s="17" t="n">
        <x:v>1800000</x:v>
      </x:c>
      <x:c r="J5" s="17" t="str">
        <x:v>无其他可见内容</x:v>
      </x:c>
      <x:c r="K5" s="17" t="str">
        <x:v>录屏未展示</x:v>
      </x:c>
      <x:c r="L5" s="17" t="str">
        <x:v>无可见</x:v>
      </x:c>
      <x:c r="M5" s="17" t="str">
        <x:v>录屏未展示</x:v>
      </x:c>
      <x:c r="N5" s="17" t="str">
        <x:v>无可见</x:v>
      </x:c>
      <x:c r="O5" s="17" t="str">
        <x:v>否</x:v>
      </x:c>
      <x:c r="P5" s="17" t="str">
        <x:v>无购买事件</x:v>
      </x:c>
      <x:c r="Q5" s="17" t="str">
        <x:v>无购买事件</x:v>
      </x:c>
      <x:c r="R5" s="18" t="str">
        <x:v>/Users/mac/Documents/智囊团/video_analysis/Top_Tycoon新号流程_20260804/frames/TT_NEW_03/TT_NEW_03_t000120.jpg</x:v>
      </x:c>
      <x:c r="S5" s="17" t="str">
        <x:v>已确认</x:v>
      </x:c>
      <x:c r="T5" s="17" t="str">
        <x:v>A</x:v>
      </x:c>
      <x:c r="U5" s="17" t="str">
        <x:v>账号阶段/价格锚点与其他视频不可无条件合并。</x:v>
      </x:c>
      <x:c r="V5" s="92" t="n">
        <x:f>IFERROR(G5/H5,"")</x:f>
        <x:v>0.21297297297297296</x:v>
      </x:c>
      <x:c r="W5" t="str">
        <x:f>IF(O5="是","可做购买前后窗","仅展示，不推断购买效果")</x:f>
        <x:v>仅展示，不推断购买效果</x:v>
      </x:c>
    </x:row>
    <x:row r="6">
      <x:c r="A6" s="17" t="str">
        <x:v>OFFER_005</x:v>
      </x:c>
      <x:c r="B6" s="17" t="str">
        <x:v>TT_NEW_05</x:v>
      </x:c>
      <x:c r="C6" s="17" t="str">
        <x:v>00:02:04</x:v>
      </x:c>
      <x:c r="D6" s="17" t="str">
        <x:v>offer_shown</x:v>
      </x:c>
      <x:c r="E6" s="17" t="str">
        <x:v>Mission Pass</x:v>
      </x:c>
      <x:c r="F6" s="17" t="str">
        <x:v>HKD</x:v>
      </x:c>
      <x:c r="G6" s="91" t="n">
        <x:v>55.9</x:v>
      </x:c>
      <x:c r="H6" s="17" t="n">
        <x:v>7100</x:v>
      </x:c>
      <x:c r="I6" s="17" t="str">
        <x:v>录屏未展示</x:v>
      </x:c>
      <x:c r="J6" s="17" t="str">
        <x:v>通行证周期奖励</x:v>
      </x:c>
      <x:c r="K6" s="17" t="str">
        <x:v>是</x:v>
      </x:c>
      <x:c r="L6" s="17" t="str">
        <x:v>未知</x:v>
      </x:c>
      <x:c r="M6" s="17" t="str">
        <x:v>Beginner 权益页可见；购买因果未展示</x:v>
      </x:c>
      <x:c r="N6" s="17" t="str">
        <x:v>Mission Pass</x:v>
      </x:c>
      <x:c r="O6" s="17" t="str">
        <x:v>否</x:v>
      </x:c>
      <x:c r="P6" s="17" t="str">
        <x:v>无购买事件</x:v>
      </x:c>
      <x:c r="Q6" s="17" t="str">
        <x:v>无购买事件</x:v>
      </x:c>
      <x:c r="R6" s="18" t="str">
        <x:v>/Users/mac/Documents/智囊团/video_analysis/Top_Tycoon新号流程_20260804/frames/TT_NEW_05/TT_NEW_05_t000124.jpg</x:v>
      </x:c>
      <x:c r="S6" s="17" t="str">
        <x:v>已确认</x:v>
      </x:c>
      <x:c r="T6" s="17" t="str">
        <x:v>A</x:v>
      </x:c>
      <x:c r="U6" s="17" t="str">
        <x:v>同价标称能量高于 TT_NEW_03，疑似阶段/账号定价或奖励缩放；缺少匹配条件，只标样本差异。</x:v>
      </x:c>
      <x:c r="V6" s="92" t="n">
        <x:f>IFERROR(G6/H6,"")</x:f>
        <x:v>0.007873239436619718</x:v>
      </x:c>
      <x:c r="W6" t="str">
        <x:f>IF(O6="是","可做购买前后窗","仅展示，不推断购买效果")</x:f>
        <x:v>仅展示，不推断购买效果</x:v>
      </x:c>
    </x:row>
    <x:row r="7">
      <x:c r="A7" s="17" t="str">
        <x:v>OFFER_006</x:v>
      </x:c>
      <x:c r="B7" s="17" t="str">
        <x:v>TT_NEW_05</x:v>
      </x:c>
      <x:c r="C7" s="17" t="str">
        <x:v>00:02:04</x:v>
      </x:c>
      <x:c r="D7" s="17" t="str">
        <x:v>offer_shown</x:v>
      </x:c>
      <x:c r="E7" s="17" t="str">
        <x:v>Champion's Pack</x:v>
      </x:c>
      <x:c r="F7" s="17" t="str">
        <x:v>HKD</x:v>
      </x:c>
      <x:c r="G7" s="91" t="n">
        <x:v>788</x:v>
      </x:c>
      <x:c r="H7" s="17" t="n">
        <x:v>6600</x:v>
      </x:c>
      <x:c r="I7" s="17" t="n">
        <x:v>4100000</x:v>
      </x:c>
      <x:c r="J7" s="17" t="str">
        <x:v>100 票券</x:v>
      </x:c>
      <x:c r="K7" s="17" t="str">
        <x:v>录屏未展示</x:v>
      </x:c>
      <x:c r="L7" s="17" t="str">
        <x:v>无可见</x:v>
      </x:c>
      <x:c r="M7" s="17" t="str">
        <x:v>录屏未展示</x:v>
      </x:c>
      <x:c r="N7" s="17" t="str">
        <x:v>无可见</x:v>
      </x:c>
      <x:c r="O7" s="17" t="str">
        <x:v>否</x:v>
      </x:c>
      <x:c r="P7" s="17" t="str">
        <x:v>无购买事件</x:v>
      </x:c>
      <x:c r="Q7" s="17" t="str">
        <x:v>无购买事件</x:v>
      </x:c>
      <x:c r="R7" s="18" t="str">
        <x:v>/Users/mac/Documents/智囊团/video_analysis/Top_Tycoon新号流程_20260804/frames/TT_NEW_05/TT_NEW_05_t000124.jpg</x:v>
      </x:c>
      <x:c r="S7" s="17" t="str">
        <x:v>已确认</x:v>
      </x:c>
      <x:c r="T7" s="17" t="str">
        <x:v>A</x:v>
      </x:c>
      <x:c r="U7" s="17" t="str">
        <x:v>混合资源礼包，未建立金币/能量兑换锚点。</x:v>
      </x:c>
      <x:c r="V7" s="92" t="n">
        <x:f>IFERROR(G7/H7,"")</x:f>
        <x:v>0.1193939393939394</x:v>
      </x:c>
      <x:c r="W7" t="str">
        <x:f>IF(O7="是","可做购买前后窗","仅展示，不推断购买效果")</x:f>
        <x:v>仅展示，不推断购买效果</x:v>
      </x:c>
    </x:row>
    <x:row r="8">
      <x:c r="A8" s="17" t="str">
        <x:v>OFFER_007</x:v>
      </x:c>
      <x:c r="B8" s="17" t="str">
        <x:v>TT_NEW_03</x:v>
      </x:c>
      <x:c r="C8" s="17" t="str">
        <x:v>00:24:25</x:v>
      </x:c>
      <x:c r="D8" s="17" t="str">
        <x:v>offer_shown</x:v>
      </x:c>
      <x:c r="E8" s="17" t="str">
        <x:v>Boxing Pass</x:v>
      </x:c>
      <x:c r="F8" s="17" t="str">
        <x:v>HKD</x:v>
      </x:c>
      <x:c r="G8" s="91" t="n">
        <x:v>40</x:v>
      </x:c>
      <x:c r="H8" s="17" t="n">
        <x:v>940</x:v>
      </x:c>
      <x:c r="I8" s="17" t="str">
        <x:v>含分层金币奖励；总量录屏未完整展示</x:v>
      </x:c>
      <x:c r="J8" s="17" t="str">
        <x:v>解锁付费奖励轨</x:v>
      </x:c>
      <x:c r="K8" s="17" t="str">
        <x:v>2d12h</x:v>
      </x:c>
      <x:c r="L8" s="17" t="str">
        <x:v>无可见</x:v>
      </x:c>
      <x:c r="M8" s="17" t="str">
        <x:v>录屏未展示</x:v>
      </x:c>
      <x:c r="N8" s="17" t="str">
        <x:v>Boxing Pass 付费轨</x:v>
      </x:c>
      <x:c r="O8" s="17" t="str">
        <x:v>否</x:v>
      </x:c>
      <x:c r="P8" s="17" t="str">
        <x:v>无购买事件</x:v>
      </x:c>
      <x:c r="Q8" s="17" t="str">
        <x:v>无购买事件</x:v>
      </x:c>
      <x:c r="R8" s="18" t="str">
        <x:v>/Users/mac/Documents/智囊团/video_analysis/Top_Tycoon新号流程_20260804/frames/TT_NEW_03/TT_NEW_03_t001465.jpg</x:v>
      </x:c>
      <x:c r="S8" s="17" t="str">
        <x:v>已确认</x:v>
      </x:c>
      <x:c r="T8" s="17" t="str">
        <x:v>A</x:v>
      </x:c>
      <x:c r="U8" s="17" t="str">
        <x:v>940 为界面 TOTAL 标称；不等于即时直给。</x:v>
      </x:c>
      <x:c r="V8" s="92" t="n">
        <x:f>IFERROR(G8/H8,"")</x:f>
        <x:v>0.0425531914893617</x:v>
      </x:c>
      <x:c r="W8" t="str">
        <x:f>IF(O8="是","可做购买前后窗","仅展示，不推断购买效果")</x:f>
        <x:v>仅展示，不推断购买效果</x:v>
      </x:c>
    </x:row>
    <x:row r="9">
      <x:c r="A9" s="17" t="str">
        <x:v>OFFER_008</x:v>
      </x:c>
      <x:c r="B9" s="17" t="str">
        <x:v>TT_NEW_05</x:v>
      </x:c>
      <x:c r="C9" s="17" t="str">
        <x:v>00:24:05</x:v>
      </x:c>
      <x:c r="D9" s="17" t="str">
        <x:v>offer_shown</x:v>
      </x:c>
      <x:c r="E9" s="17" t="str">
        <x:v>Prize Carnival Step 1</x:v>
      </x:c>
      <x:c r="F9" s="17" t="str">
        <x:v>HKD</x:v>
      </x:c>
      <x:c r="G9" s="91" t="n">
        <x:v>40</x:v>
      </x:c>
      <x:c r="H9" s="17" t="n">
        <x:v>660</x:v>
      </x:c>
      <x:c r="I9" s="17" t="n">
        <x:v>1200000</x:v>
      </x:c>
      <x:c r="J9" s="17" t="str">
        <x:v>4 卡包</x:v>
      </x:c>
      <x:c r="K9" s="17" t="str">
        <x:v>15h49m</x:v>
      </x:c>
      <x:c r="L9" s="17" t="str">
        <x:v>无可见</x:v>
      </x:c>
      <x:c r="M9" s="17" t="str">
        <x:v>录屏未展示</x:v>
      </x:c>
      <x:c r="N9" s="17" t="str">
        <x:v>解锁后续 Step 2/3</x:v>
      </x:c>
      <x:c r="O9" s="17" t="str">
        <x:v>否</x:v>
      </x:c>
      <x:c r="P9" s="17" t="str">
        <x:v>无购买事件</x:v>
      </x:c>
      <x:c r="Q9" s="17" t="str">
        <x:v>无购买事件</x:v>
      </x:c>
      <x:c r="R9" s="18" t="str">
        <x:v>/Users/mac/Documents/智囊团/video_analysis/Top_Tycoon新号流程_20260804/frames/TT_NEW_05/TT_NEW_05_t001445.jpg</x:v>
      </x:c>
      <x:c r="S9" s="17" t="str">
        <x:v>已确认</x:v>
      </x:c>
      <x:c r="T9" s="17" t="str">
        <x:v>A</x:v>
      </x:c>
      <x:c r="U9" s="17" t="str">
        <x:v>后两档同价但需顺序解锁；未观察购买。</x:v>
      </x:c>
      <x:c r="V9" s="92" t="n">
        <x:f>IFERROR(G9/H9,"")</x:f>
        <x:v>0.06060606060606061</x:v>
      </x:c>
      <x:c r="W9" t="str">
        <x:f>IF(O9="是","可做购买前后窗","仅展示，不推断购买效果")</x:f>
        <x:v>仅展示，不推断购买效果</x:v>
      </x:c>
    </x:row>
    <x:row r="10">
      <x:c r="A10" s="17" t="str">
        <x:v>OFFER_009</x:v>
      </x:c>
      <x:c r="B10" s="17" t="str">
        <x:v>TT_NEW_05</x:v>
      </x:c>
      <x:c r="C10" s="17" t="str">
        <x:v>00:24:05</x:v>
      </x:c>
      <x:c r="D10" s="17" t="str">
        <x:v>locked_offer_shown</x:v>
      </x:c>
      <x:c r="E10" s="17" t="str">
        <x:v>Prize Carnival Step 2</x:v>
      </x:c>
      <x:c r="F10" s="17" t="str">
        <x:v>HKD</x:v>
      </x:c>
      <x:c r="G10" s="91" t="n">
        <x:v>40</x:v>
      </x:c>
      <x:c r="H10" s="17" t="n">
        <x:v>1400</x:v>
      </x:c>
      <x:c r="I10" s="17" t="n">
        <x:v>2600000</x:v>
      </x:c>
      <x:c r="J10" s="17" t="str">
        <x:v>6 卡包；标注 100% MORE</x:v>
      </x:c>
      <x:c r="K10" s="17" t="str">
        <x:v>15h49m</x:v>
      </x:c>
      <x:c r="L10" s="17" t="str">
        <x:v>无可见</x:v>
      </x:c>
      <x:c r="M10" s="17" t="str">
        <x:v>录屏未展示</x:v>
      </x:c>
      <x:c r="N10" s="17" t="str">
        <x:v>需先购买/解锁 Step 1</x:v>
      </x:c>
      <x:c r="O10" s="17" t="str">
        <x:v>否</x:v>
      </x:c>
      <x:c r="P10" s="17" t="str">
        <x:v>无购买事件</x:v>
      </x:c>
      <x:c r="Q10" s="17" t="str">
        <x:v>无购买事件</x:v>
      </x:c>
      <x:c r="R10" s="18" t="str">
        <x:v>/Users/mac/Documents/智囊团/video_analysis/Top_Tycoon新号流程_20260804/frames/TT_NEW_05/TT_NEW_05_t001445.jpg</x:v>
      </x:c>
      <x:c r="S10" s="17" t="str">
        <x:v>已确认</x:v>
      </x:c>
      <x:c r="T10" s="17" t="str">
        <x:v>A</x:v>
      </x:c>
      <x:c r="U10" s="17" t="str">
        <x:v>锁定态展示，不代表可直接购买。</x:v>
      </x:c>
      <x:c r="V10" s="92" t="n">
        <x:f>IFERROR(G10/H10,"")</x:f>
        <x:v>0.02857142857142857</x:v>
      </x:c>
      <x:c r="W10" t="str">
        <x:f>IF(O10="是","可做购买前后窗","仅展示，不推断购买效果")</x:f>
        <x:v>仅展示，不推断购买效果</x:v>
      </x:c>
    </x:row>
    <x:row r="11">
      <x:c r="A11" s="17" t="str">
        <x:v>OFFER_010</x:v>
      </x:c>
      <x:c r="B11" s="17" t="str">
        <x:v>TT_NEW_05</x:v>
      </x:c>
      <x:c r="C11" s="17" t="str">
        <x:v>00:24:05</x:v>
      </x:c>
      <x:c r="D11" s="17" t="str">
        <x:v>locked_offer_shown</x:v>
      </x:c>
      <x:c r="E11" s="17" t="str">
        <x:v>Prize Carnival Step 3</x:v>
      </x:c>
      <x:c r="F11" s="17" t="str">
        <x:v>HKD</x:v>
      </x:c>
      <x:c r="G11" s="91" t="n">
        <x:v>40</x:v>
      </x:c>
      <x:c r="H11" s="17" t="n">
        <x:v>1900</x:v>
      </x:c>
      <x:c r="I11" s="17" t="n">
        <x:v>3500000</x:v>
      </x:c>
      <x:c r="J11" s="17" t="str">
        <x:v>宝箱；标注 150% MORE</x:v>
      </x:c>
      <x:c r="K11" s="17" t="str">
        <x:v>15h49m</x:v>
      </x:c>
      <x:c r="L11" s="17" t="str">
        <x:v>无可见</x:v>
      </x:c>
      <x:c r="M11" s="17" t="str">
        <x:v>录屏未展示</x:v>
      </x:c>
      <x:c r="N11" s="17" t="str">
        <x:v>需先购买/解锁 Step 1/2</x:v>
      </x:c>
      <x:c r="O11" s="17" t="str">
        <x:v>否</x:v>
      </x:c>
      <x:c r="P11" s="17" t="str">
        <x:v>无购买事件</x:v>
      </x:c>
      <x:c r="Q11" s="17" t="str">
        <x:v>无购买事件</x:v>
      </x:c>
      <x:c r="R11" s="18" t="str">
        <x:v>/Users/mac/Documents/智囊团/video_analysis/Top_Tycoon新号流程_20260804/frames/TT_NEW_05/TT_NEW_05_t001445.jpg</x:v>
      </x:c>
      <x:c r="S11" s="17" t="str">
        <x:v>已确认</x:v>
      </x:c>
      <x:c r="T11" s="17" t="str">
        <x:v>A</x:v>
      </x:c>
      <x:c r="U11" s="17" t="str">
        <x:v>锁定态展示，不代表可直接购买。</x:v>
      </x:c>
      <x:c r="V11" s="92" t="n">
        <x:f>IFERROR(G11/H11,"")</x:f>
        <x:v>0.021052631578947368</x:v>
      </x:c>
      <x:c r="W11" t="str">
        <x:f>IF(O11="是","可做购买前后窗","仅展示，不推断购买效果")</x:f>
        <x:v>仅展示，不推断购买效果</x:v>
      </x:c>
    </x:row>
  </x:sheetData>
  <x:conditionalFormatting sqref="W2:W11">
    <x:cfRule type="containsText" dxfId="1" priority="1" operator="containsText" text="仅展示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48" hidden="0" customWidth="1"/>
  </x:cols>
  <x:sheetData>
    <x:row r="1" ht="36" customHeight="1">
      <x:c r="A1" s="22" t="str">
        <x:v>能量返还 ±10% 敏感性｜TT_NEW_01 x1 方向性示例</x:v>
      </x:c>
      <x:c r="B1" s="22" t="str">
        <x:v>能量返还 ±10% 敏感性｜TT_NEW_01 x1 方向性示例</x:v>
      </x:c>
      <x:c r="C1" s="22" t="str">
        <x:v>能量返还 ±10% 敏感性｜TT_NEW_01 x1 方向性示例</x:v>
      </x:c>
      <x:c r="D1" s="22" t="str">
        <x:v>能量返还 ±10% 敏感性｜TT_NEW_01 x1 方向性示例</x:v>
      </x:c>
      <x:c r="E1" s="22" t="str">
        <x:v>能量返还 ±10% 敏感性｜TT_NEW_01 x1 方向性示例</x:v>
      </x:c>
      <x:c r="F1" s="22" t="str">
        <x:v>能量返还 ±10% 敏感性｜TT_NEW_01 x1 方向性示例</x:v>
      </x:c>
      <x:c r="G1" s="22" t="str">
        <x:v>能量返还 ±10% 敏感性｜TT_NEW_01 x1 方向性示例</x:v>
      </x:c>
      <x:c r="H1" s="22" t="str">
        <x:v>能量返还 ±10% 敏感性｜TT_NEW_01 x1 方向性示例</x:v>
      </x:c>
    </x:row>
    <x:row r="3" ht="30" customHeight="1">
      <x:c r="A3" s="33" t="str">
        <x:v>能量返还调整</x:v>
      </x:c>
      <x:c r="B3" s="34" t="str">
        <x:v>均次返还</x:v>
      </x:c>
      <x:c r="C3" s="34" t="str">
        <x:v>观察 r</x:v>
      </x:c>
      <x:c r="D3" s="34" t="str">
        <x:v>理论 Spin 倍数</x:v>
      </x:c>
      <x:c r="E3" s="34" t="str">
        <x:v>公式方向性总 Spin</x:v>
      </x:c>
      <x:c r="F3" s="34" t="str">
        <x:v>蒙特卡洛均值</x:v>
      </x:c>
      <x:c r="G3" s="34" t="str">
        <x:v>触顶率</x:v>
      </x:c>
      <x:c r="H3" s="35" t="str">
        <x:v>解释</x:v>
      </x:c>
    </x:row>
    <x:row r="4">
      <x:c r="A4" s="93" t="n">
        <x:v>-0.1</x:v>
      </x:c>
      <x:c r="B4" s="86" t="n">
        <x:f>'循环模型'!$B$9*(1+A4)</x:f>
        <x:v>0.7159090909090909</x:v>
      </x:c>
      <x:c r="C4" s="86" t="n">
        <x:f>IFERROR(B4/'循环模型'!$B$8,0)</x:f>
        <x:v>0.7159090909090909</x:v>
      </x:c>
      <x:c r="D4" s="86" t="n">
        <x:f>IF(C4&lt;1,1/(1-C4),"不收敛")</x:f>
        <x:v>3.5200000000000005</x:v>
      </x:c>
      <x:c r="E4" s="86" t="n">
        <x:f>IF(ISNUMBER(D4),'循环模型'!$B$5/'循环模型'!$B$8*D4,"不收敛")</x:f>
        <x:v>176.00000000000003</x:v>
      </x:c>
      <x:c r="F4" s="86" t="n">
        <x:v>172.3471</x:v>
      </x:c>
      <x:c r="G4" s="36" t="n">
        <x:v>0</x:v>
      </x:c>
      <x:c r="H4" t="str">
        <x:v>小样本经验分布；仅作模型波动演示</x:v>
      </x:c>
    </x:row>
    <x:row r="5">
      <x:c r="A5" s="93" t="n">
        <x:v>0</x:v>
      </x:c>
      <x:c r="B5" s="86" t="n">
        <x:f>'循环模型'!$B$9*(1+A5)</x:f>
        <x:v>0.7954545454545454</x:v>
      </x:c>
      <x:c r="C5" s="86" t="n">
        <x:f>IFERROR(B5/'循环模型'!$B$8,0)</x:f>
        <x:v>0.7954545454545454</x:v>
      </x:c>
      <x:c r="D5" s="86" t="n">
        <x:f>IF(C5&lt;1,1/(1-C5),"不收敛")</x:f>
        <x:v>4.8888888888888875</x:v>
      </x:c>
      <x:c r="E5" s="86" t="n">
        <x:f>IF(ISNUMBER(D5),'循环模型'!$B$5/'循环模型'!$B$8*D5,"不收敛")</x:f>
        <x:v>244.44444444444437</x:v>
      </x:c>
      <x:c r="F5" s="86" t="n">
        <x:v>240.48</x:v>
      </x:c>
      <x:c r="G5" s="36" t="n">
        <x:v>0</x:v>
      </x:c>
      <x:c r="H5" t="str">
        <x:v>小样本经验分布；仅作模型波动演示</x:v>
      </x:c>
    </x:row>
    <x:row r="6">
      <x:c r="A6" s="93" t="n">
        <x:v>0.1</x:v>
      </x:c>
      <x:c r="B6" s="86" t="n">
        <x:f>'循环模型'!$B$9*(1+A6)</x:f>
        <x:v>0.875</x:v>
      </x:c>
      <x:c r="C6" s="86" t="n">
        <x:f>IFERROR(B6/'循环模型'!$B$8,0)</x:f>
        <x:v>0.875</x:v>
      </x:c>
      <x:c r="D6" s="86" t="n">
        <x:f>IF(C6&lt;1,1/(1-C6),"不收敛")</x:f>
        <x:v>8</x:v>
      </x:c>
      <x:c r="E6" s="86" t="n">
        <x:f>IF(ISNUMBER(D6),'循环模型'!$B$5/'循环模型'!$B$8*D6,"不收敛")</x:f>
        <x:v>400</x:v>
      </x:c>
      <x:c r="F6" s="86" t="n">
        <x:v>390.3715</x:v>
      </x:c>
      <x:c r="G6" s="36" t="n">
        <x:v>0.0012</x:v>
      </x:c>
      <x:c r="H6" t="str">
        <x:v>小样本经验分布；仅作模型波动演示</x:v>
      </x:c>
    </x:row>
    <x:row r="8">
      <x:c r="A8" s="64" t="str">
        <x:v>固定随机种子：20260804；10,000 次试验；初始能量 50；最大 5,000 Spin。</x:v>
      </x:c>
      <x:c r="B8" s="65"/>
      <x:c r="C8" s="65"/>
      <x:c r="D8" s="65"/>
      <x:c r="E8" s="65"/>
      <x:c r="F8" s="65"/>
      <x:c r="G8" s="65"/>
      <x:c r="H8" s="66"/>
    </x:row>
    <x:row r="9">
      <x:c r="A9" s="67" t="str">
        <x:v>基准模拟均值约 240.48 Spin，但这只是 44 个新手 x1 样本的经验重采样，不是总体续航预测。</x:v>
      </x:c>
      <x:c r="B9" s="68"/>
      <x:c r="C9" s="68"/>
      <x:c r="D9" s="68"/>
      <x:c r="E9" s="68"/>
      <x:c r="F9" s="68"/>
      <x:c r="G9" s="68"/>
      <x:c r="H9" s="69"/>
    </x:row>
    <x:row r="10">
      <x:c r="A10" s="67" t="str">
        <x:v>+10% 情景尾部明显拉长，说明续航对离散大额能量返还高度敏感。</x:v>
      </x:c>
      <x:c r="B10" s="68"/>
      <x:c r="C10" s="68"/>
      <x:c r="D10" s="68"/>
      <x:c r="E10" s="68"/>
      <x:c r="F10" s="68"/>
      <x:c r="G10" s="68"/>
      <x:c r="H10" s="69"/>
    </x:row>
    <x:row r="11">
      <x:c r="A11" s="70" t="str">
        <x:v>若观察 r≥100% 或触顶率上升，应改用有限活动上限/一次性奖励状态模型，不能套 1/(1-r)。</x:v>
      </x:c>
      <x:c r="B11" s="71"/>
      <x:c r="C11" s="71"/>
      <x:c r="D11" s="71"/>
      <x:c r="E11" s="71"/>
      <x:c r="F11" s="71"/>
      <x:c r="G11" s="71"/>
      <x:c r="H11" s="72"/>
    </x:row>
  </x:sheetData>
  <x:mergeCells>
    <x:mergeCell ref="A1:H1"/>
    <x:mergeCell ref="A8:H8"/>
    <x:mergeCell ref="A9:H9"/>
    <x:mergeCell ref="A10:H10"/>
    <x:mergeCell ref="A11:H1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12" hidden="0" customWidth="1"/>
  </x:cols>
  <x:sheetData>
    <x:row r="1" ht="36" customHeight="1">
      <x:c r="A1" s="22" t="str">
        <x:v>假设、缺口与下一轮采样设计</x:v>
      </x:c>
      <x:c r="B1" s="22" t="str">
        <x:v>假设、缺口与下一轮采样设计</x:v>
      </x:c>
      <x:c r="C1" s="22" t="str">
        <x:v>假设、缺口与下一轮采样设计</x:v>
      </x:c>
      <x:c r="D1" s="22" t="str">
        <x:v>假设、缺口与下一轮采样设计</x:v>
      </x:c>
      <x:c r="E1" s="22" t="str">
        <x:v>假设、缺口与下一轮采样设计</x:v>
      </x:c>
      <x:c r="F1" s="22" t="str">
        <x:v>假设、缺口与下一轮采样设计</x:v>
      </x:c>
      <x:c r="G1" s="22" t="str">
        <x:v>假设、缺口与下一轮采样设计</x:v>
      </x:c>
      <x:c r="H1" s="22" t="str">
        <x:v>假设、缺口与下一轮采样设计</x:v>
      </x:c>
    </x:row>
    <x:row r="3" ht="30" customHeight="1">
      <x:c r="A3" s="33" t="str">
        <x:v>项目</x:v>
      </x:c>
      <x:c r="B3" s="34" t="str">
        <x:v>当前状态</x:v>
      </x:c>
      <x:c r="C3" s="34" t="str">
        <x:v>证据</x:v>
      </x:c>
      <x:c r="D3" s="34" t="str">
        <x:v>影响</x:v>
      </x:c>
      <x:c r="E3" s="34" t="str">
        <x:v>当前处理</x:v>
      </x:c>
      <x:c r="F3" s="34" t="str">
        <x:v>补采内容</x:v>
      </x:c>
      <x:c r="G3" s="34" t="str">
        <x:v>停止/升级条件</x:v>
      </x:c>
      <x:c r="H3" s="34" t="str">
        <x:v>优先级</x:v>
      </x:c>
    </x:row>
    <x:row r="4">
      <x:c r="A4" s="94" t="str">
        <x:v>客户端版本</x:v>
      </x:c>
      <x:c r="B4" s="90" t="str">
        <x:v>录屏未展示</x:v>
      </x:c>
      <x:c r="C4" s="90" t="str">
        <x:v>6 段视频</x:v>
      </x:c>
      <x:c r="D4" s="90" t="str">
        <x:v>无法隔离版本差异</x:v>
      </x:c>
      <x:c r="E4" s="90" t="str">
        <x:v>保留未知，不跨版本外推</x:v>
      </x:c>
      <x:c r="F4" s="90" t="str">
        <x:v>设置页版本号</x:v>
      </x:c>
      <x:c r="G4" s="90" t="str">
        <x:v>拿到版本号后按版本切片</x:v>
      </x:c>
      <x:c r="H4" s="90" t="str">
        <x:v>P0</x:v>
      </x:c>
    </x:row>
    <x:row r="5">
      <x:c r="A5" s="94" t="str">
        <x:v>地区</x:v>
      </x:c>
      <x:c r="B5" s="90" t="str">
        <x:v>未知；只见 HK$</x:v>
      </x:c>
      <x:c r="C5" s="90" t="str">
        <x:v>Shop 截图</x:v>
      </x:c>
      <x:c r="D5" s="90" t="str">
        <x:v>不能把币种等同地区</x:v>
      </x:c>
      <x:c r="E5" s="90" t="str">
        <x:v>仅记录界面币种</x:v>
      </x:c>
      <x:c r="F5" s="90" t="str">
        <x:v>账号地区/商店地区</x:v>
      </x:c>
      <x:c r="G5" s="90" t="str">
        <x:v>确认地区后再合并价格</x:v>
      </x:c>
      <x:c r="H5" s="90" t="str">
        <x:v>P0</x:v>
      </x:c>
    </x:row>
    <x:row r="6">
      <x:c r="A6" s="94" t="str">
        <x:v>付费/VIP</x:v>
      </x:c>
      <x:c r="B6" s="90" t="str">
        <x:v>累计付费录屏未展示</x:v>
      </x:c>
      <x:c r="C6" s="90" t="str">
        <x:v>无购买前后窗</x:v>
      </x:c>
      <x:c r="D6" s="90" t="str">
        <x:v>P6 不可识别</x:v>
      </x:c>
      <x:c r="E6" s="90" t="str">
        <x:v>只登记 offer_shown</x:v>
      </x:c>
      <x:c r="F6" s="90" t="str">
        <x:v>同账号购买前后各 300 Spin</x:v>
      </x:c>
      <x:c r="G6" s="90" t="str">
        <x:v>形成匹配窗口后升级结论</x:v>
      </x:c>
      <x:c r="H6" s="90" t="str">
        <x:v>P0</x:v>
      </x:c>
    </x:row>
    <x:row r="7">
      <x:c r="A7" s="94" t="str">
        <x:v>Slot 概率</x:v>
      </x:c>
      <x:c r="B7" s="90" t="str">
        <x:v>每切片 3–45</x:v>
      </x:c>
      <x:c r="C7" s="90" t="str">
        <x:v>136 有效单 Spin</x:v>
      </x:c>
      <x:c r="D7" s="90" t="str">
        <x:v>Wilson 区间宽</x:v>
      </x:c>
      <x:c r="E7" s="90" t="str">
        <x:v>只报方向性</x:v>
      </x:c>
      <x:c r="F7" s="90" t="str">
        <x:v>每主要切片先补到 500</x:v>
      </x:c>
      <x:c r="G7" s="90" t="str">
        <x:v>≥500 初筛；总体 ≥2000</x:v>
      </x:c>
      <x:c r="H7" s="90" t="str">
        <x:v>P1</x:v>
      </x:c>
    </x:row>
    <x:row r="8">
      <x:c r="A8" s="94" t="str">
        <x:v>稀有结果</x:v>
      </x:c>
      <x:c r="B8" s="90" t="str">
        <x:v>大奖 1 次</x:v>
      </x:c>
      <x:c r="C8" s="90" t="str">
        <x:v>TT_NEW_01 个例</x:v>
      </x:c>
      <x:c r="D8" s="90" t="str">
        <x:v>无法估 1% 级概率</x:v>
      </x:c>
      <x:c r="E8" s="90" t="str">
        <x:v>仅机制存在</x:v>
      </x:c>
      <x:c r="F8" s="90" t="str">
        <x:v>同口径 ≥10000 Spin</x:v>
      </x:c>
      <x:c r="G8" s="90" t="str">
        <x:v>达到目标样本再估概率</x:v>
      </x:c>
      <x:c r="H8" s="90" t="str">
        <x:v>P2</x:v>
      </x:c>
    </x:row>
    <x:row r="9">
      <x:c r="A9" s="94" t="str">
        <x:v>动态调控</x:v>
      </x:c>
      <x:c r="B9" s="90" t="str">
        <x:v>未识别</x:v>
      </x:c>
      <x:c r="C9" s="90" t="str">
        <x:v>切片不平衡</x:v>
      </x:c>
      <x:c r="D9" s="90" t="str">
        <x:v>付费/枯竭效应可能混淆</x:v>
      </x:c>
      <x:c r="E9" s="90" t="str">
        <x:v>不标疑似调控</x:v>
      </x:c>
      <x:c r="F9" s="90" t="str">
        <x:v>会话首中尾、枯竭前后、进度临界</x:v>
      </x:c>
      <x:c r="G9" s="90" t="str">
        <x:v>多独立视频复现且效应稳定</x:v>
      </x:c>
      <x:c r="H9" s="90" t="str">
        <x:v>P1</x:v>
      </x:c>
    </x:row>
    <x:row r="10">
      <x:c r="A10" s="94" t="str">
        <x:v>小游戏期望</x:v>
      </x:c>
      <x:c r="B10" s="90" t="str">
        <x:v>完整局不足</x:v>
      </x:c>
      <x:c r="C10" s="90" t="str">
        <x:v>Strike/Whack/Jackpot 教程页</x:v>
      </x:c>
      <x:c r="D10" s="90" t="str">
        <x:v>不能算成功率/返还</x:v>
      </x:c>
      <x:c r="E10" s="90" t="str">
        <x:v>记录机制与可见奖档</x:v>
      </x:c>
      <x:c r="F10" s="90" t="str">
        <x:v>每难度段 ≥30 次；随机成败 ≥100</x:v>
      </x:c>
      <x:c r="G10" s="90" t="str">
        <x:v>覆盖 3 难度段后建模</x:v>
      </x:c>
      <x:c r="H10" s="90" t="str">
        <x:v>P1</x:v>
      </x:c>
    </x:row>
    <x:row r="11">
      <x:c r="A11" s="94" t="str">
        <x:v>全局 RTP</x:v>
      </x:c>
      <x:c r="B11" s="90" t="str">
        <x:v>不可识别</x:v>
      </x:c>
      <x:c r="C11" s="90" t="str">
        <x:v>无可靠金币↔能量锚点</x:v>
      </x:c>
      <x:c r="D11" s="90" t="str">
        <x:v>不能跨资源相加</x:v>
      </x:c>
      <x:c r="E11" s="90" t="str">
        <x:v>保留三套原生口径</x:v>
      </x:c>
      <x:c r="F11" s="90" t="str">
        <x:v>同档礼包、可逆兑换或边际价值</x:v>
      </x:c>
      <x:c r="G11" s="90" t="str">
        <x:v>锚点稳定后再标准化</x:v>
      </x:c>
      <x:c r="H11" s="90" t="str">
        <x:v>P1</x:v>
      </x:c>
    </x:row>
    <x:row r="12">
      <x:c r="A12" s="94" t="str">
        <x:v>建造成本</x:v>
      </x:c>
      <x:c r="B12" s="90" t="str">
        <x:v>明确非目标</x:v>
      </x:c>
      <x:c r="C12" s="90" t="str">
        <x:v>计划 2.2</x:v>
      </x:c>
      <x:c r="D12" s="90" t="str">
        <x:v>不影响本轮 Slot/活动拆解</x:v>
      </x:c>
      <x:c r="E12" s="90" t="str">
        <x:v>仅记金币去向</x:v>
      </x:c>
      <x:c r="F12" s="90" t="str">
        <x:v>如扩项单独立项</x:v>
      </x:c>
      <x:c r="G12" s="90" t="str">
        <x:v>用户明确扩项后再做</x:v>
      </x:c>
      <x:c r="H12" s="90" t="str">
        <x:v>不做</x:v>
      </x:c>
    </x:row>
    <x:row r="13">
      <x:c r="A13" s="95" t="str">
        <x:v>VFR 时间轴</x:v>
      </x:c>
      <x:c r="B13" s="96" t="str">
        <x:v>浏览关键帧漂移约 4–7 秒</x:v>
      </x:c>
      <x:c r="C13" s="96" t="str">
        <x:v>固定帧交叉匹配</x:v>
      </x:c>
      <x:c r="D13" s="96" t="str">
        <x:v>截图时间可能错链</x:v>
      </x:c>
      <x:c r="E13" s="96" t="str">
        <x:v>以 FrameIndex 固定 1 fps 为主</x:v>
      </x:c>
      <x:c r="F13" s="96" t="str">
        <x:v>所有核心截图使用固定帧</x:v>
      </x:c>
      <x:c r="G13" s="96" t="str">
        <x:v>证据表无漂移标签后通过</x:v>
      </x:c>
      <x:c r="H13" s="96" t="str">
        <x:v>P0</x:v>
      </x:c>
    </x:row>
  </x:sheetData>
  <x:mergeCells>
    <x:mergeCell ref="A1:H1"/>
  </x:mergeCells>
  <x:conditionalFormatting sqref="B4:B13">
    <x:cfRule type="containsText" dxfId="2" priority="1" operator="containsText" text="未展示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9" hidden="0" customWidth="1"/>
    <x:col min="3" max="3" width="12" hidden="0" customWidth="1"/>
    <x:col min="4" max="4" width="13" hidden="0" customWidth="1"/>
    <x:col min="5" max="5" width="11" hidden="0" customWidth="1"/>
    <x:col min="6" max="6" width="12" hidden="0" customWidth="1"/>
    <x:col min="7" max="7" width="13" hidden="0" customWidth="1"/>
    <x:col min="8" max="8" width="16" hidden="0" customWidth="1"/>
    <x:col min="9" max="9" width="12" hidden="0" customWidth="1"/>
    <x:col min="10" max="10" width="18" hidden="0" customWidth="1"/>
    <x:col min="11" max="11" width="14" hidden="0" customWidth="1"/>
    <x:col min="12" max="12" width="14" hidden="0" customWidth="1"/>
    <x:col min="13" max="13" width="18" hidden="0" customWidth="1"/>
    <x:col min="14" max="14" width="15" hidden="0" customWidth="1"/>
    <x:col min="15" max="15" width="15" hidden="0" customWidth="1"/>
    <x:col min="16" max="16" width="18" hidden="0" customWidth="1"/>
    <x:col min="17" max="17" width="28" hidden="0" customWidth="1"/>
    <x:col min="18" max="18" width="64" hidden="0" customWidth="1"/>
    <x:col min="19" max="19" width="16" hidden="0" customWidth="1"/>
    <x:col min="20" max="20" width="13" hidden="0" customWidth="1"/>
    <x:col min="21" max="21" width="11" hidden="0" customWidth="1"/>
    <x:col min="22" max="22" width="46" hidden="0" customWidth="1"/>
    <x:col min="23" max="23" width="16" hidden="0" customWidth="1"/>
    <x:col min="24" max="24" width="15" hidden="0" customWidth="1"/>
    <x:col min="25" max="25" width="13" hidden="0" customWidth="1"/>
    <x:col min="26" max="26" width="13" hidden="0" customWidth="1"/>
    <x:col min="27" max="27" width="13" hidden="0" customWidth="1"/>
    <x:col min="28" max="28" width="15" hidden="0" customWidth="1"/>
  </x:cols>
  <x:sheetData>
    <x:row r="1" ht="30" customHeight="1">
      <x:c r="A1" s="14" t="str">
        <x:v>video_id</x:v>
      </x:c>
      <x:c r="B1" s="15" t="str">
        <x:v>spin_id</x:v>
      </x:c>
      <x:c r="C1" s="15" t="str">
        <x:v>timestamp</x:v>
      </x:c>
      <x:c r="D1" s="15" t="str">
        <x:v>timestamp_seconds</x:v>
      </x:c>
      <x:c r="E1" s="15" t="str">
        <x:v>spin_count</x:v>
      </x:c>
      <x:c r="F1" s="15" t="str">
        <x:v>bet_multiplier</x:v>
      </x:c>
      <x:c r="G1" s="15" t="str">
        <x:v>energy_before</x:v>
      </x:c>
      <x:c r="H1" s="15" t="str">
        <x:v>energy_after_spend</x:v>
      </x:c>
      <x:c r="I1" s="15" t="str">
        <x:v>energy_cost</x:v>
      </x:c>
      <x:c r="J1" s="15" t="str">
        <x:v>energy_return_observed</x:v>
      </x:c>
      <x:c r="K1" s="15" t="str">
        <x:v>coins_before</x:v>
      </x:c>
      <x:c r="L1" s="15" t="str">
        <x:v>coins_after</x:v>
      </x:c>
      <x:c r="M1" s="15" t="str">
        <x:v>coin_gain_observed</x:v>
      </x:c>
      <x:c r="N1" s="15" t="str">
        <x:v>progress_before</x:v>
      </x:c>
      <x:c r="O1" s="15" t="str">
        <x:v>progress_after</x:v>
      </x:c>
      <x:c r="P1" s="15" t="str">
        <x:v>progress_gain_observed</x:v>
      </x:c>
      <x:c r="Q1" s="15" t="str">
        <x:v>result_type</x:v>
      </x:c>
      <x:c r="R1" s="15" t="str">
        <x:v>evidence_frame</x:v>
      </x:c>
      <x:c r="S1" s="15" t="str">
        <x:v>evidence_window_end</x:v>
      </x:c>
      <x:c r="T1" s="15" t="str">
        <x:v>status</x:v>
      </x:c>
      <x:c r="U1" s="15" t="str">
        <x:v>confidence</x:v>
      </x:c>
      <x:c r="V1" s="15" t="str">
        <x:v>notes</x:v>
      </x:c>
      <x:c r="W1" s="15" t="str">
        <x:v>primary_category</x:v>
      </x:c>
      <x:c r="X1" s="15" t="str">
        <x:v>probability_sample</x:v>
      </x:c>
      <x:c r="Y1" s="15" t="str">
        <x:v>newbie_segment</x:v>
      </x:c>
      <x:c r="Z1" s="15" t="str">
        <x:v>payment_tier</x:v>
      </x:c>
      <x:c r="AA1" s="15" t="str">
        <x:v>vip_status</x:v>
      </x:c>
      <x:c r="AB1" s="16" t="str">
        <x:v>near_depletion</x:v>
      </x:c>
    </x:row>
    <x:row r="2">
      <x:c r="A2" s="17" t="str">
        <x:v>TT_NEW_01</x:v>
      </x:c>
      <x:c r="B2" s="17" t="str">
        <x:v>TT_NEW_01_S0001</x:v>
      </x:c>
      <x:c r="C2" s="17" t="str">
        <x:v>00:01:55</x:v>
      </x:c>
      <x:c r="D2" s="17" t="n">
        <x:v>115</x:v>
      </x:c>
      <x:c r="E2" s="17" t="n">
        <x:v>1</x:v>
      </x:c>
      <x:c r="F2" s="17" t="n">
        <x:v>1</x:v>
      </x:c>
      <x:c r="G2" s="17" t="n">
        <x:v>10</x:v>
      </x:c>
      <x:c r="H2" s="17" t="n">
        <x:v>9</x:v>
      </x:c>
      <x:c r="I2" s="17" t="n">
        <x:v>1</x:v>
      </x:c>
      <x:c r="J2" s="17" t="n">
        <x:v>0</x:v>
      </x:c>
      <x:c r="K2" s="17" t="n">
        <x:v>301</x:v>
      </x:c>
      <x:c r="L2" s="17" t="n">
        <x:v>1301</x:v>
      </x:c>
      <x:c r="M2" s="17" t="n">
        <x:v>1000</x:v>
      </x:c>
      <x:c r="N2" s="17"/>
      <x:c r="O2" s="17"/>
      <x:c r="P2" s="17"/>
      <x:c r="Q2" s="17" t="str">
        <x:v>Coin</x:v>
      </x:c>
      <x:c r="R2" s="18" t="str">
        <x:v>/Users/mac/Documents/智囊团/video_analysis/Top_Tycoon新号流程_20260804/evidence/event_supplements/TT_NEW_01_000113_4fps</x:v>
      </x:c>
      <x:c r="S2" s="17" t="str">
        <x:v>00:01:58</x:v>
      </x:c>
      <x:c r="T2" s="17" t="str">
        <x:v>已确认</x:v>
      </x:c>
      <x:c r="U2" s="17" t="str">
        <x:v>A</x:v>
      </x:c>
      <x:c r="V2" s="17" t="str">
        <x:v>4fps事件补核，画面与余额前后值已人工复核</x:v>
      </x:c>
      <x:c r="W2" s="17" t="str">
        <x:v>纯金币</x:v>
      </x:c>
      <x:c r="X2" s="17" t="str">
        <x:v>是</x:v>
      </x:c>
      <x:c r="Y2" s="17" t="str">
        <x:v>是</x:v>
      </x:c>
      <x:c r="Z2" s="17" t="str">
        <x:v>未知</x:v>
      </x:c>
      <x:c r="AA2" s="17" t="str">
        <x:v>未知</x:v>
      </x:c>
      <x:c r="AB2" s="17" t="str">
        <x:v>否</x:v>
      </x:c>
    </x:row>
    <x:row r="3">
      <x:c r="A3" s="17" t="str">
        <x:v>TT_NEW_01</x:v>
      </x:c>
      <x:c r="B3" s="17" t="str">
        <x:v>TT_NEW_01_S0002</x:v>
      </x:c>
      <x:c r="C3" s="17" t="str">
        <x:v>00:01:58</x:v>
      </x:c>
      <x:c r="D3" s="17" t="n">
        <x:v>118</x:v>
      </x:c>
      <x:c r="E3" s="17" t="n">
        <x:v>1</x:v>
      </x:c>
      <x:c r="F3" s="17" t="n">
        <x:v>1</x:v>
      </x:c>
      <x:c r="G3" s="17" t="n">
        <x:v>9</x:v>
      </x:c>
      <x:c r="H3" s="17" t="n">
        <x:v>8</x:v>
      </x:c>
      <x:c r="I3" s="17" t="n">
        <x:v>1</x:v>
      </x:c>
      <x:c r="J3" s="17" t="n">
        <x:v>0</x:v>
      </x:c>
      <x:c r="K3" s="17" t="n">
        <x:v>1301</x:v>
      </x:c>
      <x:c r="L3" s="17" t="n">
        <x:v>1801</x:v>
      </x:c>
      <x:c r="M3" s="17" t="n">
        <x:v>500</x:v>
      </x:c>
      <x:c r="N3" s="17"/>
      <x:c r="O3" s="17"/>
      <x:c r="P3" s="17"/>
      <x:c r="Q3" s="17" t="str">
        <x:v>Coin</x:v>
      </x:c>
      <x:c r="R3" s="18" t="str">
        <x:v>/Users/mac/Documents/智囊团/video_analysis/Top_Tycoon新号流程_20260804/evidence/event_supplements/TT_NEW_01_000113_4fps</x:v>
      </x:c>
      <x:c r="S3" s="17" t="str">
        <x:v>00:02:00</x:v>
      </x:c>
      <x:c r="T3" s="17" t="str">
        <x:v>已确认</x:v>
      </x:c>
      <x:c r="U3" s="17" t="str">
        <x:v>A</x:v>
      </x:c>
      <x:c r="V3" s="17" t="str">
        <x:v>4fps事件补核，画面与余额前后值已人工复核</x:v>
      </x:c>
      <x:c r="W3" s="17" t="str">
        <x:v>纯金币</x:v>
      </x:c>
      <x:c r="X3" s="17" t="str">
        <x:v>是</x:v>
      </x:c>
      <x:c r="Y3" s="17" t="str">
        <x:v>是</x:v>
      </x:c>
      <x:c r="Z3" s="17" t="str">
        <x:v>未知</x:v>
      </x:c>
      <x:c r="AA3" s="17" t="str">
        <x:v>未知</x:v>
      </x:c>
      <x:c r="AB3" s="17" t="str">
        <x:v>否</x:v>
      </x:c>
    </x:row>
    <x:row r="4">
      <x:c r="A4" s="17" t="str">
        <x:v>TT_NEW_01</x:v>
      </x:c>
      <x:c r="B4" s="17" t="str">
        <x:v>TT_NEW_01_S0003</x:v>
      </x:c>
      <x:c r="C4" s="17" t="str">
        <x:v>00:02:00</x:v>
      </x:c>
      <x:c r="D4" s="17" t="n">
        <x:v>120</x:v>
      </x:c>
      <x:c r="E4" s="17" t="n">
        <x:v>1</x:v>
      </x:c>
      <x:c r="F4" s="17" t="n">
        <x:v>1</x:v>
      </x:c>
      <x:c r="G4" s="17" t="n">
        <x:v>8</x:v>
      </x:c>
      <x:c r="H4" s="17" t="n">
        <x:v>7</x:v>
      </x:c>
      <x:c r="I4" s="17" t="n">
        <x:v>1</x:v>
      </x:c>
      <x:c r="J4" s="17" t="n">
        <x:v>0</x:v>
      </x:c>
      <x:c r="K4" s="17" t="n">
        <x:v>1801</x:v>
      </x:c>
      <x:c r="L4" s="17" t="n">
        <x:v>11801</x:v>
      </x:c>
      <x:c r="M4" s="17" t="n">
        <x:v>10000</x:v>
      </x:c>
      <x:c r="N4" s="17"/>
      <x:c r="O4" s="17"/>
      <x:c r="P4" s="17"/>
      <x:c r="Q4" s="17" t="str">
        <x:v>Big Win</x:v>
      </x:c>
      <x:c r="R4" s="18" t="str">
        <x:v>/Users/mac/Documents/智囊团/video_analysis/Top_Tycoon新号流程_20260804/evidence/event_supplements/TT_NEW_01_000113_4fps</x:v>
      </x:c>
      <x:c r="S4" s="17" t="str">
        <x:v>00:02:05</x:v>
      </x:c>
      <x:c r="T4" s="17" t="str">
        <x:v>已确认</x:v>
      </x:c>
      <x:c r="U4" s="17" t="str">
        <x:v>A</x:v>
      </x:c>
      <x:c r="V4" s="17" t="str">
        <x:v>4fps事件补核，画面与余额前后值已人工复核</x:v>
      </x:c>
      <x:c r="W4" s="17" t="str">
        <x:v>大奖</x:v>
      </x:c>
      <x:c r="X4" s="17" t="str">
        <x:v>是</x:v>
      </x:c>
      <x:c r="Y4" s="17" t="str">
        <x:v>是</x:v>
      </x:c>
      <x:c r="Z4" s="17" t="str">
        <x:v>未知</x:v>
      </x:c>
      <x:c r="AA4" s="17" t="str">
        <x:v>未知</x:v>
      </x:c>
      <x:c r="AB4" s="17" t="str">
        <x:v>否</x:v>
      </x:c>
    </x:row>
    <x:row r="5">
      <x:c r="A5" s="17" t="str">
        <x:v>TT_NEW_01</x:v>
      </x:c>
      <x:c r="B5" s="17" t="str">
        <x:v>TT_NEW_01_S0004</x:v>
      </x:c>
      <x:c r="C5" s="17" t="str">
        <x:v>00:02:05</x:v>
      </x:c>
      <x:c r="D5" s="17" t="n">
        <x:v>125</x:v>
      </x:c>
      <x:c r="E5" s="17" t="n">
        <x:v>1</x:v>
      </x:c>
      <x:c r="F5" s="17" t="n">
        <x:v>1</x:v>
      </x:c>
      <x:c r="G5" s="17" t="n">
        <x:v>7</x:v>
      </x:c>
      <x:c r="H5" s="17" t="n">
        <x:v>6</x:v>
      </x:c>
      <x:c r="I5" s="17" t="n">
        <x:v>1</x:v>
      </x:c>
      <x:c r="J5" s="17" t="n">
        <x:v>0</x:v>
      </x:c>
      <x:c r="K5" s="17" t="n">
        <x:v>11801</x:v>
      </x:c>
      <x:c r="L5" s="17" t="n">
        <x:v>11801</x:v>
      </x:c>
      <x:c r="M5" s="17" t="n">
        <x:v>0</x:v>
      </x:c>
      <x:c r="N5" s="17"/>
      <x:c r="O5" s="17"/>
      <x:c r="P5" s="17"/>
      <x:c r="Q5" s="17" t="str">
        <x:v>Empty / no visible reward</x:v>
      </x:c>
      <x:c r="R5" s="18" t="str">
        <x:v>/Users/mac/Documents/智囊团/video_analysis/Top_Tycoon新号流程_20260804/evidence/event_supplements/TT_NEW_01_000113_4fps</x:v>
      </x:c>
      <x:c r="S5" s="17" t="str">
        <x:v>00:02:06</x:v>
      </x:c>
      <x:c r="T5" s="17" t="str">
        <x:v>已确认</x:v>
      </x:c>
      <x:c r="U5" s="17" t="str">
        <x:v>A</x:v>
      </x:c>
      <x:c r="V5" s="17" t="str">
        <x:v>4fps事件补核，画面与余额前后值已人工复核</x:v>
      </x:c>
      <x:c r="W5" s="17" t="str">
        <x:v>空奖</x:v>
      </x:c>
      <x:c r="X5" s="17" t="str">
        <x:v>是</x:v>
      </x:c>
      <x:c r="Y5" s="17" t="str">
        <x:v>是</x:v>
      </x:c>
      <x:c r="Z5" s="17" t="str">
        <x:v>未知</x:v>
      </x:c>
      <x:c r="AA5" s="17" t="str">
        <x:v>未知</x:v>
      </x:c>
      <x:c r="AB5" s="17" t="str">
        <x:v>否</x:v>
      </x:c>
    </x:row>
    <x:row r="6">
      <x:c r="A6" s="17" t="str">
        <x:v>TT_NEW_01</x:v>
      </x:c>
      <x:c r="B6" s="17" t="str">
        <x:v>TT_NEW_01_S0005</x:v>
      </x:c>
      <x:c r="C6" s="17" t="str">
        <x:v>00:02:06</x:v>
      </x:c>
      <x:c r="D6" s="17" t="n">
        <x:v>126</x:v>
      </x:c>
      <x:c r="E6" s="17" t="n">
        <x:v>1</x:v>
      </x:c>
      <x:c r="F6" s="17" t="n">
        <x:v>1</x:v>
      </x:c>
      <x:c r="G6" s="17" t="n">
        <x:v>6</x:v>
      </x:c>
      <x:c r="H6" s="17" t="n">
        <x:v>5</x:v>
      </x:c>
      <x:c r="I6" s="17" t="n">
        <x:v>1</x:v>
      </x:c>
      <x:c r="J6" s="17" t="n">
        <x:v>0</x:v>
      </x:c>
      <x:c r="K6" s="17" t="n">
        <x:v>11801</x:v>
      </x:c>
      <x:c r="L6" s="17" t="n">
        <x:v>12801</x:v>
      </x:c>
      <x:c r="M6" s="17" t="n">
        <x:v>1000</x:v>
      </x:c>
      <x:c r="N6" s="17"/>
      <x:c r="O6" s="17"/>
      <x:c r="P6" s="17"/>
      <x:c r="Q6" s="17" t="str">
        <x:v>Coin</x:v>
      </x:c>
      <x:c r="R6" s="18" t="str">
        <x:v>/Users/mac/Documents/智囊团/video_analysis/Top_Tycoon新号流程_20260804/evidence/event_supplements/TT_NEW_01_000113_4fps</x:v>
      </x:c>
      <x:c r="S6" s="17" t="str">
        <x:v>00:02:09</x:v>
      </x:c>
      <x:c r="T6" s="17" t="str">
        <x:v>已确认</x:v>
      </x:c>
      <x:c r="U6" s="17" t="str">
        <x:v>A</x:v>
      </x:c>
      <x:c r="V6" s="17" t="str">
        <x:v>4fps事件补核，画面与余额前后值已人工复核</x:v>
      </x:c>
      <x:c r="W6" s="17" t="str">
        <x:v>纯金币</x:v>
      </x:c>
      <x:c r="X6" s="17" t="str">
        <x:v>是</x:v>
      </x:c>
      <x:c r="Y6" s="17" t="str">
        <x:v>是</x:v>
      </x:c>
      <x:c r="Z6" s="17" t="str">
        <x:v>未知</x:v>
      </x:c>
      <x:c r="AA6" s="17" t="str">
        <x:v>未知</x:v>
      </x:c>
      <x:c r="AB6" s="17" t="str">
        <x:v>否</x:v>
      </x:c>
    </x:row>
    <x:row r="7">
      <x:c r="A7" s="17" t="str">
        <x:v>TT_NEW_01</x:v>
      </x:c>
      <x:c r="B7" s="17" t="str">
        <x:v>TT_NEW_01_S0006</x:v>
      </x:c>
      <x:c r="C7" s="17" t="str">
        <x:v>00:02:09</x:v>
      </x:c>
      <x:c r="D7" s="17" t="n">
        <x:v>129</x:v>
      </x:c>
      <x:c r="E7" s="17" t="n">
        <x:v>1</x:v>
      </x:c>
      <x:c r="F7" s="17" t="n">
        <x:v>1</x:v>
      </x:c>
      <x:c r="G7" s="17" t="n">
        <x:v>5</x:v>
      </x:c>
      <x:c r="H7" s="17" t="n">
        <x:v>4</x:v>
      </x:c>
      <x:c r="I7" s="17" t="n">
        <x:v>1</x:v>
      </x:c>
      <x:c r="J7" s="17" t="n">
        <x:v>0</x:v>
      </x:c>
      <x:c r="K7" s="17" t="n">
        <x:v>12801</x:v>
      </x:c>
      <x:c r="L7" s="17" t="n">
        <x:v>13401</x:v>
      </x:c>
      <x:c r="M7" s="17" t="n">
        <x:v>600</x:v>
      </x:c>
      <x:c r="N7" s="17"/>
      <x:c r="O7" s="17"/>
      <x:c r="P7" s="17"/>
      <x:c r="Q7" s="17" t="str">
        <x:v>Coin</x:v>
      </x:c>
      <x:c r="R7" s="18" t="str">
        <x:v>/Users/mac/Documents/智囊团/video_analysis/Top_Tycoon新号流程_20260804/evidence/event_supplements/TT_NEW_01_000113_4fps</x:v>
      </x:c>
      <x:c r="S7" s="17" t="str">
        <x:v>00:02:11</x:v>
      </x:c>
      <x:c r="T7" s="17" t="str">
        <x:v>已确认</x:v>
      </x:c>
      <x:c r="U7" s="17" t="str">
        <x:v>A</x:v>
      </x:c>
      <x:c r="V7" s="17" t="str">
        <x:v>4fps事件补核，画面与余额前后值已人工复核</x:v>
      </x:c>
      <x:c r="W7" s="17" t="str">
        <x:v>纯金币</x:v>
      </x:c>
      <x:c r="X7" s="17" t="str">
        <x:v>是</x:v>
      </x:c>
      <x:c r="Y7" s="17" t="str">
        <x:v>是</x:v>
      </x:c>
      <x:c r="Z7" s="17" t="str">
        <x:v>未知</x:v>
      </x:c>
      <x:c r="AA7" s="17" t="str">
        <x:v>未知</x:v>
      </x:c>
      <x:c r="AB7" s="17" t="str">
        <x:v>否</x:v>
      </x:c>
    </x:row>
    <x:row r="8">
      <x:c r="A8" s="17" t="str">
        <x:v>TT_NEW_01</x:v>
      </x:c>
      <x:c r="B8" s="17" t="str">
        <x:v>TT_NEW_01_S0007</x:v>
      </x:c>
      <x:c r="C8" s="17" t="str">
        <x:v>00:02:11</x:v>
      </x:c>
      <x:c r="D8" s="17" t="n">
        <x:v>131</x:v>
      </x:c>
      <x:c r="E8" s="17" t="n">
        <x:v>1</x:v>
      </x:c>
      <x:c r="F8" s="17" t="n">
        <x:v>1</x:v>
      </x:c>
      <x:c r="G8" s="17" t="n">
        <x:v>4</x:v>
      </x:c>
      <x:c r="H8" s="17" t="n">
        <x:v>3</x:v>
      </x:c>
      <x:c r="I8" s="17" t="n">
        <x:v>1</x:v>
      </x:c>
      <x:c r="J8" s="17" t="n">
        <x:v>0</x:v>
      </x:c>
      <x:c r="K8" s="17" t="n">
        <x:v>13401</x:v>
      </x:c>
      <x:c r="L8" s="17" t="n">
        <x:v>13401</x:v>
      </x:c>
      <x:c r="M8" s="17" t="n">
        <x:v>0</x:v>
      </x:c>
      <x:c r="N8" s="17"/>
      <x:c r="O8" s="17"/>
      <x:c r="P8" s="17"/>
      <x:c r="Q8" s="17" t="str">
        <x:v>Empty / no visible reward</x:v>
      </x:c>
      <x:c r="R8" s="18" t="str">
        <x:v>/Users/mac/Documents/智囊团/video_analysis/Top_Tycoon新号流程_20260804/evidence/event_supplements/TT_NEW_01_000113_4fps</x:v>
      </x:c>
      <x:c r="S8" s="17" t="str">
        <x:v>00:02:13</x:v>
      </x:c>
      <x:c r="T8" s="17" t="str">
        <x:v>已确认</x:v>
      </x:c>
      <x:c r="U8" s="17" t="str">
        <x:v>A</x:v>
      </x:c>
      <x:c r="V8" s="17" t="str">
        <x:v>4fps事件补核，画面与余额前后值已人工复核</x:v>
      </x:c>
      <x:c r="W8" s="17" t="str">
        <x:v>空奖</x:v>
      </x:c>
      <x:c r="X8" s="17" t="str">
        <x:v>是</x:v>
      </x:c>
      <x:c r="Y8" s="17" t="str">
        <x:v>是</x:v>
      </x:c>
      <x:c r="Z8" s="17" t="str">
        <x:v>未知</x:v>
      </x:c>
      <x:c r="AA8" s="17" t="str">
        <x:v>未知</x:v>
      </x:c>
      <x:c r="AB8" s="17" t="str">
        <x:v>否</x:v>
      </x:c>
    </x:row>
    <x:row r="9">
      <x:c r="A9" s="17" t="str">
        <x:v>TT_NEW_01</x:v>
      </x:c>
      <x:c r="B9" s="17" t="str">
        <x:v>TT_NEW_01_S0008</x:v>
      </x:c>
      <x:c r="C9" s="17" t="str">
        <x:v>00:02:13</x:v>
      </x:c>
      <x:c r="D9" s="17" t="n">
        <x:v>133</x:v>
      </x:c>
      <x:c r="E9" s="17" t="n">
        <x:v>1</x:v>
      </x:c>
      <x:c r="F9" s="17" t="n">
        <x:v>1</x:v>
      </x:c>
      <x:c r="G9" s="17" t="n">
        <x:v>3</x:v>
      </x:c>
      <x:c r="H9" s="17" t="n">
        <x:v>2</x:v>
      </x:c>
      <x:c r="I9" s="17" t="n">
        <x:v>1</x:v>
      </x:c>
      <x:c r="J9" s="17" t="n">
        <x:v>0</x:v>
      </x:c>
      <x:c r="K9" s="17" t="n">
        <x:v>13401</x:v>
      </x:c>
      <x:c r="L9" s="17" t="n">
        <x:v>14401</x:v>
      </x:c>
      <x:c r="M9" s="17" t="n">
        <x:v>1000</x:v>
      </x:c>
      <x:c r="N9" s="17"/>
      <x:c r="O9" s="17"/>
      <x:c r="P9" s="17"/>
      <x:c r="Q9" s="17" t="str">
        <x:v>Coin</x:v>
      </x:c>
      <x:c r="R9" s="18" t="str">
        <x:v>/Users/mac/Documents/智囊团/video_analysis/Top_Tycoon新号流程_20260804/evidence/event_supplements/TT_NEW_01_000113_4fps</x:v>
      </x:c>
      <x:c r="S9" s="17" t="str">
        <x:v>00:02:15</x:v>
      </x:c>
      <x:c r="T9" s="17" t="str">
        <x:v>已确认</x:v>
      </x:c>
      <x:c r="U9" s="17" t="str">
        <x:v>A</x:v>
      </x:c>
      <x:c r="V9" s="17" t="str">
        <x:v>4fps事件补核，画面与余额前后值已人工复核</x:v>
      </x:c>
      <x:c r="W9" s="17" t="str">
        <x:v>纯金币</x:v>
      </x:c>
      <x:c r="X9" s="17" t="str">
        <x:v>是</x:v>
      </x:c>
      <x:c r="Y9" s="17" t="str">
        <x:v>是</x:v>
      </x:c>
      <x:c r="Z9" s="17" t="str">
        <x:v>未知</x:v>
      </x:c>
      <x:c r="AA9" s="17" t="str">
        <x:v>未知</x:v>
      </x:c>
      <x:c r="AB9" s="17" t="str">
        <x:v>是</x:v>
      </x:c>
    </x:row>
    <x:row r="10">
      <x:c r="A10" s="17" t="str">
        <x:v>TT_NEW_01</x:v>
      </x:c>
      <x:c r="B10" s="17" t="str">
        <x:v>TT_NEW_01_S0009</x:v>
      </x:c>
      <x:c r="C10" s="17" t="str">
        <x:v>00:02:15</x:v>
      </x:c>
      <x:c r="D10" s="17" t="n">
        <x:v>135</x:v>
      </x:c>
      <x:c r="E10" s="17" t="n">
        <x:v>1</x:v>
      </x:c>
      <x:c r="F10" s="17" t="n">
        <x:v>1</x:v>
      </x:c>
      <x:c r="G10" s="17" t="n">
        <x:v>2</x:v>
      </x:c>
      <x:c r="H10" s="17" t="n">
        <x:v>1</x:v>
      </x:c>
      <x:c r="I10" s="17" t="n">
        <x:v>1</x:v>
      </x:c>
      <x:c r="J10" s="17" t="n">
        <x:v>0</x:v>
      </x:c>
      <x:c r="K10" s="17" t="n">
        <x:v>14401</x:v>
      </x:c>
      <x:c r="L10" s="17" t="n">
        <x:v>14901</x:v>
      </x:c>
      <x:c r="M10" s="17" t="n">
        <x:v>500</x:v>
      </x:c>
      <x:c r="N10" s="17"/>
      <x:c r="O10" s="17"/>
      <x:c r="P10" s="17"/>
      <x:c r="Q10" s="17" t="str">
        <x:v>Coin</x:v>
      </x:c>
      <x:c r="R10" s="18" t="str">
        <x:v>/Users/mac/Documents/智囊团/video_analysis/Top_Tycoon新号流程_20260804/evidence/event_supplements/TT_NEW_01_000113_4fps</x:v>
      </x:c>
      <x:c r="S10" s="17" t="str">
        <x:v>00:02:17</x:v>
      </x:c>
      <x:c r="T10" s="17" t="str">
        <x:v>已确认</x:v>
      </x:c>
      <x:c r="U10" s="17" t="str">
        <x:v>A</x:v>
      </x:c>
      <x:c r="V10" s="17" t="str">
        <x:v>4fps事件补核，画面与余额前后值已人工复核</x:v>
      </x:c>
      <x:c r="W10" s="17" t="str">
        <x:v>纯金币</x:v>
      </x:c>
      <x:c r="X10" s="17" t="str">
        <x:v>是</x:v>
      </x:c>
      <x:c r="Y10" s="17" t="str">
        <x:v>是</x:v>
      </x:c>
      <x:c r="Z10" s="17" t="str">
        <x:v>未知</x:v>
      </x:c>
      <x:c r="AA10" s="17" t="str">
        <x:v>未知</x:v>
      </x:c>
      <x:c r="AB10" s="17" t="str">
        <x:v>是</x:v>
      </x:c>
    </x:row>
    <x:row r="11">
      <x:c r="A11" s="17" t="str">
        <x:v>TT_NEW_01</x:v>
      </x:c>
      <x:c r="B11" s="17" t="str">
        <x:v>TT_NEW_01_S0010</x:v>
      </x:c>
      <x:c r="C11" s="17" t="str">
        <x:v>00:02:17</x:v>
      </x:c>
      <x:c r="D11" s="17" t="n">
        <x:v>137</x:v>
      </x:c>
      <x:c r="E11" s="17" t="n">
        <x:v>1</x:v>
      </x:c>
      <x:c r="F11" s="17" t="n">
        <x:v>1</x:v>
      </x:c>
      <x:c r="G11" s="17" t="n">
        <x:v>1</x:v>
      </x:c>
      <x:c r="H11" s="17" t="n">
        <x:v>0</x:v>
      </x:c>
      <x:c r="I11" s="17" t="n">
        <x:v>1</x:v>
      </x:c>
      <x:c r="J11" s="17" t="n">
        <x:v>5</x:v>
      </x:c>
      <x:c r="K11" s="17"/>
      <x:c r="L11" s="17"/>
      <x:c r="M11" s="17"/>
      <x:c r="N11" s="17"/>
      <x:c r="O11" s="17"/>
      <x:c r="P11" s="17"/>
      <x:c r="Q11" s="17" t="str">
        <x:v>Energy</x:v>
      </x:c>
      <x:c r="R11" s="18" t="str">
        <x:v>/Users/mac/Documents/智囊团/video_analysis/Top_Tycoon新号流程_20260804/frames/TT_NEW_01/TT_NEW_01_t000137.jpg</x:v>
      </x:c>
      <x:c r="S11" s="17" t="str">
        <x:v>00:02:21</x:v>
      </x:c>
      <x:c r="T11" s="17" t="str">
        <x:v>待复核</x:v>
      </x:c>
      <x:c r="U11" s="17" t="str">
        <x:v>C</x:v>
      </x:c>
      <x:c r="V11" s="17" t="str">
        <x:v>由逐秒能量变化推断；快速自动Spin可能需4fps补核</x:v>
      </x:c>
      <x:c r="W11" s="17" t="str">
        <x:v>纯能量</x:v>
      </x:c>
      <x:c r="X11" s="17" t="str">
        <x:v>否</x:v>
      </x:c>
      <x:c r="Y11" s="17" t="str">
        <x:v>是</x:v>
      </x:c>
      <x:c r="Z11" s="17" t="str">
        <x:v>未知</x:v>
      </x:c>
      <x:c r="AA11" s="17" t="str">
        <x:v>未知</x:v>
      </x:c>
      <x:c r="AB11" s="17" t="str">
        <x:v>是</x:v>
      </x:c>
    </x:row>
    <x:row r="12">
      <x:c r="A12" s="17" t="str">
        <x:v>TT_NEW_01</x:v>
      </x:c>
      <x:c r="B12" s="17" t="str">
        <x:v>TT_NEW_01_S0011</x:v>
      </x:c>
      <x:c r="C12" s="17" t="str">
        <x:v>00:02:21</x:v>
      </x:c>
      <x:c r="D12" s="17" t="n">
        <x:v>141</x:v>
      </x:c>
      <x:c r="E12" s="17" t="n">
        <x:v>1</x:v>
      </x:c>
      <x:c r="F12" s="17" t="n">
        <x:v>1</x:v>
      </x:c>
      <x:c r="G12" s="17" t="n">
        <x:v>5</x:v>
      </x:c>
      <x:c r="H12" s="17" t="n">
        <x:v>4</x:v>
      </x:c>
      <x:c r="I12" s="17" t="n">
        <x:v>1</x:v>
      </x:c>
      <x:c r="J12" s="17" t="n">
        <x:v>0</x:v>
      </x:c>
      <x:c r="K12" s="17" t="n">
        <x:v>14901</x:v>
      </x:c>
      <x:c r="L12" s="17" t="n">
        <x:v>15001</x:v>
      </x:c>
      <x:c r="M12" s="17" t="n">
        <x:v>100</x:v>
      </x:c>
      <x:c r="N12" s="17"/>
      <x:c r="O12" s="17"/>
      <x:c r="P12" s="17"/>
      <x:c r="Q12" s="17" t="str">
        <x:v>Coin</x:v>
      </x:c>
      <x:c r="R12" s="18" t="str">
        <x:v>/Users/mac/Documents/智囊团/video_analysis/Top_Tycoon新号流程_20260804/evidence/event_supplements/TT_NEW_01_000113_4fps</x:v>
      </x:c>
      <x:c r="S12" s="17" t="str">
        <x:v>00:02:24</x:v>
      </x:c>
      <x:c r="T12" s="17" t="str">
        <x:v>已确认</x:v>
      </x:c>
      <x:c r="U12" s="17" t="str">
        <x:v>A</x:v>
      </x:c>
      <x:c r="V12" s="17" t="str">
        <x:v>4fps事件补核，画面与余额前后值已人工复核</x:v>
      </x:c>
      <x:c r="W12" s="17" t="str">
        <x:v>纯金币</x:v>
      </x:c>
      <x:c r="X12" s="17" t="str">
        <x:v>是</x:v>
      </x:c>
      <x:c r="Y12" s="17" t="str">
        <x:v>是</x:v>
      </x:c>
      <x:c r="Z12" s="17" t="str">
        <x:v>未知</x:v>
      </x:c>
      <x:c r="AA12" s="17" t="str">
        <x:v>未知</x:v>
      </x:c>
      <x:c r="AB12" s="17" t="str">
        <x:v>否</x:v>
      </x:c>
    </x:row>
    <x:row r="13">
      <x:c r="A13" s="17" t="str">
        <x:v>TT_NEW_01</x:v>
      </x:c>
      <x:c r="B13" s="17" t="str">
        <x:v>TT_NEW_01_S0012</x:v>
      </x:c>
      <x:c r="C13" s="17" t="str">
        <x:v>00:02:24</x:v>
      </x:c>
      <x:c r="D13" s="17" t="n">
        <x:v>144</x:v>
      </x:c>
      <x:c r="E13" s="17" t="n">
        <x:v>1</x:v>
      </x:c>
      <x:c r="F13" s="17" t="n">
        <x:v>1</x:v>
      </x:c>
      <x:c r="G13" s="17" t="n">
        <x:v>4</x:v>
      </x:c>
      <x:c r="H13" s="17" t="n">
        <x:v>3</x:v>
      </x:c>
      <x:c r="I13" s="17" t="n">
        <x:v>1</x:v>
      </x:c>
      <x:c r="J13" s="17" t="n">
        <x:v>0</x:v>
      </x:c>
      <x:c r="K13" s="17" t="n">
        <x:v>15001</x:v>
      </x:c>
      <x:c r="L13" s="17" t="n">
        <x:v>20001</x:v>
      </x:c>
      <x:c r="M13" s="17" t="n">
        <x:v>5000</x:v>
      </x:c>
      <x:c r="N13" s="17"/>
      <x:c r="O13" s="17"/>
      <x:c r="P13" s="17"/>
      <x:c r="Q13" s="17" t="str">
        <x:v>Coin</x:v>
      </x:c>
      <x:c r="R13" s="18" t="str">
        <x:v>/Users/mac/Documents/智囊团/video_analysis/Top_Tycoon新号流程_20260804/evidence/event_supplements/TT_NEW_01_000113_4fps</x:v>
      </x:c>
      <x:c r="S13" s="17" t="str">
        <x:v>00:02:26</x:v>
      </x:c>
      <x:c r="T13" s="17" t="str">
        <x:v>已确认</x:v>
      </x:c>
      <x:c r="U13" s="17" t="str">
        <x:v>A</x:v>
      </x:c>
      <x:c r="V13" s="17" t="str">
        <x:v>4fps事件补核，画面与余额前后值已人工复核</x:v>
      </x:c>
      <x:c r="W13" s="17" t="str">
        <x:v>纯金币</x:v>
      </x:c>
      <x:c r="X13" s="17" t="str">
        <x:v>是</x:v>
      </x:c>
      <x:c r="Y13" s="17" t="str">
        <x:v>是</x:v>
      </x:c>
      <x:c r="Z13" s="17" t="str">
        <x:v>未知</x:v>
      </x:c>
      <x:c r="AA13" s="17" t="str">
        <x:v>未知</x:v>
      </x:c>
      <x:c r="AB13" s="17" t="str">
        <x:v>否</x:v>
      </x:c>
    </x:row>
    <x:row r="14">
      <x:c r="A14" s="17" t="str">
        <x:v>TT_NEW_01</x:v>
      </x:c>
      <x:c r="B14" s="17" t="str">
        <x:v>TT_NEW_01_S0013</x:v>
      </x:c>
      <x:c r="C14" s="17" t="str">
        <x:v>00:02:26</x:v>
      </x:c>
      <x:c r="D14" s="17" t="n">
        <x:v>146</x:v>
      </x:c>
      <x:c r="E14" s="17" t="n">
        <x:v>1</x:v>
      </x:c>
      <x:c r="F14" s="17" t="n">
        <x:v>1</x:v>
      </x:c>
      <x:c r="G14" s="17" t="n">
        <x:v>3</x:v>
      </x:c>
      <x:c r="H14" s="17" t="n">
        <x:v>2</x:v>
      </x:c>
      <x:c r="I14" s="17" t="n">
        <x:v>1</x:v>
      </x:c>
      <x:c r="J14" s="17" t="n">
        <x:v>0</x:v>
      </x:c>
      <x:c r="K14" s="17" t="n">
        <x:v>20001</x:v>
      </x:c>
      <x:c r="L14" s="17" t="n">
        <x:v>20501</x:v>
      </x:c>
      <x:c r="M14" s="17" t="n">
        <x:v>500</x:v>
      </x:c>
      <x:c r="N14" s="17"/>
      <x:c r="O14" s="17"/>
      <x:c r="P14" s="17"/>
      <x:c r="Q14" s="17" t="str">
        <x:v>Coin</x:v>
      </x:c>
      <x:c r="R14" s="18" t="str">
        <x:v>/Users/mac/Documents/智囊团/video_analysis/Top_Tycoon新号流程_20260804/evidence/event_supplements/TT_NEW_01_000113_4fps</x:v>
      </x:c>
      <x:c r="S14" s="17" t="str">
        <x:v>00:02:29</x:v>
      </x:c>
      <x:c r="T14" s="17" t="str">
        <x:v>已确认</x:v>
      </x:c>
      <x:c r="U14" s="17" t="str">
        <x:v>A</x:v>
      </x:c>
      <x:c r="V14" s="17" t="str">
        <x:v>4fps事件补核，画面与余额前后值已人工复核</x:v>
      </x:c>
      <x:c r="W14" s="17" t="str">
        <x:v>纯金币</x:v>
      </x:c>
      <x:c r="X14" s="17" t="str">
        <x:v>是</x:v>
      </x:c>
      <x:c r="Y14" s="17" t="str">
        <x:v>是</x:v>
      </x:c>
      <x:c r="Z14" s="17" t="str">
        <x:v>未知</x:v>
      </x:c>
      <x:c r="AA14" s="17" t="str">
        <x:v>未知</x:v>
      </x:c>
      <x:c r="AB14" s="17" t="str">
        <x:v>是</x:v>
      </x:c>
    </x:row>
    <x:row r="15">
      <x:c r="A15" s="17" t="str">
        <x:v>TT_NEW_01</x:v>
      </x:c>
      <x:c r="B15" s="17" t="str">
        <x:v>TT_NEW_01_S0014</x:v>
      </x:c>
      <x:c r="C15" s="17" t="str">
        <x:v>00:02:29</x:v>
      </x:c>
      <x:c r="D15" s="17" t="n">
        <x:v>149</x:v>
      </x:c>
      <x:c r="E15" s="17" t="n">
        <x:v>1</x:v>
      </x:c>
      <x:c r="F15" s="17" t="n">
        <x:v>1</x:v>
      </x:c>
      <x:c r="G15" s="17" t="n">
        <x:v>2</x:v>
      </x:c>
      <x:c r="H15" s="17" t="n">
        <x:v>1</x:v>
      </x:c>
      <x:c r="I15" s="17" t="n">
        <x:v>1</x:v>
      </x:c>
      <x:c r="J15" s="17" t="n">
        <x:v>23</x:v>
      </x:c>
      <x:c r="K15" s="17"/>
      <x:c r="L15" s="17" t="n">
        <x:v>3302</x:v>
      </x:c>
      <x:c r="M15" s="17"/>
      <x:c r="N15" s="17"/>
      <x:c r="O15" s="17"/>
      <x:c r="P15" s="17"/>
      <x:c r="Q15" s="17" t="str">
        <x:v>Energy</x:v>
      </x:c>
      <x:c r="R15" s="18" t="str">
        <x:v>/Users/mac/Documents/智囊团/video_analysis/Top_Tycoon新号流程_20260804/frames/TT_NEW_01/TT_NEW_01_t000149.jpg</x:v>
      </x:c>
      <x:c r="S15" s="17" t="str">
        <x:v>00:06:15</x:v>
      </x:c>
      <x:c r="T15" s="17" t="str">
        <x:v>待复核</x:v>
      </x:c>
      <x:c r="U15" s="17" t="str">
        <x:v>C</x:v>
      </x:c>
      <x:c r="V15" s="17" t="str">
        <x:v>由逐秒能量变化推断；快速自动Spin可能需4fps补核</x:v>
      </x:c>
      <x:c r="W15" s="17" t="str">
        <x:v>纯能量</x:v>
      </x:c>
      <x:c r="X15" s="17" t="str">
        <x:v>否</x:v>
      </x:c>
      <x:c r="Y15" s="17" t="str">
        <x:v>是</x:v>
      </x:c>
      <x:c r="Z15" s="17" t="str">
        <x:v>未知</x:v>
      </x:c>
      <x:c r="AA15" s="17" t="str">
        <x:v>未知</x:v>
      </x:c>
      <x:c r="AB15" s="17" t="str">
        <x:v>是</x:v>
      </x:c>
    </x:row>
    <x:row r="16">
      <x:c r="A16" s="17" t="str">
        <x:v>TT_NEW_01</x:v>
      </x:c>
      <x:c r="B16" s="17" t="str">
        <x:v>TT_NEW_01_S0015</x:v>
      </x:c>
      <x:c r="C16" s="17" t="str">
        <x:v>00:06:15</x:v>
      </x:c>
      <x:c r="D16" s="17" t="n">
        <x:v>375</x:v>
      </x:c>
      <x:c r="E16" s="17" t="n">
        <x:v>1</x:v>
      </x:c>
      <x:c r="F16" s="17" t="n">
        <x:v>1</x:v>
      </x:c>
      <x:c r="G16" s="17" t="n">
        <x:v>24</x:v>
      </x:c>
      <x:c r="H16" s="17" t="n">
        <x:v>23</x:v>
      </x:c>
      <x:c r="I16" s="17" t="n">
        <x:v>1</x:v>
      </x:c>
      <x:c r="J16" s="17" t="n">
        <x:v>0</x:v>
      </x:c>
      <x:c r="K16" s="17" t="n">
        <x:v>3302</x:v>
      </x:c>
      <x:c r="L16" s="17" t="n">
        <x:v>3302</x:v>
      </x:c>
      <x:c r="M16" s="17" t="n">
        <x:v>0</x:v>
      </x:c>
      <x:c r="N16" s="17" t="n">
        <x:v>0</x:v>
      </x:c>
      <x:c r="O16" s="17" t="n">
        <x:v>2</x:v>
      </x:c>
      <x:c r="P16" s="17" t="n">
        <x:v>2</x:v>
      </x:c>
      <x:c r="Q16" s="17" t="str">
        <x:v>Progress</x:v>
      </x:c>
      <x:c r="R16" s="18" t="str">
        <x:v>/Users/mac/Documents/智囊团/video_analysis/Top_Tycoon新号流程_20260804/frames/TT_NEW_01/TT_NEW_01_t000375.jpg</x:v>
      </x:c>
      <x:c r="S16" s="17" t="str">
        <x:v>00:06:18</x:v>
      </x:c>
      <x:c r="T16" s="17" t="str">
        <x:v>待复核</x:v>
      </x:c>
      <x:c r="U16" s="17" t="str">
        <x:v>B</x:v>
      </x:c>
      <x:c r="V16" s="17" t="str">
        <x:v>由逐秒能量变化推断；快速自动Spin可能需4fps补核</x:v>
      </x:c>
      <x:c r="W16" s="17" t="str">
        <x:v>纯进度</x:v>
      </x:c>
      <x:c r="X16" s="17" t="str">
        <x:v>是</x:v>
      </x:c>
      <x:c r="Y16" s="17" t="str">
        <x:v>是</x:v>
      </x:c>
      <x:c r="Z16" s="17" t="str">
        <x:v>未知</x:v>
      </x:c>
      <x:c r="AA16" s="17" t="str">
        <x:v>未知</x:v>
      </x:c>
      <x:c r="AB16" s="17" t="str">
        <x:v>否</x:v>
      </x:c>
    </x:row>
    <x:row r="17">
      <x:c r="A17" s="17" t="str">
        <x:v>TT_NEW_01</x:v>
      </x:c>
      <x:c r="B17" s="17" t="str">
        <x:v>TT_NEW_01_S0016</x:v>
      </x:c>
      <x:c r="C17" s="17" t="str">
        <x:v>00:06:18</x:v>
      </x:c>
      <x:c r="D17" s="17" t="n">
        <x:v>378</x:v>
      </x:c>
      <x:c r="E17" s="17" t="n">
        <x:v>1</x:v>
      </x:c>
      <x:c r="F17" s="17" t="n">
        <x:v>1</x:v>
      </x:c>
      <x:c r="G17" s="17" t="n">
        <x:v>23</x:v>
      </x:c>
      <x:c r="H17" s="17" t="n">
        <x:v>22</x:v>
      </x:c>
      <x:c r="I17" s="17" t="n">
        <x:v>1</x:v>
      </x:c>
      <x:c r="J17" s="17" t="n">
        <x:v>0</x:v>
      </x:c>
      <x:c r="K17" s="17" t="n">
        <x:v>3302</x:v>
      </x:c>
      <x:c r="L17" s="17" t="n">
        <x:v>4402</x:v>
      </x:c>
      <x:c r="M17" s="17" t="n">
        <x:v>1100</x:v>
      </x:c>
      <x:c r="N17" s="17" t="n">
        <x:v>0</x:v>
      </x:c>
      <x:c r="O17" s="17" t="n">
        <x:v>2</x:v>
      </x:c>
      <x:c r="P17" s="17" t="n">
        <x:v>2</x:v>
      </x:c>
      <x:c r="Q17" s="17" t="str">
        <x:v>Coin + Progress</x:v>
      </x:c>
      <x:c r="R17" s="18" t="str">
        <x:v>/Users/mac/Documents/智囊团/video_analysis/Top_Tycoon新号流程_20260804/frames/TT_NEW_01/TT_NEW_01_t000378.jpg</x:v>
      </x:c>
      <x:c r="S17" s="17" t="str">
        <x:v>00:06:21</x:v>
      </x:c>
      <x:c r="T17" s="17" t="str">
        <x:v>待复核</x:v>
      </x:c>
      <x:c r="U17" s="17" t="str">
        <x:v>B</x:v>
      </x:c>
      <x:c r="V17" s="17" t="str">
        <x:v>由逐秒能量变化推断；快速自动Spin可能需4fps补核</x:v>
      </x:c>
      <x:c r="W17" s="17" t="str">
        <x:v>混合奖励</x:v>
      </x:c>
      <x:c r="X17" s="17" t="str">
        <x:v>是</x:v>
      </x:c>
      <x:c r="Y17" s="17" t="str">
        <x:v>是</x:v>
      </x:c>
      <x:c r="Z17" s="17" t="str">
        <x:v>未知</x:v>
      </x:c>
      <x:c r="AA17" s="17" t="str">
        <x:v>未知</x:v>
      </x:c>
      <x:c r="AB17" s="17" t="str">
        <x:v>否</x:v>
      </x:c>
    </x:row>
    <x:row r="18">
      <x:c r="A18" s="17" t="str">
        <x:v>TT_NEW_01</x:v>
      </x:c>
      <x:c r="B18" s="17" t="str">
        <x:v>TT_NEW_01_S0017</x:v>
      </x:c>
      <x:c r="C18" s="17" t="str">
        <x:v>00:06:21</x:v>
      </x:c>
      <x:c r="D18" s="17" t="n">
        <x:v>381</x:v>
      </x:c>
      <x:c r="E18" s="17" t="n">
        <x:v>1</x:v>
      </x:c>
      <x:c r="F18" s="17" t="n">
        <x:v>1</x:v>
      </x:c>
      <x:c r="G18" s="17" t="n">
        <x:v>22</x:v>
      </x:c>
      <x:c r="H18" s="17" t="n">
        <x:v>21</x:v>
      </x:c>
      <x:c r="I18" s="17" t="n">
        <x:v>1</x:v>
      </x:c>
      <x:c r="J18" s="17" t="n">
        <x:v>0</x:v>
      </x:c>
      <x:c r="K18" s="17" t="n">
        <x:v>3777</x:v>
      </x:c>
      <x:c r="L18" s="17" t="n">
        <x:v>27902</x:v>
      </x:c>
      <x:c r="M18" s="17" t="n">
        <x:v>24125</x:v>
      </x:c>
      <x:c r="N18" s="17" t="n">
        <x:v>2</x:v>
      </x:c>
      <x:c r="O18" s="17" t="n">
        <x:v>4</x:v>
      </x:c>
      <x:c r="P18" s="17" t="n">
        <x:v>2</x:v>
      </x:c>
      <x:c r="Q18" s="17" t="str">
        <x:v>Coin + Progress</x:v>
      </x:c>
      <x:c r="R18" s="18" t="str">
        <x:v>/Users/mac/Documents/智囊团/video_analysis/Top_Tycoon新号流程_20260804/frames/TT_NEW_01/TT_NEW_01_t000381.jpg</x:v>
      </x:c>
      <x:c r="S18" s="17" t="str">
        <x:v>00:06:33</x:v>
      </x:c>
      <x:c r="T18" s="17" t="str">
        <x:v>待复核</x:v>
      </x:c>
      <x:c r="U18" s="17" t="str">
        <x:v>B</x:v>
      </x:c>
      <x:c r="V18" s="17" t="str">
        <x:v>由逐秒能量变化推断；快速自动Spin可能需4fps补核</x:v>
      </x:c>
      <x:c r="W18" s="17" t="str">
        <x:v>混合奖励</x:v>
      </x:c>
      <x:c r="X18" s="17" t="str">
        <x:v>是</x:v>
      </x:c>
      <x:c r="Y18" s="17" t="str">
        <x:v>是</x:v>
      </x:c>
      <x:c r="Z18" s="17" t="str">
        <x:v>未知</x:v>
      </x:c>
      <x:c r="AA18" s="17" t="str">
        <x:v>未知</x:v>
      </x:c>
      <x:c r="AB18" s="17" t="str">
        <x:v>否</x:v>
      </x:c>
    </x:row>
    <x:row r="19">
      <x:c r="A19" s="17" t="str">
        <x:v>TT_NEW_01</x:v>
      </x:c>
      <x:c r="B19" s="17" t="str">
        <x:v>TT_NEW_01_S0018</x:v>
      </x:c>
      <x:c r="C19" s="17" t="str">
        <x:v>00:06:33</x:v>
      </x:c>
      <x:c r="D19" s="17" t="n">
        <x:v>393</x:v>
      </x:c>
      <x:c r="E19" s="17" t="n">
        <x:v>1</x:v>
      </x:c>
      <x:c r="F19" s="17" t="n">
        <x:v>1</x:v>
      </x:c>
      <x:c r="G19" s="17" t="n">
        <x:v>21</x:v>
      </x:c>
      <x:c r="H19" s="17" t="n">
        <x:v>20</x:v>
      </x:c>
      <x:c r="I19" s="17" t="n">
        <x:v>1</x:v>
      </x:c>
      <x:c r="J19" s="17" t="n">
        <x:v>0</x:v>
      </x:c>
      <x:c r="K19" s="17" t="n">
        <x:v>27902</x:v>
      </x:c>
      <x:c r="L19" s="17" t="n">
        <x:v>28102</x:v>
      </x:c>
      <x:c r="M19" s="17" t="n">
        <x:v>200</x:v>
      </x:c>
      <x:c r="N19" s="17" t="n">
        <x:v>4</x:v>
      </x:c>
      <x:c r="O19" s="17" t="n">
        <x:v>4</x:v>
      </x:c>
      <x:c r="P19" s="17" t="n">
        <x:v>0</x:v>
      </x:c>
      <x:c r="Q19" s="17" t="str">
        <x:v>Coin</x:v>
      </x:c>
      <x:c r="R19" s="18" t="str">
        <x:v>/Users/mac/Documents/智囊团/video_analysis/Top_Tycoon新号流程_20260804/frames/TT_NEW_01/TT_NEW_01_t000393.jpg</x:v>
      </x:c>
      <x:c r="S19" s="17" t="str">
        <x:v>00:06:35</x:v>
      </x:c>
      <x:c r="T19" s="17" t="str">
        <x:v>待复核</x:v>
      </x:c>
      <x:c r="U19" s="17" t="str">
        <x:v>B</x:v>
      </x:c>
      <x:c r="V19" s="17" t="str">
        <x:v>由逐秒能量变化推断；快速自动Spin可能需4fps补核</x:v>
      </x:c>
      <x:c r="W19" s="17" t="str">
        <x:v>纯金币</x:v>
      </x:c>
      <x:c r="X19" s="17" t="str">
        <x:v>是</x:v>
      </x:c>
      <x:c r="Y19" s="17" t="str">
        <x:v>是</x:v>
      </x:c>
      <x:c r="Z19" s="17" t="str">
        <x:v>未知</x:v>
      </x:c>
      <x:c r="AA19" s="17" t="str">
        <x:v>未知</x:v>
      </x:c>
      <x:c r="AB19" s="17" t="str">
        <x:v>否</x:v>
      </x:c>
    </x:row>
    <x:row r="20">
      <x:c r="A20" s="17" t="str">
        <x:v>TT_NEW_01</x:v>
      </x:c>
      <x:c r="B20" s="17" t="str">
        <x:v>TT_NEW_01_S0019</x:v>
      </x:c>
      <x:c r="C20" s="17" t="str">
        <x:v>00:06:35</x:v>
      </x:c>
      <x:c r="D20" s="17" t="n">
        <x:v>395</x:v>
      </x:c>
      <x:c r="E20" s="17" t="n">
        <x:v>1</x:v>
      </x:c>
      <x:c r="F20" s="17" t="n">
        <x:v>1</x:v>
      </x:c>
      <x:c r="G20" s="17" t="n">
        <x:v>20</x:v>
      </x:c>
      <x:c r="H20" s="17" t="n">
        <x:v>19</x:v>
      </x:c>
      <x:c r="I20" s="17" t="n">
        <x:v>1</x:v>
      </x:c>
      <x:c r="J20" s="17" t="n">
        <x:v>0</x:v>
      </x:c>
      <x:c r="K20" s="17" t="n">
        <x:v>27902</x:v>
      </x:c>
      <x:c r="L20" s="17" t="n">
        <x:v>28602</x:v>
      </x:c>
      <x:c r="M20" s="17" t="n">
        <x:v>700</x:v>
      </x:c>
      <x:c r="N20" s="17" t="n">
        <x:v>4</x:v>
      </x:c>
      <x:c r="O20" s="17" t="n">
        <x:v>4</x:v>
      </x:c>
      <x:c r="P20" s="17" t="n">
        <x:v>0</x:v>
      </x:c>
      <x:c r="Q20" s="17" t="str">
        <x:v>Coin</x:v>
      </x:c>
      <x:c r="R20" s="18" t="str">
        <x:v>/Users/mac/Documents/智囊团/video_analysis/Top_Tycoon新号流程_20260804/frames/TT_NEW_01/TT_NEW_01_t000395.jpg</x:v>
      </x:c>
      <x:c r="S20" s="17" t="str">
        <x:v>00:06:38</x:v>
      </x:c>
      <x:c r="T20" s="17" t="str">
        <x:v>待复核</x:v>
      </x:c>
      <x:c r="U20" s="17" t="str">
        <x:v>B</x:v>
      </x:c>
      <x:c r="V20" s="17" t="str">
        <x:v>由逐秒能量变化推断；快速自动Spin可能需4fps补核</x:v>
      </x:c>
      <x:c r="W20" s="17" t="str">
        <x:v>纯金币</x:v>
      </x:c>
      <x:c r="X20" s="17" t="str">
        <x:v>是</x:v>
      </x:c>
      <x:c r="Y20" s="17" t="str">
        <x:v>是</x:v>
      </x:c>
      <x:c r="Z20" s="17" t="str">
        <x:v>未知</x:v>
      </x:c>
      <x:c r="AA20" s="17" t="str">
        <x:v>未知</x:v>
      </x:c>
      <x:c r="AB20" s="17" t="str">
        <x:v>否</x:v>
      </x:c>
    </x:row>
    <x:row r="21">
      <x:c r="A21" s="17" t="str">
        <x:v>TT_NEW_01</x:v>
      </x:c>
      <x:c r="B21" s="17" t="str">
        <x:v>TT_NEW_01_S0020</x:v>
      </x:c>
      <x:c r="C21" s="17" t="str">
        <x:v>00:06:38</x:v>
      </x:c>
      <x:c r="D21" s="17" t="n">
        <x:v>398</x:v>
      </x:c>
      <x:c r="E21" s="17" t="n">
        <x:v>1</x:v>
      </x:c>
      <x:c r="F21" s="17" t="n">
        <x:v>1</x:v>
      </x:c>
      <x:c r="G21" s="17" t="n">
        <x:v>19</x:v>
      </x:c>
      <x:c r="H21" s="17" t="n">
        <x:v>18</x:v>
      </x:c>
      <x:c r="I21" s="17" t="n">
        <x:v>1</x:v>
      </x:c>
      <x:c r="J21" s="17" t="n">
        <x:v>10</x:v>
      </x:c>
      <x:c r="K21" s="17" t="n">
        <x:v>28102</x:v>
      </x:c>
      <x:c r="L21" s="17" t="n">
        <x:v>28602</x:v>
      </x:c>
      <x:c r="M21" s="17" t="n">
        <x:v>500</x:v>
      </x:c>
      <x:c r="N21" s="17" t="n">
        <x:v>4</x:v>
      </x:c>
      <x:c r="O21" s="17" t="n">
        <x:v>4</x:v>
      </x:c>
      <x:c r="P21" s="17" t="n">
        <x:v>0</x:v>
      </x:c>
      <x:c r="Q21" s="17" t="str">
        <x:v>Coin + Energy</x:v>
      </x:c>
      <x:c r="R21" s="18" t="str">
        <x:v>/Users/mac/Documents/智囊团/video_analysis/Top_Tycoon新号流程_20260804/frames/TT_NEW_01/TT_NEW_01_t000398.jpg</x:v>
      </x:c>
      <x:c r="S21" s="17" t="str">
        <x:v>00:06:48</x:v>
      </x:c>
      <x:c r="T21" s="17" t="str">
        <x:v>待复核</x:v>
      </x:c>
      <x:c r="U21" s="17" t="str">
        <x:v>B</x:v>
      </x:c>
      <x:c r="V21" s="17" t="str">
        <x:v>由逐秒能量变化推断；快速自动Spin可能需4fps补核</x:v>
      </x:c>
      <x:c r="W21" s="17" t="str">
        <x:v>混合奖励</x:v>
      </x:c>
      <x:c r="X21" s="17" t="str">
        <x:v>是</x:v>
      </x:c>
      <x:c r="Y21" s="17" t="str">
        <x:v>是</x:v>
      </x:c>
      <x:c r="Z21" s="17" t="str">
        <x:v>未知</x:v>
      </x:c>
      <x:c r="AA21" s="17" t="str">
        <x:v>未知</x:v>
      </x:c>
      <x:c r="AB21" s="17" t="str">
        <x:v>否</x:v>
      </x:c>
    </x:row>
    <x:row r="22">
      <x:c r="A22" s="17" t="str">
        <x:v>TT_NEW_01</x:v>
      </x:c>
      <x:c r="B22" s="17" t="str">
        <x:v>TT_NEW_01_S0021</x:v>
      </x:c>
      <x:c r="C22" s="17" t="str">
        <x:v>00:06:48</x:v>
      </x:c>
      <x:c r="D22" s="17" t="n">
        <x:v>408</x:v>
      </x:c>
      <x:c r="E22" s="17" t="n">
        <x:v>1</x:v>
      </x:c>
      <x:c r="F22" s="17" t="n">
        <x:v>1</x:v>
      </x:c>
      <x:c r="G22" s="17" t="n">
        <x:v>28</x:v>
      </x:c>
      <x:c r="H22" s="17" t="n">
        <x:v>27</x:v>
      </x:c>
      <x:c r="I22" s="17" t="n">
        <x:v>1</x:v>
      </x:c>
      <x:c r="J22" s="17" t="n">
        <x:v>0</x:v>
      </x:c>
      <x:c r="K22" s="17" t="n">
        <x:v>28602</x:v>
      </x:c>
      <x:c r="L22" s="17" t="n">
        <x:v>28802</x:v>
      </x:c>
      <x:c r="M22" s="17" t="n">
        <x:v>200</x:v>
      </x:c>
      <x:c r="N22" s="17" t="n">
        <x:v>3</x:v>
      </x:c>
      <x:c r="O22" s="17" t="n">
        <x:v>3</x:v>
      </x:c>
      <x:c r="P22" s="17" t="n">
        <x:v>0</x:v>
      </x:c>
      <x:c r="Q22" s="17" t="str">
        <x:v>Coin</x:v>
      </x:c>
      <x:c r="R22" s="18" t="str">
        <x:v>/Users/mac/Documents/智囊团/video_analysis/Top_Tycoon新号流程_20260804/frames/TT_NEW_01/TT_NEW_01_t000408.jpg</x:v>
      </x:c>
      <x:c r="S22" s="17" t="str">
        <x:v>00:06:50</x:v>
      </x:c>
      <x:c r="T22" s="17" t="str">
        <x:v>待复核</x:v>
      </x:c>
      <x:c r="U22" s="17" t="str">
        <x:v>B</x:v>
      </x:c>
      <x:c r="V22" s="17" t="str">
        <x:v>由逐秒能量变化推断；快速自动Spin可能需4fps补核</x:v>
      </x:c>
      <x:c r="W22" s="17" t="str">
        <x:v>纯金币</x:v>
      </x:c>
      <x:c r="X22" s="17" t="str">
        <x:v>是</x:v>
      </x:c>
      <x:c r="Y22" s="17" t="str">
        <x:v>是</x:v>
      </x:c>
      <x:c r="Z22" s="17" t="str">
        <x:v>未知</x:v>
      </x:c>
      <x:c r="AA22" s="17" t="str">
        <x:v>未知</x:v>
      </x:c>
      <x:c r="AB22" s="17" t="str">
        <x:v>否</x:v>
      </x:c>
    </x:row>
    <x:row r="23">
      <x:c r="A23" s="17" t="str">
        <x:v>TT_NEW_01</x:v>
      </x:c>
      <x:c r="B23" s="17" t="str">
        <x:v>TT_NEW_01_S0022</x:v>
      </x:c>
      <x:c r="C23" s="17" t="str">
        <x:v>00:06:50</x:v>
      </x:c>
      <x:c r="D23" s="17" t="n">
        <x:v>410</x:v>
      </x:c>
      <x:c r="E23" s="17" t="n">
        <x:v>1</x:v>
      </x:c>
      <x:c r="F23" s="17" t="n">
        <x:v>1</x:v>
      </x:c>
      <x:c r="G23" s="17" t="n">
        <x:v>27</x:v>
      </x:c>
      <x:c r="H23" s="17" t="n">
        <x:v>26</x:v>
      </x:c>
      <x:c r="I23" s="17" t="n">
        <x:v>1</x:v>
      </x:c>
      <x:c r="J23" s="17" t="n">
        <x:v>0</x:v>
      </x:c>
      <x:c r="K23" s="17" t="n">
        <x:v>28602</x:v>
      </x:c>
      <x:c r="L23" s="17" t="n">
        <x:v>38802</x:v>
      </x:c>
      <x:c r="M23" s="17" t="n">
        <x:v>10200</x:v>
      </x:c>
      <x:c r="N23" s="17" t="n">
        <x:v>3</x:v>
      </x:c>
      <x:c r="O23" s="17" t="n">
        <x:v>3</x:v>
      </x:c>
      <x:c r="P23" s="17" t="n">
        <x:v>0</x:v>
      </x:c>
      <x:c r="Q23" s="17" t="str">
        <x:v>Coin</x:v>
      </x:c>
      <x:c r="R23" s="18" t="str">
        <x:v>/Users/mac/Documents/智囊团/video_analysis/Top_Tycoon新号流程_20260804/frames/TT_NEW_01/TT_NEW_01_t000410.jpg</x:v>
      </x:c>
      <x:c r="S23" s="17" t="str">
        <x:v>00:06:53</x:v>
      </x:c>
      <x:c r="T23" s="17" t="str">
        <x:v>待复核</x:v>
      </x:c>
      <x:c r="U23" s="17" t="str">
        <x:v>B</x:v>
      </x:c>
      <x:c r="V23" s="17" t="str">
        <x:v>由逐秒能量变化推断；快速自动Spin可能需4fps补核</x:v>
      </x:c>
      <x:c r="W23" s="17" t="str">
        <x:v>纯金币</x:v>
      </x:c>
      <x:c r="X23" s="17" t="str">
        <x:v>是</x:v>
      </x:c>
      <x:c r="Y23" s="17" t="str">
        <x:v>是</x:v>
      </x:c>
      <x:c r="Z23" s="17" t="str">
        <x:v>未知</x:v>
      </x:c>
      <x:c r="AA23" s="17" t="str">
        <x:v>未知</x:v>
      </x:c>
      <x:c r="AB23" s="17" t="str">
        <x:v>否</x:v>
      </x:c>
    </x:row>
    <x:row r="24">
      <x:c r="A24" s="17" t="str">
        <x:v>TT_NEW_01</x:v>
      </x:c>
      <x:c r="B24" s="17" t="str">
        <x:v>TT_NEW_01_S0023</x:v>
      </x:c>
      <x:c r="C24" s="17" t="str">
        <x:v>00:06:53</x:v>
      </x:c>
      <x:c r="D24" s="17" t="n">
        <x:v>413</x:v>
      </x:c>
      <x:c r="E24" s="17" t="n">
        <x:v>1</x:v>
      </x:c>
      <x:c r="F24" s="17" t="n">
        <x:v>1</x:v>
      </x:c>
      <x:c r="G24" s="17" t="n">
        <x:v>26</x:v>
      </x:c>
      <x:c r="H24" s="17" t="n">
        <x:v>25</x:v>
      </x:c>
      <x:c r="I24" s="17" t="n">
        <x:v>1</x:v>
      </x:c>
      <x:c r="J24" s="17" t="n">
        <x:v>0</x:v>
      </x:c>
      <x:c r="K24" s="17" t="n">
        <x:v>28802</x:v>
      </x:c>
      <x:c r="L24" s="17" t="n">
        <x:v>70802</x:v>
      </x:c>
      <x:c r="M24" s="17" t="n">
        <x:v>42000</x:v>
      </x:c>
      <x:c r="N24" s="17" t="n">
        <x:v>3</x:v>
      </x:c>
      <x:c r="O24" s="17" t="n">
        <x:v>3</x:v>
      </x:c>
      <x:c r="P24" s="17" t="n">
        <x:v>0</x:v>
      </x:c>
      <x:c r="Q24" s="17" t="str">
        <x:v>Attack</x:v>
      </x:c>
      <x:c r="R24" s="18" t="str">
        <x:v>/Users/mac/Documents/智囊团/video_analysis/Top_Tycoon新号流程_20260804/frames/TT_NEW_01/TT_NEW_01_t000413.jpg</x:v>
      </x:c>
      <x:c r="S24" s="17" t="str">
        <x:v>00:07:21</x:v>
      </x:c>
      <x:c r="T24" s="17" t="str">
        <x:v>待复核</x:v>
      </x:c>
      <x:c r="U24" s="17" t="str">
        <x:v>B</x:v>
      </x:c>
      <x:c r="V24" s="17" t="str">
        <x:v>由逐秒能量变化推断；快速自动Spin可能需4fps补核</x:v>
      </x:c>
      <x:c r="W24" s="17" t="str">
        <x:v>Attack</x:v>
      </x:c>
      <x:c r="X24" s="17" t="str">
        <x:v>是</x:v>
      </x:c>
      <x:c r="Y24" s="17" t="str">
        <x:v>是</x:v>
      </x:c>
      <x:c r="Z24" s="17" t="str">
        <x:v>未知</x:v>
      </x:c>
      <x:c r="AA24" s="17" t="str">
        <x:v>未知</x:v>
      </x:c>
      <x:c r="AB24" s="17" t="str">
        <x:v>否</x:v>
      </x:c>
    </x:row>
    <x:row r="25">
      <x:c r="A25" s="17" t="str">
        <x:v>TT_NEW_01</x:v>
      </x:c>
      <x:c r="B25" s="17" t="str">
        <x:v>TT_NEW_01_S0024</x:v>
      </x:c>
      <x:c r="C25" s="17" t="str">
        <x:v>00:07:21</x:v>
      </x:c>
      <x:c r="D25" s="17" t="n">
        <x:v>441</x:v>
      </x:c>
      <x:c r="E25" s="17" t="n">
        <x:v>1</x:v>
      </x:c>
      <x:c r="F25" s="17" t="n">
        <x:v>1</x:v>
      </x:c>
      <x:c r="G25" s="17" t="n">
        <x:v>25</x:v>
      </x:c>
      <x:c r="H25" s="17" t="n">
        <x:v>24</x:v>
      </x:c>
      <x:c r="I25" s="17" t="n">
        <x:v>1</x:v>
      </x:c>
      <x:c r="J25" s="17" t="n">
        <x:v>5</x:v>
      </x:c>
      <x:c r="K25" s="17" t="n">
        <x:v>68802</x:v>
      </x:c>
      <x:c r="L25" s="17" t="n">
        <x:v>70802</x:v>
      </x:c>
      <x:c r="M25" s="17" t="n">
        <x:v>2000</x:v>
      </x:c>
      <x:c r="N25" s="17" t="n">
        <x:v>3</x:v>
      </x:c>
      <x:c r="O25" s="17" t="n">
        <x:v>3</x:v>
      </x:c>
      <x:c r="P25" s="17" t="n">
        <x:v>0</x:v>
      </x:c>
      <x:c r="Q25" s="17" t="str">
        <x:v>Coin + Energy</x:v>
      </x:c>
      <x:c r="R25" s="18" t="str">
        <x:v>/Users/mac/Documents/智囊团/video_analysis/Top_Tycoon新号流程_20260804/frames/TT_NEW_01/TT_NEW_01_t000441.jpg</x:v>
      </x:c>
      <x:c r="S25" s="17" t="str">
        <x:v>00:07:27</x:v>
      </x:c>
      <x:c r="T25" s="17" t="str">
        <x:v>待复核</x:v>
      </x:c>
      <x:c r="U25" s="17" t="str">
        <x:v>B</x:v>
      </x:c>
      <x:c r="V25" s="17" t="str">
        <x:v>由逐秒能量变化推断；快速自动Spin可能需4fps补核</x:v>
      </x:c>
      <x:c r="W25" s="17" t="str">
        <x:v>混合奖励</x:v>
      </x:c>
      <x:c r="X25" s="17" t="str">
        <x:v>是</x:v>
      </x:c>
      <x:c r="Y25" s="17" t="str">
        <x:v>是</x:v>
      </x:c>
      <x:c r="Z25" s="17" t="str">
        <x:v>未知</x:v>
      </x:c>
      <x:c r="AA25" s="17" t="str">
        <x:v>未知</x:v>
      </x:c>
      <x:c r="AB25" s="17" t="str">
        <x:v>否</x:v>
      </x:c>
    </x:row>
    <x:row r="26">
      <x:c r="A26" s="17" t="str">
        <x:v>TT_NEW_01</x:v>
      </x:c>
      <x:c r="B26" s="17" t="str">
        <x:v>TT_NEW_01_S0025</x:v>
      </x:c>
      <x:c r="C26" s="17" t="str">
        <x:v>00:07:27</x:v>
      </x:c>
      <x:c r="D26" s="17" t="n">
        <x:v>447</x:v>
      </x:c>
      <x:c r="E26" s="17" t="n">
        <x:v>1</x:v>
      </x:c>
      <x:c r="F26" s="17" t="n">
        <x:v>1</x:v>
      </x:c>
      <x:c r="G26" s="17" t="n">
        <x:v>29</x:v>
      </x:c>
      <x:c r="H26" s="17" t="n">
        <x:v>28</x:v>
      </x:c>
      <x:c r="I26" s="17" t="n">
        <x:v>1</x:v>
      </x:c>
      <x:c r="J26" s="17" t="n">
        <x:v>0</x:v>
      </x:c>
      <x:c r="K26" s="17" t="n">
        <x:v>70802</x:v>
      </x:c>
      <x:c r="L26" s="17" t="n">
        <x:v>71402</x:v>
      </x:c>
      <x:c r="M26" s="17" t="n">
        <x:v>600</x:v>
      </x:c>
      <x:c r="N26" s="17" t="n">
        <x:v>3</x:v>
      </x:c>
      <x:c r="O26" s="17" t="n">
        <x:v>3</x:v>
      </x:c>
      <x:c r="P26" s="17" t="n">
        <x:v>0</x:v>
      </x:c>
      <x:c r="Q26" s="17" t="str">
        <x:v>Coin</x:v>
      </x:c>
      <x:c r="R26" s="18" t="str">
        <x:v>/Users/mac/Documents/智囊团/video_analysis/Top_Tycoon新号流程_20260804/frames/TT_NEW_01/TT_NEW_01_t000447.jpg</x:v>
      </x:c>
      <x:c r="S26" s="17" t="str">
        <x:v>00:07:30</x:v>
      </x:c>
      <x:c r="T26" s="17" t="str">
        <x:v>待复核</x:v>
      </x:c>
      <x:c r="U26" s="17" t="str">
        <x:v>B</x:v>
      </x:c>
      <x:c r="V26" s="17" t="str">
        <x:v>由逐秒能量变化推断；快速自动Spin可能需4fps补核</x:v>
      </x:c>
      <x:c r="W26" s="17" t="str">
        <x:v>纯金币</x:v>
      </x:c>
      <x:c r="X26" s="17" t="str">
        <x:v>是</x:v>
      </x:c>
      <x:c r="Y26" s="17" t="str">
        <x:v>是</x:v>
      </x:c>
      <x:c r="Z26" s="17" t="str">
        <x:v>未知</x:v>
      </x:c>
      <x:c r="AA26" s="17" t="str">
        <x:v>未知</x:v>
      </x:c>
      <x:c r="AB26" s="17" t="str">
        <x:v>否</x:v>
      </x:c>
    </x:row>
    <x:row r="27">
      <x:c r="A27" s="17" t="str">
        <x:v>TT_NEW_01</x:v>
      </x:c>
      <x:c r="B27" s="17" t="str">
        <x:v>TT_NEW_01_S0026</x:v>
      </x:c>
      <x:c r="C27" s="17" t="str">
        <x:v>00:07:30</x:v>
      </x:c>
      <x:c r="D27" s="17" t="n">
        <x:v>450</x:v>
      </x:c>
      <x:c r="E27" s="17" t="n">
        <x:v>1</x:v>
      </x:c>
      <x:c r="F27" s="17" t="n">
        <x:v>1</x:v>
      </x:c>
      <x:c r="G27" s="17" t="n">
        <x:v>28</x:v>
      </x:c>
      <x:c r="H27" s="17" t="n">
        <x:v>27</x:v>
      </x:c>
      <x:c r="I27" s="17" t="n">
        <x:v>1</x:v>
      </x:c>
      <x:c r="J27" s="17" t="n">
        <x:v>0</x:v>
      </x:c>
      <x:c r="K27" s="17" t="n">
        <x:v>70802</x:v>
      </x:c>
      <x:c r="L27" s="17" t="n">
        <x:v>71602</x:v>
      </x:c>
      <x:c r="M27" s="17" t="n">
        <x:v>800</x:v>
      </x:c>
      <x:c r="N27" s="17" t="n">
        <x:v>3</x:v>
      </x:c>
      <x:c r="O27" s="17" t="n">
        <x:v>3</x:v>
      </x:c>
      <x:c r="P27" s="17" t="n">
        <x:v>0</x:v>
      </x:c>
      <x:c r="Q27" s="17" t="str">
        <x:v>Coin</x:v>
      </x:c>
      <x:c r="R27" s="18" t="str">
        <x:v>/Users/mac/Documents/智囊团/video_analysis/Top_Tycoon新号流程_20260804/frames/TT_NEW_01/TT_NEW_01_t000450.jpg</x:v>
      </x:c>
      <x:c r="S27" s="17" t="str">
        <x:v>00:07:33</x:v>
      </x:c>
      <x:c r="T27" s="17" t="str">
        <x:v>待复核</x:v>
      </x:c>
      <x:c r="U27" s="17" t="str">
        <x:v>B</x:v>
      </x:c>
      <x:c r="V27" s="17" t="str">
        <x:v>由逐秒能量变化推断；快速自动Spin可能需4fps补核</x:v>
      </x:c>
      <x:c r="W27" s="17" t="str">
        <x:v>纯金币</x:v>
      </x:c>
      <x:c r="X27" s="17" t="str">
        <x:v>是</x:v>
      </x:c>
      <x:c r="Y27" s="17" t="str">
        <x:v>是</x:v>
      </x:c>
      <x:c r="Z27" s="17" t="str">
        <x:v>未知</x:v>
      </x:c>
      <x:c r="AA27" s="17" t="str">
        <x:v>未知</x:v>
      </x:c>
      <x:c r="AB27" s="17" t="str">
        <x:v>否</x:v>
      </x:c>
    </x:row>
    <x:row r="28">
      <x:c r="A28" s="17" t="str">
        <x:v>TT_NEW_01</x:v>
      </x:c>
      <x:c r="B28" s="17" t="str">
        <x:v>TT_NEW_01_S0027</x:v>
      </x:c>
      <x:c r="C28" s="17" t="str">
        <x:v>00:07:33</x:v>
      </x:c>
      <x:c r="D28" s="17" t="n">
        <x:v>453</x:v>
      </x:c>
      <x:c r="E28" s="17" t="n">
        <x:v>1</x:v>
      </x:c>
      <x:c r="F28" s="17" t="n">
        <x:v>1</x:v>
      </x:c>
      <x:c r="G28" s="17" t="n">
        <x:v>27</x:v>
      </x:c>
      <x:c r="H28" s="17" t="n">
        <x:v>26</x:v>
      </x:c>
      <x:c r="I28" s="17" t="n">
        <x:v>1</x:v>
      </x:c>
      <x:c r="J28" s="17" t="n">
        <x:v>0</x:v>
      </x:c>
      <x:c r="K28" s="17" t="n">
        <x:v>71588</x:v>
      </x:c>
      <x:c r="L28" s="17" t="n">
        <x:v>81602</x:v>
      </x:c>
      <x:c r="M28" s="17" t="n">
        <x:v>10014</x:v>
      </x:c>
      <x:c r="N28" s="17" t="n">
        <x:v>3</x:v>
      </x:c>
      <x:c r="O28" s="17" t="n">
        <x:v>3</x:v>
      </x:c>
      <x:c r="P28" s="17" t="n">
        <x:v>0</x:v>
      </x:c>
      <x:c r="Q28" s="17" t="str">
        <x:v>Coin</x:v>
      </x:c>
      <x:c r="R28" s="18" t="str">
        <x:v>/Users/mac/Documents/智囊团/video_analysis/Top_Tycoon新号流程_20260804/frames/TT_NEW_01/TT_NEW_01_t000453.jpg</x:v>
      </x:c>
      <x:c r="S28" s="17" t="str">
        <x:v>00:07:36</x:v>
      </x:c>
      <x:c r="T28" s="17" t="str">
        <x:v>待复核</x:v>
      </x:c>
      <x:c r="U28" s="17" t="str">
        <x:v>B</x:v>
      </x:c>
      <x:c r="V28" s="17" t="str">
        <x:v>由逐秒能量变化推断；快速自动Spin可能需4fps补核</x:v>
      </x:c>
      <x:c r="W28" s="17" t="str">
        <x:v>纯金币</x:v>
      </x:c>
      <x:c r="X28" s="17" t="str">
        <x:v>是</x:v>
      </x:c>
      <x:c r="Y28" s="17" t="str">
        <x:v>是</x:v>
      </x:c>
      <x:c r="Z28" s="17" t="str">
        <x:v>未知</x:v>
      </x:c>
      <x:c r="AA28" s="17" t="str">
        <x:v>未知</x:v>
      </x:c>
      <x:c r="AB28" s="17" t="str">
        <x:v>否</x:v>
      </x:c>
    </x:row>
    <x:row r="29">
      <x:c r="A29" s="17" t="str">
        <x:v>TT_NEW_01</x:v>
      </x:c>
      <x:c r="B29" s="17" t="str">
        <x:v>TT_NEW_01_S0028</x:v>
      </x:c>
      <x:c r="C29" s="17" t="str">
        <x:v>00:07:36</x:v>
      </x:c>
      <x:c r="D29" s="17" t="n">
        <x:v>456</x:v>
      </x:c>
      <x:c r="E29" s="17" t="n">
        <x:v>3</x:v>
      </x:c>
      <x:c r="F29" s="17" t="n">
        <x:v>1</x:v>
      </x:c>
      <x:c r="G29" s="17" t="n">
        <x:v>26</x:v>
      </x:c>
      <x:c r="H29" s="17" t="n">
        <x:v>23</x:v>
      </x:c>
      <x:c r="I29" s="17" t="n">
        <x:v>3</x:v>
      </x:c>
      <x:c r="J29" s="17" t="n">
        <x:v>2</x:v>
      </x:c>
      <x:c r="K29" s="17" t="n">
        <x:v>72268</x:v>
      </x:c>
      <x:c r="L29" s="17" t="n">
        <x:v>82102</x:v>
      </x:c>
      <x:c r="M29" s="17" t="n">
        <x:v>9834</x:v>
      </x:c>
      <x:c r="N29" s="17" t="n">
        <x:v>3</x:v>
      </x:c>
      <x:c r="O29" s="17" t="n">
        <x:v>5</x:v>
      </x:c>
      <x:c r="P29" s="17" t="n">
        <x:v>2</x:v>
      </x:c>
      <x:c r="Q29" s="17" t="str">
        <x:v>Coin + Energy + Progress</x:v>
      </x:c>
      <x:c r="R29" s="18" t="str">
        <x:v>/Users/mac/Documents/智囊团/video_analysis/Top_Tycoon新号流程_20260804/frames/TT_NEW_01/TT_NEW_01_t000456.jpg</x:v>
      </x:c>
      <x:c r="S29" s="17" t="str">
        <x:v>00:07:40</x:v>
      </x:c>
      <x:c r="T29" s="17" t="str">
        <x:v>待复核</x:v>
      </x:c>
      <x:c r="U29" s="17" t="str">
        <x:v>C</x:v>
      </x:c>
      <x:c r="V29" s="17" t="str">
        <x:v>由逐秒能量变化推断；快速自动Spin可能需4fps补核</x:v>
      </x:c>
      <x:c r="W29" s="17" t="str">
        <x:v>混合奖励</x:v>
      </x:c>
      <x:c r="X29" s="17" t="str">
        <x:v>否</x:v>
      </x:c>
      <x:c r="Y29" s="17" t="str">
        <x:v>是</x:v>
      </x:c>
      <x:c r="Z29" s="17" t="str">
        <x:v>未知</x:v>
      </x:c>
      <x:c r="AA29" s="17" t="str">
        <x:v>未知</x:v>
      </x:c>
      <x:c r="AB29" s="17" t="str">
        <x:v>否</x:v>
      </x:c>
    </x:row>
    <x:row r="30">
      <x:c r="A30" s="17" t="str">
        <x:v>TT_NEW_01</x:v>
      </x:c>
      <x:c r="B30" s="17" t="str">
        <x:v>TT_NEW_01_S0029</x:v>
      </x:c>
      <x:c r="C30" s="17" t="str">
        <x:v>00:07:40</x:v>
      </x:c>
      <x:c r="D30" s="17" t="n">
        <x:v>460</x:v>
      </x:c>
      <x:c r="E30" s="17" t="n">
        <x:v>1</x:v>
      </x:c>
      <x:c r="F30" s="17" t="n">
        <x:v>1</x:v>
      </x:c>
      <x:c r="G30" s="17" t="n">
        <x:v>25</x:v>
      </x:c>
      <x:c r="H30" s="17" t="n">
        <x:v>24</x:v>
      </x:c>
      <x:c r="I30" s="17" t="n">
        <x:v>1</x:v>
      </x:c>
      <x:c r="J30" s="17" t="n">
        <x:v>0</x:v>
      </x:c>
      <x:c r="K30" s="17" t="n">
        <x:v>81602</x:v>
      </x:c>
      <x:c r="L30" s="17" t="n">
        <x:v>82102</x:v>
      </x:c>
      <x:c r="M30" s="17" t="n">
        <x:v>500</x:v>
      </x:c>
      <x:c r="N30" s="17" t="n">
        <x:v>3</x:v>
      </x:c>
      <x:c r="O30" s="17" t="n">
        <x:v>5</x:v>
      </x:c>
      <x:c r="P30" s="17" t="n">
        <x:v>2</x:v>
      </x:c>
      <x:c r="Q30" s="17" t="str">
        <x:v>Shield + Coin + Progress</x:v>
      </x:c>
      <x:c r="R30" s="18" t="str">
        <x:v>/Users/mac/Documents/智囊团/video_analysis/Top_Tycoon新号流程_20260804/frames/TT_NEW_01/TT_NEW_01_t000460.jpg</x:v>
      </x:c>
      <x:c r="S30" s="17" t="str">
        <x:v>00:07:46</x:v>
      </x:c>
      <x:c r="T30" s="17" t="str">
        <x:v>待复核</x:v>
      </x:c>
      <x:c r="U30" s="17" t="str">
        <x:v>B</x:v>
      </x:c>
      <x:c r="V30" s="17" t="str">
        <x:v>由逐秒能量变化推断；快速自动Spin可能需4fps补核</x:v>
      </x:c>
      <x:c r="W30" s="17" t="str">
        <x:v>Shield</x:v>
      </x:c>
      <x:c r="X30" s="17" t="str">
        <x:v>是</x:v>
      </x:c>
      <x:c r="Y30" s="17" t="str">
        <x:v>是</x:v>
      </x:c>
      <x:c r="Z30" s="17" t="str">
        <x:v>未知</x:v>
      </x:c>
      <x:c r="AA30" s="17" t="str">
        <x:v>未知</x:v>
      </x:c>
      <x:c r="AB30" s="17" t="str">
        <x:v>否</x:v>
      </x:c>
    </x:row>
    <x:row r="31">
      <x:c r="A31" s="17" t="str">
        <x:v>TT_NEW_01</x:v>
      </x:c>
      <x:c r="B31" s="17" t="str">
        <x:v>TT_NEW_01_S0030</x:v>
      </x:c>
      <x:c r="C31" s="17" t="str">
        <x:v>00:07:46</x:v>
      </x:c>
      <x:c r="D31" s="17" t="n">
        <x:v>466</x:v>
      </x:c>
      <x:c r="E31" s="17" t="n">
        <x:v>1</x:v>
      </x:c>
      <x:c r="F31" s="17" t="n">
        <x:v>1</x:v>
      </x:c>
      <x:c r="G31" s="17" t="n">
        <x:v>24</x:v>
      </x:c>
      <x:c r="H31" s="17" t="n">
        <x:v>23</x:v>
      </x:c>
      <x:c r="I31" s="17" t="n">
        <x:v>1</x:v>
      </x:c>
      <x:c r="J31" s="17" t="n">
        <x:v>0</x:v>
      </x:c>
      <x:c r="K31" s="17" t="n">
        <x:v>82102</x:v>
      </x:c>
      <x:c r="L31" s="17" t="n">
        <x:v>82202</x:v>
      </x:c>
      <x:c r="M31" s="17" t="n">
        <x:v>100</x:v>
      </x:c>
      <x:c r="N31" s="17" t="n">
        <x:v>5</x:v>
      </x:c>
      <x:c r="O31" s="17" t="n">
        <x:v>5</x:v>
      </x:c>
      <x:c r="P31" s="17" t="n">
        <x:v>0</x:v>
      </x:c>
      <x:c r="Q31" s="17" t="str">
        <x:v>Coin</x:v>
      </x:c>
      <x:c r="R31" s="18" t="str">
        <x:v>/Users/mac/Documents/智囊团/video_analysis/Top_Tycoon新号流程_20260804/frames/TT_NEW_01/TT_NEW_01_t000466.jpg</x:v>
      </x:c>
      <x:c r="S31" s="17" t="str">
        <x:v>00:08:19</x:v>
      </x:c>
      <x:c r="T31" s="17" t="str">
        <x:v>待复核</x:v>
      </x:c>
      <x:c r="U31" s="17" t="str">
        <x:v>B</x:v>
      </x:c>
      <x:c r="V31" s="17" t="str">
        <x:v>由逐秒能量变化推断；快速自动Spin可能需4fps补核</x:v>
      </x:c>
      <x:c r="W31" s="17" t="str">
        <x:v>纯金币</x:v>
      </x:c>
      <x:c r="X31" s="17" t="str">
        <x:v>是</x:v>
      </x:c>
      <x:c r="Y31" s="17" t="str">
        <x:v>是</x:v>
      </x:c>
      <x:c r="Z31" s="17" t="str">
        <x:v>未知</x:v>
      </x:c>
      <x:c r="AA31" s="17" t="str">
        <x:v>未知</x:v>
      </x:c>
      <x:c r="AB31" s="17" t="str">
        <x:v>否</x:v>
      </x:c>
    </x:row>
    <x:row r="32">
      <x:c r="A32" s="17" t="str">
        <x:v>TT_NEW_01</x:v>
      </x:c>
      <x:c r="B32" s="17" t="str">
        <x:v>TT_NEW_01_S0031</x:v>
      </x:c>
      <x:c r="C32" s="17" t="str">
        <x:v>00:08:19</x:v>
      </x:c>
      <x:c r="D32" s="17" t="n">
        <x:v>499</x:v>
      </x:c>
      <x:c r="E32" s="17" t="n">
        <x:v>1</x:v>
      </x:c>
      <x:c r="F32" s="17" t="n">
        <x:v>1</x:v>
      </x:c>
      <x:c r="G32" s="17" t="n">
        <x:v>22</x:v>
      </x:c>
      <x:c r="H32" s="17" t="n">
        <x:v>21</x:v>
      </x:c>
      <x:c r="I32" s="17" t="n">
        <x:v>1</x:v>
      </x:c>
      <x:c r="J32" s="17" t="n">
        <x:v>0</x:v>
      </x:c>
      <x:c r="K32" s="17" t="n">
        <x:v>82202</x:v>
      </x:c>
      <x:c r="L32" s="17" t="n">
        <x:v>92202</x:v>
      </x:c>
      <x:c r="M32" s="17" t="n">
        <x:v>10000</x:v>
      </x:c>
      <x:c r="N32" s="17" t="n">
        <x:v>5</x:v>
      </x:c>
      <x:c r="O32" s="17" t="n">
        <x:v>5</x:v>
      </x:c>
      <x:c r="P32" s="17" t="n">
        <x:v>0</x:v>
      </x:c>
      <x:c r="Q32" s="17" t="str">
        <x:v>Coin</x:v>
      </x:c>
      <x:c r="R32" s="18" t="str">
        <x:v>/Users/mac/Documents/智囊团/video_analysis/Top_Tycoon新号流程_20260804/frames/TT_NEW_01/TT_NEW_01_t000499.jpg</x:v>
      </x:c>
      <x:c r="S32" s="17" t="str">
        <x:v>00:08:23</x:v>
      </x:c>
      <x:c r="T32" s="17" t="str">
        <x:v>待复核</x:v>
      </x:c>
      <x:c r="U32" s="17" t="str">
        <x:v>B</x:v>
      </x:c>
      <x:c r="V32" s="17" t="str">
        <x:v>由逐秒能量变化推断；快速自动Spin可能需4fps补核</x:v>
      </x:c>
      <x:c r="W32" s="17" t="str">
        <x:v>纯金币</x:v>
      </x:c>
      <x:c r="X32" s="17" t="str">
        <x:v>是</x:v>
      </x:c>
      <x:c r="Y32" s="17" t="str">
        <x:v>是</x:v>
      </x:c>
      <x:c r="Z32" s="17" t="str">
        <x:v>未知</x:v>
      </x:c>
      <x:c r="AA32" s="17" t="str">
        <x:v>未知</x:v>
      </x:c>
      <x:c r="AB32" s="17" t="str">
        <x:v>否</x:v>
      </x:c>
    </x:row>
    <x:row r="33">
      <x:c r="A33" s="17" t="str">
        <x:v>TT_NEW_01</x:v>
      </x:c>
      <x:c r="B33" s="17" t="str">
        <x:v>TT_NEW_01_S0032</x:v>
      </x:c>
      <x:c r="C33" s="17" t="str">
        <x:v>00:08:23</x:v>
      </x:c>
      <x:c r="D33" s="17" t="n">
        <x:v>503</x:v>
      </x:c>
      <x:c r="E33" s="17" t="n">
        <x:v>1</x:v>
      </x:c>
      <x:c r="F33" s="17" t="n">
        <x:v>1</x:v>
      </x:c>
      <x:c r="G33" s="17" t="n">
        <x:v>21</x:v>
      </x:c>
      <x:c r="H33" s="17" t="n">
        <x:v>20</x:v>
      </x:c>
      <x:c r="I33" s="17" t="n">
        <x:v>1</x:v>
      </x:c>
      <x:c r="J33" s="17" t="n">
        <x:v>0</x:v>
      </x:c>
      <x:c r="K33" s="17" t="n">
        <x:v>82535</x:v>
      </x:c>
      <x:c r="L33" s="17" t="n">
        <x:v>92702</x:v>
      </x:c>
      <x:c r="M33" s="17" t="n">
        <x:v>10167</x:v>
      </x:c>
      <x:c r="N33" s="17" t="n">
        <x:v>5</x:v>
      </x:c>
      <x:c r="O33" s="17" t="n">
        <x:v>5</x:v>
      </x:c>
      <x:c r="P33" s="17" t="n">
        <x:v>0</x:v>
      </x:c>
      <x:c r="Q33" s="17" t="str">
        <x:v>Coin</x:v>
      </x:c>
      <x:c r="R33" s="18" t="str">
        <x:v>/Users/mac/Documents/智囊团/video_analysis/Top_Tycoon新号流程_20260804/frames/TT_NEW_01/TT_NEW_01_t000503.jpg</x:v>
      </x:c>
      <x:c r="S33" s="17" t="str">
        <x:v>00:08:26</x:v>
      </x:c>
      <x:c r="T33" s="17" t="str">
        <x:v>待复核</x:v>
      </x:c>
      <x:c r="U33" s="17" t="str">
        <x:v>B</x:v>
      </x:c>
      <x:c r="V33" s="17" t="str">
        <x:v>由逐秒能量变化推断；快速自动Spin可能需4fps补核</x:v>
      </x:c>
      <x:c r="W33" s="17" t="str">
        <x:v>纯金币</x:v>
      </x:c>
      <x:c r="X33" s="17" t="str">
        <x:v>是</x:v>
      </x:c>
      <x:c r="Y33" s="17" t="str">
        <x:v>是</x:v>
      </x:c>
      <x:c r="Z33" s="17" t="str">
        <x:v>未知</x:v>
      </x:c>
      <x:c r="AA33" s="17" t="str">
        <x:v>未知</x:v>
      </x:c>
      <x:c r="AB33" s="17" t="str">
        <x:v>否</x:v>
      </x:c>
    </x:row>
    <x:row r="34">
      <x:c r="A34" s="17" t="str">
        <x:v>TT_NEW_01</x:v>
      </x:c>
      <x:c r="B34" s="17" t="str">
        <x:v>TT_NEW_01_S0033</x:v>
      </x:c>
      <x:c r="C34" s="17" t="str">
        <x:v>00:08:26</x:v>
      </x:c>
      <x:c r="D34" s="17" t="n">
        <x:v>506</x:v>
      </x:c>
      <x:c r="E34" s="17" t="n">
        <x:v>1</x:v>
      </x:c>
      <x:c r="F34" s="17" t="n">
        <x:v>1</x:v>
      </x:c>
      <x:c r="G34" s="17" t="n">
        <x:v>20</x:v>
      </x:c>
      <x:c r="H34" s="17" t="n">
        <x:v>19</x:v>
      </x:c>
      <x:c r="I34" s="17" t="n">
        <x:v>1</x:v>
      </x:c>
      <x:c r="J34" s="17" t="n">
        <x:v>0</x:v>
      </x:c>
      <x:c r="K34" s="17" t="n">
        <x:v>92202</x:v>
      </x:c>
      <x:c r="L34" s="17" t="n">
        <x:v>97702</x:v>
      </x:c>
      <x:c r="M34" s="17" t="n">
        <x:v>5500</x:v>
      </x:c>
      <x:c r="N34" s="17" t="n">
        <x:v>5</x:v>
      </x:c>
      <x:c r="O34" s="17" t="n">
        <x:v>5</x:v>
      </x:c>
      <x:c r="P34" s="17" t="n">
        <x:v>0</x:v>
      </x:c>
      <x:c r="Q34" s="17" t="str">
        <x:v>Coin</x:v>
      </x:c>
      <x:c r="R34" s="18" t="str">
        <x:v>/Users/mac/Documents/智囊团/video_analysis/Top_Tycoon新号流程_20260804/frames/TT_NEW_01/TT_NEW_01_t000506.jpg</x:v>
      </x:c>
      <x:c r="S34" s="17" t="str">
        <x:v>00:08:29</x:v>
      </x:c>
      <x:c r="T34" s="17" t="str">
        <x:v>待复核</x:v>
      </x:c>
      <x:c r="U34" s="17" t="str">
        <x:v>B</x:v>
      </x:c>
      <x:c r="V34" s="17" t="str">
        <x:v>由逐秒能量变化推断；快速自动Spin可能需4fps补核</x:v>
      </x:c>
      <x:c r="W34" s="17" t="str">
        <x:v>纯金币</x:v>
      </x:c>
      <x:c r="X34" s="17" t="str">
        <x:v>是</x:v>
      </x:c>
      <x:c r="Y34" s="17" t="str">
        <x:v>是</x:v>
      </x:c>
      <x:c r="Z34" s="17" t="str">
        <x:v>未知</x:v>
      </x:c>
      <x:c r="AA34" s="17" t="str">
        <x:v>未知</x:v>
      </x:c>
      <x:c r="AB34" s="17" t="str">
        <x:v>否</x:v>
      </x:c>
    </x:row>
    <x:row r="35">
      <x:c r="A35" s="17" t="str">
        <x:v>TT_NEW_01</x:v>
      </x:c>
      <x:c r="B35" s="17" t="str">
        <x:v>TT_NEW_01_S0034</x:v>
      </x:c>
      <x:c r="C35" s="17" t="str">
        <x:v>00:08:29</x:v>
      </x:c>
      <x:c r="D35" s="17" t="n">
        <x:v>509</x:v>
      </x:c>
      <x:c r="E35" s="17" t="n">
        <x:v>1</x:v>
      </x:c>
      <x:c r="F35" s="17" t="n">
        <x:v>1</x:v>
      </x:c>
      <x:c r="G35" s="17" t="n">
        <x:v>19</x:v>
      </x:c>
      <x:c r="H35" s="17" t="n">
        <x:v>18</x:v>
      </x:c>
      <x:c r="I35" s="17" t="n">
        <x:v>1</x:v>
      </x:c>
      <x:c r="J35" s="17" t="n">
        <x:v>0</x:v>
      </x:c>
      <x:c r="K35" s="17" t="n">
        <x:v>94868</x:v>
      </x:c>
      <x:c r="L35" s="17" t="n">
        <x:v>97802</x:v>
      </x:c>
      <x:c r="M35" s="17" t="n">
        <x:v>2934</x:v>
      </x:c>
      <x:c r="N35" s="17"/>
      <x:c r="O35" s="17" t="n">
        <x:v>5</x:v>
      </x:c>
      <x:c r="P35" s="17"/>
      <x:c r="Q35" s="17" t="str">
        <x:v>Coin</x:v>
      </x:c>
      <x:c r="R35" s="18" t="str">
        <x:v>/Users/mac/Documents/智囊团/video_analysis/Top_Tycoon新号流程_20260804/frames/TT_NEW_01/TT_NEW_01_t000509.jpg</x:v>
      </x:c>
      <x:c r="S35" s="17" t="str">
        <x:v>00:08:31</x:v>
      </x:c>
      <x:c r="T35" s="17" t="str">
        <x:v>待复核</x:v>
      </x:c>
      <x:c r="U35" s="17" t="str">
        <x:v>B</x:v>
      </x:c>
      <x:c r="V35" s="17" t="str">
        <x:v>由逐秒能量变化推断；快速自动Spin可能需4fps补核</x:v>
      </x:c>
      <x:c r="W35" s="17" t="str">
        <x:v>纯金币</x:v>
      </x:c>
      <x:c r="X35" s="17" t="str">
        <x:v>是</x:v>
      </x:c>
      <x:c r="Y35" s="17" t="str">
        <x:v>是</x:v>
      </x:c>
      <x:c r="Z35" s="17" t="str">
        <x:v>未知</x:v>
      </x:c>
      <x:c r="AA35" s="17" t="str">
        <x:v>未知</x:v>
      </x:c>
      <x:c r="AB35" s="17" t="str">
        <x:v>否</x:v>
      </x:c>
    </x:row>
    <x:row r="36">
      <x:c r="A36" s="17" t="str">
        <x:v>TT_NEW_01</x:v>
      </x:c>
      <x:c r="B36" s="17" t="str">
        <x:v>TT_NEW_01_S0035</x:v>
      </x:c>
      <x:c r="C36" s="17" t="str">
        <x:v>00:08:31</x:v>
      </x:c>
      <x:c r="D36" s="17" t="n">
        <x:v>511</x:v>
      </x:c>
      <x:c r="E36" s="17" t="n">
        <x:v>1</x:v>
      </x:c>
      <x:c r="F36" s="17" t="n">
        <x:v>1</x:v>
      </x:c>
      <x:c r="G36" s="17" t="n">
        <x:v>18</x:v>
      </x:c>
      <x:c r="H36" s="17" t="n">
        <x:v>17</x:v>
      </x:c>
      <x:c r="I36" s="17" t="n">
        <x:v>1</x:v>
      </x:c>
      <x:c r="J36" s="17" t="n">
        <x:v>20</x:v>
      </x:c>
      <x:c r="K36" s="17" t="n">
        <x:v>97702</x:v>
      </x:c>
      <x:c r="L36" s="17" t="n">
        <x:v>97802</x:v>
      </x:c>
      <x:c r="M36" s="17" t="n">
        <x:v>100</x:v>
      </x:c>
      <x:c r="N36" s="17" t="n">
        <x:v>5</x:v>
      </x:c>
      <x:c r="O36" s="17" t="n">
        <x:v>5</x:v>
      </x:c>
      <x:c r="P36" s="17" t="n">
        <x:v>0</x:v>
      </x:c>
      <x:c r="Q36" s="17" t="str">
        <x:v>Coin + Energy</x:v>
      </x:c>
      <x:c r="R36" s="18" t="str">
        <x:v>/Users/mac/Documents/智囊团/video_analysis/Top_Tycoon新号流程_20260804/frames/TT_NEW_01/TT_NEW_01_t000511.jpg</x:v>
      </x:c>
      <x:c r="S36" s="17" t="str">
        <x:v>00:08:40</x:v>
      </x:c>
      <x:c r="T36" s="17" t="str">
        <x:v>待复核</x:v>
      </x:c>
      <x:c r="U36" s="17" t="str">
        <x:v>B</x:v>
      </x:c>
      <x:c r="V36" s="17" t="str">
        <x:v>由逐秒能量变化推断；快速自动Spin可能需4fps补核</x:v>
      </x:c>
      <x:c r="W36" s="17" t="str">
        <x:v>混合奖励</x:v>
      </x:c>
      <x:c r="X36" s="17" t="str">
        <x:v>是</x:v>
      </x:c>
      <x:c r="Y36" s="17" t="str">
        <x:v>是</x:v>
      </x:c>
      <x:c r="Z36" s="17" t="str">
        <x:v>未知</x:v>
      </x:c>
      <x:c r="AA36" s="17" t="str">
        <x:v>未知</x:v>
      </x:c>
      <x:c r="AB36" s="17" t="str">
        <x:v>否</x:v>
      </x:c>
    </x:row>
    <x:row r="37">
      <x:c r="A37" s="17" t="str">
        <x:v>TT_NEW_01</x:v>
      </x:c>
      <x:c r="B37" s="17" t="str">
        <x:v>TT_NEW_01_S0036</x:v>
      </x:c>
      <x:c r="C37" s="17" t="str">
        <x:v>00:08:40</x:v>
      </x:c>
      <x:c r="D37" s="17" t="n">
        <x:v>520</x:v>
      </x:c>
      <x:c r="E37" s="17" t="n">
        <x:v>1</x:v>
      </x:c>
      <x:c r="F37" s="17" t="n">
        <x:v>1</x:v>
      </x:c>
      <x:c r="G37" s="17" t="n">
        <x:v>37</x:v>
      </x:c>
      <x:c r="H37" s="17" t="n">
        <x:v>36</x:v>
      </x:c>
      <x:c r="I37" s="17" t="n">
        <x:v>1</x:v>
      </x:c>
      <x:c r="J37" s="17" t="n">
        <x:v>0</x:v>
      </x:c>
      <x:c r="K37" s="17" t="n">
        <x:v>97802</x:v>
      </x:c>
      <x:c r="L37" s="17" t="n">
        <x:v>98302</x:v>
      </x:c>
      <x:c r="M37" s="17" t="n">
        <x:v>500</x:v>
      </x:c>
      <x:c r="N37" s="17" t="n">
        <x:v>5</x:v>
      </x:c>
      <x:c r="O37" s="17" t="n">
        <x:v>5</x:v>
      </x:c>
      <x:c r="P37" s="17" t="n">
        <x:v>0</x:v>
      </x:c>
      <x:c r="Q37" s="17" t="str">
        <x:v>Coin</x:v>
      </x:c>
      <x:c r="R37" s="18" t="str">
        <x:v>/Users/mac/Documents/智囊团/video_analysis/Top_Tycoon新号流程_20260804/frames/TT_NEW_01/TT_NEW_01_t000520.jpg</x:v>
      </x:c>
      <x:c r="S37" s="17" t="str">
        <x:v>00:08:56</x:v>
      </x:c>
      <x:c r="T37" s="17" t="str">
        <x:v>待复核</x:v>
      </x:c>
      <x:c r="U37" s="17" t="str">
        <x:v>B</x:v>
      </x:c>
      <x:c r="V37" s="17" t="str">
        <x:v>由逐秒能量变化推断；快速自动Spin可能需4fps补核</x:v>
      </x:c>
      <x:c r="W37" s="17" t="str">
        <x:v>纯金币</x:v>
      </x:c>
      <x:c r="X37" s="17" t="str">
        <x:v>是</x:v>
      </x:c>
      <x:c r="Y37" s="17" t="str">
        <x:v>是</x:v>
      </x:c>
      <x:c r="Z37" s="17" t="str">
        <x:v>未知</x:v>
      </x:c>
      <x:c r="AA37" s="17" t="str">
        <x:v>未知</x:v>
      </x:c>
      <x:c r="AB37" s="17" t="str">
        <x:v>否</x:v>
      </x:c>
    </x:row>
    <x:row r="38">
      <x:c r="A38" s="17" t="str">
        <x:v>TT_NEW_01</x:v>
      </x:c>
      <x:c r="B38" s="17" t="str">
        <x:v>TT_NEW_01_S0037</x:v>
      </x:c>
      <x:c r="C38" s="17" t="str">
        <x:v>00:08:56</x:v>
      </x:c>
      <x:c r="D38" s="17" t="n">
        <x:v>536</x:v>
      </x:c>
      <x:c r="E38" s="17" t="n">
        <x:v>1</x:v>
      </x:c>
      <x:c r="F38" s="17" t="n">
        <x:v>1</x:v>
      </x:c>
      <x:c r="G38" s="17" t="n">
        <x:v>35</x:v>
      </x:c>
      <x:c r="H38" s="17" t="n">
        <x:v>34</x:v>
      </x:c>
      <x:c r="I38" s="17" t="n">
        <x:v>1</x:v>
      </x:c>
      <x:c r="J38" s="17" t="n">
        <x:v>0</x:v>
      </x:c>
      <x:c r="K38" s="17" t="n">
        <x:v>98302</x:v>
      </x:c>
      <x:c r="L38" s="17" t="n">
        <x:v>98488</x:v>
      </x:c>
      <x:c r="M38" s="17" t="n">
        <x:v>186</x:v>
      </x:c>
      <x:c r="N38" s="17" t="n">
        <x:v>5</x:v>
      </x:c>
      <x:c r="O38" s="17" t="n">
        <x:v>5</x:v>
      </x:c>
      <x:c r="P38" s="17" t="n">
        <x:v>0</x:v>
      </x:c>
      <x:c r="Q38" s="17" t="str">
        <x:v>Coin</x:v>
      </x:c>
      <x:c r="R38" s="18" t="str">
        <x:v>/Users/mac/Documents/智囊团/video_analysis/Top_Tycoon新号流程_20260804/frames/TT_NEW_01/TT_NEW_01_t000536.jpg</x:v>
      </x:c>
      <x:c r="S38" s="17" t="str">
        <x:v>00:08:58</x:v>
      </x:c>
      <x:c r="T38" s="17" t="str">
        <x:v>待复核</x:v>
      </x:c>
      <x:c r="U38" s="17" t="str">
        <x:v>B</x:v>
      </x:c>
      <x:c r="V38" s="17" t="str">
        <x:v>由逐秒能量变化推断；快速自动Spin可能需4fps补核</x:v>
      </x:c>
      <x:c r="W38" s="17" t="str">
        <x:v>纯金币</x:v>
      </x:c>
      <x:c r="X38" s="17" t="str">
        <x:v>是</x:v>
      </x:c>
      <x:c r="Y38" s="17" t="str">
        <x:v>是</x:v>
      </x:c>
      <x:c r="Z38" s="17" t="str">
        <x:v>未知</x:v>
      </x:c>
      <x:c r="AA38" s="17" t="str">
        <x:v>未知</x:v>
      </x:c>
      <x:c r="AB38" s="17" t="str">
        <x:v>否</x:v>
      </x:c>
    </x:row>
    <x:row r="39">
      <x:c r="A39" s="17" t="str">
        <x:v>TT_NEW_01</x:v>
      </x:c>
      <x:c r="B39" s="17" t="str">
        <x:v>TT_NEW_01_S0038</x:v>
      </x:c>
      <x:c r="C39" s="17" t="str">
        <x:v>00:08:58</x:v>
      </x:c>
      <x:c r="D39" s="17" t="n">
        <x:v>538</x:v>
      </x:c>
      <x:c r="E39" s="17" t="n">
        <x:v>1</x:v>
      </x:c>
      <x:c r="F39" s="17" t="n">
        <x:v>1</x:v>
      </x:c>
      <x:c r="G39" s="17" t="n">
        <x:v>34</x:v>
      </x:c>
      <x:c r="H39" s="17" t="n">
        <x:v>33</x:v>
      </x:c>
      <x:c r="I39" s="17" t="n">
        <x:v>1</x:v>
      </x:c>
      <x:c r="J39" s="17" t="n">
        <x:v>0</x:v>
      </x:c>
      <x:c r="K39" s="17" t="n">
        <x:v>98302</x:v>
      </x:c>
      <x:c r="L39" s="17" t="n">
        <x:v>108502</x:v>
      </x:c>
      <x:c r="M39" s="17" t="n">
        <x:v>10200</x:v>
      </x:c>
      <x:c r="N39" s="17" t="n">
        <x:v>5</x:v>
      </x:c>
      <x:c r="O39" s="17" t="n">
        <x:v>5</x:v>
      </x:c>
      <x:c r="P39" s="17" t="n">
        <x:v>0</x:v>
      </x:c>
      <x:c r="Q39" s="17" t="str">
        <x:v>Coin</x:v>
      </x:c>
      <x:c r="R39" s="18" t="str">
        <x:v>/Users/mac/Documents/智囊团/video_analysis/Top_Tycoon新号流程_20260804/frames/TT_NEW_01/TT_NEW_01_t000538.jpg</x:v>
      </x:c>
      <x:c r="S39" s="17" t="str">
        <x:v>00:09:03</x:v>
      </x:c>
      <x:c r="T39" s="17" t="str">
        <x:v>待复核</x:v>
      </x:c>
      <x:c r="U39" s="17" t="str">
        <x:v>B</x:v>
      </x:c>
      <x:c r="V39" s="17" t="str">
        <x:v>由逐秒能量变化推断；快速自动Spin可能需4fps补核</x:v>
      </x:c>
      <x:c r="W39" s="17" t="str">
        <x:v>纯金币</x:v>
      </x:c>
      <x:c r="X39" s="17" t="str">
        <x:v>是</x:v>
      </x:c>
      <x:c r="Y39" s="17" t="str">
        <x:v>是</x:v>
      </x:c>
      <x:c r="Z39" s="17" t="str">
        <x:v>未知</x:v>
      </x:c>
      <x:c r="AA39" s="17" t="str">
        <x:v>未知</x:v>
      </x:c>
      <x:c r="AB39" s="17" t="str">
        <x:v>否</x:v>
      </x:c>
    </x:row>
    <x:row r="40">
      <x:c r="A40" s="17" t="str">
        <x:v>TT_NEW_01</x:v>
      </x:c>
      <x:c r="B40" s="17" t="str">
        <x:v>TT_NEW_01_S0039</x:v>
      </x:c>
      <x:c r="C40" s="17" t="str">
        <x:v>00:09:03</x:v>
      </x:c>
      <x:c r="D40" s="17" t="n">
        <x:v>543</x:v>
      </x:c>
      <x:c r="E40" s="17" t="n">
        <x:v>1</x:v>
      </x:c>
      <x:c r="F40" s="17" t="n">
        <x:v>1</x:v>
      </x:c>
      <x:c r="G40" s="17" t="n">
        <x:v>33</x:v>
      </x:c>
      <x:c r="H40" s="17" t="n">
        <x:v>32</x:v>
      </x:c>
      <x:c r="I40" s="17" t="n">
        <x:v>1</x:v>
      </x:c>
      <x:c r="J40" s="17" t="n">
        <x:v>0</x:v>
      </x:c>
      <x:c r="K40" s="17" t="n">
        <x:v>106334</x:v>
      </x:c>
      <x:c r="L40" s="17" t="n">
        <x:v>109002</x:v>
      </x:c>
      <x:c r="M40" s="17" t="n">
        <x:v>2668</x:v>
      </x:c>
      <x:c r="N40" s="17" t="n">
        <x:v>5</x:v>
      </x:c>
      <x:c r="O40" s="17" t="n">
        <x:v>5</x:v>
      </x:c>
      <x:c r="P40" s="17" t="n">
        <x:v>0</x:v>
      </x:c>
      <x:c r="Q40" s="17" t="str">
        <x:v>Coin</x:v>
      </x:c>
      <x:c r="R40" s="18" t="str">
        <x:v>/Users/mac/Documents/智囊团/video_analysis/Top_Tycoon新号流程_20260804/frames/TT_NEW_01/TT_NEW_01_t000543.jpg</x:v>
      </x:c>
      <x:c r="S40" s="17" t="str">
        <x:v>00:09:05</x:v>
      </x:c>
      <x:c r="T40" s="17" t="str">
        <x:v>待复核</x:v>
      </x:c>
      <x:c r="U40" s="17" t="str">
        <x:v>B</x:v>
      </x:c>
      <x:c r="V40" s="17" t="str">
        <x:v>由逐秒能量变化推断；快速自动Spin可能需4fps补核</x:v>
      </x:c>
      <x:c r="W40" s="17" t="str">
        <x:v>纯金币</x:v>
      </x:c>
      <x:c r="X40" s="17" t="str">
        <x:v>是</x:v>
      </x:c>
      <x:c r="Y40" s="17" t="str">
        <x:v>是</x:v>
      </x:c>
      <x:c r="Z40" s="17" t="str">
        <x:v>未知</x:v>
      </x:c>
      <x:c r="AA40" s="17" t="str">
        <x:v>未知</x:v>
      </x:c>
      <x:c r="AB40" s="17" t="str">
        <x:v>否</x:v>
      </x:c>
    </x:row>
    <x:row r="41">
      <x:c r="A41" s="17" t="str">
        <x:v>TT_NEW_01</x:v>
      </x:c>
      <x:c r="B41" s="17" t="str">
        <x:v>TT_NEW_01_S0040</x:v>
      </x:c>
      <x:c r="C41" s="17" t="str">
        <x:v>00:09:05</x:v>
      </x:c>
      <x:c r="D41" s="17" t="n">
        <x:v>545</x:v>
      </x:c>
      <x:c r="E41" s="17" t="n">
        <x:v>1</x:v>
      </x:c>
      <x:c r="F41" s="17" t="n">
        <x:v>1</x:v>
      </x:c>
      <x:c r="G41" s="17" t="n">
        <x:v>32</x:v>
      </x:c>
      <x:c r="H41" s="17" t="n">
        <x:v>31</x:v>
      </x:c>
      <x:c r="I41" s="17" t="n">
        <x:v>1</x:v>
      </x:c>
      <x:c r="J41" s="17" t="n">
        <x:v>0</x:v>
      </x:c>
      <x:c r="K41" s="17" t="n">
        <x:v>108502</x:v>
      </x:c>
      <x:c r="L41" s="17" t="n">
        <x:v>117602</x:v>
      </x:c>
      <x:c r="M41" s="17" t="n">
        <x:v>9100</x:v>
      </x:c>
      <x:c r="N41" s="17" t="n">
        <x:v>5</x:v>
      </x:c>
      <x:c r="O41" s="17" t="n">
        <x:v>7</x:v>
      </x:c>
      <x:c r="P41" s="17" t="n">
        <x:v>2</x:v>
      </x:c>
      <x:c r="Q41" s="17" t="str">
        <x:v>Coin + Progress</x:v>
      </x:c>
      <x:c r="R41" s="18" t="str">
        <x:v>/Users/mac/Documents/智囊团/video_analysis/Top_Tycoon新号流程_20260804/frames/TT_NEW_01/TT_NEW_01_t000545.jpg</x:v>
      </x:c>
      <x:c r="S41" s="17" t="str">
        <x:v>00:09:14</x:v>
      </x:c>
      <x:c r="T41" s="17" t="str">
        <x:v>待复核</x:v>
      </x:c>
      <x:c r="U41" s="17" t="str">
        <x:v>B</x:v>
      </x:c>
      <x:c r="V41" s="17" t="str">
        <x:v>由逐秒能量变化推断；快速自动Spin可能需4fps补核</x:v>
      </x:c>
      <x:c r="W41" s="17" t="str">
        <x:v>混合奖励</x:v>
      </x:c>
      <x:c r="X41" s="17" t="str">
        <x:v>是</x:v>
      </x:c>
      <x:c r="Y41" s="17" t="str">
        <x:v>是</x:v>
      </x:c>
      <x:c r="Z41" s="17" t="str">
        <x:v>未知</x:v>
      </x:c>
      <x:c r="AA41" s="17" t="str">
        <x:v>未知</x:v>
      </x:c>
      <x:c r="AB41" s="17" t="str">
        <x:v>否</x:v>
      </x:c>
    </x:row>
    <x:row r="42">
      <x:c r="A42" s="17" t="str">
        <x:v>TT_NEW_01</x:v>
      </x:c>
      <x:c r="B42" s="17" t="str">
        <x:v>TT_NEW_01_S0041</x:v>
      </x:c>
      <x:c r="C42" s="17" t="str">
        <x:v>00:09:14</x:v>
      </x:c>
      <x:c r="D42" s="17" t="n">
        <x:v>554</x:v>
      </x:c>
      <x:c r="E42" s="17" t="n">
        <x:v>1</x:v>
      </x:c>
      <x:c r="F42" s="17" t="n">
        <x:v>1</x:v>
      </x:c>
      <x:c r="G42" s="17" t="n">
        <x:v>30</x:v>
      </x:c>
      <x:c r="H42" s="17" t="n">
        <x:v>29</x:v>
      </x:c>
      <x:c r="I42" s="17" t="n">
        <x:v>1</x:v>
      </x:c>
      <x:c r="J42" s="17" t="n">
        <x:v>0</x:v>
      </x:c>
      <x:c r="K42" s="17" t="n">
        <x:v>117602</x:v>
      </x:c>
      <x:c r="L42" s="17" t="n">
        <x:v>118602</x:v>
      </x:c>
      <x:c r="M42" s="17" t="n">
        <x:v>1000</x:v>
      </x:c>
      <x:c r="N42" s="17" t="n">
        <x:v>7</x:v>
      </x:c>
      <x:c r="O42" s="17" t="n">
        <x:v>7</x:v>
      </x:c>
      <x:c r="P42" s="17" t="n">
        <x:v>0</x:v>
      </x:c>
      <x:c r="Q42" s="17" t="str">
        <x:v>Coin</x:v>
      </x:c>
      <x:c r="R42" s="18" t="str">
        <x:v>/Users/mac/Documents/智囊团/video_analysis/Top_Tycoon新号流程_20260804/frames/TT_NEW_01/TT_NEW_01_t000554.jpg</x:v>
      </x:c>
      <x:c r="S42" s="17" t="str">
        <x:v>00:09:17</x:v>
      </x:c>
      <x:c r="T42" s="17" t="str">
        <x:v>待复核</x:v>
      </x:c>
      <x:c r="U42" s="17" t="str">
        <x:v>B</x:v>
      </x:c>
      <x:c r="V42" s="17" t="str">
        <x:v>由逐秒能量变化推断；快速自动Spin可能需4fps补核</x:v>
      </x:c>
      <x:c r="W42" s="17" t="str">
        <x:v>纯金币</x:v>
      </x:c>
      <x:c r="X42" s="17" t="str">
        <x:v>是</x:v>
      </x:c>
      <x:c r="Y42" s="17" t="str">
        <x:v>是</x:v>
      </x:c>
      <x:c r="Z42" s="17" t="str">
        <x:v>未知</x:v>
      </x:c>
      <x:c r="AA42" s="17" t="str">
        <x:v>未知</x:v>
      </x:c>
      <x:c r="AB42" s="17" t="str">
        <x:v>否</x:v>
      </x:c>
    </x:row>
    <x:row r="43">
      <x:c r="A43" s="17" t="str">
        <x:v>TT_NEW_01</x:v>
      </x:c>
      <x:c r="B43" s="17" t="str">
        <x:v>TT_NEW_01_S0042</x:v>
      </x:c>
      <x:c r="C43" s="17" t="str">
        <x:v>00:09:17</x:v>
      </x:c>
      <x:c r="D43" s="17" t="n">
        <x:v>557</x:v>
      </x:c>
      <x:c r="E43" s="17" t="n">
        <x:v>1</x:v>
      </x:c>
      <x:c r="F43" s="17" t="n">
        <x:v>1</x:v>
      </x:c>
      <x:c r="G43" s="17" t="n">
        <x:v>29</x:v>
      </x:c>
      <x:c r="H43" s="17" t="n">
        <x:v>28</x:v>
      </x:c>
      <x:c r="I43" s="17" t="n">
        <x:v>1</x:v>
      </x:c>
      <x:c r="J43" s="17" t="n">
        <x:v>0</x:v>
      </x:c>
      <x:c r="K43" s="17" t="n">
        <x:v>117602</x:v>
      </x:c>
      <x:c r="L43" s="17" t="n">
        <x:v>118602</x:v>
      </x:c>
      <x:c r="M43" s="17" t="n">
        <x:v>1000</x:v>
      </x:c>
      <x:c r="N43" s="17" t="n">
        <x:v>7</x:v>
      </x:c>
      <x:c r="O43" s="17" t="n">
        <x:v>9</x:v>
      </x:c>
      <x:c r="P43" s="17" t="n">
        <x:v>2</x:v>
      </x:c>
      <x:c r="Q43" s="17" t="str">
        <x:v>Coin + Progress</x:v>
      </x:c>
      <x:c r="R43" s="18" t="str">
        <x:v>/Users/mac/Documents/智囊团/video_analysis/Top_Tycoon新号流程_20260804/frames/TT_NEW_01/TT_NEW_01_t000557.jpg</x:v>
      </x:c>
      <x:c r="S43" s="17" t="str">
        <x:v>00:09:20</x:v>
      </x:c>
      <x:c r="T43" s="17" t="str">
        <x:v>待复核</x:v>
      </x:c>
      <x:c r="U43" s="17" t="str">
        <x:v>B</x:v>
      </x:c>
      <x:c r="V43" s="17" t="str">
        <x:v>由逐秒能量变化推断；快速自动Spin可能需4fps补核</x:v>
      </x:c>
      <x:c r="W43" s="17" t="str">
        <x:v>混合奖励</x:v>
      </x:c>
      <x:c r="X43" s="17" t="str">
        <x:v>是</x:v>
      </x:c>
      <x:c r="Y43" s="17" t="str">
        <x:v>是</x:v>
      </x:c>
      <x:c r="Z43" s="17" t="str">
        <x:v>未知</x:v>
      </x:c>
      <x:c r="AA43" s="17" t="str">
        <x:v>未知</x:v>
      </x:c>
      <x:c r="AB43" s="17" t="str">
        <x:v>否</x:v>
      </x:c>
    </x:row>
    <x:row r="44">
      <x:c r="A44" s="17" t="str">
        <x:v>TT_NEW_01</x:v>
      </x:c>
      <x:c r="B44" s="17" t="str">
        <x:v>TT_NEW_01_S0043</x:v>
      </x:c>
      <x:c r="C44" s="17" t="str">
        <x:v>00:09:20</x:v>
      </x:c>
      <x:c r="D44" s="17" t="n">
        <x:v>560</x:v>
      </x:c>
      <x:c r="E44" s="17" t="n">
        <x:v>1</x:v>
      </x:c>
      <x:c r="F44" s="17" t="n">
        <x:v>1</x:v>
      </x:c>
      <x:c r="G44" s="17" t="n">
        <x:v>28</x:v>
      </x:c>
      <x:c r="H44" s="17" t="n">
        <x:v>27</x:v>
      </x:c>
      <x:c r="I44" s="17" t="n">
        <x:v>1</x:v>
      </x:c>
      <x:c r="J44" s="17" t="n">
        <x:v>0</x:v>
      </x:c>
      <x:c r="K44" s="17" t="n">
        <x:v>118602</x:v>
      </x:c>
      <x:c r="L44" s="17" t="n">
        <x:v>118602</x:v>
      </x:c>
      <x:c r="M44" s="17" t="n">
        <x:v>0</x:v>
      </x:c>
      <x:c r="N44" s="17" t="n">
        <x:v>7</x:v>
      </x:c>
      <x:c r="O44" s="17" t="n">
        <x:v>9</x:v>
      </x:c>
      <x:c r="P44" s="17" t="n">
        <x:v>2</x:v>
      </x:c>
      <x:c r="Q44" s="17" t="str">
        <x:v>Shield + Progress</x:v>
      </x:c>
      <x:c r="R44" s="18" t="str">
        <x:v>/Users/mac/Documents/智囊团/video_analysis/Top_Tycoon新号流程_20260804/frames/TT_NEW_01/TT_NEW_01_t000560.jpg</x:v>
      </x:c>
      <x:c r="S44" s="17" t="str">
        <x:v>00:09:24</x:v>
      </x:c>
      <x:c r="T44" s="17" t="str">
        <x:v>待复核</x:v>
      </x:c>
      <x:c r="U44" s="17" t="str">
        <x:v>B</x:v>
      </x:c>
      <x:c r="V44" s="17" t="str">
        <x:v>由逐秒能量变化推断；快速自动Spin可能需4fps补核</x:v>
      </x:c>
      <x:c r="W44" s="17" t="str">
        <x:v>Shield</x:v>
      </x:c>
      <x:c r="X44" s="17" t="str">
        <x:v>是</x:v>
      </x:c>
      <x:c r="Y44" s="17" t="str">
        <x:v>是</x:v>
      </x:c>
      <x:c r="Z44" s="17" t="str">
        <x:v>未知</x:v>
      </x:c>
      <x:c r="AA44" s="17" t="str">
        <x:v>未知</x:v>
      </x:c>
      <x:c r="AB44" s="17" t="str">
        <x:v>否</x:v>
      </x:c>
    </x:row>
    <x:row r="45">
      <x:c r="A45" s="17" t="str">
        <x:v>TT_NEW_01</x:v>
      </x:c>
      <x:c r="B45" s="17" t="str">
        <x:v>TT_NEW_01_S0044</x:v>
      </x:c>
      <x:c r="C45" s="17" t="str">
        <x:v>00:09:24</x:v>
      </x:c>
      <x:c r="D45" s="17" t="n">
        <x:v>564</x:v>
      </x:c>
      <x:c r="E45" s="17" t="n">
        <x:v>1</x:v>
      </x:c>
      <x:c r="F45" s="17" t="n">
        <x:v>1</x:v>
      </x:c>
      <x:c r="G45" s="17" t="n">
        <x:v>27</x:v>
      </x:c>
      <x:c r="H45" s="17" t="n">
        <x:v>26</x:v>
      </x:c>
      <x:c r="I45" s="17" t="n">
        <x:v>1</x:v>
      </x:c>
      <x:c r="J45" s="17" t="n">
        <x:v>0</x:v>
      </x:c>
      <x:c r="K45" s="17" t="n">
        <x:v>118602</x:v>
      </x:c>
      <x:c r="L45" s="17" t="n">
        <x:v>121602</x:v>
      </x:c>
      <x:c r="M45" s="17" t="n">
        <x:v>3000</x:v>
      </x:c>
      <x:c r="N45" s="17" t="n">
        <x:v>9</x:v>
      </x:c>
      <x:c r="O45" s="17" t="n">
        <x:v>9</x:v>
      </x:c>
      <x:c r="P45" s="17" t="n">
        <x:v>0</x:v>
      </x:c>
      <x:c r="Q45" s="17" t="str">
        <x:v>Attack</x:v>
      </x:c>
      <x:c r="R45" s="18" t="str">
        <x:v>/Users/mac/Documents/智囊团/video_analysis/Top_Tycoon新号流程_20260804/frames/TT_NEW_01/TT_NEW_01_t000564.jpg</x:v>
      </x:c>
      <x:c r="S45" s="17" t="str">
        <x:v>00:09:46</x:v>
      </x:c>
      <x:c r="T45" s="17" t="str">
        <x:v>待复核</x:v>
      </x:c>
      <x:c r="U45" s="17" t="str">
        <x:v>B</x:v>
      </x:c>
      <x:c r="V45" s="17" t="str">
        <x:v>由逐秒能量变化推断；快速自动Spin可能需4fps补核</x:v>
      </x:c>
      <x:c r="W45" s="17" t="str">
        <x:v>Attack</x:v>
      </x:c>
      <x:c r="X45" s="17" t="str">
        <x:v>是</x:v>
      </x:c>
      <x:c r="Y45" s="17" t="str">
        <x:v>是</x:v>
      </x:c>
      <x:c r="Z45" s="17" t="str">
        <x:v>未知</x:v>
      </x:c>
      <x:c r="AA45" s="17" t="str">
        <x:v>未知</x:v>
      </x:c>
      <x:c r="AB45" s="17" t="str">
        <x:v>否</x:v>
      </x:c>
    </x:row>
    <x:row r="46">
      <x:c r="A46" s="17" t="str">
        <x:v>TT_NEW_01</x:v>
      </x:c>
      <x:c r="B46" s="17" t="str">
        <x:v>TT_NEW_01_S0045</x:v>
      </x:c>
      <x:c r="C46" s="17" t="str">
        <x:v>00:09:46</x:v>
      </x:c>
      <x:c r="D46" s="17" t="n">
        <x:v>586</x:v>
      </x:c>
      <x:c r="E46" s="17" t="n">
        <x:v>1</x:v>
      </x:c>
      <x:c r="F46" s="17" t="n">
        <x:v>1</x:v>
      </x:c>
      <x:c r="G46" s="17" t="n">
        <x:v>26</x:v>
      </x:c>
      <x:c r="H46" s="17" t="n">
        <x:v>25</x:v>
      </x:c>
      <x:c r="I46" s="17" t="n">
        <x:v>1</x:v>
      </x:c>
      <x:c r="J46" s="17" t="n">
        <x:v>0</x:v>
      </x:c>
      <x:c r="K46" s="17" t="n">
        <x:v>118602</x:v>
      </x:c>
      <x:c r="L46" s="17" t="n">
        <x:v>125002</x:v>
      </x:c>
      <x:c r="M46" s="17" t="n">
        <x:v>6400</x:v>
      </x:c>
      <x:c r="N46" s="17" t="n">
        <x:v>9</x:v>
      </x:c>
      <x:c r="O46" s="17" t="n">
        <x:v>19</x:v>
      </x:c>
      <x:c r="P46" s="17" t="n">
        <x:v>10</x:v>
      </x:c>
      <x:c r="Q46" s="17" t="str">
        <x:v>Attack + Progress</x:v>
      </x:c>
      <x:c r="R46" s="18" t="str">
        <x:v>/Users/mac/Documents/智囊团/video_analysis/Top_Tycoon新号流程_20260804/frames/TT_NEW_01/TT_NEW_01_t000586.jpg</x:v>
      </x:c>
      <x:c r="S46" s="17" t="str">
        <x:v>00:09:53</x:v>
      </x:c>
      <x:c r="T46" s="17" t="str">
        <x:v>待复核</x:v>
      </x:c>
      <x:c r="U46" s="17" t="str">
        <x:v>B</x:v>
      </x:c>
      <x:c r="V46" s="17" t="str">
        <x:v>由逐秒能量变化推断；快速自动Spin可能需4fps补核</x:v>
      </x:c>
      <x:c r="W46" s="17" t="str">
        <x:v>Attack</x:v>
      </x:c>
      <x:c r="X46" s="17" t="str">
        <x:v>是</x:v>
      </x:c>
      <x:c r="Y46" s="17" t="str">
        <x:v>是</x:v>
      </x:c>
      <x:c r="Z46" s="17" t="str">
        <x:v>未知</x:v>
      </x:c>
      <x:c r="AA46" s="17" t="str">
        <x:v>未知</x:v>
      </x:c>
      <x:c r="AB46" s="17" t="str">
        <x:v>否</x:v>
      </x:c>
    </x:row>
    <x:row r="47">
      <x:c r="A47" s="17" t="str">
        <x:v>TT_NEW_01</x:v>
      </x:c>
      <x:c r="B47" s="17" t="str">
        <x:v>TT_NEW_01_S0046</x:v>
      </x:c>
      <x:c r="C47" s="17" t="str">
        <x:v>00:09:53</x:v>
      </x:c>
      <x:c r="D47" s="17" t="n">
        <x:v>593</x:v>
      </x:c>
      <x:c r="E47" s="17" t="n">
        <x:v>1</x:v>
      </x:c>
      <x:c r="F47" s="17" t="n">
        <x:v>1</x:v>
      </x:c>
      <x:c r="G47" s="17" t="n">
        <x:v>24</x:v>
      </x:c>
      <x:c r="H47" s="17" t="n">
        <x:v>23</x:v>
      </x:c>
      <x:c r="I47" s="17" t="n">
        <x:v>1</x:v>
      </x:c>
      <x:c r="J47" s="17" t="n">
        <x:v>0</x:v>
      </x:c>
      <x:c r="K47" s="17" t="n">
        <x:v>124941</x:v>
      </x:c>
      <x:c r="L47" s="17" t="n">
        <x:v>126002</x:v>
      </x:c>
      <x:c r="M47" s="17" t="n">
        <x:v>1061</x:v>
      </x:c>
      <x:c r="N47" s="17" t="n">
        <x:v>19</x:v>
      </x:c>
      <x:c r="O47" s="17" t="n">
        <x:v>19</x:v>
      </x:c>
      <x:c r="P47" s="17" t="n">
        <x:v>0</x:v>
      </x:c>
      <x:c r="Q47" s="17" t="str">
        <x:v>Coin</x:v>
      </x:c>
      <x:c r="R47" s="18" t="str">
        <x:v>/Users/mac/Documents/智囊团/video_analysis/Top_Tycoon新号流程_20260804/frames/TT_NEW_01/TT_NEW_01_t000593.jpg</x:v>
      </x:c>
      <x:c r="S47" s="17" t="str">
        <x:v>00:09:56</x:v>
      </x:c>
      <x:c r="T47" s="17" t="str">
        <x:v>待复核</x:v>
      </x:c>
      <x:c r="U47" s="17" t="str">
        <x:v>B</x:v>
      </x:c>
      <x:c r="V47" s="17" t="str">
        <x:v>由逐秒能量变化推断；快速自动Spin可能需4fps补核</x:v>
      </x:c>
      <x:c r="W47" s="17" t="str">
        <x:v>纯金币</x:v>
      </x:c>
      <x:c r="X47" s="17" t="str">
        <x:v>是</x:v>
      </x:c>
      <x:c r="Y47" s="17" t="str">
        <x:v>是</x:v>
      </x:c>
      <x:c r="Z47" s="17" t="str">
        <x:v>未知</x:v>
      </x:c>
      <x:c r="AA47" s="17" t="str">
        <x:v>未知</x:v>
      </x:c>
      <x:c r="AB47" s="17" t="str">
        <x:v>否</x:v>
      </x:c>
    </x:row>
    <x:row r="48">
      <x:c r="A48" s="17" t="str">
        <x:v>TT_NEW_01</x:v>
      </x:c>
      <x:c r="B48" s="17" t="str">
        <x:v>TT_NEW_01_S0047</x:v>
      </x:c>
      <x:c r="C48" s="17" t="str">
        <x:v>00:09:56</x:v>
      </x:c>
      <x:c r="D48" s="17" t="n">
        <x:v>596</x:v>
      </x:c>
      <x:c r="E48" s="17" t="n">
        <x:v>1</x:v>
      </x:c>
      <x:c r="F48" s="17" t="n">
        <x:v>1</x:v>
      </x:c>
      <x:c r="G48" s="17" t="n">
        <x:v>23</x:v>
      </x:c>
      <x:c r="H48" s="17" t="n">
        <x:v>22</x:v>
      </x:c>
      <x:c r="I48" s="17" t="n">
        <x:v>1</x:v>
      </x:c>
      <x:c r="J48" s="17" t="n">
        <x:v>0</x:v>
      </x:c>
      <x:c r="K48" s="17" t="n">
        <x:v>125168</x:v>
      </x:c>
      <x:c r="L48" s="17" t="n">
        <x:v>126002</x:v>
      </x:c>
      <x:c r="M48" s="17" t="n">
        <x:v>834</x:v>
      </x:c>
      <x:c r="N48" s="17" t="n">
        <x:v>19</x:v>
      </x:c>
      <x:c r="O48" s="17" t="n">
        <x:v>19</x:v>
      </x:c>
      <x:c r="P48" s="17" t="n">
        <x:v>0</x:v>
      </x:c>
      <x:c r="Q48" s="17" t="str">
        <x:v>Credit Grab</x:v>
      </x:c>
      <x:c r="R48" s="18" t="str">
        <x:v>/Users/mac/Documents/智囊团/video_analysis/Top_Tycoon新号流程_20260804/frames/TT_NEW_01/TT_NEW_01_t000596.jpg</x:v>
      </x:c>
      <x:c r="S48" s="17" t="str">
        <x:v>00:09:58</x:v>
      </x:c>
      <x:c r="T48" s="17" t="str">
        <x:v>待复核</x:v>
      </x:c>
      <x:c r="U48" s="17" t="str">
        <x:v>B</x:v>
      </x:c>
      <x:c r="V48" s="17" t="str">
        <x:v>由逐秒能量变化推断；快速自动Spin可能需4fps补核</x:v>
      </x:c>
      <x:c r="W48" s="17" t="str">
        <x:v>Credit Grab</x:v>
      </x:c>
      <x:c r="X48" s="17" t="str">
        <x:v>是</x:v>
      </x:c>
      <x:c r="Y48" s="17" t="str">
        <x:v>是</x:v>
      </x:c>
      <x:c r="Z48" s="17" t="str">
        <x:v>未知</x:v>
      </x:c>
      <x:c r="AA48" s="17" t="str">
        <x:v>未知</x:v>
      </x:c>
      <x:c r="AB48" s="17" t="str">
        <x:v>否</x:v>
      </x:c>
    </x:row>
    <x:row r="49">
      <x:c r="A49" s="17" t="str">
        <x:v>TT_NEW_03</x:v>
      </x:c>
      <x:c r="B49" s="17" t="str">
        <x:v>TT_NEW_03_S0001</x:v>
      </x:c>
      <x:c r="C49" s="17" t="str">
        <x:v>00:00:28</x:v>
      </x:c>
      <x:c r="D49" s="17" t="n">
        <x:v>28</x:v>
      </x:c>
      <x:c r="E49" s="17" t="n">
        <x:v>1</x:v>
      </x:c>
      <x:c r="F49" s="17" t="n">
        <x:v>5</x:v>
      </x:c>
      <x:c r="G49" s="17" t="n">
        <x:v>58</x:v>
      </x:c>
      <x:c r="H49" s="17" t="n">
        <x:v>53</x:v>
      </x:c>
      <x:c r="I49" s="17" t="n">
        <x:v>5</x:v>
      </x:c>
      <x:c r="J49" s="17" t="n">
        <x:v>0</x:v>
      </x:c>
      <x:c r="K49" s="17" t="n">
        <x:v>85724</x:v>
      </x:c>
      <x:c r="L49" s="17" t="n">
        <x:v>85724</x:v>
      </x:c>
      <x:c r="M49" s="17" t="n">
        <x:v>0</x:v>
      </x:c>
      <x:c r="N49" s="17" t="n">
        <x:v>165</x:v>
      </x:c>
      <x:c r="O49" s="17" t="n">
        <x:v>165</x:v>
      </x:c>
      <x:c r="P49" s="17" t="n">
        <x:v>0</x:v>
      </x:c>
      <x:c r="Q49" s="17" t="str">
        <x:v>Empty / no visible reward</x:v>
      </x:c>
      <x:c r="R49" s="18" t="str">
        <x:v>/Users/mac/Documents/智囊团/video_analysis/Top_Tycoon新号流程_20260804/evidence/event_supplements/TT_NEW_03_000027_4fps_contact.jpg</x:v>
      </x:c>
      <x:c r="S49" s="17" t="str">
        <x:v>00:00:29</x:v>
      </x:c>
      <x:c r="T49" s="17" t="str">
        <x:v>已确认</x:v>
      </x:c>
      <x:c r="U49" s="17" t="str">
        <x:v>A</x:v>
      </x:c>
      <x:c r="V49" s="17" t="str">
        <x:v>4fps事件补核，画面与余额前后值已人工复核</x:v>
      </x:c>
      <x:c r="W49" s="17" t="str">
        <x:v>空奖</x:v>
      </x:c>
      <x:c r="X49" s="17" t="str">
        <x:v>是</x:v>
      </x:c>
      <x:c r="Y49" s="17" t="str">
        <x:v>否</x:v>
      </x:c>
      <x:c r="Z49" s="17" t="str">
        <x:v>未知</x:v>
      </x:c>
      <x:c r="AA49" s="17" t="str">
        <x:v>未知</x:v>
      </x:c>
      <x:c r="AB49" s="17" t="str">
        <x:v>否</x:v>
      </x:c>
    </x:row>
    <x:row r="50">
      <x:c r="A50" s="17" t="str">
        <x:v>TT_NEW_03</x:v>
      </x:c>
      <x:c r="B50" s="17" t="str">
        <x:v>TT_NEW_03_S0002</x:v>
      </x:c>
      <x:c r="C50" s="17" t="str">
        <x:v>00:00:29</x:v>
      </x:c>
      <x:c r="D50" s="17" t="n">
        <x:v>29</x:v>
      </x:c>
      <x:c r="E50" s="17" t="n">
        <x:v>1</x:v>
      </x:c>
      <x:c r="F50" s="17" t="n">
        <x:v>5</x:v>
      </x:c>
      <x:c r="G50" s="17" t="n">
        <x:v>53</x:v>
      </x:c>
      <x:c r="H50" s="17" t="n">
        <x:v>48</x:v>
      </x:c>
      <x:c r="I50" s="17" t="n">
        <x:v>5</x:v>
      </x:c>
      <x:c r="J50" s="17" t="n">
        <x:v>0</x:v>
      </x:c>
      <x:c r="K50" s="17" t="n">
        <x:v>85724</x:v>
      </x:c>
      <x:c r="L50" s="17" t="n">
        <x:v>135724</x:v>
      </x:c>
      <x:c r="M50" s="17" t="n">
        <x:v>50000</x:v>
      </x:c>
      <x:c r="N50" s="17" t="n">
        <x:v>165</x:v>
      </x:c>
      <x:c r="O50" s="17" t="n">
        <x:v>165</x:v>
      </x:c>
      <x:c r="P50" s="17" t="n">
        <x:v>0</x:v>
      </x:c>
      <x:c r="Q50" s="17" t="str">
        <x:v>Coin</x:v>
      </x:c>
      <x:c r="R50" s="18" t="str">
        <x:v>/Users/mac/Documents/智囊团/video_analysis/Top_Tycoon新号流程_20260804/frames/TT_NEW_03/TT_NEW_03_t000029.jpg</x:v>
      </x:c>
      <x:c r="S50" s="17" t="str">
        <x:v>00:00:33</x:v>
      </x:c>
      <x:c r="T50" s="17" t="str">
        <x:v>待复核</x:v>
      </x:c>
      <x:c r="U50" s="17" t="str">
        <x:v>B</x:v>
      </x:c>
      <x:c r="V50" s="17" t="str">
        <x:v>由逐秒能量变化推断；快速自动Spin可能需4fps补核</x:v>
      </x:c>
      <x:c r="W50" s="17" t="str">
        <x:v>纯金币</x:v>
      </x:c>
      <x:c r="X50" s="17" t="str">
        <x:v>是</x:v>
      </x:c>
      <x:c r="Y50" s="17" t="str">
        <x:v>否</x:v>
      </x:c>
      <x:c r="Z50" s="17" t="str">
        <x:v>未知</x:v>
      </x:c>
      <x:c r="AA50" s="17" t="str">
        <x:v>未知</x:v>
      </x:c>
      <x:c r="AB50" s="17" t="str">
        <x:v>否</x:v>
      </x:c>
    </x:row>
    <x:row r="51">
      <x:c r="A51" s="17" t="str">
        <x:v>TT_NEW_03</x:v>
      </x:c>
      <x:c r="B51" s="17" t="str">
        <x:v>TT_NEW_03_S0003</x:v>
      </x:c>
      <x:c r="C51" s="17" t="str">
        <x:v>00:00:33</x:v>
      </x:c>
      <x:c r="D51" s="17" t="n">
        <x:v>33</x:v>
      </x:c>
      <x:c r="E51" s="17" t="n">
        <x:v>1</x:v>
      </x:c>
      <x:c r="F51" s="17" t="n">
        <x:v>5</x:v>
      </x:c>
      <x:c r="G51" s="17" t="n">
        <x:v>48</x:v>
      </x:c>
      <x:c r="H51" s="17" t="n">
        <x:v>43</x:v>
      </x:c>
      <x:c r="I51" s="17" t="n">
        <x:v>5</x:v>
      </x:c>
      <x:c r="J51" s="17" t="n">
        <x:v>1</x:v>
      </x:c>
      <x:c r="K51" s="17" t="n">
        <x:v>89048</x:v>
      </x:c>
      <x:c r="L51" s="17" t="n">
        <x:v>142724</x:v>
      </x:c>
      <x:c r="M51" s="17" t="n">
        <x:v>53676</x:v>
      </x:c>
      <x:c r="N51" s="17" t="n">
        <x:v>165</x:v>
      </x:c>
      <x:c r="O51" s="17" t="n">
        <x:v>165</x:v>
      </x:c>
      <x:c r="P51" s="17" t="n">
        <x:v>0</x:v>
      </x:c>
      <x:c r="Q51" s="17" t="str">
        <x:v>Coin + Energy</x:v>
      </x:c>
      <x:c r="R51" s="18" t="str">
        <x:v>/Users/mac/Documents/智囊团/video_analysis/Top_Tycoon新号流程_20260804/frames/TT_NEW_03/TT_NEW_03_t000033.jpg</x:v>
      </x:c>
      <x:c r="S51" s="17" t="str">
        <x:v>00:00:40</x:v>
      </x:c>
      <x:c r="T51" s="17" t="str">
        <x:v>待复核</x:v>
      </x:c>
      <x:c r="U51" s="17" t="str">
        <x:v>B</x:v>
      </x:c>
      <x:c r="V51" s="17" t="str">
        <x:v>由逐秒能量变化推断；快速自动Spin可能需4fps补核</x:v>
      </x:c>
      <x:c r="W51" s="17" t="str">
        <x:v>混合奖励</x:v>
      </x:c>
      <x:c r="X51" s="17" t="str">
        <x:v>是</x:v>
      </x:c>
      <x:c r="Y51" s="17" t="str">
        <x:v>否</x:v>
      </x:c>
      <x:c r="Z51" s="17" t="str">
        <x:v>未知</x:v>
      </x:c>
      <x:c r="AA51" s="17" t="str">
        <x:v>未知</x:v>
      </x:c>
      <x:c r="AB51" s="17" t="str">
        <x:v>否</x:v>
      </x:c>
    </x:row>
    <x:row r="52">
      <x:c r="A52" s="17" t="str">
        <x:v>TT_NEW_03</x:v>
      </x:c>
      <x:c r="B52" s="17" t="str">
        <x:v>TT_NEW_03_S0004</x:v>
      </x:c>
      <x:c r="C52" s="17" t="str">
        <x:v>00:00:40</x:v>
      </x:c>
      <x:c r="D52" s="17" t="n">
        <x:v>40</x:v>
      </x:c>
      <x:c r="E52" s="17" t="n">
        <x:v>1</x:v>
      </x:c>
      <x:c r="F52" s="17" t="n">
        <x:v>5</x:v>
      </x:c>
      <x:c r="G52" s="17" t="n">
        <x:v>44</x:v>
      </x:c>
      <x:c r="H52" s="17" t="n">
        <x:v>39</x:v>
      </x:c>
      <x:c r="I52" s="17" t="n">
        <x:v>5</x:v>
      </x:c>
      <x:c r="J52" s="17" t="n">
        <x:v>0</x:v>
      </x:c>
      <x:c r="K52" s="17" t="n">
        <x:v>142724</x:v>
      </x:c>
      <x:c r="L52" s="17" t="n">
        <x:v>144224</x:v>
      </x:c>
      <x:c r="M52" s="17" t="n">
        <x:v>1500</x:v>
      </x:c>
      <x:c r="N52" s="17" t="n">
        <x:v>165</x:v>
      </x:c>
      <x:c r="O52" s="17" t="n">
        <x:v>165</x:v>
      </x:c>
      <x:c r="P52" s="17" t="n">
        <x:v>0</x:v>
      </x:c>
      <x:c r="Q52" s="17" t="str">
        <x:v>Coin</x:v>
      </x:c>
      <x:c r="R52" s="18" t="str">
        <x:v>/Users/mac/Documents/智囊团/video_analysis/Top_Tycoon新号流程_20260804/frames/TT_NEW_03/TT_NEW_03_t000040.jpg</x:v>
      </x:c>
      <x:c r="S52" s="17" t="str">
        <x:v>00:00:44</x:v>
      </x:c>
      <x:c r="T52" s="17" t="str">
        <x:v>待复核</x:v>
      </x:c>
      <x:c r="U52" s="17" t="str">
        <x:v>B</x:v>
      </x:c>
      <x:c r="V52" s="17" t="str">
        <x:v>由逐秒能量变化推断；快速自动Spin可能需4fps补核</x:v>
      </x:c>
      <x:c r="W52" s="17" t="str">
        <x:v>纯金币</x:v>
      </x:c>
      <x:c r="X52" s="17" t="str">
        <x:v>是</x:v>
      </x:c>
      <x:c r="Y52" s="17" t="str">
        <x:v>否</x:v>
      </x:c>
      <x:c r="Z52" s="17" t="str">
        <x:v>未知</x:v>
      </x:c>
      <x:c r="AA52" s="17" t="str">
        <x:v>未知</x:v>
      </x:c>
      <x:c r="AB52" s="17" t="str">
        <x:v>否</x:v>
      </x:c>
    </x:row>
    <x:row r="53">
      <x:c r="A53" s="17" t="str">
        <x:v>TT_NEW_03</x:v>
      </x:c>
      <x:c r="B53" s="17" t="str">
        <x:v>TT_NEW_03_S0005</x:v>
      </x:c>
      <x:c r="C53" s="17" t="str">
        <x:v>00:00:44</x:v>
      </x:c>
      <x:c r="D53" s="17" t="n">
        <x:v>44</x:v>
      </x:c>
      <x:c r="E53" s="17" t="n">
        <x:v>1</x:v>
      </x:c>
      <x:c r="F53" s="17" t="n">
        <x:v>5</x:v>
      </x:c>
      <x:c r="G53" s="17" t="n">
        <x:v>39</x:v>
      </x:c>
      <x:c r="H53" s="17" t="n">
        <x:v>34</x:v>
      </x:c>
      <x:c r="I53" s="17" t="n">
        <x:v>5</x:v>
      </x:c>
      <x:c r="J53" s="17" t="n">
        <x:v>0</x:v>
      </x:c>
      <x:c r="K53" s="17" t="n">
        <x:v>144224</x:v>
      </x:c>
      <x:c r="L53" s="17" t="n">
        <x:v>146724</x:v>
      </x:c>
      <x:c r="M53" s="17" t="n">
        <x:v>2500</x:v>
      </x:c>
      <x:c r="N53" s="17" t="n">
        <x:v>165</x:v>
      </x:c>
      <x:c r="O53" s="17" t="n">
        <x:v>175</x:v>
      </x:c>
      <x:c r="P53" s="17" t="n">
        <x:v>10</x:v>
      </x:c>
      <x:c r="Q53" s="17" t="str">
        <x:v>Coin + Progress</x:v>
      </x:c>
      <x:c r="R53" s="18" t="str">
        <x:v>/Users/mac/Documents/智囊团/video_analysis/Top_Tycoon新号流程_20260804/frames/TT_NEW_03/TT_NEW_03_t000044.jpg</x:v>
      </x:c>
      <x:c r="S53" s="17" t="str">
        <x:v>00:00:49</x:v>
      </x:c>
      <x:c r="T53" s="17" t="str">
        <x:v>待复核</x:v>
      </x:c>
      <x:c r="U53" s="17" t="str">
        <x:v>B</x:v>
      </x:c>
      <x:c r="V53" s="17" t="str">
        <x:v>由逐秒能量变化推断；快速自动Spin可能需4fps补核</x:v>
      </x:c>
      <x:c r="W53" s="17" t="str">
        <x:v>混合奖励</x:v>
      </x:c>
      <x:c r="X53" s="17" t="str">
        <x:v>是</x:v>
      </x:c>
      <x:c r="Y53" s="17" t="str">
        <x:v>否</x:v>
      </x:c>
      <x:c r="Z53" s="17" t="str">
        <x:v>未知</x:v>
      </x:c>
      <x:c r="AA53" s="17" t="str">
        <x:v>未知</x:v>
      </x:c>
      <x:c r="AB53" s="17" t="str">
        <x:v>否</x:v>
      </x:c>
    </x:row>
    <x:row r="54">
      <x:c r="A54" s="17" t="str">
        <x:v>TT_NEW_03</x:v>
      </x:c>
      <x:c r="B54" s="17" t="str">
        <x:v>TT_NEW_03_S0006</x:v>
      </x:c>
      <x:c r="C54" s="17" t="str">
        <x:v>00:00:49</x:v>
      </x:c>
      <x:c r="D54" s="17" t="n">
        <x:v>49</x:v>
      </x:c>
      <x:c r="E54" s="17" t="n">
        <x:v>1</x:v>
      </x:c>
      <x:c r="F54" s="17" t="n">
        <x:v>5</x:v>
      </x:c>
      <x:c r="G54" s="17" t="n">
        <x:v>34</x:v>
      </x:c>
      <x:c r="H54" s="17" t="n">
        <x:v>29</x:v>
      </x:c>
      <x:c r="I54" s="17" t="n">
        <x:v>5</x:v>
      </x:c>
      <x:c r="J54" s="17" t="n">
        <x:v>0</x:v>
      </x:c>
      <x:c r="K54" s="17" t="n">
        <x:v>146724</x:v>
      </x:c>
      <x:c r="L54" s="17" t="n">
        <x:v>161724</x:v>
      </x:c>
      <x:c r="M54" s="17" t="n">
        <x:v>15000</x:v>
      </x:c>
      <x:c r="N54" s="17" t="n">
        <x:v>175</x:v>
      </x:c>
      <x:c r="O54" s="17" t="n">
        <x:v>175</x:v>
      </x:c>
      <x:c r="P54" s="17" t="n">
        <x:v>0</x:v>
      </x:c>
      <x:c r="Q54" s="17" t="str">
        <x:v>Attack</x:v>
      </x:c>
      <x:c r="R54" s="18" t="str">
        <x:v>/Users/mac/Documents/智囊团/video_analysis/Top_Tycoon新号流程_20260804/frames/TT_NEW_03/TT_NEW_03_t000049.jpg</x:v>
      </x:c>
      <x:c r="S54" s="17" t="str">
        <x:v>00:01:16</x:v>
      </x:c>
      <x:c r="T54" s="17" t="str">
        <x:v>待复核</x:v>
      </x:c>
      <x:c r="U54" s="17" t="str">
        <x:v>B</x:v>
      </x:c>
      <x:c r="V54" s="17" t="str">
        <x:v>由逐秒能量变化推断；快速自动Spin可能需4fps补核</x:v>
      </x:c>
      <x:c r="W54" s="17" t="str">
        <x:v>Attack</x:v>
      </x:c>
      <x:c r="X54" s="17" t="str">
        <x:v>是</x:v>
      </x:c>
      <x:c r="Y54" s="17" t="str">
        <x:v>否</x:v>
      </x:c>
      <x:c r="Z54" s="17" t="str">
        <x:v>未知</x:v>
      </x:c>
      <x:c r="AA54" s="17" t="str">
        <x:v>未知</x:v>
      </x:c>
      <x:c r="AB54" s="17" t="str">
        <x:v>否</x:v>
      </x:c>
    </x:row>
    <x:row r="55">
      <x:c r="A55" s="17" t="str">
        <x:v>TT_NEW_03</x:v>
      </x:c>
      <x:c r="B55" s="17" t="str">
        <x:v>TT_NEW_03_S0007</x:v>
      </x:c>
      <x:c r="C55" s="17" t="str">
        <x:v>00:01:16</x:v>
      </x:c>
      <x:c r="D55" s="17" t="n">
        <x:v>76</x:v>
      </x:c>
      <x:c r="E55" s="17" t="n">
        <x:v>1</x:v>
      </x:c>
      <x:c r="F55" s="17" t="n">
        <x:v>5</x:v>
      </x:c>
      <x:c r="G55" s="17" t="n">
        <x:v>29</x:v>
      </x:c>
      <x:c r="H55" s="17" t="n">
        <x:v>24</x:v>
      </x:c>
      <x:c r="I55" s="17" t="n">
        <x:v>5</x:v>
      </x:c>
      <x:c r="J55" s="17" t="n">
        <x:v>0</x:v>
      </x:c>
      <x:c r="K55" s="17" t="n">
        <x:v>161724</x:v>
      </x:c>
      <x:c r="L55" s="17" t="n">
        <x:v>186724</x:v>
      </x:c>
      <x:c r="M55" s="17" t="n">
        <x:v>25000</x:v>
      </x:c>
      <x:c r="N55" s="17" t="n">
        <x:v>175</x:v>
      </x:c>
      <x:c r="O55" s="17" t="n">
        <x:v>175</x:v>
      </x:c>
      <x:c r="P55" s="17" t="n">
        <x:v>0</x:v>
      </x:c>
      <x:c r="Q55" s="17" t="str">
        <x:v>Coin</x:v>
      </x:c>
      <x:c r="R55" s="18" t="str">
        <x:v>/Users/mac/Documents/智囊团/video_analysis/Top_Tycoon新号流程_20260804/frames/TT_NEW_03/TT_NEW_03_t000076.jpg</x:v>
      </x:c>
      <x:c r="S55" s="17" t="str">
        <x:v>00:01:18</x:v>
      </x:c>
      <x:c r="T55" s="17" t="str">
        <x:v>待复核</x:v>
      </x:c>
      <x:c r="U55" s="17" t="str">
        <x:v>B</x:v>
      </x:c>
      <x:c r="V55" s="17" t="str">
        <x:v>由逐秒能量变化推断；快速自动Spin可能需4fps补核</x:v>
      </x:c>
      <x:c r="W55" s="17" t="str">
        <x:v>纯金币</x:v>
      </x:c>
      <x:c r="X55" s="17" t="str">
        <x:v>是</x:v>
      </x:c>
      <x:c r="Y55" s="17" t="str">
        <x:v>否</x:v>
      </x:c>
      <x:c r="Z55" s="17" t="str">
        <x:v>未知</x:v>
      </x:c>
      <x:c r="AA55" s="17" t="str">
        <x:v>未知</x:v>
      </x:c>
      <x:c r="AB55" s="17" t="str">
        <x:v>否</x:v>
      </x:c>
    </x:row>
    <x:row r="56">
      <x:c r="A56" s="17" t="str">
        <x:v>TT_NEW_03</x:v>
      </x:c>
      <x:c r="B56" s="17" t="str">
        <x:v>TT_NEW_03_S0008</x:v>
      </x:c>
      <x:c r="C56" s="17" t="str">
        <x:v>00:01:18</x:v>
      </x:c>
      <x:c r="D56" s="17" t="n">
        <x:v>78</x:v>
      </x:c>
      <x:c r="E56" s="17" t="n">
        <x:v>1</x:v>
      </x:c>
      <x:c r="F56" s="17" t="n">
        <x:v>5</x:v>
      </x:c>
      <x:c r="G56" s="17" t="n">
        <x:v>24</x:v>
      </x:c>
      <x:c r="H56" s="17" t="n">
        <x:v>19</x:v>
      </x:c>
      <x:c r="I56" s="17" t="n">
        <x:v>5</x:v>
      </x:c>
      <x:c r="J56" s="17" t="n">
        <x:v>0</x:v>
      </x:c>
      <x:c r="K56" s="17" t="n">
        <x:v>161724</x:v>
      </x:c>
      <x:c r="L56" s="17" t="n">
        <x:v>189224</x:v>
      </x:c>
      <x:c r="M56" s="17" t="n">
        <x:v>27500</x:v>
      </x:c>
      <x:c r="N56" s="17" t="n">
        <x:v>175</x:v>
      </x:c>
      <x:c r="O56" s="17" t="n">
        <x:v>175</x:v>
      </x:c>
      <x:c r="P56" s="17" t="n">
        <x:v>0</x:v>
      </x:c>
      <x:c r="Q56" s="17" t="str">
        <x:v>Coin</x:v>
      </x:c>
      <x:c r="R56" s="18" t="str">
        <x:v>/Users/mac/Documents/智囊团/video_analysis/Top_Tycoon新号流程_20260804/frames/TT_NEW_03/TT_NEW_03_t000078.jpg</x:v>
      </x:c>
      <x:c r="S56" s="17" t="str">
        <x:v>00:01:21</x:v>
      </x:c>
      <x:c r="T56" s="17" t="str">
        <x:v>待复核</x:v>
      </x:c>
      <x:c r="U56" s="17" t="str">
        <x:v>B</x:v>
      </x:c>
      <x:c r="V56" s="17" t="str">
        <x:v>由逐秒能量变化推断；快速自动Spin可能需4fps补核</x:v>
      </x:c>
      <x:c r="W56" s="17" t="str">
        <x:v>纯金币</x:v>
      </x:c>
      <x:c r="X56" s="17" t="str">
        <x:v>是</x:v>
      </x:c>
      <x:c r="Y56" s="17" t="str">
        <x:v>否</x:v>
      </x:c>
      <x:c r="Z56" s="17" t="str">
        <x:v>未知</x:v>
      </x:c>
      <x:c r="AA56" s="17" t="str">
        <x:v>未知</x:v>
      </x:c>
      <x:c r="AB56" s="17" t="str">
        <x:v>否</x:v>
      </x:c>
    </x:row>
    <x:row r="57">
      <x:c r="A57" s="17" t="str">
        <x:v>TT_NEW_03</x:v>
      </x:c>
      <x:c r="B57" s="17" t="str">
        <x:v>TT_NEW_03_S0009</x:v>
      </x:c>
      <x:c r="C57" s="17" t="str">
        <x:v>00:01:21</x:v>
      </x:c>
      <x:c r="D57" s="17" t="n">
        <x:v>81</x:v>
      </x:c>
      <x:c r="E57" s="17" t="n">
        <x:v>1</x:v>
      </x:c>
      <x:c r="F57" s="17" t="n">
        <x:v>5</x:v>
      </x:c>
      <x:c r="G57" s="17" t="n">
        <x:v>19</x:v>
      </x:c>
      <x:c r="H57" s="17" t="n">
        <x:v>14</x:v>
      </x:c>
      <x:c r="I57" s="17" t="n">
        <x:v>5</x:v>
      </x:c>
      <x:c r="J57" s="17" t="n">
        <x:v>0</x:v>
      </x:c>
      <x:c r="K57" s="17" t="n">
        <x:v>187638</x:v>
      </x:c>
      <x:c r="L57" s="17" t="n">
        <x:v>194224</x:v>
      </x:c>
      <x:c r="M57" s="17" t="n">
        <x:v>6586</x:v>
      </x:c>
      <x:c r="N57" s="17" t="n">
        <x:v>175</x:v>
      </x:c>
      <x:c r="O57" s="17" t="n">
        <x:v>175</x:v>
      </x:c>
      <x:c r="P57" s="17" t="n">
        <x:v>0</x:v>
      </x:c>
      <x:c r="Q57" s="17" t="str">
        <x:v>Coin</x:v>
      </x:c>
      <x:c r="R57" s="18" t="str">
        <x:v>/Users/mac/Documents/智囊团/video_analysis/Top_Tycoon新号流程_20260804/frames/TT_NEW_03/TT_NEW_03_t000081.jpg</x:v>
      </x:c>
      <x:c r="S57" s="17" t="str">
        <x:v>00:01:24</x:v>
      </x:c>
      <x:c r="T57" s="17" t="str">
        <x:v>待复核</x:v>
      </x:c>
      <x:c r="U57" s="17" t="str">
        <x:v>B</x:v>
      </x:c>
      <x:c r="V57" s="17" t="str">
        <x:v>由逐秒能量变化推断；快速自动Spin可能需4fps补核</x:v>
      </x:c>
      <x:c r="W57" s="17" t="str">
        <x:v>纯金币</x:v>
      </x:c>
      <x:c r="X57" s="17" t="str">
        <x:v>是</x:v>
      </x:c>
      <x:c r="Y57" s="17" t="str">
        <x:v>否</x:v>
      </x:c>
      <x:c r="Z57" s="17" t="str">
        <x:v>未知</x:v>
      </x:c>
      <x:c r="AA57" s="17" t="str">
        <x:v>未知</x:v>
      </x:c>
      <x:c r="AB57" s="17" t="str">
        <x:v>否</x:v>
      </x:c>
    </x:row>
    <x:row r="58">
      <x:c r="A58" s="17" t="str">
        <x:v>TT_NEW_03</x:v>
      </x:c>
      <x:c r="B58" s="17" t="str">
        <x:v>TT_NEW_03_S0010</x:v>
      </x:c>
      <x:c r="C58" s="17" t="str">
        <x:v>00:01:24</x:v>
      </x:c>
      <x:c r="D58" s="17" t="n">
        <x:v>84</x:v>
      </x:c>
      <x:c r="E58" s="17" t="n">
        <x:v>1</x:v>
      </x:c>
      <x:c r="F58" s="17" t="n">
        <x:v>5</x:v>
      </x:c>
      <x:c r="G58" s="17" t="n">
        <x:v>14</x:v>
      </x:c>
      <x:c r="H58" s="17" t="n">
        <x:v>9</x:v>
      </x:c>
      <x:c r="I58" s="17" t="n">
        <x:v>5</x:v>
      </x:c>
      <x:c r="J58" s="17" t="n">
        <x:v>0</x:v>
      </x:c>
      <x:c r="K58" s="17" t="n">
        <x:v>194224</x:v>
      </x:c>
      <x:c r="L58" s="17" t="n">
        <x:v>221524</x:v>
      </x:c>
      <x:c r="M58" s="17" t="n">
        <x:v>27300</x:v>
      </x:c>
      <x:c r="N58" s="17" t="n">
        <x:v>175</x:v>
      </x:c>
      <x:c r="O58" s="17" t="n">
        <x:v>175</x:v>
      </x:c>
      <x:c r="P58" s="17" t="n">
        <x:v>0</x:v>
      </x:c>
      <x:c r="Q58" s="17" t="str">
        <x:v>Shield + Coin</x:v>
      </x:c>
      <x:c r="R58" s="18" t="str">
        <x:v>/Users/mac/Documents/智囊团/video_analysis/Top_Tycoon新号流程_20260804/frames/TT_NEW_03/TT_NEW_03_t000084.jpg</x:v>
      </x:c>
      <x:c r="S58" s="17" t="str">
        <x:v>00:01:32</x:v>
      </x:c>
      <x:c r="T58" s="17" t="str">
        <x:v>待复核</x:v>
      </x:c>
      <x:c r="U58" s="17" t="str">
        <x:v>B</x:v>
      </x:c>
      <x:c r="V58" s="17" t="str">
        <x:v>由逐秒能量变化推断；快速自动Spin可能需4fps补核</x:v>
      </x:c>
      <x:c r="W58" s="17" t="str">
        <x:v>Shield</x:v>
      </x:c>
      <x:c r="X58" s="17" t="str">
        <x:v>是</x:v>
      </x:c>
      <x:c r="Y58" s="17" t="str">
        <x:v>否</x:v>
      </x:c>
      <x:c r="Z58" s="17" t="str">
        <x:v>未知</x:v>
      </x:c>
      <x:c r="AA58" s="17" t="str">
        <x:v>未知</x:v>
      </x:c>
      <x:c r="AB58" s="17" t="str">
        <x:v>是</x:v>
      </x:c>
    </x:row>
    <x:row r="59">
      <x:c r="A59" s="17" t="str">
        <x:v>TT_NEW_03</x:v>
      </x:c>
      <x:c r="B59" s="17" t="str">
        <x:v>TT_NEW_03_S0011</x:v>
      </x:c>
      <x:c r="C59" s="17" t="str">
        <x:v>00:01:32</x:v>
      </x:c>
      <x:c r="D59" s="17" t="n">
        <x:v>92</x:v>
      </x:c>
      <x:c r="E59" s="17" t="n">
        <x:v>1</x:v>
      </x:c>
      <x:c r="F59" s="17" t="n">
        <x:v>5</x:v>
      </x:c>
      <x:c r="G59" s="17" t="n">
        <x:v>9</x:v>
      </x:c>
      <x:c r="H59" s="17" t="n">
        <x:v>4</x:v>
      </x:c>
      <x:c r="I59" s="17" t="n">
        <x:v>5</x:v>
      </x:c>
      <x:c r="J59" s="17" t="n">
        <x:v>0</x:v>
      </x:c>
      <x:c r="K59" s="17" t="n">
        <x:v>218146</x:v>
      </x:c>
      <x:c r="L59" s="17" t="n">
        <x:v>228424</x:v>
      </x:c>
      <x:c r="M59" s="17" t="n">
        <x:v>10278</x:v>
      </x:c>
      <x:c r="N59" s="17" t="n">
        <x:v>175</x:v>
      </x:c>
      <x:c r="O59" s="17" t="n">
        <x:v>175</x:v>
      </x:c>
      <x:c r="P59" s="17" t="n">
        <x:v>0</x:v>
      </x:c>
      <x:c r="Q59" s="17" t="str">
        <x:v>Coin</x:v>
      </x:c>
      <x:c r="R59" s="18" t="str">
        <x:v>/Users/mac/Documents/智囊团/video_analysis/Top_Tycoon新号流程_20260804/frames/TT_NEW_03/TT_NEW_03_t000092.jpg</x:v>
      </x:c>
      <x:c r="S59" s="17" t="str">
        <x:v>00:02:32</x:v>
      </x:c>
      <x:c r="T59" s="17" t="str">
        <x:v>待复核</x:v>
      </x:c>
      <x:c r="U59" s="17" t="str">
        <x:v>B</x:v>
      </x:c>
      <x:c r="V59" s="17" t="str">
        <x:v>由逐秒能量变化推断；快速自动Spin可能需4fps补核</x:v>
      </x:c>
      <x:c r="W59" s="17" t="str">
        <x:v>纯金币</x:v>
      </x:c>
      <x:c r="X59" s="17" t="str">
        <x:v>是</x:v>
      </x:c>
      <x:c r="Y59" s="17" t="str">
        <x:v>否</x:v>
      </x:c>
      <x:c r="Z59" s="17" t="str">
        <x:v>未知</x:v>
      </x:c>
      <x:c r="AA59" s="17" t="str">
        <x:v>未知</x:v>
      </x:c>
      <x:c r="AB59" s="17" t="str">
        <x:v>是</x:v>
      </x:c>
    </x:row>
    <x:row r="60">
      <x:c r="A60" s="17" t="str">
        <x:v>TT_NEW_03</x:v>
      </x:c>
      <x:c r="B60" s="17" t="str">
        <x:v>TT_NEW_03_S0012</x:v>
      </x:c>
      <x:c r="C60" s="17" t="str">
        <x:v>00:04:58</x:v>
      </x:c>
      <x:c r="D60" s="17" t="n">
        <x:v>298</x:v>
      </x:c>
      <x:c r="E60" s="17" t="n">
        <x:v>1</x:v>
      </x:c>
      <x:c r="F60" s="17" t="n">
        <x:v>5</x:v>
      </x:c>
      <x:c r="G60" s="17" t="n">
        <x:v>104</x:v>
      </x:c>
      <x:c r="H60" s="17" t="n">
        <x:v>99</x:v>
      </x:c>
      <x:c r="I60" s="17" t="n">
        <x:v>5</x:v>
      </x:c>
      <x:c r="J60" s="17" t="n">
        <x:v>0</x:v>
      </x:c>
      <x:c r="K60" s="17" t="n">
        <x:v>488424</x:v>
      </x:c>
      <x:c r="L60" s="17" t="n">
        <x:v>488424</x:v>
      </x:c>
      <x:c r="M60" s="17" t="n">
        <x:v>0</x:v>
      </x:c>
      <x:c r="N60" s="17" t="n">
        <x:v>175</x:v>
      </x:c>
      <x:c r="O60" s="17" t="n">
        <x:v>195</x:v>
      </x:c>
      <x:c r="P60" s="17" t="n">
        <x:v>20</x:v>
      </x:c>
      <x:c r="Q60" s="17" t="str">
        <x:v>Progress</x:v>
      </x:c>
      <x:c r="R60" s="18" t="str">
        <x:v>/Users/mac/Documents/智囊团/video_analysis/Top_Tycoon新号流程_20260804/frames/TT_NEW_03/TT_NEW_03_t000298.jpg</x:v>
      </x:c>
      <x:c r="S60" s="17" t="str">
        <x:v>00:05:02</x:v>
      </x:c>
      <x:c r="T60" s="17" t="str">
        <x:v>待复核</x:v>
      </x:c>
      <x:c r="U60" s="17" t="str">
        <x:v>B</x:v>
      </x:c>
      <x:c r="V60" s="17" t="str">
        <x:v>由逐秒能量变化推断；快速自动Spin可能需4fps补核</x:v>
      </x:c>
      <x:c r="W60" s="17" t="str">
        <x:v>纯进度</x:v>
      </x:c>
      <x:c r="X60" s="17" t="str">
        <x:v>是</x:v>
      </x:c>
      <x:c r="Y60" s="17" t="str">
        <x:v>否</x:v>
      </x:c>
      <x:c r="Z60" s="17" t="str">
        <x:v>未知</x:v>
      </x:c>
      <x:c r="AA60" s="17" t="str">
        <x:v>未知</x:v>
      </x:c>
      <x:c r="AB60" s="17" t="str">
        <x:v>否</x:v>
      </x:c>
    </x:row>
    <x:row r="61">
      <x:c r="A61" s="17" t="str">
        <x:v>TT_NEW_03</x:v>
      </x:c>
      <x:c r="B61" s="17" t="str">
        <x:v>TT_NEW_03_S0013</x:v>
      </x:c>
      <x:c r="C61" s="17" t="str">
        <x:v>00:05:02</x:v>
      </x:c>
      <x:c r="D61" s="17" t="n">
        <x:v>302</x:v>
      </x:c>
      <x:c r="E61" s="17" t="n">
        <x:v>1</x:v>
      </x:c>
      <x:c r="F61" s="17" t="n">
        <x:v>5</x:v>
      </x:c>
      <x:c r="G61" s="17" t="n">
        <x:v>99</x:v>
      </x:c>
      <x:c r="H61" s="17" t="n">
        <x:v>94</x:v>
      </x:c>
      <x:c r="I61" s="17" t="n">
        <x:v>5</x:v>
      </x:c>
      <x:c r="J61" s="17" t="n">
        <x:v>0</x:v>
      </x:c>
      <x:c r="K61" s="17" t="n">
        <x:v>488424</x:v>
      </x:c>
      <x:c r="L61" s="17" t="n">
        <x:v>488424</x:v>
      </x:c>
      <x:c r="M61" s="17" t="n">
        <x:v>0</x:v>
      </x:c>
      <x:c r="N61" s="17" t="n">
        <x:v>195</x:v>
      </x:c>
      <x:c r="O61" s="17" t="n">
        <x:v>195</x:v>
      </x:c>
      <x:c r="P61" s="17" t="n">
        <x:v>0</x:v>
      </x:c>
      <x:c r="Q61" s="17" t="str">
        <x:v>Empty / no visible reward</x:v>
      </x:c>
      <x:c r="R61" s="18" t="str">
        <x:v>/Users/mac/Documents/智囊团/video_analysis/Top_Tycoon新号流程_20260804/evidence/event_supplements/TT_NEW_03_000300_4fps_contact.jpg</x:v>
      </x:c>
      <x:c r="S61" s="17" t="str">
        <x:v>00:05:04</x:v>
      </x:c>
      <x:c r="T61" s="17" t="str">
        <x:v>已确认</x:v>
      </x:c>
      <x:c r="U61" s="17" t="str">
        <x:v>A</x:v>
      </x:c>
      <x:c r="V61" s="17" t="str">
        <x:v>4fps事件补核，画面与余额前后值已人工复核</x:v>
      </x:c>
      <x:c r="W61" s="17" t="str">
        <x:v>空奖</x:v>
      </x:c>
      <x:c r="X61" s="17" t="str">
        <x:v>是</x:v>
      </x:c>
      <x:c r="Y61" s="17" t="str">
        <x:v>否</x:v>
      </x:c>
      <x:c r="Z61" s="17" t="str">
        <x:v>未知</x:v>
      </x:c>
      <x:c r="AA61" s="17" t="str">
        <x:v>未知</x:v>
      </x:c>
      <x:c r="AB61" s="17" t="str">
        <x:v>否</x:v>
      </x:c>
    </x:row>
    <x:row r="62">
      <x:c r="A62" s="17" t="str">
        <x:v>TT_NEW_03</x:v>
      </x:c>
      <x:c r="B62" s="17" t="str">
        <x:v>TT_NEW_03_S0014</x:v>
      </x:c>
      <x:c r="C62" s="17" t="str">
        <x:v>00:05:04</x:v>
      </x:c>
      <x:c r="D62" s="17" t="n">
        <x:v>304</x:v>
      </x:c>
      <x:c r="E62" s="17" t="n">
        <x:v>1</x:v>
      </x:c>
      <x:c r="F62" s="17" t="n">
        <x:v>5</x:v>
      </x:c>
      <x:c r="G62" s="17" t="n">
        <x:v>94</x:v>
      </x:c>
      <x:c r="H62" s="17" t="n">
        <x:v>89</x:v>
      </x:c>
      <x:c r="I62" s="17" t="n">
        <x:v>5</x:v>
      </x:c>
      <x:c r="J62" s="17" t="n">
        <x:v>0</x:v>
      </x:c>
      <x:c r="K62" s="17" t="n">
        <x:v>488424</x:v>
      </x:c>
      <x:c r="L62" s="17" t="n">
        <x:v>515924</x:v>
      </x:c>
      <x:c r="M62" s="17" t="n">
        <x:v>27500</x:v>
      </x:c>
      <x:c r="N62" s="17" t="n">
        <x:v>195</x:v>
      </x:c>
      <x:c r="O62" s="17" t="n">
        <x:v>195</x:v>
      </x:c>
      <x:c r="P62" s="17" t="n">
        <x:v>0</x:v>
      </x:c>
      <x:c r="Q62" s="17" t="str">
        <x:v>Coin</x:v>
      </x:c>
      <x:c r="R62" s="18" t="str">
        <x:v>/Users/mac/Documents/智囊团/video_analysis/Top_Tycoon新号流程_20260804/frames/TT_NEW_03/TT_NEW_03_t000304.jpg</x:v>
      </x:c>
      <x:c r="S62" s="17" t="str">
        <x:v>00:05:10</x:v>
      </x:c>
      <x:c r="T62" s="17" t="str">
        <x:v>待复核</x:v>
      </x:c>
      <x:c r="U62" s="17" t="str">
        <x:v>B</x:v>
      </x:c>
      <x:c r="V62" s="17" t="str">
        <x:v>由逐秒能量变化推断；快速自动Spin可能需4fps补核</x:v>
      </x:c>
      <x:c r="W62" s="17" t="str">
        <x:v>纯金币</x:v>
      </x:c>
      <x:c r="X62" s="17" t="str">
        <x:v>是</x:v>
      </x:c>
      <x:c r="Y62" s="17" t="str">
        <x:v>否</x:v>
      </x:c>
      <x:c r="Z62" s="17" t="str">
        <x:v>未知</x:v>
      </x:c>
      <x:c r="AA62" s="17" t="str">
        <x:v>未知</x:v>
      </x:c>
      <x:c r="AB62" s="17" t="str">
        <x:v>否</x:v>
      </x:c>
    </x:row>
    <x:row r="63">
      <x:c r="A63" s="17" t="str">
        <x:v>TT_NEW_03</x:v>
      </x:c>
      <x:c r="B63" s="17" t="str">
        <x:v>TT_NEW_03_S0015</x:v>
      </x:c>
      <x:c r="C63" s="17" t="str">
        <x:v>00:05:10</x:v>
      </x:c>
      <x:c r="D63" s="17" t="n">
        <x:v>310</x:v>
      </x:c>
      <x:c r="E63" s="17" t="n">
        <x:v>1</x:v>
      </x:c>
      <x:c r="F63" s="17" t="n">
        <x:v>5</x:v>
      </x:c>
      <x:c r="G63" s="17" t="n">
        <x:v>84</x:v>
      </x:c>
      <x:c r="H63" s="17" t="n">
        <x:v>79</x:v>
      </x:c>
      <x:c r="I63" s="17" t="n">
        <x:v>5</x:v>
      </x:c>
      <x:c r="J63" s="17" t="n">
        <x:v>400</x:v>
      </x:c>
      <x:c r="K63" s="17" t="n">
        <x:v>513757</x:v>
      </x:c>
      <x:c r="L63" s="17" t="n">
        <x:v>518424</x:v>
      </x:c>
      <x:c r="M63" s="17" t="n">
        <x:v>4667</x:v>
      </x:c>
      <x:c r="N63" s="17" t="n">
        <x:v>195</x:v>
      </x:c>
      <x:c r="O63" s="17" t="n">
        <x:v>200</x:v>
      </x:c>
      <x:c r="P63" s="17" t="n">
        <x:v>5</x:v>
      </x:c>
      <x:c r="Q63" s="17" t="str">
        <x:v>Coin + Energy + Progress</x:v>
      </x:c>
      <x:c r="R63" s="18" t="str">
        <x:v>/Users/mac/Documents/智囊团/video_analysis/Top_Tycoon新号流程_20260804/frames/TT_NEW_03/TT_NEW_03_t000310.jpg</x:v>
      </x:c>
      <x:c r="S63" s="17" t="str">
        <x:v>00:05:19</x:v>
      </x:c>
      <x:c r="T63" s="17" t="str">
        <x:v>待复核</x:v>
      </x:c>
      <x:c r="U63" s="17" t="str">
        <x:v>B</x:v>
      </x:c>
      <x:c r="V63" s="17" t="str">
        <x:v>由逐秒能量变化推断；快速自动Spin可能需4fps补核</x:v>
      </x:c>
      <x:c r="W63" s="17" t="str">
        <x:v>混合奖励</x:v>
      </x:c>
      <x:c r="X63" s="17" t="str">
        <x:v>是</x:v>
      </x:c>
      <x:c r="Y63" s="17" t="str">
        <x:v>否</x:v>
      </x:c>
      <x:c r="Z63" s="17" t="str">
        <x:v>未知</x:v>
      </x:c>
      <x:c r="AA63" s="17" t="str">
        <x:v>未知</x:v>
      </x:c>
      <x:c r="AB63" s="17" t="str">
        <x:v>否</x:v>
      </x:c>
    </x:row>
    <x:row r="64">
      <x:c r="A64" s="17" t="str">
        <x:v>TT_NEW_03</x:v>
      </x:c>
      <x:c r="B64" s="17" t="str">
        <x:v>TT_NEW_03_S0016</x:v>
      </x:c>
      <x:c r="C64" s="17" t="str">
        <x:v>00:05:19</x:v>
      </x:c>
      <x:c r="D64" s="17" t="n">
        <x:v>319</x:v>
      </x:c>
      <x:c r="E64" s="17" t="n">
        <x:v>1</x:v>
      </x:c>
      <x:c r="F64" s="17" t="n">
        <x:v>20</x:v>
      </x:c>
      <x:c r="G64" s="17" t="n">
        <x:v>479</x:v>
      </x:c>
      <x:c r="H64" s="17" t="n">
        <x:v>474</x:v>
      </x:c>
      <x:c r="I64" s="17" t="n">
        <x:v>20</x:v>
      </x:c>
      <x:c r="J64" s="17" t="n">
        <x:v>15</x:v>
      </x:c>
      <x:c r="K64" s="17" t="n">
        <x:v>516173</x:v>
      </x:c>
      <x:c r="L64" s="17" t="n">
        <x:v>518773</x:v>
      </x:c>
      <x:c r="M64" s="17" t="n">
        <x:v>2600</x:v>
      </x:c>
      <x:c r="N64" s="17" t="n">
        <x:v>5</x:v>
      </x:c>
      <x:c r="O64" s="17" t="n">
        <x:v>5</x:v>
      </x:c>
      <x:c r="P64" s="17" t="n">
        <x:v>0</x:v>
      </x:c>
      <x:c r="Q64" s="17" t="str">
        <x:v>Coin</x:v>
      </x:c>
      <x:c r="R64" s="18" t="str">
        <x:v>/Users/mac/Documents/智囊团/video_analysis/Top_Tycoon新号流程_20260804/frames/TT_NEW_03/TT_NEW_03_t000319.jpg</x:v>
      </x:c>
      <x:c r="S64" s="17" t="str">
        <x:v>00:05:21</x:v>
      </x:c>
      <x:c r="T64" s="17" t="str">
        <x:v>待复核</x:v>
      </x:c>
      <x:c r="U64" s="17" t="str">
        <x:v>B</x:v>
      </x:c>
      <x:c r="V64" s="17" t="str">
        <x:v>由逐秒能量变化推断；快速自动Spin可能需4fps补核</x:v>
      </x:c>
      <x:c r="W64" s="17" t="str">
        <x:v>纯金币</x:v>
      </x:c>
      <x:c r="X64" s="17" t="str">
        <x:v>是</x:v>
      </x:c>
      <x:c r="Y64" s="17" t="str">
        <x:v>否</x:v>
      </x:c>
      <x:c r="Z64" s="17" t="str">
        <x:v>未知</x:v>
      </x:c>
      <x:c r="AA64" s="17" t="str">
        <x:v>未知</x:v>
      </x:c>
      <x:c r="AB64" s="17" t="str">
        <x:v>否</x:v>
      </x:c>
    </x:row>
    <x:row r="65">
      <x:c r="A65" s="17" t="str">
        <x:v>TT_NEW_03</x:v>
      </x:c>
      <x:c r="B65" s="17" t="str">
        <x:v>TT_NEW_03_S0017</x:v>
      </x:c>
      <x:c r="C65" s="17" t="str">
        <x:v>00:05:21</x:v>
      </x:c>
      <x:c r="D65" s="17" t="n">
        <x:v>321</x:v>
      </x:c>
      <x:c r="E65" s="17" t="n">
        <x:v>1</x:v>
      </x:c>
      <x:c r="F65" s="17" t="n">
        <x:v>20</x:v>
      </x:c>
      <x:c r="G65" s="17" t="n">
        <x:v>474</x:v>
      </x:c>
      <x:c r="H65" s="17" t="n">
        <x:v>469</x:v>
      </x:c>
      <x:c r="I65" s="17" t="n">
        <x:v>20</x:v>
      </x:c>
      <x:c r="J65" s="17" t="n">
        <x:v>15</x:v>
      </x:c>
      <x:c r="K65" s="17" t="n">
        <x:v>518424</x:v>
      </x:c>
      <x:c r="L65" s="17" t="n">
        <x:v>853924</x:v>
      </x:c>
      <x:c r="M65" s="17" t="n">
        <x:v>335500</x:v>
      </x:c>
      <x:c r="N65" s="17"/>
      <x:c r="O65" s="17" t="n">
        <x:v>15</x:v>
      </x:c>
      <x:c r="P65" s="17"/>
      <x:c r="Q65" s="17" t="str">
        <x:v>Credit Grab</x:v>
      </x:c>
      <x:c r="R65" s="18" t="str">
        <x:v>/Users/mac/Documents/智囊团/video_analysis/Top_Tycoon新号流程_20260804/frames/TT_NEW_03/TT_NEW_03_t000321.jpg</x:v>
      </x:c>
      <x:c r="S65" s="17" t="str">
        <x:v>00:06:01</x:v>
      </x:c>
      <x:c r="T65" s="17" t="str">
        <x:v>待复核</x:v>
      </x:c>
      <x:c r="U65" s="17" t="str">
        <x:v>B</x:v>
      </x:c>
      <x:c r="V65" s="17" t="str">
        <x:v>由逐秒能量变化推断；快速自动Spin可能需4fps补核</x:v>
      </x:c>
      <x:c r="W65" s="17" t="str">
        <x:v>Credit Grab</x:v>
      </x:c>
      <x:c r="X65" s="17" t="str">
        <x:v>是</x:v>
      </x:c>
      <x:c r="Y65" s="17" t="str">
        <x:v>否</x:v>
      </x:c>
      <x:c r="Z65" s="17" t="str">
        <x:v>未知</x:v>
      </x:c>
      <x:c r="AA65" s="17" t="str">
        <x:v>未知</x:v>
      </x:c>
      <x:c r="AB65" s="17" t="str">
        <x:v>否</x:v>
      </x:c>
    </x:row>
    <x:row r="66">
      <x:c r="A66" s="17" t="str">
        <x:v>TT_NEW_03</x:v>
      </x:c>
      <x:c r="B66" s="17" t="str">
        <x:v>TT_NEW_03_S0018</x:v>
      </x:c>
      <x:c r="C66" s="17" t="str">
        <x:v>00:06:01</x:v>
      </x:c>
      <x:c r="D66" s="17" t="n">
        <x:v>361</x:v>
      </x:c>
      <x:c r="E66" s="17" t="n">
        <x:v>1</x:v>
      </x:c>
      <x:c r="F66" s="17" t="n">
        <x:v>5</x:v>
      </x:c>
      <x:c r="G66" s="17" t="n">
        <x:v>464</x:v>
      </x:c>
      <x:c r="H66" s="17" t="n">
        <x:v>459</x:v>
      </x:c>
      <x:c r="I66" s="17" t="n">
        <x:v>5</x:v>
      </x:c>
      <x:c r="J66" s="17" t="n">
        <x:v>0</x:v>
      </x:c>
      <x:c r="K66" s="17" t="n">
        <x:v>853924</x:v>
      </x:c>
      <x:c r="L66" s="17" t="n">
        <x:v>869731</x:v>
      </x:c>
      <x:c r="M66" s="17" t="n">
        <x:v>15807</x:v>
      </x:c>
      <x:c r="N66" s="17" t="n">
        <x:v>15</x:v>
      </x:c>
      <x:c r="O66" s="17" t="n">
        <x:v>15</x:v>
      </x:c>
      <x:c r="P66" s="17" t="n">
        <x:v>0</x:v>
      </x:c>
      <x:c r="Q66" s="17" t="str">
        <x:v>Coin</x:v>
      </x:c>
      <x:c r="R66" s="18" t="str">
        <x:v>/Users/mac/Documents/智囊团/video_analysis/Top_Tycoon新号流程_20260804/frames/TT_NEW_03/TT_NEW_03_t000361.jpg</x:v>
      </x:c>
      <x:c r="S66" s="17" t="str">
        <x:v>00:06:03</x:v>
      </x:c>
      <x:c r="T66" s="17" t="str">
        <x:v>待复核</x:v>
      </x:c>
      <x:c r="U66" s="17" t="str">
        <x:v>B</x:v>
      </x:c>
      <x:c r="V66" s="17" t="str">
        <x:v>由逐秒能量变化推断；快速自动Spin可能需4fps补核</x:v>
      </x:c>
      <x:c r="W66" s="17" t="str">
        <x:v>纯金币</x:v>
      </x:c>
      <x:c r="X66" s="17" t="str">
        <x:v>是</x:v>
      </x:c>
      <x:c r="Y66" s="17" t="str">
        <x:v>否</x:v>
      </x:c>
      <x:c r="Z66" s="17" t="str">
        <x:v>未知</x:v>
      </x:c>
      <x:c r="AA66" s="17" t="str">
        <x:v>未知</x:v>
      </x:c>
      <x:c r="AB66" s="17" t="str">
        <x:v>否</x:v>
      </x:c>
    </x:row>
    <x:row r="67">
      <x:c r="A67" s="17" t="str">
        <x:v>TT_NEW_03</x:v>
      </x:c>
      <x:c r="B67" s="17" t="str">
        <x:v>TT_NEW_03_S0019</x:v>
      </x:c>
      <x:c r="C67" s="17" t="str">
        <x:v>00:06:03</x:v>
      </x:c>
      <x:c r="D67" s="17" t="n">
        <x:v>363</x:v>
      </x:c>
      <x:c r="E67" s="17" t="n">
        <x:v>1</x:v>
      </x:c>
      <x:c r="F67" s="17" t="n">
        <x:v>5</x:v>
      </x:c>
      <x:c r="G67" s="17" t="n">
        <x:v>459</x:v>
      </x:c>
      <x:c r="H67" s="17" t="n">
        <x:v>454</x:v>
      </x:c>
      <x:c r="I67" s="17" t="n">
        <x:v>5</x:v>
      </x:c>
      <x:c r="J67" s="17" t="n">
        <x:v>0</x:v>
      </x:c>
      <x:c r="K67" s="17" t="n">
        <x:v>853924</x:v>
      </x:c>
      <x:c r="L67" s="17" t="n">
        <x:v>895824</x:v>
      </x:c>
      <x:c r="M67" s="17" t="n">
        <x:v>41900</x:v>
      </x:c>
      <x:c r="N67" s="17"/>
      <x:c r="O67" s="17" t="n">
        <x:v>15</x:v>
      </x:c>
      <x:c r="P67" s="17"/>
      <x:c r="Q67" s="17" t="str">
        <x:v>Attack</x:v>
      </x:c>
      <x:c r="R67" s="18" t="str">
        <x:v>/Users/mac/Documents/智囊团/video_analysis/Top_Tycoon新号流程_20260804/frames/TT_NEW_03/TT_NEW_03_t000363.jpg</x:v>
      </x:c>
      <x:c r="S67" s="17" t="str">
        <x:v>00:06:33</x:v>
      </x:c>
      <x:c r="T67" s="17" t="str">
        <x:v>待复核</x:v>
      </x:c>
      <x:c r="U67" s="17" t="str">
        <x:v>B</x:v>
      </x:c>
      <x:c r="V67" s="17" t="str">
        <x:v>由逐秒能量变化推断；快速自动Spin可能需4fps补核</x:v>
      </x:c>
      <x:c r="W67" s="17" t="str">
        <x:v>Attack</x:v>
      </x:c>
      <x:c r="X67" s="17" t="str">
        <x:v>是</x:v>
      </x:c>
      <x:c r="Y67" s="17" t="str">
        <x:v>否</x:v>
      </x:c>
      <x:c r="Z67" s="17" t="str">
        <x:v>未知</x:v>
      </x:c>
      <x:c r="AA67" s="17" t="str">
        <x:v>未知</x:v>
      </x:c>
      <x:c r="AB67" s="17" t="str">
        <x:v>否</x:v>
      </x:c>
    </x:row>
    <x:row r="68">
      <x:c r="A68" s="17" t="str">
        <x:v>TT_NEW_03</x:v>
      </x:c>
      <x:c r="B68" s="17" t="str">
        <x:v>TT_NEW_03_S0020</x:v>
      </x:c>
      <x:c r="C68" s="17" t="str">
        <x:v>00:06:33</x:v>
      </x:c>
      <x:c r="D68" s="17" t="n">
        <x:v>393</x:v>
      </x:c>
      <x:c r="E68" s="17" t="n">
        <x:v>1</x:v>
      </x:c>
      <x:c r="F68" s="17" t="n">
        <x:v>10</x:v>
      </x:c>
      <x:c r="G68" s="17" t="n">
        <x:v>454</x:v>
      </x:c>
      <x:c r="H68" s="17" t="n">
        <x:v>444</x:v>
      </x:c>
      <x:c r="I68" s="17" t="n">
        <x:v>10</x:v>
      </x:c>
      <x:c r="J68" s="17" t="n">
        <x:v>0</x:v>
      </x:c>
      <x:c r="K68" s="17" t="n">
        <x:v>895824</x:v>
      </x:c>
      <x:c r="L68" s="17" t="n">
        <x:v>907424</x:v>
      </x:c>
      <x:c r="M68" s="17" t="n">
        <x:v>11600</x:v>
      </x:c>
      <x:c r="N68" s="17" t="n">
        <x:v>15</x:v>
      </x:c>
      <x:c r="O68" s="17" t="n">
        <x:v>15</x:v>
      </x:c>
      <x:c r="P68" s="17" t="n">
        <x:v>0</x:v>
      </x:c>
      <x:c r="Q68" s="17" t="str">
        <x:v>Coin</x:v>
      </x:c>
      <x:c r="R68" s="18" t="str">
        <x:v>/Users/mac/Documents/智囊团/video_analysis/Top_Tycoon新号流程_20260804/frames/TT_NEW_03/TT_NEW_03_t000393.jpg</x:v>
      </x:c>
      <x:c r="S68" s="17" t="str">
        <x:v>00:06:35</x:v>
      </x:c>
      <x:c r="T68" s="17" t="str">
        <x:v>待复核</x:v>
      </x:c>
      <x:c r="U68" s="17" t="str">
        <x:v>B</x:v>
      </x:c>
      <x:c r="V68" s="17" t="str">
        <x:v>由逐秒能量变化推断；快速自动Spin可能需4fps补核</x:v>
      </x:c>
      <x:c r="W68" s="17" t="str">
        <x:v>纯金币</x:v>
      </x:c>
      <x:c r="X68" s="17" t="str">
        <x:v>是</x:v>
      </x:c>
      <x:c r="Y68" s="17" t="str">
        <x:v>否</x:v>
      </x:c>
      <x:c r="Z68" s="17" t="str">
        <x:v>未知</x:v>
      </x:c>
      <x:c r="AA68" s="17" t="str">
        <x:v>未知</x:v>
      </x:c>
      <x:c r="AB68" s="17" t="str">
        <x:v>否</x:v>
      </x:c>
    </x:row>
    <x:row r="69">
      <x:c r="A69" s="17" t="str">
        <x:v>TT_NEW_03</x:v>
      </x:c>
      <x:c r="B69" s="17" t="str">
        <x:v>TT_NEW_03_S0021</x:v>
      </x:c>
      <x:c r="C69" s="17" t="str">
        <x:v>00:06:35</x:v>
      </x:c>
      <x:c r="D69" s="17" t="n">
        <x:v>395</x:v>
      </x:c>
      <x:c r="E69" s="17" t="n">
        <x:v>1</x:v>
      </x:c>
      <x:c r="F69" s="17" t="n">
        <x:v>10</x:v>
      </x:c>
      <x:c r="G69" s="17" t="n">
        <x:v>444</x:v>
      </x:c>
      <x:c r="H69" s="17" t="n">
        <x:v>434</x:v>
      </x:c>
      <x:c r="I69" s="17" t="n">
        <x:v>10</x:v>
      </x:c>
      <x:c r="J69" s="17" t="n">
        <x:v>10</x:v>
      </x:c>
      <x:c r="K69" s="17" t="n">
        <x:v>896836</x:v>
      </x:c>
      <x:c r="L69" s="17" t="n">
        <x:v>907424</x:v>
      </x:c>
      <x:c r="M69" s="17" t="n">
        <x:v>10588</x:v>
      </x:c>
      <x:c r="N69" s="17" t="n">
        <x:v>15</x:v>
      </x:c>
      <x:c r="O69" s="17" t="n">
        <x:v>15</x:v>
      </x:c>
      <x:c r="P69" s="17" t="n">
        <x:v>0</x:v>
      </x:c>
      <x:c r="Q69" s="17" t="str">
        <x:v>Shield + Coin + Energy</x:v>
      </x:c>
      <x:c r="R69" s="18" t="str">
        <x:v>/Users/mac/Documents/智囊团/video_analysis/Top_Tycoon新号流程_20260804/frames/TT_NEW_03/TT_NEW_03_t000395.jpg</x:v>
      </x:c>
      <x:c r="S69" s="17" t="str">
        <x:v>00:06:40</x:v>
      </x:c>
      <x:c r="T69" s="17" t="str">
        <x:v>待复核</x:v>
      </x:c>
      <x:c r="U69" s="17" t="str">
        <x:v>B</x:v>
      </x:c>
      <x:c r="V69" s="17" t="str">
        <x:v>由逐秒能量变化推断；快速自动Spin可能需4fps补核</x:v>
      </x:c>
      <x:c r="W69" s="17" t="str">
        <x:v>Shield</x:v>
      </x:c>
      <x:c r="X69" s="17" t="str">
        <x:v>是</x:v>
      </x:c>
      <x:c r="Y69" s="17" t="str">
        <x:v>否</x:v>
      </x:c>
      <x:c r="Z69" s="17" t="str">
        <x:v>未知</x:v>
      </x:c>
      <x:c r="AA69" s="17" t="str">
        <x:v>未知</x:v>
      </x:c>
      <x:c r="AB69" s="17" t="str">
        <x:v>否</x:v>
      </x:c>
    </x:row>
    <x:row r="70">
      <x:c r="A70" s="17" t="str">
        <x:v>TT_NEW_03</x:v>
      </x:c>
      <x:c r="B70" s="17" t="str">
        <x:v>TT_NEW_03_S0022</x:v>
      </x:c>
      <x:c r="C70" s="17" t="str">
        <x:v>00:06:40</x:v>
      </x:c>
      <x:c r="D70" s="17" t="n">
        <x:v>400</x:v>
      </x:c>
      <x:c r="E70" s="17" t="n">
        <x:v>1</x:v>
      </x:c>
      <x:c r="F70" s="17" t="n">
        <x:v>10</x:v>
      </x:c>
      <x:c r="G70" s="17" t="n">
        <x:v>444</x:v>
      </x:c>
      <x:c r="H70" s="17" t="n">
        <x:v>434</x:v>
      </x:c>
      <x:c r="I70" s="17" t="n">
        <x:v>10</x:v>
      </x:c>
      <x:c r="J70" s="17" t="n">
        <x:v>0</x:v>
      </x:c>
      <x:c r="K70" s="17" t="n">
        <x:v>907424</x:v>
      </x:c>
      <x:c r="L70" s="17" t="n">
        <x:v>917424</x:v>
      </x:c>
      <x:c r="M70" s="17" t="n">
        <x:v>10000</x:v>
      </x:c>
      <x:c r="N70" s="17" t="n">
        <x:v>15</x:v>
      </x:c>
      <x:c r="O70" s="17" t="n">
        <x:v>15</x:v>
      </x:c>
      <x:c r="P70" s="17" t="n">
        <x:v>0</x:v>
      </x:c>
      <x:c r="Q70" s="17" t="str">
        <x:v>Coin</x:v>
      </x:c>
      <x:c r="R70" s="18" t="str">
        <x:v>/Users/mac/Documents/智囊团/video_analysis/Top_Tycoon新号流程_20260804/frames/TT_NEW_03/TT_NEW_03_t000400.jpg</x:v>
      </x:c>
      <x:c r="S70" s="17" t="str">
        <x:v>00:06:42</x:v>
      </x:c>
      <x:c r="T70" s="17" t="str">
        <x:v>待复核</x:v>
      </x:c>
      <x:c r="U70" s="17" t="str">
        <x:v>B</x:v>
      </x:c>
      <x:c r="V70" s="17" t="str">
        <x:v>由逐秒能量变化推断；快速自动Spin可能需4fps补核</x:v>
      </x:c>
      <x:c r="W70" s="17" t="str">
        <x:v>纯金币</x:v>
      </x:c>
      <x:c r="X70" s="17" t="str">
        <x:v>是</x:v>
      </x:c>
      <x:c r="Y70" s="17" t="str">
        <x:v>否</x:v>
      </x:c>
      <x:c r="Z70" s="17" t="str">
        <x:v>未知</x:v>
      </x:c>
      <x:c r="AA70" s="17" t="str">
        <x:v>未知</x:v>
      </x:c>
      <x:c r="AB70" s="17" t="str">
        <x:v>否</x:v>
      </x:c>
    </x:row>
    <x:row r="71">
      <x:c r="A71" s="17" t="str">
        <x:v>TT_NEW_03</x:v>
      </x:c>
      <x:c r="B71" s="17" t="str">
        <x:v>TT_NEW_03_S0023</x:v>
      </x:c>
      <x:c r="C71" s="17" t="str">
        <x:v>00:06:42</x:v>
      </x:c>
      <x:c r="D71" s="17" t="n">
        <x:v>402</x:v>
      </x:c>
      <x:c r="E71" s="17" t="n">
        <x:v>1</x:v>
      </x:c>
      <x:c r="F71" s="17" t="n">
        <x:v>10</x:v>
      </x:c>
      <x:c r="G71" s="17" t="n">
        <x:v>434</x:v>
      </x:c>
      <x:c r="H71" s="17" t="n">
        <x:v>424</x:v>
      </x:c>
      <x:c r="I71" s="17" t="n">
        <x:v>10</x:v>
      </x:c>
      <x:c r="J71" s="17" t="n">
        <x:v>13</x:v>
      </x:c>
      <x:c r="K71" s="17" t="n">
        <x:v>907424</x:v>
      </x:c>
      <x:c r="L71" s="17" t="n">
        <x:v>918424</x:v>
      </x:c>
      <x:c r="M71" s="17" t="n">
        <x:v>11000</x:v>
      </x:c>
      <x:c r="N71" s="17"/>
      <x:c r="O71" s="17" t="n">
        <x:v>15</x:v>
      </x:c>
      <x:c r="P71" s="17"/>
      <x:c r="Q71" s="17" t="str">
        <x:v>Coin + Energy</x:v>
      </x:c>
      <x:c r="R71" s="18" t="str">
        <x:v>/Users/mac/Documents/智囊团/video_analysis/Top_Tycoon新号流程_20260804/frames/TT_NEW_03/TT_NEW_03_t000402.jpg</x:v>
      </x:c>
      <x:c r="S71" s="17" t="str">
        <x:v>00:07:01</x:v>
      </x:c>
      <x:c r="T71" s="17" t="str">
        <x:v>待复核</x:v>
      </x:c>
      <x:c r="U71" s="17" t="str">
        <x:v>B</x:v>
      </x:c>
      <x:c r="V71" s="17" t="str">
        <x:v>由逐秒能量变化推断；快速自动Spin可能需4fps补核</x:v>
      </x:c>
      <x:c r="W71" s="17" t="str">
        <x:v>混合奖励</x:v>
      </x:c>
      <x:c r="X71" s="17" t="str">
        <x:v>是</x:v>
      </x:c>
      <x:c r="Y71" s="17" t="str">
        <x:v>否</x:v>
      </x:c>
      <x:c r="Z71" s="17" t="str">
        <x:v>未知</x:v>
      </x:c>
      <x:c r="AA71" s="17" t="str">
        <x:v>未知</x:v>
      </x:c>
      <x:c r="AB71" s="17" t="str">
        <x:v>否</x:v>
      </x:c>
    </x:row>
    <x:row r="72">
      <x:c r="A72" s="17" t="str">
        <x:v>TT_NEW_03</x:v>
      </x:c>
      <x:c r="B72" s="17" t="str">
        <x:v>TT_NEW_03_S0024</x:v>
      </x:c>
      <x:c r="C72" s="17" t="str">
        <x:v>00:07:01</x:v>
      </x:c>
      <x:c r="D72" s="17" t="n">
        <x:v>421</x:v>
      </x:c>
      <x:c r="E72" s="17" t="n">
        <x:v>1</x:v>
      </x:c>
      <x:c r="F72" s="17" t="n">
        <x:v>20</x:v>
      </x:c>
      <x:c r="G72" s="17" t="n">
        <x:v>437</x:v>
      </x:c>
      <x:c r="H72" s="17" t="n">
        <x:v>427</x:v>
      </x:c>
      <x:c r="I72" s="17" t="n">
        <x:v>20</x:v>
      </x:c>
      <x:c r="J72" s="17" t="n">
        <x:v>10</x:v>
      </x:c>
      <x:c r="K72" s="17" t="n">
        <x:v>918424</x:v>
      </x:c>
      <x:c r="L72" s="17" t="n">
        <x:v>920424</x:v>
      </x:c>
      <x:c r="M72" s="17" t="n">
        <x:v>2000</x:v>
      </x:c>
      <x:c r="N72" s="17" t="n">
        <x:v>15</x:v>
      </x:c>
      <x:c r="O72" s="17" t="n">
        <x:v>35</x:v>
      </x:c>
      <x:c r="P72" s="17" t="n">
        <x:v>20</x:v>
      </x:c>
      <x:c r="Q72" s="17" t="str">
        <x:v>Coin + Progress</x:v>
      </x:c>
      <x:c r="R72" s="18" t="str">
        <x:v>/Users/mac/Documents/智囊团/video_analysis/Top_Tycoon新号流程_20260804/frames/TT_NEW_03/TT_NEW_03_t000421.jpg</x:v>
      </x:c>
      <x:c r="S72" s="17" t="str">
        <x:v>00:07:06</x:v>
      </x:c>
      <x:c r="T72" s="17" t="str">
        <x:v>待复核</x:v>
      </x:c>
      <x:c r="U72" s="17" t="str">
        <x:v>B</x:v>
      </x:c>
      <x:c r="V72" s="17" t="str">
        <x:v>由逐秒能量变化推断；快速自动Spin可能需4fps补核</x:v>
      </x:c>
      <x:c r="W72" s="17" t="str">
        <x:v>混合奖励</x:v>
      </x:c>
      <x:c r="X72" s="17" t="str">
        <x:v>是</x:v>
      </x:c>
      <x:c r="Y72" s="17" t="str">
        <x:v>否</x:v>
      </x:c>
      <x:c r="Z72" s="17" t="str">
        <x:v>未知</x:v>
      </x:c>
      <x:c r="AA72" s="17" t="str">
        <x:v>未知</x:v>
      </x:c>
      <x:c r="AB72" s="17" t="str">
        <x:v>否</x:v>
      </x:c>
    </x:row>
    <x:row r="73">
      <x:c r="A73" s="17" t="str">
        <x:v>TT_NEW_03</x:v>
      </x:c>
      <x:c r="B73" s="17" t="str">
        <x:v>TT_NEW_03_S0025</x:v>
      </x:c>
      <x:c r="C73" s="17" t="str">
        <x:v>00:07:06</x:v>
      </x:c>
      <x:c r="D73" s="17" t="n">
        <x:v>426</x:v>
      </x:c>
      <x:c r="E73" s="17" t="n">
        <x:v>1</x:v>
      </x:c>
      <x:c r="F73" s="17" t="n">
        <x:v>10</x:v>
      </x:c>
      <x:c r="G73" s="17" t="n">
        <x:v>427</x:v>
      </x:c>
      <x:c r="H73" s="17" t="n">
        <x:v>417</x:v>
      </x:c>
      <x:c r="I73" s="17" t="n">
        <x:v>10</x:v>
      </x:c>
      <x:c r="J73" s="17" t="n">
        <x:v>0</x:v>
      </x:c>
      <x:c r="K73" s="17" t="n">
        <x:v>920424</x:v>
      </x:c>
      <x:c r="L73" s="17" t="n">
        <x:v>1220424</x:v>
      </x:c>
      <x:c r="M73" s="17" t="n">
        <x:v>300000</x:v>
      </x:c>
      <x:c r="N73" s="17" t="n">
        <x:v>35</x:v>
      </x:c>
      <x:c r="O73" s="17" t="n">
        <x:v>35</x:v>
      </x:c>
      <x:c r="P73" s="17" t="n">
        <x:v>0</x:v>
      </x:c>
      <x:c r="Q73" s="17" t="str">
        <x:v>Attack</x:v>
      </x:c>
      <x:c r="R73" s="18" t="str">
        <x:v>/Users/mac/Documents/智囊团/video_analysis/Top_Tycoon新号流程_20260804/frames/TT_NEW_03/TT_NEW_03_t000426.jpg</x:v>
      </x:c>
      <x:c r="S73" s="17" t="str">
        <x:v>00:07:31</x:v>
      </x:c>
      <x:c r="T73" s="17" t="str">
        <x:v>待复核</x:v>
      </x:c>
      <x:c r="U73" s="17" t="str">
        <x:v>B</x:v>
      </x:c>
      <x:c r="V73" s="17" t="str">
        <x:v>由逐秒能量变化推断；快速自动Spin可能需4fps补核</x:v>
      </x:c>
      <x:c r="W73" s="17" t="str">
        <x:v>Attack</x:v>
      </x:c>
      <x:c r="X73" s="17" t="str">
        <x:v>是</x:v>
      </x:c>
      <x:c r="Y73" s="17" t="str">
        <x:v>否</x:v>
      </x:c>
      <x:c r="Z73" s="17" t="str">
        <x:v>未知</x:v>
      </x:c>
      <x:c r="AA73" s="17" t="str">
        <x:v>未知</x:v>
      </x:c>
      <x:c r="AB73" s="17" t="str">
        <x:v>否</x:v>
      </x:c>
    </x:row>
    <x:row r="74">
      <x:c r="A74" s="17" t="str">
        <x:v>TT_NEW_03</x:v>
      </x:c>
      <x:c r="B74" s="17" t="str">
        <x:v>TT_NEW_03_S0026</x:v>
      </x:c>
      <x:c r="C74" s="17" t="str">
        <x:v>00:07:31</x:v>
      </x:c>
      <x:c r="D74" s="17" t="n">
        <x:v>451</x:v>
      </x:c>
      <x:c r="E74" s="17" t="n">
        <x:v>1</x:v>
      </x:c>
      <x:c r="F74" s="17" t="n">
        <x:v>10</x:v>
      </x:c>
      <x:c r="G74" s="17" t="n">
        <x:v>417</x:v>
      </x:c>
      <x:c r="H74" s="17" t="n">
        <x:v>407</x:v>
      </x:c>
      <x:c r="I74" s="17" t="n">
        <x:v>10</x:v>
      </x:c>
      <x:c r="J74" s="17" t="n">
        <x:v>0</x:v>
      </x:c>
      <x:c r="K74" s="17" t="n">
        <x:v>1220424</x:v>
      </x:c>
      <x:c r="L74" s="17" t="n">
        <x:v>1225424</x:v>
      </x:c>
      <x:c r="M74" s="17" t="n">
        <x:v>5000</x:v>
      </x:c>
      <x:c r="N74" s="17" t="n">
        <x:v>35</x:v>
      </x:c>
      <x:c r="O74" s="17" t="n">
        <x:v>35</x:v>
      </x:c>
      <x:c r="P74" s="17" t="n">
        <x:v>0</x:v>
      </x:c>
      <x:c r="Q74" s="17" t="str">
        <x:v>Coin</x:v>
      </x:c>
      <x:c r="R74" s="18" t="str">
        <x:v>/Users/mac/Documents/智囊团/video_analysis/Top_Tycoon新号流程_20260804/frames/TT_NEW_03/TT_NEW_03_t000451.jpg</x:v>
      </x:c>
      <x:c r="S74" s="17" t="str">
        <x:v>00:07:34</x:v>
      </x:c>
      <x:c r="T74" s="17" t="str">
        <x:v>待复核</x:v>
      </x:c>
      <x:c r="U74" s="17" t="str">
        <x:v>B</x:v>
      </x:c>
      <x:c r="V74" s="17" t="str">
        <x:v>由逐秒能量变化推断；快速自动Spin可能需4fps补核</x:v>
      </x:c>
      <x:c r="W74" s="17" t="str">
        <x:v>纯金币</x:v>
      </x:c>
      <x:c r="X74" s="17" t="str">
        <x:v>是</x:v>
      </x:c>
      <x:c r="Y74" s="17" t="str">
        <x:v>否</x:v>
      </x:c>
      <x:c r="Z74" s="17" t="str">
        <x:v>未知</x:v>
      </x:c>
      <x:c r="AA74" s="17" t="str">
        <x:v>未知</x:v>
      </x:c>
      <x:c r="AB74" s="17" t="str">
        <x:v>否</x:v>
      </x:c>
    </x:row>
    <x:row r="75">
      <x:c r="A75" s="17" t="str">
        <x:v>TT_NEW_03</x:v>
      </x:c>
      <x:c r="B75" s="17" t="str">
        <x:v>TT_NEW_03_S0027</x:v>
      </x:c>
      <x:c r="C75" s="17" t="str">
        <x:v>00:07:34</x:v>
      </x:c>
      <x:c r="D75" s="17" t="n">
        <x:v>454</x:v>
      </x:c>
      <x:c r="E75" s="17" t="n">
        <x:v>1</x:v>
      </x:c>
      <x:c r="F75" s="17" t="n">
        <x:v>10</x:v>
      </x:c>
      <x:c r="G75" s="17" t="n">
        <x:v>407</x:v>
      </x:c>
      <x:c r="H75" s="17" t="n">
        <x:v>397</x:v>
      </x:c>
      <x:c r="I75" s="17" t="n">
        <x:v>10</x:v>
      </x:c>
      <x:c r="J75" s="17" t="n">
        <x:v>0</x:v>
      </x:c>
      <x:c r="K75" s="17" t="n">
        <x:v>1223586</x:v>
      </x:c>
      <x:c r="L75" s="17" t="n">
        <x:v>1225424</x:v>
      </x:c>
      <x:c r="M75" s="17" t="n">
        <x:v>1838</x:v>
      </x:c>
      <x:c r="N75" s="17" t="n">
        <x:v>35</x:v>
      </x:c>
      <x:c r="O75" s="17" t="n">
        <x:v>55</x:v>
      </x:c>
      <x:c r="P75" s="17" t="n">
        <x:v>20</x:v>
      </x:c>
      <x:c r="Q75" s="17" t="str">
        <x:v>Coin + Progress</x:v>
      </x:c>
      <x:c r="R75" s="18" t="str">
        <x:v>/Users/mac/Documents/智囊团/video_analysis/Top_Tycoon新号流程_20260804/frames/TT_NEW_03/TT_NEW_03_t000454.jpg</x:v>
      </x:c>
      <x:c r="S75" s="17" t="str">
        <x:v>00:07:38</x:v>
      </x:c>
      <x:c r="T75" s="17" t="str">
        <x:v>待复核</x:v>
      </x:c>
      <x:c r="U75" s="17" t="str">
        <x:v>B</x:v>
      </x:c>
      <x:c r="V75" s="17" t="str">
        <x:v>由逐秒能量变化推断；快速自动Spin可能需4fps补核</x:v>
      </x:c>
      <x:c r="W75" s="17" t="str">
        <x:v>混合奖励</x:v>
      </x:c>
      <x:c r="X75" s="17" t="str">
        <x:v>是</x:v>
      </x:c>
      <x:c r="Y75" s="17" t="str">
        <x:v>否</x:v>
      </x:c>
      <x:c r="Z75" s="17" t="str">
        <x:v>未知</x:v>
      </x:c>
      <x:c r="AA75" s="17" t="str">
        <x:v>未知</x:v>
      </x:c>
      <x:c r="AB75" s="17" t="str">
        <x:v>否</x:v>
      </x:c>
    </x:row>
    <x:row r="76">
      <x:c r="A76" s="17" t="str">
        <x:v>TT_NEW_03</x:v>
      </x:c>
      <x:c r="B76" s="17" t="str">
        <x:v>TT_NEW_03_S0028</x:v>
      </x:c>
      <x:c r="C76" s="17" t="str">
        <x:v>00:07:38</x:v>
      </x:c>
      <x:c r="D76" s="17" t="n">
        <x:v>458</x:v>
      </x:c>
      <x:c r="E76" s="17" t="n">
        <x:v>1</x:v>
      </x:c>
      <x:c r="F76" s="17" t="n">
        <x:v>10</x:v>
      </x:c>
      <x:c r="G76" s="17" t="n">
        <x:v>397</x:v>
      </x:c>
      <x:c r="H76" s="17" t="n">
        <x:v>387</x:v>
      </x:c>
      <x:c r="I76" s="17" t="n">
        <x:v>10</x:v>
      </x:c>
      <x:c r="J76" s="17" t="n">
        <x:v>0</x:v>
      </x:c>
      <x:c r="K76" s="17" t="n">
        <x:v>1225424</x:v>
      </x:c>
      <x:c r="L76" s="17" t="n">
        <x:v>1226424</x:v>
      </x:c>
      <x:c r="M76" s="17" t="n">
        <x:v>1000</x:v>
      </x:c>
      <x:c r="N76" s="17" t="n">
        <x:v>55</x:v>
      </x:c>
      <x:c r="O76" s="17" t="n">
        <x:v>55</x:v>
      </x:c>
      <x:c r="P76" s="17" t="n">
        <x:v>0</x:v>
      </x:c>
      <x:c r="Q76" s="17" t="str">
        <x:v>Coin</x:v>
      </x:c>
      <x:c r="R76" s="18" t="str">
        <x:v>/Users/mac/Documents/智囊团/video_analysis/Top_Tycoon新号流程_20260804/frames/TT_NEW_03/TT_NEW_03_t000458.jpg</x:v>
      </x:c>
      <x:c r="S76" s="17" t="str">
        <x:v>00:07:40</x:v>
      </x:c>
      <x:c r="T76" s="17" t="str">
        <x:v>待复核</x:v>
      </x:c>
      <x:c r="U76" s="17" t="str">
        <x:v>B</x:v>
      </x:c>
      <x:c r="V76" s="17" t="str">
        <x:v>由逐秒能量变化推断；快速自动Spin可能需4fps补核</x:v>
      </x:c>
      <x:c r="W76" s="17" t="str">
        <x:v>纯金币</x:v>
      </x:c>
      <x:c r="X76" s="17" t="str">
        <x:v>是</x:v>
      </x:c>
      <x:c r="Y76" s="17" t="str">
        <x:v>否</x:v>
      </x:c>
      <x:c r="Z76" s="17" t="str">
        <x:v>未知</x:v>
      </x:c>
      <x:c r="AA76" s="17" t="str">
        <x:v>未知</x:v>
      </x:c>
      <x:c r="AB76" s="17" t="str">
        <x:v>否</x:v>
      </x:c>
    </x:row>
    <x:row r="77">
      <x:c r="A77" s="17" t="str">
        <x:v>TT_NEW_03</x:v>
      </x:c>
      <x:c r="B77" s="17" t="str">
        <x:v>TT_NEW_03_S0029</x:v>
      </x:c>
      <x:c r="C77" s="17" t="str">
        <x:v>00:07:40</x:v>
      </x:c>
      <x:c r="D77" s="17" t="n">
        <x:v>460</x:v>
      </x:c>
      <x:c r="E77" s="17" t="n">
        <x:v>1</x:v>
      </x:c>
      <x:c r="F77" s="17" t="n">
        <x:v>10</x:v>
      </x:c>
      <x:c r="G77" s="17" t="n">
        <x:v>387</x:v>
      </x:c>
      <x:c r="H77" s="17" t="n">
        <x:v>377</x:v>
      </x:c>
      <x:c r="I77" s="17" t="n">
        <x:v>10</x:v>
      </x:c>
      <x:c r="J77" s="17" t="n">
        <x:v>0</x:v>
      </x:c>
      <x:c r="K77" s="17" t="n">
        <x:v>1225424</x:v>
      </x:c>
      <x:c r="L77" s="17" t="n">
        <x:v>1496424</x:v>
      </x:c>
      <x:c r="M77" s="17" t="n">
        <x:v>271000</x:v>
      </x:c>
      <x:c r="N77" s="17" t="n">
        <x:v>55</x:v>
      </x:c>
      <x:c r="O77" s="17" t="n">
        <x:v>55</x:v>
      </x:c>
      <x:c r="P77" s="17" t="n">
        <x:v>0</x:v>
      </x:c>
      <x:c r="Q77" s="17" t="str">
        <x:v>Coin</x:v>
      </x:c>
      <x:c r="R77" s="18" t="str">
        <x:v>/Users/mac/Documents/智囊团/video_analysis/Top_Tycoon新号流程_20260804/frames/TT_NEW_03/TT_NEW_03_t000460.jpg</x:v>
      </x:c>
      <x:c r="S77" s="17" t="str">
        <x:v>00:08:15</x:v>
      </x:c>
      <x:c r="T77" s="17" t="str">
        <x:v>待复核</x:v>
      </x:c>
      <x:c r="U77" s="17" t="str">
        <x:v>B</x:v>
      </x:c>
      <x:c r="V77" s="17" t="str">
        <x:v>由逐秒能量变化推断；快速自动Spin可能需4fps补核</x:v>
      </x:c>
      <x:c r="W77" s="17" t="str">
        <x:v>纯金币</x:v>
      </x:c>
      <x:c r="X77" s="17" t="str">
        <x:v>是</x:v>
      </x:c>
      <x:c r="Y77" s="17" t="str">
        <x:v>否</x:v>
      </x:c>
      <x:c r="Z77" s="17" t="str">
        <x:v>未知</x:v>
      </x:c>
      <x:c r="AA77" s="17" t="str">
        <x:v>未知</x:v>
      </x:c>
      <x:c r="AB77" s="17" t="str">
        <x:v>否</x:v>
      </x:c>
    </x:row>
    <x:row r="78">
      <x:c r="A78" s="17" t="str">
        <x:v>TT_NEW_03</x:v>
      </x:c>
      <x:c r="B78" s="17" t="str">
        <x:v>TT_NEW_03_S0030</x:v>
      </x:c>
      <x:c r="C78" s="17" t="str">
        <x:v>00:08:15</x:v>
      </x:c>
      <x:c r="D78" s="17" t="n">
        <x:v>495</x:v>
      </x:c>
      <x:c r="E78" s="17" t="n">
        <x:v>1</x:v>
      </x:c>
      <x:c r="F78" s="17" t="n">
        <x:v>10</x:v>
      </x:c>
      <x:c r="G78" s="17" t="n">
        <x:v>377</x:v>
      </x:c>
      <x:c r="H78" s="17" t="n">
        <x:v>367</x:v>
      </x:c>
      <x:c r="I78" s="17" t="n">
        <x:v>10</x:v>
      </x:c>
      <x:c r="J78" s="17" t="n">
        <x:v>0</x:v>
      </x:c>
      <x:c r="K78" s="17" t="n">
        <x:v>1496424</x:v>
      </x:c>
      <x:c r="L78" s="17" t="n">
        <x:v>1596424</x:v>
      </x:c>
      <x:c r="M78" s="17" t="n">
        <x:v>100000</x:v>
      </x:c>
      <x:c r="N78" s="17" t="n">
        <x:v>55</x:v>
      </x:c>
      <x:c r="O78" s="17" t="n">
        <x:v>55</x:v>
      </x:c>
      <x:c r="P78" s="17" t="n">
        <x:v>0</x:v>
      </x:c>
      <x:c r="Q78" s="17" t="str">
        <x:v>Coin</x:v>
      </x:c>
      <x:c r="R78" s="18" t="str">
        <x:v>/Users/mac/Documents/智囊团/video_analysis/Top_Tycoon新号流程_20260804/frames/TT_NEW_03/TT_NEW_03_t000495.jpg</x:v>
      </x:c>
      <x:c r="S78" s="17" t="str">
        <x:v>00:08:19</x:v>
      </x:c>
      <x:c r="T78" s="17" t="str">
        <x:v>待复核</x:v>
      </x:c>
      <x:c r="U78" s="17" t="str">
        <x:v>B</x:v>
      </x:c>
      <x:c r="V78" s="17" t="str">
        <x:v>由逐秒能量变化推断；快速自动Spin可能需4fps补核</x:v>
      </x:c>
      <x:c r="W78" s="17" t="str">
        <x:v>纯金币</x:v>
      </x:c>
      <x:c r="X78" s="17" t="str">
        <x:v>是</x:v>
      </x:c>
      <x:c r="Y78" s="17" t="str">
        <x:v>否</x:v>
      </x:c>
      <x:c r="Z78" s="17" t="str">
        <x:v>未知</x:v>
      </x:c>
      <x:c r="AA78" s="17" t="str">
        <x:v>未知</x:v>
      </x:c>
      <x:c r="AB78" s="17" t="str">
        <x:v>否</x:v>
      </x:c>
    </x:row>
    <x:row r="79">
      <x:c r="A79" s="17" t="str">
        <x:v>TT_NEW_03</x:v>
      </x:c>
      <x:c r="B79" s="17" t="str">
        <x:v>TT_NEW_03_S0031</x:v>
      </x:c>
      <x:c r="C79" s="17" t="str">
        <x:v>00:08:19</x:v>
      </x:c>
      <x:c r="D79" s="17" t="n">
        <x:v>499</x:v>
      </x:c>
      <x:c r="E79" s="17" t="n">
        <x:v>1</x:v>
      </x:c>
      <x:c r="F79" s="17" t="n">
        <x:v>10</x:v>
      </x:c>
      <x:c r="G79" s="17" t="n">
        <x:v>367</x:v>
      </x:c>
      <x:c r="H79" s="17" t="n">
        <x:v>357</x:v>
      </x:c>
      <x:c r="I79" s="17" t="n">
        <x:v>10</x:v>
      </x:c>
      <x:c r="J79" s="17" t="n">
        <x:v>0</x:v>
      </x:c>
      <x:c r="K79" s="17" t="n">
        <x:v>1496424</x:v>
      </x:c>
      <x:c r="L79" s="17" t="n">
        <x:v>1596424</x:v>
      </x:c>
      <x:c r="M79" s="17" t="n">
        <x:v>100000</x:v>
      </x:c>
      <x:c r="N79" s="17" t="n">
        <x:v>55</x:v>
      </x:c>
      <x:c r="O79" s="17" t="n">
        <x:v>55</x:v>
      </x:c>
      <x:c r="P79" s="17" t="n">
        <x:v>0</x:v>
      </x:c>
      <x:c r="Q79" s="17" t="str">
        <x:v>Coin</x:v>
      </x:c>
      <x:c r="R79" s="18" t="str">
        <x:v>/Users/mac/Documents/智囊团/video_analysis/Top_Tycoon新号流程_20260804/frames/TT_NEW_03/TT_NEW_03_t000499.jpg</x:v>
      </x:c>
      <x:c r="S79" s="17" t="str">
        <x:v>00:08:21</x:v>
      </x:c>
      <x:c r="T79" s="17" t="str">
        <x:v>待复核</x:v>
      </x:c>
      <x:c r="U79" s="17" t="str">
        <x:v>B</x:v>
      </x:c>
      <x:c r="V79" s="17" t="str">
        <x:v>由逐秒能量变化推断；快速自动Spin可能需4fps补核</x:v>
      </x:c>
      <x:c r="W79" s="17" t="str">
        <x:v>纯金币</x:v>
      </x:c>
      <x:c r="X79" s="17" t="str">
        <x:v>是</x:v>
      </x:c>
      <x:c r="Y79" s="17" t="str">
        <x:v>否</x:v>
      </x:c>
      <x:c r="Z79" s="17" t="str">
        <x:v>未知</x:v>
      </x:c>
      <x:c r="AA79" s="17" t="str">
        <x:v>未知</x:v>
      </x:c>
      <x:c r="AB79" s="17" t="str">
        <x:v>否</x:v>
      </x:c>
    </x:row>
    <x:row r="80">
      <x:c r="A80" s="17" t="str">
        <x:v>TT_NEW_03</x:v>
      </x:c>
      <x:c r="B80" s="17" t="str">
        <x:v>TT_NEW_03_S0032</x:v>
      </x:c>
      <x:c r="C80" s="17" t="str">
        <x:v>00:08:21</x:v>
      </x:c>
      <x:c r="D80" s="17" t="n">
        <x:v>501</x:v>
      </x:c>
      <x:c r="E80" s="17" t="n">
        <x:v>1</x:v>
      </x:c>
      <x:c r="F80" s="17" t="n">
        <x:v>10</x:v>
      </x:c>
      <x:c r="G80" s="17" t="n">
        <x:v>357</x:v>
      </x:c>
      <x:c r="H80" s="17" t="n">
        <x:v>347</x:v>
      </x:c>
      <x:c r="I80" s="17" t="n">
        <x:v>10</x:v>
      </x:c>
      <x:c r="J80" s="17" t="n">
        <x:v>0</x:v>
      </x:c>
      <x:c r="K80" s="17" t="n">
        <x:v>1596424</x:v>
      </x:c>
      <x:c r="L80" s="17" t="n">
        <x:v>1597424</x:v>
      </x:c>
      <x:c r="M80" s="17" t="n">
        <x:v>1000</x:v>
      </x:c>
      <x:c r="N80" s="17" t="n">
        <x:v>55</x:v>
      </x:c>
      <x:c r="O80" s="17" t="n">
        <x:v>55</x:v>
      </x:c>
      <x:c r="P80" s="17" t="n">
        <x:v>0</x:v>
      </x:c>
      <x:c r="Q80" s="17" t="str">
        <x:v>Coin</x:v>
      </x:c>
      <x:c r="R80" s="18" t="str">
        <x:v>/Users/mac/Documents/智囊团/video_analysis/Top_Tycoon新号流程_20260804/frames/TT_NEW_03/TT_NEW_03_t000501.jpg</x:v>
      </x:c>
      <x:c r="S80" s="17" t="str">
        <x:v>00:08:24</x:v>
      </x:c>
      <x:c r="T80" s="17" t="str">
        <x:v>待复核</x:v>
      </x:c>
      <x:c r="U80" s="17" t="str">
        <x:v>B</x:v>
      </x:c>
      <x:c r="V80" s="17" t="str">
        <x:v>由逐秒能量变化推断；快速自动Spin可能需4fps补核</x:v>
      </x:c>
      <x:c r="W80" s="17" t="str">
        <x:v>纯金币</x:v>
      </x:c>
      <x:c r="X80" s="17" t="str">
        <x:v>是</x:v>
      </x:c>
      <x:c r="Y80" s="17" t="str">
        <x:v>否</x:v>
      </x:c>
      <x:c r="Z80" s="17" t="str">
        <x:v>未知</x:v>
      </x:c>
      <x:c r="AA80" s="17" t="str">
        <x:v>未知</x:v>
      </x:c>
      <x:c r="AB80" s="17" t="str">
        <x:v>否</x:v>
      </x:c>
    </x:row>
    <x:row r="81">
      <x:c r="A81" s="17" t="str">
        <x:v>TT_NEW_03</x:v>
      </x:c>
      <x:c r="B81" s="17" t="str">
        <x:v>TT_NEW_03_S0033</x:v>
      </x:c>
      <x:c r="C81" s="17" t="str">
        <x:v>00:08:24</x:v>
      </x:c>
      <x:c r="D81" s="17" t="n">
        <x:v>504</x:v>
      </x:c>
      <x:c r="E81" s="17" t="n">
        <x:v>1</x:v>
      </x:c>
      <x:c r="F81" s="17" t="n">
        <x:v>10</x:v>
      </x:c>
      <x:c r="G81" s="17" t="n">
        <x:v>347</x:v>
      </x:c>
      <x:c r="H81" s="17" t="n">
        <x:v>337</x:v>
      </x:c>
      <x:c r="I81" s="17" t="n">
        <x:v>10</x:v>
      </x:c>
      <x:c r="J81" s="17" t="n">
        <x:v>0</x:v>
      </x:c>
      <x:c r="K81" s="17" t="n">
        <x:v>1597424</x:v>
      </x:c>
      <x:c r="L81" s="17" t="n">
        <x:v>1599424</x:v>
      </x:c>
      <x:c r="M81" s="17" t="n">
        <x:v>2000</x:v>
      </x:c>
      <x:c r="N81" s="17" t="n">
        <x:v>55</x:v>
      </x:c>
      <x:c r="O81" s="17" t="n">
        <x:v>55</x:v>
      </x:c>
      <x:c r="P81" s="17" t="n">
        <x:v>0</x:v>
      </x:c>
      <x:c r="Q81" s="17" t="str">
        <x:v>Coin</x:v>
      </x:c>
      <x:c r="R81" s="18" t="str">
        <x:v>/Users/mac/Documents/智囊团/video_analysis/Top_Tycoon新号流程_20260804/frames/TT_NEW_03/TT_NEW_03_t000504.jpg</x:v>
      </x:c>
      <x:c r="S81" s="17" t="str">
        <x:v>00:08:26</x:v>
      </x:c>
      <x:c r="T81" s="17" t="str">
        <x:v>待复核</x:v>
      </x:c>
      <x:c r="U81" s="17" t="str">
        <x:v>B</x:v>
      </x:c>
      <x:c r="V81" s="17" t="str">
        <x:v>由逐秒能量变化推断；快速自动Spin可能需4fps补核</x:v>
      </x:c>
      <x:c r="W81" s="17" t="str">
        <x:v>纯金币</x:v>
      </x:c>
      <x:c r="X81" s="17" t="str">
        <x:v>是</x:v>
      </x:c>
      <x:c r="Y81" s="17" t="str">
        <x:v>否</x:v>
      </x:c>
      <x:c r="Z81" s="17" t="str">
        <x:v>未知</x:v>
      </x:c>
      <x:c r="AA81" s="17" t="str">
        <x:v>未知</x:v>
      </x:c>
      <x:c r="AB81" s="17" t="str">
        <x:v>否</x:v>
      </x:c>
    </x:row>
    <x:row r="82">
      <x:c r="A82" s="17" t="str">
        <x:v>TT_NEW_03</x:v>
      </x:c>
      <x:c r="B82" s="17" t="str">
        <x:v>TT_NEW_03_S0034</x:v>
      </x:c>
      <x:c r="C82" s="17" t="str">
        <x:v>00:08:26</x:v>
      </x:c>
      <x:c r="D82" s="17" t="n">
        <x:v>506</x:v>
      </x:c>
      <x:c r="E82" s="17" t="n">
        <x:v>1</x:v>
      </x:c>
      <x:c r="F82" s="17" t="n">
        <x:v>10</x:v>
      </x:c>
      <x:c r="G82" s="17" t="n">
        <x:v>337</x:v>
      </x:c>
      <x:c r="H82" s="17" t="n">
        <x:v>327</x:v>
      </x:c>
      <x:c r="I82" s="17" t="n">
        <x:v>10</x:v>
      </x:c>
      <x:c r="J82" s="17" t="n">
        <x:v>0</x:v>
      </x:c>
      <x:c r="K82" s="17" t="n">
        <x:v>1597424</x:v>
      </x:c>
      <x:c r="L82" s="17" t="n">
        <x:v>1653524</x:v>
      </x:c>
      <x:c r="M82" s="17" t="n">
        <x:v>56100</x:v>
      </x:c>
      <x:c r="N82" s="17" t="n">
        <x:v>55</x:v>
      </x:c>
      <x:c r="O82" s="17" t="n">
        <x:v>55</x:v>
      </x:c>
      <x:c r="P82" s="17" t="n">
        <x:v>0</x:v>
      </x:c>
      <x:c r="Q82" s="17" t="str">
        <x:v>Coin</x:v>
      </x:c>
      <x:c r="R82" s="18" t="str">
        <x:v>/Users/mac/Documents/智囊团/video_analysis/Top_Tycoon新号流程_20260804/frames/TT_NEW_03/TT_NEW_03_t000506.jpg</x:v>
      </x:c>
      <x:c r="S82" s="17" t="str">
        <x:v>00:08:32</x:v>
      </x:c>
      <x:c r="T82" s="17" t="str">
        <x:v>待复核</x:v>
      </x:c>
      <x:c r="U82" s="17" t="str">
        <x:v>B</x:v>
      </x:c>
      <x:c r="V82" s="17" t="str">
        <x:v>由逐秒能量变化推断；快速自动Spin可能需4fps补核</x:v>
      </x:c>
      <x:c r="W82" s="17" t="str">
        <x:v>纯金币</x:v>
      </x:c>
      <x:c r="X82" s="17" t="str">
        <x:v>是</x:v>
      </x:c>
      <x:c r="Y82" s="17" t="str">
        <x:v>否</x:v>
      </x:c>
      <x:c r="Z82" s="17" t="str">
        <x:v>未知</x:v>
      </x:c>
      <x:c r="AA82" s="17" t="str">
        <x:v>未知</x:v>
      </x:c>
      <x:c r="AB82" s="17" t="str">
        <x:v>否</x:v>
      </x:c>
    </x:row>
    <x:row r="83">
      <x:c r="A83" s="17" t="str">
        <x:v>TT_NEW_03</x:v>
      </x:c>
      <x:c r="B83" s="17" t="str">
        <x:v>TT_NEW_03_S0035</x:v>
      </x:c>
      <x:c r="C83" s="17" t="str">
        <x:v>00:08:32</x:v>
      </x:c>
      <x:c r="D83" s="17" t="n">
        <x:v>512</x:v>
      </x:c>
      <x:c r="E83" s="17" t="n">
        <x:v>1</x:v>
      </x:c>
      <x:c r="F83" s="17" t="n">
        <x:v>10</x:v>
      </x:c>
      <x:c r="G83" s="17" t="n">
        <x:v>327</x:v>
      </x:c>
      <x:c r="H83" s="17" t="n">
        <x:v>317</x:v>
      </x:c>
      <x:c r="I83" s="17" t="n">
        <x:v>10</x:v>
      </x:c>
      <x:c r="J83" s="17" t="n">
        <x:v>0</x:v>
      </x:c>
      <x:c r="K83" s="17" t="n">
        <x:v>1653103</x:v>
      </x:c>
      <x:c r="L83" s="17" t="n">
        <x:v>1703524</x:v>
      </x:c>
      <x:c r="M83" s="17" t="n">
        <x:v>50421</x:v>
      </x:c>
      <x:c r="N83" s="17" t="n">
        <x:v>55</x:v>
      </x:c>
      <x:c r="O83" s="17" t="n">
        <x:v>55</x:v>
      </x:c>
      <x:c r="P83" s="17" t="n">
        <x:v>0</x:v>
      </x:c>
      <x:c r="Q83" s="17" t="str">
        <x:v>Coin</x:v>
      </x:c>
      <x:c r="R83" s="18" t="str">
        <x:v>/Users/mac/Documents/智囊团/video_analysis/Top_Tycoon新号流程_20260804/frames/TT_NEW_03/TT_NEW_03_t000512.jpg</x:v>
      </x:c>
      <x:c r="S83" s="17" t="str">
        <x:v>00:08:36</x:v>
      </x:c>
      <x:c r="T83" s="17" t="str">
        <x:v>待复核</x:v>
      </x:c>
      <x:c r="U83" s="17" t="str">
        <x:v>B</x:v>
      </x:c>
      <x:c r="V83" s="17" t="str">
        <x:v>由逐秒能量变化推断；快速自动Spin可能需4fps补核</x:v>
      </x:c>
      <x:c r="W83" s="17" t="str">
        <x:v>纯金币</x:v>
      </x:c>
      <x:c r="X83" s="17" t="str">
        <x:v>是</x:v>
      </x:c>
      <x:c r="Y83" s="17" t="str">
        <x:v>否</x:v>
      </x:c>
      <x:c r="Z83" s="17" t="str">
        <x:v>未知</x:v>
      </x:c>
      <x:c r="AA83" s="17" t="str">
        <x:v>未知</x:v>
      </x:c>
      <x:c r="AB83" s="17" t="str">
        <x:v>否</x:v>
      </x:c>
    </x:row>
    <x:row r="84">
      <x:c r="A84" s="17" t="str">
        <x:v>TT_NEW_03</x:v>
      </x:c>
      <x:c r="B84" s="17" t="str">
        <x:v>TT_NEW_03_S0036</x:v>
      </x:c>
      <x:c r="C84" s="17" t="str">
        <x:v>00:08:36</x:v>
      </x:c>
      <x:c r="D84" s="17" t="n">
        <x:v>516</x:v>
      </x:c>
      <x:c r="E84" s="17" t="n">
        <x:v>1</x:v>
      </x:c>
      <x:c r="F84" s="17" t="n">
        <x:v>10</x:v>
      </x:c>
      <x:c r="G84" s="17" t="n">
        <x:v>317</x:v>
      </x:c>
      <x:c r="H84" s="17" t="n">
        <x:v>307</x:v>
      </x:c>
      <x:c r="I84" s="17" t="n">
        <x:v>10</x:v>
      </x:c>
      <x:c r="J84" s="17" t="n">
        <x:v>0</x:v>
      </x:c>
      <x:c r="K84" s="17" t="n">
        <x:v>1703524</x:v>
      </x:c>
      <x:c r="L84" s="17" t="n">
        <x:v>1703524</x:v>
      </x:c>
      <x:c r="M84" s="17" t="n">
        <x:v>0</x:v>
      </x:c>
      <x:c r="N84" s="17" t="n">
        <x:v>55</x:v>
      </x:c>
      <x:c r="O84" s="17" t="n">
        <x:v>55</x:v>
      </x:c>
      <x:c r="P84" s="17" t="n">
        <x:v>0</x:v>
      </x:c>
      <x:c r="Q84" s="17" t="str">
        <x:v>Empty / no visible reward</x:v>
      </x:c>
      <x:c r="R84" s="18" t="str">
        <x:v>/Users/mac/Documents/智囊团/video_analysis/Top_Tycoon新号流程_20260804/evidence/event_supplements/TT_NEW_03_000514_4fps_contact.jpg</x:v>
      </x:c>
      <x:c r="S84" s="17" t="str">
        <x:v>00:08:38</x:v>
      </x:c>
      <x:c r="T84" s="17" t="str">
        <x:v>已确认</x:v>
      </x:c>
      <x:c r="U84" s="17" t="str">
        <x:v>A</x:v>
      </x:c>
      <x:c r="V84" s="17" t="str">
        <x:v>4fps事件补核，画面与余额前后值已人工复核</x:v>
      </x:c>
      <x:c r="W84" s="17" t="str">
        <x:v>空奖</x:v>
      </x:c>
      <x:c r="X84" s="17" t="str">
        <x:v>是</x:v>
      </x:c>
      <x:c r="Y84" s="17" t="str">
        <x:v>否</x:v>
      </x:c>
      <x:c r="Z84" s="17" t="str">
        <x:v>未知</x:v>
      </x:c>
      <x:c r="AA84" s="17" t="str">
        <x:v>未知</x:v>
      </x:c>
      <x:c r="AB84" s="17" t="str">
        <x:v>否</x:v>
      </x:c>
    </x:row>
    <x:row r="85">
      <x:c r="A85" s="17" t="str">
        <x:v>TT_NEW_03</x:v>
      </x:c>
      <x:c r="B85" s="17" t="str">
        <x:v>TT_NEW_03_S0037</x:v>
      </x:c>
      <x:c r="C85" s="17" t="str">
        <x:v>00:08:38</x:v>
      </x:c>
      <x:c r="D85" s="17" t="n">
        <x:v>518</x:v>
      </x:c>
      <x:c r="E85" s="17" t="n">
        <x:v>1</x:v>
      </x:c>
      <x:c r="F85" s="17" t="n">
        <x:v>10</x:v>
      </x:c>
      <x:c r="G85" s="17" t="n">
        <x:v>307</x:v>
      </x:c>
      <x:c r="H85" s="17" t="n">
        <x:v>297</x:v>
      </x:c>
      <x:c r="I85" s="17" t="n">
        <x:v>10</x:v>
      </x:c>
      <x:c r="J85" s="17" t="n">
        <x:v>0</x:v>
      </x:c>
      <x:c r="K85" s="17" t="n">
        <x:v>1703524</x:v>
      </x:c>
      <x:c r="L85" s="17" t="n">
        <x:v>1704489</x:v>
      </x:c>
      <x:c r="M85" s="17" t="n">
        <x:v>965</x:v>
      </x:c>
      <x:c r="N85" s="17" t="n">
        <x:v>55</x:v>
      </x:c>
      <x:c r="O85" s="17" t="n">
        <x:v>55</x:v>
      </x:c>
      <x:c r="P85" s="17" t="n">
        <x:v>0</x:v>
      </x:c>
      <x:c r="Q85" s="17" t="str">
        <x:v>Coin</x:v>
      </x:c>
      <x:c r="R85" s="18" t="str">
        <x:v>/Users/mac/Documents/智囊团/video_analysis/Top_Tycoon新号流程_20260804/frames/TT_NEW_03/TT_NEW_03_t000518.jpg</x:v>
      </x:c>
      <x:c r="S85" s="17" t="str">
        <x:v>00:08:40</x:v>
      </x:c>
      <x:c r="T85" s="17" t="str">
        <x:v>待复核</x:v>
      </x:c>
      <x:c r="U85" s="17" t="str">
        <x:v>B</x:v>
      </x:c>
      <x:c r="V85" s="17" t="str">
        <x:v>由逐秒能量变化推断；快速自动Spin可能需4fps补核</x:v>
      </x:c>
      <x:c r="W85" s="17" t="str">
        <x:v>纯金币</x:v>
      </x:c>
      <x:c r="X85" s="17" t="str">
        <x:v>是</x:v>
      </x:c>
      <x:c r="Y85" s="17" t="str">
        <x:v>否</x:v>
      </x:c>
      <x:c r="Z85" s="17" t="str">
        <x:v>未知</x:v>
      </x:c>
      <x:c r="AA85" s="17" t="str">
        <x:v>未知</x:v>
      </x:c>
      <x:c r="AB85" s="17" t="str">
        <x:v>否</x:v>
      </x:c>
    </x:row>
    <x:row r="86">
      <x:c r="A86" s="17" t="str">
        <x:v>TT_NEW_03</x:v>
      </x:c>
      <x:c r="B86" s="17" t="str">
        <x:v>TT_NEW_03_S0038</x:v>
      </x:c>
      <x:c r="C86" s="17" t="str">
        <x:v>00:08:40</x:v>
      </x:c>
      <x:c r="D86" s="17" t="n">
        <x:v>520</x:v>
      </x:c>
      <x:c r="E86" s="17" t="n">
        <x:v>1</x:v>
      </x:c>
      <x:c r="F86" s="17" t="n">
        <x:v>10</x:v>
      </x:c>
      <x:c r="G86" s="17" t="n">
        <x:v>297</x:v>
      </x:c>
      <x:c r="H86" s="17" t="n">
        <x:v>287</x:v>
      </x:c>
      <x:c r="I86" s="17" t="n">
        <x:v>10</x:v>
      </x:c>
      <x:c r="J86" s="17" t="n">
        <x:v>0</x:v>
      </x:c>
      <x:c r="K86" s="17" t="n">
        <x:v>1703524</x:v>
      </x:c>
      <x:c r="L86" s="17" t="n">
        <x:v>1719724</x:v>
      </x:c>
      <x:c r="M86" s="17" t="n">
        <x:v>16200</x:v>
      </x:c>
      <x:c r="N86" s="17" t="n">
        <x:v>55</x:v>
      </x:c>
      <x:c r="O86" s="17" t="n">
        <x:v>55</x:v>
      </x:c>
      <x:c r="P86" s="17" t="n">
        <x:v>0</x:v>
      </x:c>
      <x:c r="Q86" s="17" t="str">
        <x:v>Coin</x:v>
      </x:c>
      <x:c r="R86" s="18" t="str">
        <x:v>/Users/mac/Documents/智囊团/video_analysis/Top_Tycoon新号流程_20260804/frames/TT_NEW_03/TT_NEW_03_t000520.jpg</x:v>
      </x:c>
      <x:c r="S86" s="17" t="str">
        <x:v>00:08:46</x:v>
      </x:c>
      <x:c r="T86" s="17" t="str">
        <x:v>待复核</x:v>
      </x:c>
      <x:c r="U86" s="17" t="str">
        <x:v>B</x:v>
      </x:c>
      <x:c r="V86" s="17" t="str">
        <x:v>由逐秒能量变化推断；快速自动Spin可能需4fps补核</x:v>
      </x:c>
      <x:c r="W86" s="17" t="str">
        <x:v>纯金币</x:v>
      </x:c>
      <x:c r="X86" s="17" t="str">
        <x:v>是</x:v>
      </x:c>
      <x:c r="Y86" s="17" t="str">
        <x:v>否</x:v>
      </x:c>
      <x:c r="Z86" s="17" t="str">
        <x:v>未知</x:v>
      </x:c>
      <x:c r="AA86" s="17" t="str">
        <x:v>未知</x:v>
      </x:c>
      <x:c r="AB86" s="17" t="str">
        <x:v>否</x:v>
      </x:c>
    </x:row>
    <x:row r="87">
      <x:c r="A87" s="17" t="str">
        <x:v>TT_NEW_03</x:v>
      </x:c>
      <x:c r="B87" s="17" t="str">
        <x:v>TT_NEW_03_S0039</x:v>
      </x:c>
      <x:c r="C87" s="17" t="str">
        <x:v>00:08:46</x:v>
      </x:c>
      <x:c r="D87" s="17" t="n">
        <x:v>526</x:v>
      </x:c>
      <x:c r="E87" s="17" t="n">
        <x:v>1</x:v>
      </x:c>
      <x:c r="F87" s="17" t="n">
        <x:v>10</x:v>
      </x:c>
      <x:c r="G87" s="17" t="n">
        <x:v>287</x:v>
      </x:c>
      <x:c r="H87" s="17" t="n">
        <x:v>277</x:v>
      </x:c>
      <x:c r="I87" s="17" t="n">
        <x:v>10</x:v>
      </x:c>
      <x:c r="J87" s="17" t="n">
        <x:v>0</x:v>
      </x:c>
      <x:c r="K87" s="17" t="n">
        <x:v>1717029</x:v>
      </x:c>
      <x:c r="L87" s="17" t="n">
        <x:v>1751624</x:v>
      </x:c>
      <x:c r="M87" s="17" t="n">
        <x:v>34595</x:v>
      </x:c>
      <x:c r="N87" s="17" t="n">
        <x:v>55</x:v>
      </x:c>
      <x:c r="O87" s="17" t="n">
        <x:v>55</x:v>
      </x:c>
      <x:c r="P87" s="17" t="n">
        <x:v>0</x:v>
      </x:c>
      <x:c r="Q87" s="17" t="str">
        <x:v>Attack</x:v>
      </x:c>
      <x:c r="R87" s="18" t="str">
        <x:v>/Users/mac/Documents/智囊团/video_analysis/Top_Tycoon新号流程_20260804/frames/TT_NEW_03/TT_NEW_03_t000526.jpg</x:v>
      </x:c>
      <x:c r="S87" s="17" t="str">
        <x:v>00:09:11</x:v>
      </x:c>
      <x:c r="T87" s="17" t="str">
        <x:v>待复核</x:v>
      </x:c>
      <x:c r="U87" s="17" t="str">
        <x:v>B</x:v>
      </x:c>
      <x:c r="V87" s="17" t="str">
        <x:v>由逐秒能量变化推断；快速自动Spin可能需4fps补核</x:v>
      </x:c>
      <x:c r="W87" s="17" t="str">
        <x:v>Attack</x:v>
      </x:c>
      <x:c r="X87" s="17" t="str">
        <x:v>是</x:v>
      </x:c>
      <x:c r="Y87" s="17" t="str">
        <x:v>否</x:v>
      </x:c>
      <x:c r="Z87" s="17" t="str">
        <x:v>未知</x:v>
      </x:c>
      <x:c r="AA87" s="17" t="str">
        <x:v>未知</x:v>
      </x:c>
      <x:c r="AB87" s="17" t="str">
        <x:v>否</x:v>
      </x:c>
    </x:row>
    <x:row r="88">
      <x:c r="A88" s="17" t="str">
        <x:v>TT_NEW_03</x:v>
      </x:c>
      <x:c r="B88" s="17" t="str">
        <x:v>TT_NEW_03_S0040</x:v>
      </x:c>
      <x:c r="C88" s="17" t="str">
        <x:v>00:09:11</x:v>
      </x:c>
      <x:c r="D88" s="17" t="n">
        <x:v>551</x:v>
      </x:c>
      <x:c r="E88" s="17" t="n">
        <x:v>1</x:v>
      </x:c>
      <x:c r="F88" s="17" t="n">
        <x:v>10</x:v>
      </x:c>
      <x:c r="G88" s="17" t="n">
        <x:v>277</x:v>
      </x:c>
      <x:c r="H88" s="17" t="n">
        <x:v>267</x:v>
      </x:c>
      <x:c r="I88" s="17" t="n">
        <x:v>10</x:v>
      </x:c>
      <x:c r="J88" s="17" t="n">
        <x:v>0</x:v>
      </x:c>
      <x:c r="K88" s="17" t="n">
        <x:v>1751624</x:v>
      </x:c>
      <x:c r="L88" s="17" t="n">
        <x:v>1752624</x:v>
      </x:c>
      <x:c r="M88" s="17" t="n">
        <x:v>1000</x:v>
      </x:c>
      <x:c r="N88" s="17" t="n">
        <x:v>55</x:v>
      </x:c>
      <x:c r="O88" s="17" t="n">
        <x:v>55</x:v>
      </x:c>
      <x:c r="P88" s="17" t="n">
        <x:v>0</x:v>
      </x:c>
      <x:c r="Q88" s="17" t="str">
        <x:v>Coin</x:v>
      </x:c>
      <x:c r="R88" s="18" t="str">
        <x:v>/Users/mac/Documents/智囊团/video_analysis/Top_Tycoon新号流程_20260804/frames/TT_NEW_03/TT_NEW_03_t000551.jpg</x:v>
      </x:c>
      <x:c r="S88" s="17" t="str">
        <x:v>00:09:13</x:v>
      </x:c>
      <x:c r="T88" s="17" t="str">
        <x:v>待复核</x:v>
      </x:c>
      <x:c r="U88" s="17" t="str">
        <x:v>B</x:v>
      </x:c>
      <x:c r="V88" s="17" t="str">
        <x:v>由逐秒能量变化推断；快速自动Spin可能需4fps补核</x:v>
      </x:c>
      <x:c r="W88" s="17" t="str">
        <x:v>纯金币</x:v>
      </x:c>
      <x:c r="X88" s="17" t="str">
        <x:v>是</x:v>
      </x:c>
      <x:c r="Y88" s="17" t="str">
        <x:v>否</x:v>
      </x:c>
      <x:c r="Z88" s="17" t="str">
        <x:v>未知</x:v>
      </x:c>
      <x:c r="AA88" s="17" t="str">
        <x:v>未知</x:v>
      </x:c>
      <x:c r="AB88" s="17" t="str">
        <x:v>否</x:v>
      </x:c>
    </x:row>
    <x:row r="89">
      <x:c r="A89" s="17" t="str">
        <x:v>TT_NEW_03</x:v>
      </x:c>
      <x:c r="B89" s="17" t="str">
        <x:v>TT_NEW_03_S0041</x:v>
      </x:c>
      <x:c r="C89" s="17" t="str">
        <x:v>00:09:13</x:v>
      </x:c>
      <x:c r="D89" s="17" t="n">
        <x:v>553</x:v>
      </x:c>
      <x:c r="E89" s="17" t="n">
        <x:v>1</x:v>
      </x:c>
      <x:c r="F89" s="17" t="n">
        <x:v>10</x:v>
      </x:c>
      <x:c r="G89" s="17" t="n">
        <x:v>267</x:v>
      </x:c>
      <x:c r="H89" s="17" t="n">
        <x:v>257</x:v>
      </x:c>
      <x:c r="I89" s="17" t="n">
        <x:v>10</x:v>
      </x:c>
      <x:c r="J89" s="17" t="n">
        <x:v>0</x:v>
      </x:c>
      <x:c r="K89" s="17" t="n">
        <x:v>1751624</x:v>
      </x:c>
      <x:c r="L89" s="17" t="n">
        <x:v>2062624</x:v>
      </x:c>
      <x:c r="M89" s="17" t="n">
        <x:v>311000</x:v>
      </x:c>
      <x:c r="N89" s="17" t="n">
        <x:v>55</x:v>
      </x:c>
      <x:c r="O89" s="17" t="n">
        <x:v>55</x:v>
      </x:c>
      <x:c r="P89" s="17" t="n">
        <x:v>0</x:v>
      </x:c>
      <x:c r="Q89" s="17" t="str">
        <x:v>Coin</x:v>
      </x:c>
      <x:c r="R89" s="18" t="str">
        <x:v>/Users/mac/Documents/智囊团/video_analysis/Top_Tycoon新号流程_20260804/frames/TT_NEW_03/TT_NEW_03_t000553.jpg</x:v>
      </x:c>
      <x:c r="S89" s="17" t="str">
        <x:v>00:09:52</x:v>
      </x:c>
      <x:c r="T89" s="17" t="str">
        <x:v>待复核</x:v>
      </x:c>
      <x:c r="U89" s="17" t="str">
        <x:v>B</x:v>
      </x:c>
      <x:c r="V89" s="17" t="str">
        <x:v>由逐秒能量变化推断；快速自动Spin可能需4fps补核</x:v>
      </x:c>
      <x:c r="W89" s="17" t="str">
        <x:v>纯金币</x:v>
      </x:c>
      <x:c r="X89" s="17" t="str">
        <x:v>是</x:v>
      </x:c>
      <x:c r="Y89" s="17" t="str">
        <x:v>否</x:v>
      </x:c>
      <x:c r="Z89" s="17" t="str">
        <x:v>未知</x:v>
      </x:c>
      <x:c r="AA89" s="17" t="str">
        <x:v>未知</x:v>
      </x:c>
      <x:c r="AB89" s="17" t="str">
        <x:v>否</x:v>
      </x:c>
    </x:row>
    <x:row r="90">
      <x:c r="A90" s="17" t="str">
        <x:v>TT_NEW_03</x:v>
      </x:c>
      <x:c r="B90" s="17" t="str">
        <x:v>TT_NEW_03_S0042</x:v>
      </x:c>
      <x:c r="C90" s="17" t="str">
        <x:v>00:09:52</x:v>
      </x:c>
      <x:c r="D90" s="17" t="n">
        <x:v>592</x:v>
      </x:c>
      <x:c r="E90" s="17" t="n">
        <x:v>1</x:v>
      </x:c>
      <x:c r="F90" s="17" t="n">
        <x:v>10</x:v>
      </x:c>
      <x:c r="G90" s="17" t="n">
        <x:v>257</x:v>
      </x:c>
      <x:c r="H90" s="17" t="n">
        <x:v>247</x:v>
      </x:c>
      <x:c r="I90" s="17" t="n">
        <x:v>10</x:v>
      </x:c>
      <x:c r="J90" s="17" t="n">
        <x:v>0</x:v>
      </x:c>
      <x:c r="K90" s="17" t="n">
        <x:v>2062624</x:v>
      </x:c>
      <x:c r="L90" s="17" t="n">
        <x:v>2063356</x:v>
      </x:c>
      <x:c r="M90" s="17" t="n">
        <x:v>732</x:v>
      </x:c>
      <x:c r="N90" s="17" t="n">
        <x:v>55</x:v>
      </x:c>
      <x:c r="O90" s="17" t="n">
        <x:v>55</x:v>
      </x:c>
      <x:c r="P90" s="17" t="n">
        <x:v>0</x:v>
      </x:c>
      <x:c r="Q90" s="17" t="str">
        <x:v>Coin</x:v>
      </x:c>
      <x:c r="R90" s="18" t="str">
        <x:v>/Users/mac/Documents/智囊团/video_analysis/Top_Tycoon新号流程_20260804/frames/TT_NEW_03/TT_NEW_03_t000592.jpg</x:v>
      </x:c>
      <x:c r="S90" s="17" t="str">
        <x:v>00:09:54</x:v>
      </x:c>
      <x:c r="T90" s="17" t="str">
        <x:v>待复核</x:v>
      </x:c>
      <x:c r="U90" s="17" t="str">
        <x:v>B</x:v>
      </x:c>
      <x:c r="V90" s="17" t="str">
        <x:v>由逐秒能量变化推断；快速自动Spin可能需4fps补核</x:v>
      </x:c>
      <x:c r="W90" s="17" t="str">
        <x:v>纯金币</x:v>
      </x:c>
      <x:c r="X90" s="17" t="str">
        <x:v>是</x:v>
      </x:c>
      <x:c r="Y90" s="17" t="str">
        <x:v>否</x:v>
      </x:c>
      <x:c r="Z90" s="17" t="str">
        <x:v>未知</x:v>
      </x:c>
      <x:c r="AA90" s="17" t="str">
        <x:v>未知</x:v>
      </x:c>
      <x:c r="AB90" s="17" t="str">
        <x:v>否</x:v>
      </x:c>
    </x:row>
    <x:row r="91">
      <x:c r="A91" s="17" t="str">
        <x:v>TT_NEW_03</x:v>
      </x:c>
      <x:c r="B91" s="17" t="str">
        <x:v>TT_NEW_03_S0043</x:v>
      </x:c>
      <x:c r="C91" s="17" t="str">
        <x:v>00:09:54</x:v>
      </x:c>
      <x:c r="D91" s="17" t="n">
        <x:v>594</x:v>
      </x:c>
      <x:c r="E91" s="17" t="n">
        <x:v>1</x:v>
      </x:c>
      <x:c r="F91" s="17" t="n">
        <x:v>10</x:v>
      </x:c>
      <x:c r="G91" s="17" t="n">
        <x:v>247</x:v>
      </x:c>
      <x:c r="H91" s="17" t="n">
        <x:v>237</x:v>
      </x:c>
      <x:c r="I91" s="17" t="n">
        <x:v>10</x:v>
      </x:c>
      <x:c r="J91" s="17" t="n">
        <x:v>0</x:v>
      </x:c>
      <x:c r="K91" s="17" t="n">
        <x:v>2062624</x:v>
      </x:c>
      <x:c r="L91" s="17" t="n">
        <x:v>2073624</x:v>
      </x:c>
      <x:c r="M91" s="17" t="n">
        <x:v>11000</x:v>
      </x:c>
      <x:c r="N91" s="17"/>
      <x:c r="O91" s="17" t="n">
        <x:v>55</x:v>
      </x:c>
      <x:c r="P91" s="17"/>
      <x:c r="Q91" s="17" t="str">
        <x:v>Coin</x:v>
      </x:c>
      <x:c r="R91" s="18" t="str">
        <x:v>/Users/mac/Documents/智囊团/video_analysis/Top_Tycoon新号流程_20260804/frames/TT_NEW_03/TT_NEW_03_t000594.jpg</x:v>
      </x:c>
      <x:c r="S91" s="17" t="str">
        <x:v>00:09:57</x:v>
      </x:c>
      <x:c r="T91" s="17" t="str">
        <x:v>待复核</x:v>
      </x:c>
      <x:c r="U91" s="17" t="str">
        <x:v>B</x:v>
      </x:c>
      <x:c r="V91" s="17" t="str">
        <x:v>由逐秒能量变化推断；快速自动Spin可能需4fps补核</x:v>
      </x:c>
      <x:c r="W91" s="17" t="str">
        <x:v>纯金币</x:v>
      </x:c>
      <x:c r="X91" s="17" t="str">
        <x:v>是</x:v>
      </x:c>
      <x:c r="Y91" s="17" t="str">
        <x:v>否</x:v>
      </x:c>
      <x:c r="Z91" s="17" t="str">
        <x:v>未知</x:v>
      </x:c>
      <x:c r="AA91" s="17" t="str">
        <x:v>未知</x:v>
      </x:c>
      <x:c r="AB91" s="17" t="str">
        <x:v>否</x:v>
      </x:c>
    </x:row>
    <x:row r="92">
      <x:c r="A92" s="17" t="str">
        <x:v>TT_NEW_03</x:v>
      </x:c>
      <x:c r="B92" s="17" t="str">
        <x:v>TT_NEW_03_S0044</x:v>
      </x:c>
      <x:c r="C92" s="17" t="str">
        <x:v>00:09:57</x:v>
      </x:c>
      <x:c r="D92" s="17" t="n">
        <x:v>597</x:v>
      </x:c>
      <x:c r="E92" s="17" t="n">
        <x:v>1</x:v>
      </x:c>
      <x:c r="F92" s="17" t="n">
        <x:v>10</x:v>
      </x:c>
      <x:c r="G92" s="17" t="n">
        <x:v>237</x:v>
      </x:c>
      <x:c r="H92" s="17" t="n">
        <x:v>227</x:v>
      </x:c>
      <x:c r="I92" s="17" t="n">
        <x:v>10</x:v>
      </x:c>
      <x:c r="J92" s="17" t="n">
        <x:v>0</x:v>
      </x:c>
      <x:c r="K92" s="17" t="n">
        <x:v>2064954</x:v>
      </x:c>
      <x:c r="L92" s="17" t="n">
        <x:v>2073624</x:v>
      </x:c>
      <x:c r="M92" s="17" t="n">
        <x:v>8670</x:v>
      </x:c>
      <x:c r="N92" s="17" t="n">
        <x:v>55</x:v>
      </x:c>
      <x:c r="O92" s="17" t="n">
        <x:v>55</x:v>
      </x:c>
      <x:c r="P92" s="17" t="n">
        <x:v>0</x:v>
      </x:c>
      <x:c r="Q92" s="17" t="str">
        <x:v>Coin</x:v>
      </x:c>
      <x:c r="R92" s="18" t="str">
        <x:v>/Users/mac/Documents/智囊团/video_analysis/Top_Tycoon新号流程_20260804/frames/TT_NEW_03/TT_NEW_03_t000597.jpg</x:v>
      </x:c>
      <x:c r="S92" s="17" t="str">
        <x:v>00:09:58</x:v>
      </x:c>
      <x:c r="T92" s="17" t="str">
        <x:v>待复核</x:v>
      </x:c>
      <x:c r="U92" s="17" t="str">
        <x:v>B</x:v>
      </x:c>
      <x:c r="V92" s="17" t="str">
        <x:v>由逐秒能量变化推断；快速自动Spin可能需4fps补核</x:v>
      </x:c>
      <x:c r="W92" s="17" t="str">
        <x:v>纯金币</x:v>
      </x:c>
      <x:c r="X92" s="17" t="str">
        <x:v>是</x:v>
      </x:c>
      <x:c r="Y92" s="17" t="str">
        <x:v>否</x:v>
      </x:c>
      <x:c r="Z92" s="17" t="str">
        <x:v>未知</x:v>
      </x:c>
      <x:c r="AA92" s="17" t="str">
        <x:v>未知</x:v>
      </x:c>
      <x:c r="AB92" s="17" t="str">
        <x:v>否</x:v>
      </x:c>
    </x:row>
    <x:row r="93">
      <x:c r="A93" s="17" t="str">
        <x:v>TT_NEW_06</x:v>
      </x:c>
      <x:c r="B93" s="17" t="str">
        <x:v>TT_NEW_06_S0001</x:v>
      </x:c>
      <x:c r="C93" s="17" t="str">
        <x:v>00:01:35</x:v>
      </x:c>
      <x:c r="D93" s="17" t="n">
        <x:v>95</x:v>
      </x:c>
      <x:c r="E93" s="17" t="n">
        <x:v>1</x:v>
      </x:c>
      <x:c r="F93" s="17" t="n">
        <x:v>2</x:v>
      </x:c>
      <x:c r="G93" s="17" t="n">
        <x:v>129</x:v>
      </x:c>
      <x:c r="H93" s="17" t="n">
        <x:v>127</x:v>
      </x:c>
      <x:c r="I93" s="17" t="n">
        <x:v>2</x:v>
      </x:c>
      <x:c r="J93" s="17" t="n">
        <x:v>0</x:v>
      </x:c>
      <x:c r="K93" s="17" t="n">
        <x:v>218402</x:v>
      </x:c>
      <x:c r="L93" s="17" t="n">
        <x:v>228402</x:v>
      </x:c>
      <x:c r="M93" s="17" t="n">
        <x:v>10000</x:v>
      </x:c>
      <x:c r="N93" s="17" t="n">
        <x:v>1</x:v>
      </x:c>
      <x:c r="O93" s="17" t="n">
        <x:v>1</x:v>
      </x:c>
      <x:c r="P93" s="17" t="n">
        <x:v>0</x:v>
      </x:c>
      <x:c r="Q93" s="17" t="str">
        <x:v>Coin</x:v>
      </x:c>
      <x:c r="R93" s="18" t="str">
        <x:v>/Users/mac/Documents/智囊团/video_analysis/Top_Tycoon新号流程_20260804/frames/TT_NEW_06/TT_NEW_06_t000095.jpg</x:v>
      </x:c>
      <x:c r="S93" s="17" t="str">
        <x:v>00:01:39</x:v>
      </x:c>
      <x:c r="T93" s="17" t="str">
        <x:v>待复核</x:v>
      </x:c>
      <x:c r="U93" s="17" t="str">
        <x:v>B</x:v>
      </x:c>
      <x:c r="V93" s="17" t="str">
        <x:v>由逐秒能量变化推断；快速自动Spin可能需4fps补核</x:v>
      </x:c>
      <x:c r="W93" s="17" t="str">
        <x:v>纯金币</x:v>
      </x:c>
      <x:c r="X93" s="17" t="str">
        <x:v>是</x:v>
      </x:c>
      <x:c r="Y93" s="17" t="str">
        <x:v>否</x:v>
      </x:c>
      <x:c r="Z93" s="17" t="str">
        <x:v>未知</x:v>
      </x:c>
      <x:c r="AA93" s="17" t="str">
        <x:v>未知</x:v>
      </x:c>
      <x:c r="AB93" s="17" t="str">
        <x:v>否</x:v>
      </x:c>
    </x:row>
    <x:row r="94">
      <x:c r="A94" s="17" t="str">
        <x:v>TT_NEW_06</x:v>
      </x:c>
      <x:c r="B94" s="17" t="str">
        <x:v>TT_NEW_06_S0002</x:v>
      </x:c>
      <x:c r="C94" s="17" t="str">
        <x:v>00:01:39</x:v>
      </x:c>
      <x:c r="D94" s="17" t="n">
        <x:v>99</x:v>
      </x:c>
      <x:c r="E94" s="17" t="n">
        <x:v>1</x:v>
      </x:c>
      <x:c r="F94" s="17" t="n">
        <x:v>2</x:v>
      </x:c>
      <x:c r="G94" s="17" t="n">
        <x:v>125</x:v>
      </x:c>
      <x:c r="H94" s="17" t="n">
        <x:v>123</x:v>
      </x:c>
      <x:c r="I94" s="17" t="n">
        <x:v>2</x:v>
      </x:c>
      <x:c r="J94" s="17" t="n">
        <x:v>0</x:v>
      </x:c>
      <x:c r="K94" s="17" t="n">
        <x:v>228402</x:v>
      </x:c>
      <x:c r="L94" s="17" t="n">
        <x:v>228402</x:v>
      </x:c>
      <x:c r="M94" s="17" t="n">
        <x:v>0</x:v>
      </x:c>
      <x:c r="N94" s="17" t="n">
        <x:v>1</x:v>
      </x:c>
      <x:c r="O94" s="17" t="n">
        <x:v>5</x:v>
      </x:c>
      <x:c r="P94" s="17" t="n">
        <x:v>4</x:v>
      </x:c>
      <x:c r="Q94" s="17" t="str">
        <x:v>Progress</x:v>
      </x:c>
      <x:c r="R94" s="18" t="str">
        <x:v>/Users/mac/Documents/智囊团/video_analysis/Top_Tycoon新号流程_20260804/frames/TT_NEW_06/TT_NEW_06_t000099.jpg</x:v>
      </x:c>
      <x:c r="S94" s="17" t="str">
        <x:v>00:01:43</x:v>
      </x:c>
      <x:c r="T94" s="17" t="str">
        <x:v>待复核</x:v>
      </x:c>
      <x:c r="U94" s="17" t="str">
        <x:v>B</x:v>
      </x:c>
      <x:c r="V94" s="17" t="str">
        <x:v>由逐秒能量变化推断；快速自动Spin可能需4fps补核</x:v>
      </x:c>
      <x:c r="W94" s="17" t="str">
        <x:v>纯进度</x:v>
      </x:c>
      <x:c r="X94" s="17" t="str">
        <x:v>是</x:v>
      </x:c>
      <x:c r="Y94" s="17" t="str">
        <x:v>否</x:v>
      </x:c>
      <x:c r="Z94" s="17" t="str">
        <x:v>未知</x:v>
      </x:c>
      <x:c r="AA94" s="17" t="str">
        <x:v>未知</x:v>
      </x:c>
      <x:c r="AB94" s="17" t="str">
        <x:v>否</x:v>
      </x:c>
    </x:row>
    <x:row r="95">
      <x:c r="A95" s="17" t="str">
        <x:v>TT_NEW_06</x:v>
      </x:c>
      <x:c r="B95" s="17" t="str">
        <x:v>TT_NEW_06_S0003</x:v>
      </x:c>
      <x:c r="C95" s="17" t="str">
        <x:v>00:01:43</x:v>
      </x:c>
      <x:c r="D95" s="17" t="n">
        <x:v>103</x:v>
      </x:c>
      <x:c r="E95" s="17" t="n">
        <x:v>1</x:v>
      </x:c>
      <x:c r="F95" s="17" t="n">
        <x:v>2</x:v>
      </x:c>
      <x:c r="G95" s="17" t="n">
        <x:v>123</x:v>
      </x:c>
      <x:c r="H95" s="17" t="n">
        <x:v>121</x:v>
      </x:c>
      <x:c r="I95" s="17" t="n">
        <x:v>2</x:v>
      </x:c>
      <x:c r="J95" s="17" t="n">
        <x:v>20</x:v>
      </x:c>
      <x:c r="K95" s="17" t="n">
        <x:v>228402</x:v>
      </x:c>
      <x:c r="L95" s="17" t="n">
        <x:v>232102</x:v>
      </x:c>
      <x:c r="M95" s="17" t="n">
        <x:v>3700</x:v>
      </x:c>
      <x:c r="N95" s="17" t="n">
        <x:v>1</x:v>
      </x:c>
      <x:c r="O95" s="17" t="n">
        <x:v>5</x:v>
      </x:c>
      <x:c r="P95" s="17" t="n">
        <x:v>4</x:v>
      </x:c>
      <x:c r="Q95" s="17" t="str">
        <x:v>Coin + Energy + Progress</x:v>
      </x:c>
      <x:c r="R95" s="18" t="str">
        <x:v>/Users/mac/Documents/智囊团/video_analysis/Top_Tycoon新号流程_20260804/frames/TT_NEW_06/TT_NEW_06_t000103.jpg</x:v>
      </x:c>
      <x:c r="S95" s="17" t="str">
        <x:v>00:02:00</x:v>
      </x:c>
      <x:c r="T95" s="17" t="str">
        <x:v>待复核</x:v>
      </x:c>
      <x:c r="U95" s="17" t="str">
        <x:v>B</x:v>
      </x:c>
      <x:c r="V95" s="17" t="str">
        <x:v>由逐秒能量变化推断；快速自动Spin可能需4fps补核</x:v>
      </x:c>
      <x:c r="W95" s="17" t="str">
        <x:v>混合奖励</x:v>
      </x:c>
      <x:c r="X95" s="17" t="str">
        <x:v>是</x:v>
      </x:c>
      <x:c r="Y95" s="17" t="str">
        <x:v>否</x:v>
      </x:c>
      <x:c r="Z95" s="17" t="str">
        <x:v>未知</x:v>
      </x:c>
      <x:c r="AA95" s="17" t="str">
        <x:v>未知</x:v>
      </x:c>
      <x:c r="AB95" s="17" t="str">
        <x:v>否</x:v>
      </x:c>
    </x:row>
    <x:row r="96">
      <x:c r="A96" s="17" t="str">
        <x:v>TT_NEW_06</x:v>
      </x:c>
      <x:c r="B96" s="17" t="str">
        <x:v>TT_NEW_06_S0004</x:v>
      </x:c>
      <x:c r="C96" s="17" t="str">
        <x:v>00:02:00</x:v>
      </x:c>
      <x:c r="D96" s="17" t="n">
        <x:v>120</x:v>
      </x:c>
      <x:c r="E96" s="17" t="n">
        <x:v>1</x:v>
      </x:c>
      <x:c r="F96" s="17" t="n">
        <x:v>5</x:v>
      </x:c>
      <x:c r="G96" s="17" t="n">
        <x:v>141</x:v>
      </x:c>
      <x:c r="H96" s="17" t="n">
        <x:v>139</x:v>
      </x:c>
      <x:c r="I96" s="17" t="n">
        <x:v>5</x:v>
      </x:c>
      <x:c r="J96" s="17" t="n">
        <x:v>3</x:v>
      </x:c>
      <x:c r="K96" s="17" t="n">
        <x:v>232102</x:v>
      </x:c>
      <x:c r="L96" s="17" t="n">
        <x:v>233102</x:v>
      </x:c>
      <x:c r="M96" s="17" t="n">
        <x:v>1000</x:v>
      </x:c>
      <x:c r="N96" s="17" t="n">
        <x:v>5</x:v>
      </x:c>
      <x:c r="O96" s="17" t="n">
        <x:v>5</x:v>
      </x:c>
      <x:c r="P96" s="17" t="n">
        <x:v>0</x:v>
      </x:c>
      <x:c r="Q96" s="17" t="str">
        <x:v>Coin</x:v>
      </x:c>
      <x:c r="R96" s="18" t="str">
        <x:v>/Users/mac/Documents/智囊团/video_analysis/Top_Tycoon新号流程_20260804/frames/TT_NEW_06/TT_NEW_06_t000120.jpg</x:v>
      </x:c>
      <x:c r="S96" s="17" t="str">
        <x:v>00:02:05</x:v>
      </x:c>
      <x:c r="T96" s="17" t="str">
        <x:v>待复核</x:v>
      </x:c>
      <x:c r="U96" s="17" t="str">
        <x:v>B</x:v>
      </x:c>
      <x:c r="V96" s="17" t="str">
        <x:v>由逐秒能量变化推断；快速自动Spin可能需4fps补核</x:v>
      </x:c>
      <x:c r="W96" s="17" t="str">
        <x:v>纯金币</x:v>
      </x:c>
      <x:c r="X96" s="17" t="str">
        <x:v>是</x:v>
      </x:c>
      <x:c r="Y96" s="17" t="str">
        <x:v>否</x:v>
      </x:c>
      <x:c r="Z96" s="17" t="str">
        <x:v>未知</x:v>
      </x:c>
      <x:c r="AA96" s="17" t="str">
        <x:v>未知</x:v>
      </x:c>
      <x:c r="AB96" s="17" t="str">
        <x:v>否</x:v>
      </x:c>
    </x:row>
    <x:row r="97">
      <x:c r="A97" s="17" t="str">
        <x:v>TT_NEW_06</x:v>
      </x:c>
      <x:c r="B97" s="17" t="str">
        <x:v>TT_NEW_06_S0005</x:v>
      </x:c>
      <x:c r="C97" s="17" t="str">
        <x:v>00:02:05</x:v>
      </x:c>
      <x:c r="D97" s="17" t="n">
        <x:v>125</x:v>
      </x:c>
      <x:c r="E97" s="17" t="n">
        <x:v>1</x:v>
      </x:c>
      <x:c r="F97" s="17" t="n">
        <x:v>5</x:v>
      </x:c>
      <x:c r="G97" s="17" t="n">
        <x:v>139</x:v>
      </x:c>
      <x:c r="H97" s="17" t="n">
        <x:v>134</x:v>
      </x:c>
      <x:c r="I97" s="17" t="n">
        <x:v>5</x:v>
      </x:c>
      <x:c r="J97" s="17" t="n">
        <x:v>0</x:v>
      </x:c>
      <x:c r="K97" s="17" t="n">
        <x:v>233102</x:v>
      </x:c>
      <x:c r="L97" s="17" t="n">
        <x:v>238102</x:v>
      </x:c>
      <x:c r="M97" s="17" t="n">
        <x:v>5000</x:v>
      </x:c>
      <x:c r="N97" s="17" t="n">
        <x:v>5</x:v>
      </x:c>
      <x:c r="O97" s="17" t="n">
        <x:v>5</x:v>
      </x:c>
      <x:c r="P97" s="17" t="n">
        <x:v>0</x:v>
      </x:c>
      <x:c r="Q97" s="17" t="str">
        <x:v>Coin</x:v>
      </x:c>
      <x:c r="R97" s="18" t="str">
        <x:v>/Users/mac/Documents/智囊团/video_analysis/Top_Tycoon新号流程_20260804/frames/TT_NEW_06/TT_NEW_06_t000125.jpg</x:v>
      </x:c>
      <x:c r="S97" s="17" t="str">
        <x:v>00:02:08</x:v>
      </x:c>
      <x:c r="T97" s="17" t="str">
        <x:v>待复核</x:v>
      </x:c>
      <x:c r="U97" s="17" t="str">
        <x:v>B</x:v>
      </x:c>
      <x:c r="V97" s="17" t="str">
        <x:v>由逐秒能量变化推断；快速自动Spin可能需4fps补核</x:v>
      </x:c>
      <x:c r="W97" s="17" t="str">
        <x:v>纯金币</x:v>
      </x:c>
      <x:c r="X97" s="17" t="str">
        <x:v>是</x:v>
      </x:c>
      <x:c r="Y97" s="17" t="str">
        <x:v>否</x:v>
      </x:c>
      <x:c r="Z97" s="17" t="str">
        <x:v>未知</x:v>
      </x:c>
      <x:c r="AA97" s="17" t="str">
        <x:v>未知</x:v>
      </x:c>
      <x:c r="AB97" s="17" t="str">
        <x:v>否</x:v>
      </x:c>
    </x:row>
    <x:row r="98">
      <x:c r="A98" s="17" t="str">
        <x:v>TT_NEW_06</x:v>
      </x:c>
      <x:c r="B98" s="17" t="str">
        <x:v>TT_NEW_06_S0006</x:v>
      </x:c>
      <x:c r="C98" s="17" t="str">
        <x:v>00:02:08</x:v>
      </x:c>
      <x:c r="D98" s="17" t="n">
        <x:v>128</x:v>
      </x:c>
      <x:c r="E98" s="17" t="n">
        <x:v>1</x:v>
      </x:c>
      <x:c r="F98" s="17" t="n">
        <x:v>5</x:v>
      </x:c>
      <x:c r="G98" s="17" t="n">
        <x:v>134</x:v>
      </x:c>
      <x:c r="H98" s="17" t="n">
        <x:v>129</x:v>
      </x:c>
      <x:c r="I98" s="17" t="n">
        <x:v>5</x:v>
      </x:c>
      <x:c r="J98" s="17" t="n">
        <x:v>0</x:v>
      </x:c>
      <x:c r="K98" s="17" t="n">
        <x:v>238102</x:v>
      </x:c>
      <x:c r="L98" s="17" t="n">
        <x:v>263102</x:v>
      </x:c>
      <x:c r="M98" s="17" t="n">
        <x:v>25000</x:v>
      </x:c>
      <x:c r="N98" s="17" t="n">
        <x:v>5</x:v>
      </x:c>
      <x:c r="O98" s="17" t="n">
        <x:v>5</x:v>
      </x:c>
      <x:c r="P98" s="17" t="n">
        <x:v>0</x:v>
      </x:c>
      <x:c r="Q98" s="17" t="str">
        <x:v>Coin</x:v>
      </x:c>
      <x:c r="R98" s="18" t="str">
        <x:v>/Users/mac/Documents/智囊团/video_analysis/Top_Tycoon新号流程_20260804/frames/TT_NEW_06/TT_NEW_06_t000128.jpg</x:v>
      </x:c>
      <x:c r="S98" s="17" t="str">
        <x:v>00:02:11</x:v>
      </x:c>
      <x:c r="T98" s="17" t="str">
        <x:v>待复核</x:v>
      </x:c>
      <x:c r="U98" s="17" t="str">
        <x:v>B</x:v>
      </x:c>
      <x:c r="V98" s="17" t="str">
        <x:v>由逐秒能量变化推断；快速自动Spin可能需4fps补核</x:v>
      </x:c>
      <x:c r="W98" s="17" t="str">
        <x:v>纯金币</x:v>
      </x:c>
      <x:c r="X98" s="17" t="str">
        <x:v>是</x:v>
      </x:c>
      <x:c r="Y98" s="17" t="str">
        <x:v>否</x:v>
      </x:c>
      <x:c r="Z98" s="17" t="str">
        <x:v>未知</x:v>
      </x:c>
      <x:c r="AA98" s="17" t="str">
        <x:v>未知</x:v>
      </x:c>
      <x:c r="AB98" s="17" t="str">
        <x:v>否</x:v>
      </x:c>
    </x:row>
    <x:row r="99">
      <x:c r="A99" s="17" t="str">
        <x:v>TT_NEW_06</x:v>
      </x:c>
      <x:c r="B99" s="17" t="str">
        <x:v>TT_NEW_06_S0007</x:v>
      </x:c>
      <x:c r="C99" s="17" t="str">
        <x:v>00:02:11</x:v>
      </x:c>
      <x:c r="D99" s="17" t="n">
        <x:v>131</x:v>
      </x:c>
      <x:c r="E99" s="17" t="n">
        <x:v>1</x:v>
      </x:c>
      <x:c r="F99" s="17" t="n">
        <x:v>5</x:v>
      </x:c>
      <x:c r="G99" s="17" t="n">
        <x:v>129</x:v>
      </x:c>
      <x:c r="H99" s="17" t="n">
        <x:v>124</x:v>
      </x:c>
      <x:c r="I99" s="17" t="n">
        <x:v>5</x:v>
      </x:c>
      <x:c r="J99" s="17" t="n">
        <x:v>0</x:v>
      </x:c>
      <x:c r="K99" s="17" t="n">
        <x:v>238102</x:v>
      </x:c>
      <x:c r="L99" s="17" t="n">
        <x:v>263102</x:v>
      </x:c>
      <x:c r="M99" s="17" t="n">
        <x:v>25000</x:v>
      </x:c>
      <x:c r="N99" s="17"/>
      <x:c r="O99" s="17"/>
      <x:c r="P99" s="17"/>
      <x:c r="Q99" s="17" t="str">
        <x:v>Coin</x:v>
      </x:c>
      <x:c r="R99" s="18" t="str">
        <x:v>/Users/mac/Documents/智囊团/video_analysis/Top_Tycoon新号流程_20260804/frames/TT_NEW_06/TT_NEW_06_t000131.jpg</x:v>
      </x:c>
      <x:c r="S99" s="17" t="str">
        <x:v>00:02:15</x:v>
      </x:c>
      <x:c r="T99" s="17" t="str">
        <x:v>待复核</x:v>
      </x:c>
      <x:c r="U99" s="17" t="str">
        <x:v>B</x:v>
      </x:c>
      <x:c r="V99" s="17" t="str">
        <x:v>由逐秒能量变化推断；快速自动Spin可能需4fps补核</x:v>
      </x:c>
      <x:c r="W99" s="17" t="str">
        <x:v>纯金币</x:v>
      </x:c>
      <x:c r="X99" s="17" t="str">
        <x:v>是</x:v>
      </x:c>
      <x:c r="Y99" s="17" t="str">
        <x:v>否</x:v>
      </x:c>
      <x:c r="Z99" s="17" t="str">
        <x:v>未知</x:v>
      </x:c>
      <x:c r="AA99" s="17" t="str">
        <x:v>未知</x:v>
      </x:c>
      <x:c r="AB99" s="17" t="str">
        <x:v>否</x:v>
      </x:c>
    </x:row>
    <x:row r="100">
      <x:c r="A100" s="17" t="str">
        <x:v>TT_NEW_06</x:v>
      </x:c>
      <x:c r="B100" s="17" t="str">
        <x:v>TT_NEW_06_S0008</x:v>
      </x:c>
      <x:c r="C100" s="17" t="str">
        <x:v>00:02:15</x:v>
      </x:c>
      <x:c r="D100" s="17" t="n">
        <x:v>135</x:v>
      </x:c>
      <x:c r="E100" s="17" t="n">
        <x:v>1</x:v>
      </x:c>
      <x:c r="F100" s="17" t="n">
        <x:v>5</x:v>
      </x:c>
      <x:c r="G100" s="17" t="n">
        <x:v>124</x:v>
      </x:c>
      <x:c r="H100" s="17" t="n">
        <x:v>119</x:v>
      </x:c>
      <x:c r="I100" s="17" t="n">
        <x:v>5</x:v>
      </x:c>
      <x:c r="J100" s="17" t="n">
        <x:v>1031</x:v>
      </x:c>
      <x:c r="K100" s="17" t="n">
        <x:v>263102</x:v>
      </x:c>
      <x:c r="L100" s="17" t="n">
        <x:v>281902</x:v>
      </x:c>
      <x:c r="M100" s="17" t="n">
        <x:v>18800</x:v>
      </x:c>
      <x:c r="N100" s="17" t="n">
        <x:v>5</x:v>
      </x:c>
      <x:c r="O100" s="17" t="n">
        <x:v>55</x:v>
      </x:c>
      <x:c r="P100" s="17" t="n">
        <x:v>50</x:v>
      </x:c>
      <x:c r="Q100" s="17" t="str">
        <x:v>Attack + Energy + Progress</x:v>
      </x:c>
      <x:c r="R100" s="18" t="str">
        <x:v>/Users/mac/Documents/智囊团/video_analysis/Top_Tycoon新号流程_20260804/frames/TT_NEW_06/TT_NEW_06_t000135.jpg</x:v>
      </x:c>
      <x:c r="S100" s="17" t="str">
        <x:v>00:02:39</x:v>
      </x:c>
      <x:c r="T100" s="17" t="str">
        <x:v>待复核</x:v>
      </x:c>
      <x:c r="U100" s="17" t="str">
        <x:v>B</x:v>
      </x:c>
      <x:c r="V100" s="17" t="str">
        <x:v>由逐秒能量变化推断；快速自动Spin可能需4fps补核</x:v>
      </x:c>
      <x:c r="W100" s="17" t="str">
        <x:v>Attack</x:v>
      </x:c>
      <x:c r="X100" s="17" t="str">
        <x:v>是</x:v>
      </x:c>
      <x:c r="Y100" s="17" t="str">
        <x:v>否</x:v>
      </x:c>
      <x:c r="Z100" s="17" t="str">
        <x:v>未知</x:v>
      </x:c>
      <x:c r="AA100" s="17" t="str">
        <x:v>未知</x:v>
      </x:c>
      <x:c r="AB100" s="17" t="str">
        <x:v>否</x:v>
      </x:c>
    </x:row>
    <x:row r="101">
      <x:c r="A101" s="17" t="str">
        <x:v>TT_NEW_06</x:v>
      </x:c>
      <x:c r="B101" s="17" t="str">
        <x:v>TT_NEW_06_S0009</x:v>
      </x:c>
      <x:c r="C101" s="17" t="str">
        <x:v>00:02:39</x:v>
      </x:c>
      <x:c r="D101" s="17" t="n">
        <x:v>159</x:v>
      </x:c>
      <x:c r="E101" s="17" t="n">
        <x:v>1</x:v>
      </x:c>
      <x:c r="F101" s="17" t="n">
        <x:v>5</x:v>
      </x:c>
      <x:c r="G101" s="17" t="n">
        <x:v>119</x:v>
      </x:c>
      <x:c r="H101" s="17" t="n">
        <x:v>114</x:v>
      </x:c>
      <x:c r="I101" s="17" t="n">
        <x:v>5</x:v>
      </x:c>
      <x:c r="J101" s="17" t="n">
        <x:v>0</x:v>
      </x:c>
      <x:c r="K101" s="17" t="n">
        <x:v>281902</x:v>
      </x:c>
      <x:c r="L101" s="17" t="n">
        <x:v>306902</x:v>
      </x:c>
      <x:c r="M101" s="17" t="n">
        <x:v>25000</x:v>
      </x:c>
      <x:c r="N101" s="17" t="n">
        <x:v>55</x:v>
      </x:c>
      <x:c r="O101" s="17" t="n">
        <x:v>55</x:v>
      </x:c>
      <x:c r="P101" s="17" t="n">
        <x:v>0</x:v>
      </x:c>
      <x:c r="Q101" s="17" t="str">
        <x:v>Attack</x:v>
      </x:c>
      <x:c r="R101" s="18" t="str">
        <x:v>/Users/mac/Documents/智囊团/video_analysis/Top_Tycoon新号流程_20260804/frames/TT_NEW_06/TT_NEW_06_t000159.jpg</x:v>
      </x:c>
      <x:c r="S101" s="17" t="str">
        <x:v>00:02:44</x:v>
      </x:c>
      <x:c r="T101" s="17" t="str">
        <x:v>待复核</x:v>
      </x:c>
      <x:c r="U101" s="17" t="str">
        <x:v>B</x:v>
      </x:c>
      <x:c r="V101" s="17" t="str">
        <x:v>由逐秒能量变化推断；快速自动Spin可能需4fps补核</x:v>
      </x:c>
      <x:c r="W101" s="17" t="str">
        <x:v>Attack</x:v>
      </x:c>
      <x:c r="X101" s="17" t="str">
        <x:v>是</x:v>
      </x:c>
      <x:c r="Y101" s="17" t="str">
        <x:v>否</x:v>
      </x:c>
      <x:c r="Z101" s="17" t="str">
        <x:v>未知</x:v>
      </x:c>
      <x:c r="AA101" s="17" t="str">
        <x:v>未知</x:v>
      </x:c>
      <x:c r="AB101" s="17" t="str">
        <x:v>否</x:v>
      </x:c>
    </x:row>
    <x:row r="102">
      <x:c r="A102" s="17" t="str">
        <x:v>TT_NEW_06</x:v>
      </x:c>
      <x:c r="B102" s="17" t="str">
        <x:v>TT_NEW_06_S0010</x:v>
      </x:c>
      <x:c r="C102" s="17" t="str">
        <x:v>00:02:44</x:v>
      </x:c>
      <x:c r="D102" s="17" t="n">
        <x:v>164</x:v>
      </x:c>
      <x:c r="E102" s="17" t="n">
        <x:v>1</x:v>
      </x:c>
      <x:c r="F102" s="17" t="n">
        <x:v>5</x:v>
      </x:c>
      <x:c r="G102" s="17" t="n">
        <x:v>109</x:v>
      </x:c>
      <x:c r="H102" s="17" t="n">
        <x:v>104</x:v>
      </x:c>
      <x:c r="I102" s="17" t="n">
        <x:v>5</x:v>
      </x:c>
      <x:c r="J102" s="17" t="n">
        <x:v>0</x:v>
      </x:c>
      <x:c r="K102" s="17" t="n">
        <x:v>306902</x:v>
      </x:c>
      <x:c r="L102" s="17" t="n">
        <x:v>311060</x:v>
      </x:c>
      <x:c r="M102" s="17" t="n">
        <x:v>4158</x:v>
      </x:c>
      <x:c r="N102" s="17" t="n">
        <x:v>55</x:v>
      </x:c>
      <x:c r="O102" s="17" t="n">
        <x:v>65</x:v>
      </x:c>
      <x:c r="P102" s="17" t="n">
        <x:v>10</x:v>
      </x:c>
      <x:c r="Q102" s="17" t="str">
        <x:v>Coin + Progress</x:v>
      </x:c>
      <x:c r="R102" s="18" t="str">
        <x:v>/Users/mac/Documents/智囊团/video_analysis/Top_Tycoon新号流程_20260804/frames/TT_NEW_06/TT_NEW_06_t000164.jpg</x:v>
      </x:c>
      <x:c r="S102" s="17" t="str">
        <x:v>00:02:48</x:v>
      </x:c>
      <x:c r="T102" s="17" t="str">
        <x:v>待复核</x:v>
      </x:c>
      <x:c r="U102" s="17" t="str">
        <x:v>B</x:v>
      </x:c>
      <x:c r="V102" s="17" t="str">
        <x:v>由逐秒能量变化推断；快速自动Spin可能需4fps补核</x:v>
      </x:c>
      <x:c r="W102" s="17" t="str">
        <x:v>混合奖励</x:v>
      </x:c>
      <x:c r="X102" s="17" t="str">
        <x:v>是</x:v>
      </x:c>
      <x:c r="Y102" s="17" t="str">
        <x:v>否</x:v>
      </x:c>
      <x:c r="Z102" s="17" t="str">
        <x:v>未知</x:v>
      </x:c>
      <x:c r="AA102" s="17" t="str">
        <x:v>未知</x:v>
      </x:c>
      <x:c r="AB102" s="17" t="str">
        <x:v>否</x:v>
      </x:c>
    </x:row>
    <x:row r="103">
      <x:c r="A103" s="17" t="str">
        <x:v>TT_NEW_06</x:v>
      </x:c>
      <x:c r="B103" s="17" t="str">
        <x:v>TT_NEW_06_S0011</x:v>
      </x:c>
      <x:c r="C103" s="17" t="str">
        <x:v>00:02:48</x:v>
      </x:c>
      <x:c r="D103" s="17" t="n">
        <x:v>168</x:v>
      </x:c>
      <x:c r="E103" s="17" t="n">
        <x:v>1</x:v>
      </x:c>
      <x:c r="F103" s="17" t="n">
        <x:v>5</x:v>
      </x:c>
      <x:c r="G103" s="17" t="n">
        <x:v>104</x:v>
      </x:c>
      <x:c r="H103" s="17" t="n">
        <x:v>99</x:v>
      </x:c>
      <x:c r="I103" s="17" t="n">
        <x:v>5</x:v>
      </x:c>
      <x:c r="J103" s="17" t="n">
        <x:v>0</x:v>
      </x:c>
      <x:c r="K103" s="17" t="n">
        <x:v>306902</x:v>
      </x:c>
      <x:c r="L103" s="17" t="n">
        <x:v>311902</x:v>
      </x:c>
      <x:c r="M103" s="17" t="n">
        <x:v>5000</x:v>
      </x:c>
      <x:c r="N103" s="17" t="n">
        <x:v>55</x:v>
      </x:c>
      <x:c r="O103" s="17" t="n">
        <x:v>65</x:v>
      </x:c>
      <x:c r="P103" s="17" t="n">
        <x:v>10</x:v>
      </x:c>
      <x:c r="Q103" s="17" t="str">
        <x:v>Coin + Progress</x:v>
      </x:c>
      <x:c r="R103" s="18" t="str">
        <x:v>/Users/mac/Documents/智囊团/video_analysis/Top_Tycoon新号流程_20260804/frames/TT_NEW_06/TT_NEW_06_t000168.jpg</x:v>
      </x:c>
      <x:c r="S103" s="17" t="str">
        <x:v>00:02:51</x:v>
      </x:c>
      <x:c r="T103" s="17" t="str">
        <x:v>待复核</x:v>
      </x:c>
      <x:c r="U103" s="17" t="str">
        <x:v>B</x:v>
      </x:c>
      <x:c r="V103" s="17" t="str">
        <x:v>由逐秒能量变化推断；快速自动Spin可能需4fps补核</x:v>
      </x:c>
      <x:c r="W103" s="17" t="str">
        <x:v>混合奖励</x:v>
      </x:c>
      <x:c r="X103" s="17" t="str">
        <x:v>是</x:v>
      </x:c>
      <x:c r="Y103" s="17" t="str">
        <x:v>否</x:v>
      </x:c>
      <x:c r="Z103" s="17" t="str">
        <x:v>未知</x:v>
      </x:c>
      <x:c r="AA103" s="17" t="str">
        <x:v>未知</x:v>
      </x:c>
      <x:c r="AB103" s="17" t="str">
        <x:v>否</x:v>
      </x:c>
    </x:row>
    <x:row r="104">
      <x:c r="A104" s="17" t="str">
        <x:v>TT_NEW_06</x:v>
      </x:c>
      <x:c r="B104" s="17" t="str">
        <x:v>TT_NEW_06_S0012</x:v>
      </x:c>
      <x:c r="C104" s="17" t="str">
        <x:v>00:02:51</x:v>
      </x:c>
      <x:c r="D104" s="17" t="n">
        <x:v>171</x:v>
      </x:c>
      <x:c r="E104" s="17" t="n">
        <x:v>1</x:v>
      </x:c>
      <x:c r="F104" s="17" t="n">
        <x:v>5</x:v>
      </x:c>
      <x:c r="G104" s="17" t="n">
        <x:v>99</x:v>
      </x:c>
      <x:c r="H104" s="17" t="n">
        <x:v>94</x:v>
      </x:c>
      <x:c r="I104" s="17" t="n">
        <x:v>5</x:v>
      </x:c>
      <x:c r="J104" s="17" t="n">
        <x:v>0</x:v>
      </x:c>
      <x:c r="K104" s="17" t="n">
        <x:v>311902</x:v>
      </x:c>
      <x:c r="L104" s="17" t="n">
        <x:v>311902</x:v>
      </x:c>
      <x:c r="M104" s="17" t="n">
        <x:v>0</x:v>
      </x:c>
      <x:c r="N104" s="17" t="n">
        <x:v>65</x:v>
      </x:c>
      <x:c r="O104" s="17" t="n">
        <x:v>75</x:v>
      </x:c>
      <x:c r="P104" s="17" t="n">
        <x:v>10</x:v>
      </x:c>
      <x:c r="Q104" s="17" t="str">
        <x:v>Progress</x:v>
      </x:c>
      <x:c r="R104" s="18" t="str">
        <x:v>/Users/mac/Documents/智囊团/video_analysis/Top_Tycoon新号流程_20260804/frames/TT_NEW_06/TT_NEW_06_t000171.jpg</x:v>
      </x:c>
      <x:c r="S104" s="17" t="str">
        <x:v>00:02:55</x:v>
      </x:c>
      <x:c r="T104" s="17" t="str">
        <x:v>待复核</x:v>
      </x:c>
      <x:c r="U104" s="17" t="str">
        <x:v>B</x:v>
      </x:c>
      <x:c r="V104" s="17" t="str">
        <x:v>由逐秒能量变化推断；快速自动Spin可能需4fps补核</x:v>
      </x:c>
      <x:c r="W104" s="17" t="str">
        <x:v>纯进度</x:v>
      </x:c>
      <x:c r="X104" s="17" t="str">
        <x:v>是</x:v>
      </x:c>
      <x:c r="Y104" s="17" t="str">
        <x:v>否</x:v>
      </x:c>
      <x:c r="Z104" s="17" t="str">
        <x:v>未知</x:v>
      </x:c>
      <x:c r="AA104" s="17" t="str">
        <x:v>未知</x:v>
      </x:c>
      <x:c r="AB104" s="17" t="str">
        <x:v>否</x:v>
      </x:c>
    </x:row>
    <x:row r="105">
      <x:c r="A105" s="17" t="str">
        <x:v>TT_NEW_06</x:v>
      </x:c>
      <x:c r="B105" s="17" t="str">
        <x:v>TT_NEW_06_S0013</x:v>
      </x:c>
      <x:c r="C105" s="17" t="str">
        <x:v>00:02:55</x:v>
      </x:c>
      <x:c r="D105" s="17" t="n">
        <x:v>175</x:v>
      </x:c>
      <x:c r="E105" s="17" t="n">
        <x:v>1</x:v>
      </x:c>
      <x:c r="F105" s="17" t="n">
        <x:v>5</x:v>
      </x:c>
      <x:c r="G105" s="17" t="n">
        <x:v>94</x:v>
      </x:c>
      <x:c r="H105" s="17" t="n">
        <x:v>89</x:v>
      </x:c>
      <x:c r="I105" s="17" t="n">
        <x:v>5</x:v>
      </x:c>
      <x:c r="J105" s="17" t="n">
        <x:v>0</x:v>
      </x:c>
      <x:c r="K105" s="17" t="n">
        <x:v>311902</x:v>
      </x:c>
      <x:c r="L105" s="17" t="n">
        <x:v>364402</x:v>
      </x:c>
      <x:c r="M105" s="17" t="n">
        <x:v>52500</x:v>
      </x:c>
      <x:c r="N105" s="17" t="n">
        <x:v>75</x:v>
      </x:c>
      <x:c r="O105" s="17" t="n">
        <x:v>75</x:v>
      </x:c>
      <x:c r="P105" s="17" t="n">
        <x:v>0</x:v>
      </x:c>
      <x:c r="Q105" s="17" t="str">
        <x:v>Coin</x:v>
      </x:c>
      <x:c r="R105" s="18" t="str">
        <x:v>/Users/mac/Documents/智囊团/video_analysis/Top_Tycoon新号流程_20260804/frames/TT_NEW_06/TT_NEW_06_t000175.jpg</x:v>
      </x:c>
      <x:c r="S105" s="17" t="str">
        <x:v>00:03:01</x:v>
      </x:c>
      <x:c r="T105" s="17" t="str">
        <x:v>待复核</x:v>
      </x:c>
      <x:c r="U105" s="17" t="str">
        <x:v>B</x:v>
      </x:c>
      <x:c r="V105" s="17" t="str">
        <x:v>由逐秒能量变化推断；快速自动Spin可能需4fps补核</x:v>
      </x:c>
      <x:c r="W105" s="17" t="str">
        <x:v>纯金币</x:v>
      </x:c>
      <x:c r="X105" s="17" t="str">
        <x:v>是</x:v>
      </x:c>
      <x:c r="Y105" s="17" t="str">
        <x:v>否</x:v>
      </x:c>
      <x:c r="Z105" s="17" t="str">
        <x:v>未知</x:v>
      </x:c>
      <x:c r="AA105" s="17" t="str">
        <x:v>未知</x:v>
      </x:c>
      <x:c r="AB105" s="17" t="str">
        <x:v>否</x:v>
      </x:c>
    </x:row>
    <x:row r="106">
      <x:c r="A106" s="17" t="str">
        <x:v>TT_NEW_06</x:v>
      </x:c>
      <x:c r="B106" s="17" t="str">
        <x:v>TT_NEW_06_S0014</x:v>
      </x:c>
      <x:c r="C106" s="17" t="str">
        <x:v>00:03:01</x:v>
      </x:c>
      <x:c r="D106" s="17" t="n">
        <x:v>181</x:v>
      </x:c>
      <x:c r="E106" s="17" t="n">
        <x:v>1</x:v>
      </x:c>
      <x:c r="F106" s="17" t="n">
        <x:v>5</x:v>
      </x:c>
      <x:c r="G106" s="17" t="n">
        <x:v>84</x:v>
      </x:c>
      <x:c r="H106" s="17" t="n">
        <x:v>79</x:v>
      </x:c>
      <x:c r="I106" s="17" t="n">
        <x:v>5</x:v>
      </x:c>
      <x:c r="J106" s="17" t="n">
        <x:v>0</x:v>
      </x:c>
      <x:c r="K106" s="17" t="n">
        <x:v>362234</x:v>
      </x:c>
      <x:c r="L106" s="17" t="n">
        <x:v>366902</x:v>
      </x:c>
      <x:c r="M106" s="17" t="n">
        <x:v>4668</x:v>
      </x:c>
      <x:c r="N106" s="17" t="n">
        <x:v>75</x:v>
      </x:c>
      <x:c r="O106" s="17" t="n">
        <x:v>95</x:v>
      </x:c>
      <x:c r="P106" s="17" t="n">
        <x:v>20</x:v>
      </x:c>
      <x:c r="Q106" s="17" t="str">
        <x:v>Coin + Progress</x:v>
      </x:c>
      <x:c r="R106" s="18" t="str">
        <x:v>/Users/mac/Documents/智囊团/video_analysis/Top_Tycoon新号流程_20260804/frames/TT_NEW_06/TT_NEW_06_t000181.jpg</x:v>
      </x:c>
      <x:c r="S106" s="17" t="str">
        <x:v>00:03:06</x:v>
      </x:c>
      <x:c r="T106" s="17" t="str">
        <x:v>待复核</x:v>
      </x:c>
      <x:c r="U106" s="17" t="str">
        <x:v>B</x:v>
      </x:c>
      <x:c r="V106" s="17" t="str">
        <x:v>由逐秒能量变化推断；快速自动Spin可能需4fps补核</x:v>
      </x:c>
      <x:c r="W106" s="17" t="str">
        <x:v>混合奖励</x:v>
      </x:c>
      <x:c r="X106" s="17" t="str">
        <x:v>是</x:v>
      </x:c>
      <x:c r="Y106" s="17" t="str">
        <x:v>否</x:v>
      </x:c>
      <x:c r="Z106" s="17" t="str">
        <x:v>未知</x:v>
      </x:c>
      <x:c r="AA106" s="17" t="str">
        <x:v>未知</x:v>
      </x:c>
      <x:c r="AB106" s="17" t="str">
        <x:v>否</x:v>
      </x:c>
    </x:row>
    <x:row r="107">
      <x:c r="A107" s="17" t="str">
        <x:v>TT_NEW_06</x:v>
      </x:c>
      <x:c r="B107" s="17" t="str">
        <x:v>TT_NEW_06_S0015</x:v>
      </x:c>
      <x:c r="C107" s="17" t="str">
        <x:v>00:03:06</x:v>
      </x:c>
      <x:c r="D107" s="17" t="n">
        <x:v>186</x:v>
      </x:c>
      <x:c r="E107" s="17" t="n">
        <x:v>1</x:v>
      </x:c>
      <x:c r="F107" s="17" t="n">
        <x:v>5</x:v>
      </x:c>
      <x:c r="G107" s="17" t="n">
        <x:v>79</x:v>
      </x:c>
      <x:c r="H107" s="17" t="n">
        <x:v>74</x:v>
      </x:c>
      <x:c r="I107" s="17" t="n">
        <x:v>5</x:v>
      </x:c>
      <x:c r="J107" s="17" t="n">
        <x:v>0</x:v>
      </x:c>
      <x:c r="K107" s="17" t="n">
        <x:v>365567</x:v>
      </x:c>
      <x:c r="L107" s="17" t="n">
        <x:v>367902</x:v>
      </x:c>
      <x:c r="M107" s="17" t="n">
        <x:v>2335</x:v>
      </x:c>
      <x:c r="N107" s="17" t="n">
        <x:v>95</x:v>
      </x:c>
      <x:c r="O107" s="17" t="n">
        <x:v>95</x:v>
      </x:c>
      <x:c r="P107" s="17" t="n">
        <x:v>0</x:v>
      </x:c>
      <x:c r="Q107" s="17" t="str">
        <x:v>Coin</x:v>
      </x:c>
      <x:c r="R107" s="18" t="str">
        <x:v>/Users/mac/Documents/智囊团/video_analysis/Top_Tycoon新号流程_20260804/frames/TT_NEW_06/TT_NEW_06_t000186.jpg</x:v>
      </x:c>
      <x:c r="S107" s="17" t="str">
        <x:v>00:03:09</x:v>
      </x:c>
      <x:c r="T107" s="17" t="str">
        <x:v>待复核</x:v>
      </x:c>
      <x:c r="U107" s="17" t="str">
        <x:v>B</x:v>
      </x:c>
      <x:c r="V107" s="17" t="str">
        <x:v>由逐秒能量变化推断；快速自动Spin可能需4fps补核</x:v>
      </x:c>
      <x:c r="W107" s="17" t="str">
        <x:v>纯金币</x:v>
      </x:c>
      <x:c r="X107" s="17" t="str">
        <x:v>是</x:v>
      </x:c>
      <x:c r="Y107" s="17" t="str">
        <x:v>否</x:v>
      </x:c>
      <x:c r="Z107" s="17" t="str">
        <x:v>未知</x:v>
      </x:c>
      <x:c r="AA107" s="17" t="str">
        <x:v>未知</x:v>
      </x:c>
      <x:c r="AB107" s="17" t="str">
        <x:v>否</x:v>
      </x:c>
    </x:row>
    <x:row r="108">
      <x:c r="A108" s="17" t="str">
        <x:v>TT_NEW_06</x:v>
      </x:c>
      <x:c r="B108" s="17" t="str">
        <x:v>TT_NEW_06_S0016</x:v>
      </x:c>
      <x:c r="C108" s="17" t="str">
        <x:v>00:03:09</x:v>
      </x:c>
      <x:c r="D108" s="17" t="n">
        <x:v>189</x:v>
      </x:c>
      <x:c r="E108" s="17" t="n">
        <x:v>1</x:v>
      </x:c>
      <x:c r="F108" s="17" t="n">
        <x:v>5</x:v>
      </x:c>
      <x:c r="G108" s="17" t="n">
        <x:v>74</x:v>
      </x:c>
      <x:c r="H108" s="17" t="n">
        <x:v>69</x:v>
      </x:c>
      <x:c r="I108" s="17" t="n">
        <x:v>5</x:v>
      </x:c>
      <x:c r="J108" s="17" t="n">
        <x:v>0</x:v>
      </x:c>
      <x:c r="K108" s="17" t="n">
        <x:v>367068</x:v>
      </x:c>
      <x:c r="L108" s="17" t="n">
        <x:v>419602</x:v>
      </x:c>
      <x:c r="M108" s="17" t="n">
        <x:v>52534</x:v>
      </x:c>
      <x:c r="N108" s="17" t="n">
        <x:v>95</x:v>
      </x:c>
      <x:c r="O108" s="17" t="n">
        <x:v>95</x:v>
      </x:c>
      <x:c r="P108" s="17" t="n">
        <x:v>0</x:v>
      </x:c>
      <x:c r="Q108" s="17" t="str">
        <x:v>Coin</x:v>
      </x:c>
      <x:c r="R108" s="18" t="str">
        <x:v>/Users/mac/Documents/智囊团/video_analysis/Top_Tycoon新号流程_20260804/frames/TT_NEW_06/TT_NEW_06_t000189.jpg</x:v>
      </x:c>
      <x:c r="S108" s="17" t="str">
        <x:v>00:03:15</x:v>
      </x:c>
      <x:c r="T108" s="17" t="str">
        <x:v>待复核</x:v>
      </x:c>
      <x:c r="U108" s="17" t="str">
        <x:v>B</x:v>
      </x:c>
      <x:c r="V108" s="17" t="str">
        <x:v>由逐秒能量变化推断；快速自动Spin可能需4fps补核</x:v>
      </x:c>
      <x:c r="W108" s="17" t="str">
        <x:v>纯金币</x:v>
      </x:c>
      <x:c r="X108" s="17" t="str">
        <x:v>是</x:v>
      </x:c>
      <x:c r="Y108" s="17" t="str">
        <x:v>否</x:v>
      </x:c>
      <x:c r="Z108" s="17" t="str">
        <x:v>未知</x:v>
      </x:c>
      <x:c r="AA108" s="17" t="str">
        <x:v>未知</x:v>
      </x:c>
      <x:c r="AB108" s="17" t="str">
        <x:v>否</x:v>
      </x:c>
    </x:row>
    <x:row r="109">
      <x:c r="A109" s="17" t="str">
        <x:v>TT_NEW_06</x:v>
      </x:c>
      <x:c r="B109" s="17" t="str">
        <x:v>TT_NEW_06_S0017</x:v>
      </x:c>
      <x:c r="C109" s="17" t="str">
        <x:v>00:03:15</x:v>
      </x:c>
      <x:c r="D109" s="17" t="n">
        <x:v>195</x:v>
      </x:c>
      <x:c r="E109" s="17" t="n">
        <x:v>1</x:v>
      </x:c>
      <x:c r="F109" s="17" t="n">
        <x:v>5</x:v>
      </x:c>
      <x:c r="G109" s="17" t="n">
        <x:v>69</x:v>
      </x:c>
      <x:c r="H109" s="17" t="n">
        <x:v>64</x:v>
      </x:c>
      <x:c r="I109" s="17" t="n">
        <x:v>5</x:v>
      </x:c>
      <x:c r="J109" s="17" t="n">
        <x:v>0</x:v>
      </x:c>
      <x:c r="K109" s="17" t="n">
        <x:v>419602</x:v>
      </x:c>
      <x:c r="L109" s="17" t="n">
        <x:v>430602</x:v>
      </x:c>
      <x:c r="M109" s="17" t="n">
        <x:v>11000</x:v>
      </x:c>
      <x:c r="N109" s="17" t="n">
        <x:v>95</x:v>
      </x:c>
      <x:c r="O109" s="17" t="n">
        <x:v>105</x:v>
      </x:c>
      <x:c r="P109" s="17" t="n">
        <x:v>10</x:v>
      </x:c>
      <x:c r="Q109" s="17" t="str">
        <x:v>Coin + Progress</x:v>
      </x:c>
      <x:c r="R109" s="18" t="str">
        <x:v>/Users/mac/Documents/智囊团/video_analysis/Top_Tycoon新号流程_20260804/frames/TT_NEW_06/TT_NEW_06_t000195.jpg</x:v>
      </x:c>
      <x:c r="S109" s="17" t="str">
        <x:v>00:03:24</x:v>
      </x:c>
      <x:c r="T109" s="17" t="str">
        <x:v>待复核</x:v>
      </x:c>
      <x:c r="U109" s="17" t="str">
        <x:v>B</x:v>
      </x:c>
      <x:c r="V109" s="17" t="str">
        <x:v>由逐秒能量变化推断；快速自动Spin可能需4fps补核</x:v>
      </x:c>
      <x:c r="W109" s="17" t="str">
        <x:v>混合奖励</x:v>
      </x:c>
      <x:c r="X109" s="17" t="str">
        <x:v>是</x:v>
      </x:c>
      <x:c r="Y109" s="17" t="str">
        <x:v>否</x:v>
      </x:c>
      <x:c r="Z109" s="17" t="str">
        <x:v>未知</x:v>
      </x:c>
      <x:c r="AA109" s="17" t="str">
        <x:v>未知</x:v>
      </x:c>
      <x:c r="AB109" s="17" t="str">
        <x:v>否</x:v>
      </x:c>
    </x:row>
    <x:row r="110">
      <x:c r="A110" s="17" t="str">
        <x:v>TT_NEW_06</x:v>
      </x:c>
      <x:c r="B110" s="17" t="str">
        <x:v>TT_NEW_06_S0018</x:v>
      </x:c>
      <x:c r="C110" s="17" t="str">
        <x:v>00:03:24</x:v>
      </x:c>
      <x:c r="D110" s="17" t="n">
        <x:v>204</x:v>
      </x:c>
      <x:c r="E110" s="17" t="n">
        <x:v>1</x:v>
      </x:c>
      <x:c r="F110" s="17" t="n">
        <x:v>5</x:v>
      </x:c>
      <x:c r="G110" s="17" t="n">
        <x:v>54</x:v>
      </x:c>
      <x:c r="H110" s="17" t="n">
        <x:v>49</x:v>
      </x:c>
      <x:c r="I110" s="17" t="n">
        <x:v>5</x:v>
      </x:c>
      <x:c r="J110" s="17" t="n">
        <x:v>0</x:v>
      </x:c>
      <x:c r="K110" s="17" t="n">
        <x:v>428102</x:v>
      </x:c>
      <x:c r="L110" s="17" t="n">
        <x:v>435602</x:v>
      </x:c>
      <x:c r="M110" s="17" t="n">
        <x:v>7500</x:v>
      </x:c>
      <x:c r="N110" s="17" t="n">
        <x:v>105</x:v>
      </x:c>
      <x:c r="O110" s="17" t="n">
        <x:v>105</x:v>
      </x:c>
      <x:c r="P110" s="17" t="n">
        <x:v>0</x:v>
      </x:c>
      <x:c r="Q110" s="17" t="str">
        <x:v>Coin</x:v>
      </x:c>
      <x:c r="R110" s="18" t="str">
        <x:v>/Users/mac/Documents/智囊团/video_analysis/Top_Tycoon新号流程_20260804/frames/TT_NEW_06/TT_NEW_06_t000204.jpg</x:v>
      </x:c>
      <x:c r="S110" s="17" t="str">
        <x:v>00:03:26</x:v>
      </x:c>
      <x:c r="T110" s="17" t="str">
        <x:v>待复核</x:v>
      </x:c>
      <x:c r="U110" s="17" t="str">
        <x:v>B</x:v>
      </x:c>
      <x:c r="V110" s="17" t="str">
        <x:v>由逐秒能量变化推断；快速自动Spin可能需4fps补核</x:v>
      </x:c>
      <x:c r="W110" s="17" t="str">
        <x:v>纯金币</x:v>
      </x:c>
      <x:c r="X110" s="17" t="str">
        <x:v>是</x:v>
      </x:c>
      <x:c r="Y110" s="17" t="str">
        <x:v>否</x:v>
      </x:c>
      <x:c r="Z110" s="17" t="str">
        <x:v>未知</x:v>
      </x:c>
      <x:c r="AA110" s="17" t="str">
        <x:v>未知</x:v>
      </x:c>
      <x:c r="AB110" s="17" t="str">
        <x:v>否</x:v>
      </x:c>
    </x:row>
    <x:row r="111">
      <x:c r="A111" s="17" t="str">
        <x:v>TT_NEW_06</x:v>
      </x:c>
      <x:c r="B111" s="17" t="str">
        <x:v>TT_NEW_06_S0019</x:v>
      </x:c>
      <x:c r="C111" s="17" t="str">
        <x:v>00:03:26</x:v>
      </x:c>
      <x:c r="D111" s="17" t="n">
        <x:v>206</x:v>
      </x:c>
      <x:c r="E111" s="17" t="n">
        <x:v>1</x:v>
      </x:c>
      <x:c r="F111" s="17" t="n">
        <x:v>5</x:v>
      </x:c>
      <x:c r="G111" s="17" t="n">
        <x:v>49</x:v>
      </x:c>
      <x:c r="H111" s="17" t="n">
        <x:v>44</x:v>
      </x:c>
      <x:c r="I111" s="17" t="n">
        <x:v>5</x:v>
      </x:c>
      <x:c r="J111" s="17" t="n">
        <x:v>0</x:v>
      </x:c>
      <x:c r="K111" s="17" t="n">
        <x:v>430602</x:v>
      </x:c>
      <x:c r="L111" s="17" t="n">
        <x:v>438102</x:v>
      </x:c>
      <x:c r="M111" s="17" t="n">
        <x:v>7500</x:v>
      </x:c>
      <x:c r="N111" s="17" t="n">
        <x:v>5</x:v>
      </x:c>
      <x:c r="O111" s="17" t="n">
        <x:v>105</x:v>
      </x:c>
      <x:c r="P111" s="17" t="n">
        <x:v>100</x:v>
      </x:c>
      <x:c r="Q111" s="17" t="str">
        <x:v>Coin + Progress</x:v>
      </x:c>
      <x:c r="R111" s="18" t="str">
        <x:v>/Users/mac/Documents/智囊团/video_analysis/Top_Tycoon新号流程_20260804/frames/TT_NEW_06/TT_NEW_06_t000206.jpg</x:v>
      </x:c>
      <x:c r="S111" s="17" t="str">
        <x:v>00:03:33</x:v>
      </x:c>
      <x:c r="T111" s="17" t="str">
        <x:v>待复核</x:v>
      </x:c>
      <x:c r="U111" s="17" t="str">
        <x:v>B</x:v>
      </x:c>
      <x:c r="V111" s="17" t="str">
        <x:v>由逐秒能量变化推断；快速自动Spin可能需4fps补核</x:v>
      </x:c>
      <x:c r="W111" s="17" t="str">
        <x:v>混合奖励</x:v>
      </x:c>
      <x:c r="X111" s="17" t="str">
        <x:v>是</x:v>
      </x:c>
      <x:c r="Y111" s="17" t="str">
        <x:v>否</x:v>
      </x:c>
      <x:c r="Z111" s="17" t="str">
        <x:v>未知</x:v>
      </x:c>
      <x:c r="AA111" s="17" t="str">
        <x:v>未知</x:v>
      </x:c>
      <x:c r="AB111" s="17" t="str">
        <x:v>否</x:v>
      </x:c>
    </x:row>
    <x:row r="112">
      <x:c r="A112" s="17" t="str">
        <x:v>TT_NEW_06</x:v>
      </x:c>
      <x:c r="B112" s="17" t="str">
        <x:v>TT_NEW_06_S0020</x:v>
      </x:c>
      <x:c r="C112" s="17" t="str">
        <x:v>00:03:33</x:v>
      </x:c>
      <x:c r="D112" s="17" t="n">
        <x:v>213</x:v>
      </x:c>
      <x:c r="E112" s="17" t="n">
        <x:v>1</x:v>
      </x:c>
      <x:c r="F112" s="17" t="n">
        <x:v>5</x:v>
      </x:c>
      <x:c r="G112" s="17" t="n">
        <x:v>44</x:v>
      </x:c>
      <x:c r="H112" s="17" t="n">
        <x:v>39</x:v>
      </x:c>
      <x:c r="I112" s="17" t="n">
        <x:v>5</x:v>
      </x:c>
      <x:c r="J112" s="17" t="n">
        <x:v>0</x:v>
      </x:c>
      <x:c r="K112" s="17" t="n">
        <x:v>438102</x:v>
      </x:c>
      <x:c r="L112" s="17" t="n">
        <x:v>463102</x:v>
      </x:c>
      <x:c r="M112" s="17" t="n">
        <x:v>25000</x:v>
      </x:c>
      <x:c r="N112" s="17" t="n">
        <x:v>105</x:v>
      </x:c>
      <x:c r="O112" s="17" t="n">
        <x:v>105</x:v>
      </x:c>
      <x:c r="P112" s="17" t="n">
        <x:v>0</x:v>
      </x:c>
      <x:c r="Q112" s="17" t="str">
        <x:v>Coin</x:v>
      </x:c>
      <x:c r="R112" s="18" t="str">
        <x:v>/Users/mac/Documents/智囊团/video_analysis/Top_Tycoon新号流程_20260804/frames/TT_NEW_06/TT_NEW_06_t000213.jpg</x:v>
      </x:c>
      <x:c r="S112" s="17" t="str">
        <x:v>00:03:36</x:v>
      </x:c>
      <x:c r="T112" s="17" t="str">
        <x:v>待复核</x:v>
      </x:c>
      <x:c r="U112" s="17" t="str">
        <x:v>B</x:v>
      </x:c>
      <x:c r="V112" s="17" t="str">
        <x:v>由逐秒能量变化推断；快速自动Spin可能需4fps补核</x:v>
      </x:c>
      <x:c r="W112" s="17" t="str">
        <x:v>纯金币</x:v>
      </x:c>
      <x:c r="X112" s="17" t="str">
        <x:v>是</x:v>
      </x:c>
      <x:c r="Y112" s="17" t="str">
        <x:v>否</x:v>
      </x:c>
      <x:c r="Z112" s="17" t="str">
        <x:v>未知</x:v>
      </x:c>
      <x:c r="AA112" s="17" t="str">
        <x:v>未知</x:v>
      </x:c>
      <x:c r="AB112" s="17" t="str">
        <x:v>否</x:v>
      </x:c>
    </x:row>
    <x:row r="113">
      <x:c r="A113" s="17" t="str">
        <x:v>TT_NEW_06</x:v>
      </x:c>
      <x:c r="B113" s="17" t="str">
        <x:v>TT_NEW_06_S0021</x:v>
      </x:c>
      <x:c r="C113" s="17" t="str">
        <x:v>00:03:36</x:v>
      </x:c>
      <x:c r="D113" s="17" t="n">
        <x:v>216</x:v>
      </x:c>
      <x:c r="E113" s="17" t="n">
        <x:v>1</x:v>
      </x:c>
      <x:c r="F113" s="17" t="n">
        <x:v>5</x:v>
      </x:c>
      <x:c r="G113" s="17" t="n">
        <x:v>39</x:v>
      </x:c>
      <x:c r="H113" s="17" t="n">
        <x:v>34</x:v>
      </x:c>
      <x:c r="I113" s="17" t="n">
        <x:v>5</x:v>
      </x:c>
      <x:c r="J113" s="17" t="n">
        <x:v>0</x:v>
      </x:c>
      <x:c r="K113" s="17" t="n">
        <x:v>447250</x:v>
      </x:c>
      <x:c r="L113" s="17" t="n">
        <x:v>465602</x:v>
      </x:c>
      <x:c r="M113" s="17" t="n">
        <x:v>18352</x:v>
      </x:c>
      <x:c r="N113" s="17" t="n">
        <x:v>105</x:v>
      </x:c>
      <x:c r="O113" s="17" t="n">
        <x:v>125</x:v>
      </x:c>
      <x:c r="P113" s="17" t="n">
        <x:v>20</x:v>
      </x:c>
      <x:c r="Q113" s="17" t="str">
        <x:v>Coin + Progress</x:v>
      </x:c>
      <x:c r="R113" s="18" t="str">
        <x:v>/Users/mac/Documents/智囊团/video_analysis/Top_Tycoon新号流程_20260804/frames/TT_NEW_06/TT_NEW_06_t000216.jpg</x:v>
      </x:c>
      <x:c r="S113" s="17" t="str">
        <x:v>00:03:41</x:v>
      </x:c>
      <x:c r="T113" s="17" t="str">
        <x:v>待复核</x:v>
      </x:c>
      <x:c r="U113" s="17" t="str">
        <x:v>B</x:v>
      </x:c>
      <x:c r="V113" s="17" t="str">
        <x:v>由逐秒能量变化推断；快速自动Spin可能需4fps补核</x:v>
      </x:c>
      <x:c r="W113" s="17" t="str">
        <x:v>混合奖励</x:v>
      </x:c>
      <x:c r="X113" s="17" t="str">
        <x:v>是</x:v>
      </x:c>
      <x:c r="Y113" s="17" t="str">
        <x:v>否</x:v>
      </x:c>
      <x:c r="Z113" s="17" t="str">
        <x:v>未知</x:v>
      </x:c>
      <x:c r="AA113" s="17" t="str">
        <x:v>未知</x:v>
      </x:c>
      <x:c r="AB113" s="17" t="str">
        <x:v>否</x:v>
      </x:c>
    </x:row>
    <x:row r="114">
      <x:c r="A114" s="17" t="str">
        <x:v>TT_NEW_06</x:v>
      </x:c>
      <x:c r="B114" s="17" t="str">
        <x:v>TT_NEW_06_S0022</x:v>
      </x:c>
      <x:c r="C114" s="17" t="str">
        <x:v>00:03:41</x:v>
      </x:c>
      <x:c r="D114" s="17" t="n">
        <x:v>221</x:v>
      </x:c>
      <x:c r="E114" s="17" t="n">
        <x:v>1</x:v>
      </x:c>
      <x:c r="F114" s="17" t="n">
        <x:v>5</x:v>
      </x:c>
      <x:c r="G114" s="17" t="n">
        <x:v>34</x:v>
      </x:c>
      <x:c r="H114" s="17" t="n">
        <x:v>29</x:v>
      </x:c>
      <x:c r="I114" s="17" t="n">
        <x:v>5</x:v>
      </x:c>
      <x:c r="J114" s="17" t="n">
        <x:v>0</x:v>
      </x:c>
      <x:c r="K114" s="17" t="n">
        <x:v>465015</x:v>
      </x:c>
      <x:c r="L114" s="17" t="n">
        <x:v>465602</x:v>
      </x:c>
      <x:c r="M114" s="17" t="n">
        <x:v>587</x:v>
      </x:c>
      <x:c r="N114" s="17" t="n">
        <x:v>125</x:v>
      </x:c>
      <x:c r="O114" s="17" t="n">
        <x:v>125</x:v>
      </x:c>
      <x:c r="P114" s="17" t="n">
        <x:v>0</x:v>
      </x:c>
      <x:c r="Q114" s="17" t="str">
        <x:v>Coin</x:v>
      </x:c>
      <x:c r="R114" s="18" t="str">
        <x:v>/Users/mac/Documents/智囊团/video_analysis/Top_Tycoon新号流程_20260804/frames/TT_NEW_06/TT_NEW_06_t000221.jpg</x:v>
      </x:c>
      <x:c r="S114" s="17" t="str">
        <x:v>00:03:43</x:v>
      </x:c>
      <x:c r="T114" s="17" t="str">
        <x:v>待复核</x:v>
      </x:c>
      <x:c r="U114" s="17" t="str">
        <x:v>B</x:v>
      </x:c>
      <x:c r="V114" s="17" t="str">
        <x:v>由逐秒能量变化推断；快速自动Spin可能需4fps补核</x:v>
      </x:c>
      <x:c r="W114" s="17" t="str">
        <x:v>纯金币</x:v>
      </x:c>
      <x:c r="X114" s="17" t="str">
        <x:v>是</x:v>
      </x:c>
      <x:c r="Y114" s="17" t="str">
        <x:v>否</x:v>
      </x:c>
      <x:c r="Z114" s="17" t="str">
        <x:v>未知</x:v>
      </x:c>
      <x:c r="AA114" s="17" t="str">
        <x:v>未知</x:v>
      </x:c>
      <x:c r="AB114" s="17" t="str">
        <x:v>否</x:v>
      </x:c>
    </x:row>
    <x:row r="115">
      <x:c r="A115" s="17" t="str">
        <x:v>TT_NEW_06</x:v>
      </x:c>
      <x:c r="B115" s="17" t="str">
        <x:v>TT_NEW_06_S0023</x:v>
      </x:c>
      <x:c r="C115" s="17" t="str">
        <x:v>00:03:43</x:v>
      </x:c>
      <x:c r="D115" s="17" t="n">
        <x:v>223</x:v>
      </x:c>
      <x:c r="E115" s="17" t="n">
        <x:v>1</x:v>
      </x:c>
      <x:c r="F115" s="17" t="n">
        <x:v>5</x:v>
      </x:c>
      <x:c r="G115" s="17" t="n">
        <x:v>29</x:v>
      </x:c>
      <x:c r="H115" s="17" t="n">
        <x:v>24</x:v>
      </x:c>
      <x:c r="I115" s="17" t="n">
        <x:v>5</x:v>
      </x:c>
      <x:c r="J115" s="17" t="n">
        <x:v>0</x:v>
      </x:c>
      <x:c r="K115" s="17" t="n">
        <x:v>465602</x:v>
      </x:c>
      <x:c r="L115" s="17" t="n">
        <x:v>465602</x:v>
      </x:c>
      <x:c r="M115" s="17" t="n">
        <x:v>0</x:v>
      </x:c>
      <x:c r="N115" s="17" t="n">
        <x:v>125</x:v>
      </x:c>
      <x:c r="O115" s="17" t="n">
        <x:v>135</x:v>
      </x:c>
      <x:c r="P115" s="17" t="n">
        <x:v>10</x:v>
      </x:c>
      <x:c r="Q115" s="17" t="str">
        <x:v>Progress</x:v>
      </x:c>
      <x:c r="R115" s="18" t="str">
        <x:v>/Users/mac/Documents/智囊团/video_analysis/Top_Tycoon新号流程_20260804/frames/TT_NEW_06/TT_NEW_06_t000223.jpg</x:v>
      </x:c>
      <x:c r="S115" s="17" t="str">
        <x:v>00:03:47</x:v>
      </x:c>
      <x:c r="T115" s="17" t="str">
        <x:v>待复核</x:v>
      </x:c>
      <x:c r="U115" s="17" t="str">
        <x:v>B</x:v>
      </x:c>
      <x:c r="V115" s="17" t="str">
        <x:v>由逐秒能量变化推断；快速自动Spin可能需4fps补核</x:v>
      </x:c>
      <x:c r="W115" s="17" t="str">
        <x:v>纯进度</x:v>
      </x:c>
      <x:c r="X115" s="17" t="str">
        <x:v>是</x:v>
      </x:c>
      <x:c r="Y115" s="17" t="str">
        <x:v>否</x:v>
      </x:c>
      <x:c r="Z115" s="17" t="str">
        <x:v>未知</x:v>
      </x:c>
      <x:c r="AA115" s="17" t="str">
        <x:v>未知</x:v>
      </x:c>
      <x:c r="AB115" s="17" t="str">
        <x:v>否</x:v>
      </x:c>
    </x:row>
    <x:row r="116">
      <x:c r="A116" s="17" t="str">
        <x:v>TT_NEW_06</x:v>
      </x:c>
      <x:c r="B116" s="17" t="str">
        <x:v>TT_NEW_06_S0024</x:v>
      </x:c>
      <x:c r="C116" s="17" t="str">
        <x:v>00:03:47</x:v>
      </x:c>
      <x:c r="D116" s="17" t="n">
        <x:v>227</x:v>
      </x:c>
      <x:c r="E116" s="17" t="n">
        <x:v>1</x:v>
      </x:c>
      <x:c r="F116" s="17" t="n">
        <x:v>5</x:v>
      </x:c>
      <x:c r="G116" s="17" t="n">
        <x:v>24</x:v>
      </x:c>
      <x:c r="H116" s="17" t="n">
        <x:v>19</x:v>
      </x:c>
      <x:c r="I116" s="17" t="n">
        <x:v>5</x:v>
      </x:c>
      <x:c r="J116" s="17" t="n">
        <x:v>0</x:v>
      </x:c>
      <x:c r="K116" s="17" t="n">
        <x:v>465602</x:v>
      </x:c>
      <x:c r="L116" s="17" t="n">
        <x:v>515602</x:v>
      </x:c>
      <x:c r="M116" s="17" t="n">
        <x:v>50000</x:v>
      </x:c>
      <x:c r="N116" s="17" t="n">
        <x:v>135</x:v>
      </x:c>
      <x:c r="O116" s="17" t="n">
        <x:v>135</x:v>
      </x:c>
      <x:c r="P116" s="17" t="n">
        <x:v>0</x:v>
      </x:c>
      <x:c r="Q116" s="17" t="str">
        <x:v>Coin</x:v>
      </x:c>
      <x:c r="R116" s="18" t="str">
        <x:v>/Users/mac/Documents/智囊团/video_analysis/Top_Tycoon新号流程_20260804/frames/TT_NEW_06/TT_NEW_06_t000227.jpg</x:v>
      </x:c>
      <x:c r="S116" s="17" t="str">
        <x:v>00:03:51</x:v>
      </x:c>
      <x:c r="T116" s="17" t="str">
        <x:v>待复核</x:v>
      </x:c>
      <x:c r="U116" s="17" t="str">
        <x:v>B</x:v>
      </x:c>
      <x:c r="V116" s="17" t="str">
        <x:v>由逐秒能量变化推断；快速自动Spin可能需4fps补核</x:v>
      </x:c>
      <x:c r="W116" s="17" t="str">
        <x:v>纯金币</x:v>
      </x:c>
      <x:c r="X116" s="17" t="str">
        <x:v>是</x:v>
      </x:c>
      <x:c r="Y116" s="17" t="str">
        <x:v>否</x:v>
      </x:c>
      <x:c r="Z116" s="17" t="str">
        <x:v>未知</x:v>
      </x:c>
      <x:c r="AA116" s="17" t="str">
        <x:v>未知</x:v>
      </x:c>
      <x:c r="AB116" s="17" t="str">
        <x:v>否</x:v>
      </x:c>
    </x:row>
    <x:row r="117">
      <x:c r="A117" s="17" t="str">
        <x:v>TT_NEW_06</x:v>
      </x:c>
      <x:c r="B117" s="17" t="str">
        <x:v>TT_NEW_06_S0025</x:v>
      </x:c>
      <x:c r="C117" s="17" t="str">
        <x:v>00:03:51</x:v>
      </x:c>
      <x:c r="D117" s="17" t="n">
        <x:v>231</x:v>
      </x:c>
      <x:c r="E117" s="17" t="n">
        <x:v>1</x:v>
      </x:c>
      <x:c r="F117" s="17" t="n">
        <x:v>5</x:v>
      </x:c>
      <x:c r="G117" s="17" t="n">
        <x:v>19</x:v>
      </x:c>
      <x:c r="H117" s="17" t="n">
        <x:v>14</x:v>
      </x:c>
      <x:c r="I117" s="17" t="n">
        <x:v>5</x:v>
      </x:c>
      <x:c r="J117" s="17" t="n">
        <x:v>0</x:v>
      </x:c>
      <x:c r="K117" s="17" t="n">
        <x:v>515523</x:v>
      </x:c>
      <x:c r="L117" s="17" t="n">
        <x:v>518102</x:v>
      </x:c>
      <x:c r="M117" s="17" t="n">
        <x:v>2579</x:v>
      </x:c>
      <x:c r="N117" s="17" t="n">
        <x:v>135</x:v>
      </x:c>
      <x:c r="O117" s="17" t="n">
        <x:v>135</x:v>
      </x:c>
      <x:c r="P117" s="17" t="n">
        <x:v>0</x:v>
      </x:c>
      <x:c r="Q117" s="17" t="str">
        <x:v>Coin</x:v>
      </x:c>
      <x:c r="R117" s="18" t="str">
        <x:v>/Users/mac/Documents/智囊团/video_analysis/Top_Tycoon新号流程_20260804/frames/TT_NEW_06/TT_NEW_06_t000231.jpg</x:v>
      </x:c>
      <x:c r="S117" s="17" t="str">
        <x:v>00:03:53</x:v>
      </x:c>
      <x:c r="T117" s="17" t="str">
        <x:v>待复核</x:v>
      </x:c>
      <x:c r="U117" s="17" t="str">
        <x:v>B</x:v>
      </x:c>
      <x:c r="V117" s="17" t="str">
        <x:v>由逐秒能量变化推断；快速自动Spin可能需4fps补核</x:v>
      </x:c>
      <x:c r="W117" s="17" t="str">
        <x:v>纯金币</x:v>
      </x:c>
      <x:c r="X117" s="17" t="str">
        <x:v>是</x:v>
      </x:c>
      <x:c r="Y117" s="17" t="str">
        <x:v>否</x:v>
      </x:c>
      <x:c r="Z117" s="17" t="str">
        <x:v>未知</x:v>
      </x:c>
      <x:c r="AA117" s="17" t="str">
        <x:v>未知</x:v>
      </x:c>
      <x:c r="AB117" s="17" t="str">
        <x:v>否</x:v>
      </x:c>
    </x:row>
    <x:row r="118">
      <x:c r="A118" s="17" t="str">
        <x:v>TT_NEW_06</x:v>
      </x:c>
      <x:c r="B118" s="17" t="str">
        <x:v>TT_NEW_06_S0026</x:v>
      </x:c>
      <x:c r="C118" s="17" t="str">
        <x:v>00:03:53</x:v>
      </x:c>
      <x:c r="D118" s="17" t="n">
        <x:v>233</x:v>
      </x:c>
      <x:c r="E118" s="17" t="n">
        <x:v>1</x:v>
      </x:c>
      <x:c r="F118" s="17" t="n">
        <x:v>5</x:v>
      </x:c>
      <x:c r="G118" s="17" t="n">
        <x:v>14</x:v>
      </x:c>
      <x:c r="H118" s="17" t="n">
        <x:v>9</x:v>
      </x:c>
      <x:c r="I118" s="17" t="n">
        <x:v>5</x:v>
      </x:c>
      <x:c r="J118" s="17" t="n">
        <x:v>0</x:v>
      </x:c>
      <x:c r="K118" s="17" t="n">
        <x:v>515602</x:v>
      </x:c>
      <x:c r="L118" s="17" t="n">
        <x:v>520602</x:v>
      </x:c>
      <x:c r="M118" s="17" t="n">
        <x:v>5000</x:v>
      </x:c>
      <x:c r="N118" s="17" t="n">
        <x:v>135</x:v>
      </x:c>
      <x:c r="O118" s="17" t="n">
        <x:v>155</x:v>
      </x:c>
      <x:c r="P118" s="17" t="n">
        <x:v>20</x:v>
      </x:c>
      <x:c r="Q118" s="17" t="str">
        <x:v>Coin + Progress</x:v>
      </x:c>
      <x:c r="R118" s="18" t="str">
        <x:v>/Users/mac/Documents/智囊团/video_analysis/Top_Tycoon新号流程_20260804/frames/TT_NEW_06/TT_NEW_06_t000233.jpg</x:v>
      </x:c>
      <x:c r="S118" s="17" t="str">
        <x:v>00:03:58</x:v>
      </x:c>
      <x:c r="T118" s="17" t="str">
        <x:v>待复核</x:v>
      </x:c>
      <x:c r="U118" s="17" t="str">
        <x:v>B</x:v>
      </x:c>
      <x:c r="V118" s="17" t="str">
        <x:v>由逐秒能量变化推断；快速自动Spin可能需4fps补核</x:v>
      </x:c>
      <x:c r="W118" s="17" t="str">
        <x:v>混合奖励</x:v>
      </x:c>
      <x:c r="X118" s="17" t="str">
        <x:v>是</x:v>
      </x:c>
      <x:c r="Y118" s="17" t="str">
        <x:v>否</x:v>
      </x:c>
      <x:c r="Z118" s="17" t="str">
        <x:v>未知</x:v>
      </x:c>
      <x:c r="AA118" s="17" t="str">
        <x:v>未知</x:v>
      </x:c>
      <x:c r="AB118" s="17" t="str">
        <x:v>是</x:v>
      </x:c>
    </x:row>
    <x:row r="119">
      <x:c r="A119" s="17" t="str">
        <x:v>TT_NEW_06</x:v>
      </x:c>
      <x:c r="B119" s="17" t="str">
        <x:v>TT_NEW_06_S0027</x:v>
      </x:c>
      <x:c r="C119" s="17" t="str">
        <x:v>00:03:58</x:v>
      </x:c>
      <x:c r="D119" s="17" t="n">
        <x:v>238</x:v>
      </x:c>
      <x:c r="E119" s="17" t="n">
        <x:v>1</x:v>
      </x:c>
      <x:c r="F119" s="17" t="n">
        <x:v>5</x:v>
      </x:c>
      <x:c r="G119" s="17" t="n">
        <x:v>9</x:v>
      </x:c>
      <x:c r="H119" s="17" t="n">
        <x:v>4</x:v>
      </x:c>
      <x:c r="I119" s="17" t="n">
        <x:v>5</x:v>
      </x:c>
      <x:c r="J119" s="17" t="n">
        <x:v>7</x:v>
      </x:c>
      <x:c r="K119" s="17" t="n">
        <x:v>519017</x:v>
      </x:c>
      <x:c r="L119" s="17" t="n">
        <x:v>537502</x:v>
      </x:c>
      <x:c r="M119" s="17" t="n">
        <x:v>18485</x:v>
      </x:c>
      <x:c r="N119" s="17" t="n">
        <x:v>155</x:v>
      </x:c>
      <x:c r="O119" s="17" t="n">
        <x:v>155</x:v>
      </x:c>
      <x:c r="P119" s="17" t="n">
        <x:v>0</x:v>
      </x:c>
      <x:c r="Q119" s="17" t="str">
        <x:v>Attack + Energy</x:v>
      </x:c>
      <x:c r="R119" s="18" t="str">
        <x:v>/Users/mac/Documents/智囊团/video_analysis/Top_Tycoon新号流程_20260804/frames/TT_NEW_06/TT_NEW_06_t000238.jpg</x:v>
      </x:c>
      <x:c r="S119" s="17" t="str">
        <x:v>00:04:38</x:v>
      </x:c>
      <x:c r="T119" s="17" t="str">
        <x:v>待复核</x:v>
      </x:c>
      <x:c r="U119" s="17" t="str">
        <x:v>B</x:v>
      </x:c>
      <x:c r="V119" s="17" t="str">
        <x:v>由逐秒能量变化推断；快速自动Spin可能需4fps补核</x:v>
      </x:c>
      <x:c r="W119" s="17" t="str">
        <x:v>Attack</x:v>
      </x:c>
      <x:c r="X119" s="17" t="str">
        <x:v>是</x:v>
      </x:c>
      <x:c r="Y119" s="17" t="str">
        <x:v>否</x:v>
      </x:c>
      <x:c r="Z119" s="17" t="str">
        <x:v>未知</x:v>
      </x:c>
      <x:c r="AA119" s="17" t="str">
        <x:v>未知</x:v>
      </x:c>
      <x:c r="AB119" s="17" t="str">
        <x:v>是</x:v>
      </x:c>
    </x:row>
    <x:row r="120">
      <x:c r="A120" s="17" t="str">
        <x:v>TT_NEW_06</x:v>
      </x:c>
      <x:c r="B120" s="17" t="str">
        <x:v>TT_NEW_06_S0028</x:v>
      </x:c>
      <x:c r="C120" s="17" t="str">
        <x:v>00:04:38</x:v>
      </x:c>
      <x:c r="D120" s="17" t="n">
        <x:v>278</x:v>
      </x:c>
      <x:c r="E120" s="17" t="n">
        <x:v>1</x:v>
      </x:c>
      <x:c r="F120" s="17" t="n">
        <x:v>5</x:v>
      </x:c>
      <x:c r="G120" s="17" t="n">
        <x:v>11</x:v>
      </x:c>
      <x:c r="H120" s="17" t="n">
        <x:v>6</x:v>
      </x:c>
      <x:c r="I120" s="17" t="n">
        <x:v>5</x:v>
      </x:c>
      <x:c r="J120" s="17" t="n">
        <x:v>0</x:v>
      </x:c>
      <x:c r="K120" s="17" t="n">
        <x:v>537502</x:v>
      </x:c>
      <x:c r="L120" s="17" t="n">
        <x:v>562502</x:v>
      </x:c>
      <x:c r="M120" s="17" t="n">
        <x:v>25000</x:v>
      </x:c>
      <x:c r="N120" s="17" t="n">
        <x:v>155</x:v>
      </x:c>
      <x:c r="O120" s="17" t="n">
        <x:v>155</x:v>
      </x:c>
      <x:c r="P120" s="17" t="n">
        <x:v>0</x:v>
      </x:c>
      <x:c r="Q120" s="17" t="str">
        <x:v>Attack</x:v>
      </x:c>
      <x:c r="R120" s="18" t="str">
        <x:v>/Users/mac/Documents/智囊团/video_analysis/Top_Tycoon新号流程_20260804/frames/TT_NEW_06/TT_NEW_06_t000278.jpg</x:v>
      </x:c>
      <x:c r="S120" s="17" t="str">
        <x:v>00:04:41</x:v>
      </x:c>
      <x:c r="T120" s="17" t="str">
        <x:v>待复核</x:v>
      </x:c>
      <x:c r="U120" s="17" t="str">
        <x:v>B</x:v>
      </x:c>
      <x:c r="V120" s="17" t="str">
        <x:v>由逐秒能量变化推断；快速自动Spin可能需4fps补核</x:v>
      </x:c>
      <x:c r="W120" s="17" t="str">
        <x:v>Attack</x:v>
      </x:c>
      <x:c r="X120" s="17" t="str">
        <x:v>是</x:v>
      </x:c>
      <x:c r="Y120" s="17" t="str">
        <x:v>否</x:v>
      </x:c>
      <x:c r="Z120" s="17" t="str">
        <x:v>未知</x:v>
      </x:c>
      <x:c r="AA120" s="17" t="str">
        <x:v>未知</x:v>
      </x:c>
      <x:c r="AB120" s="17" t="str">
        <x:v>是</x:v>
      </x:c>
    </x:row>
    <x:row r="121">
      <x:c r="A121" s="17" t="str">
        <x:v>TT_NEW_06</x:v>
      </x:c>
      <x:c r="B121" s="17" t="str">
        <x:v>TT_NEW_06_S0029</x:v>
      </x:c>
      <x:c r="C121" s="17" t="str">
        <x:v>00:04:41</x:v>
      </x:c>
      <x:c r="D121" s="17" t="n">
        <x:v>281</x:v>
      </x:c>
      <x:c r="E121" s="17" t="n">
        <x:v>1</x:v>
      </x:c>
      <x:c r="F121" s="17" t="n">
        <x:v>5</x:v>
      </x:c>
      <x:c r="G121" s="17" t="n">
        <x:v>6</x:v>
      </x:c>
      <x:c r="H121" s="17" t="n">
        <x:v>1</x:v>
      </x:c>
      <x:c r="I121" s="17" t="n">
        <x:v>5</x:v>
      </x:c>
      <x:c r="J121" s="17" t="n">
        <x:v>12</x:v>
      </x:c>
      <x:c r="K121" s="17" t="n">
        <x:v>552481</x:v>
      </x:c>
      <x:c r="L121" s="17" t="n">
        <x:v>56154</x:v>
      </x:c>
      <x:c r="M121" s="17"/>
      <x:c r="N121" s="17" t="n">
        <x:v>153</x:v>
      </x:c>
      <x:c r="O121" s="17" t="n">
        <x:v>155</x:v>
      </x:c>
      <x:c r="P121" s="17" t="n">
        <x:v>2</x:v>
      </x:c>
      <x:c r="Q121" s="17" t="str">
        <x:v>Energy + Progress</x:v>
      </x:c>
      <x:c r="R121" s="18" t="str">
        <x:v>/Users/mac/Documents/智囊团/video_analysis/Top_Tycoon新号流程_20260804/frames/TT_NEW_06/TT_NEW_06_t000281.jpg</x:v>
      </x:c>
      <x:c r="S121" s="17" t="str">
        <x:v>00:05:37</x:v>
      </x:c>
      <x:c r="T121" s="17" t="str">
        <x:v>待复核</x:v>
      </x:c>
      <x:c r="U121" s="17" t="str">
        <x:v>C</x:v>
      </x:c>
      <x:c r="V121" s="17" t="str">
        <x:v>由逐秒能量变化推断；快速自动Spin可能需4fps补核</x:v>
      </x:c>
      <x:c r="W121" s="17" t="str">
        <x:v>混合奖励</x:v>
      </x:c>
      <x:c r="X121" s="17" t="str">
        <x:v>否</x:v>
      </x:c>
      <x:c r="Y121" s="17" t="str">
        <x:v>否</x:v>
      </x:c>
      <x:c r="Z121" s="17" t="str">
        <x:v>未知</x:v>
      </x:c>
      <x:c r="AA121" s="17" t="str">
        <x:v>未知</x:v>
      </x:c>
      <x:c r="AB121" s="17" t="str">
        <x:v>是</x:v>
      </x:c>
    </x:row>
    <x:row r="122">
      <x:c r="A122" s="17" t="str">
        <x:v>TT_NEW_06</x:v>
      </x:c>
      <x:c r="B122" s="17" t="str">
        <x:v>TT_NEW_06_S0030</x:v>
      </x:c>
      <x:c r="C122" s="17" t="str">
        <x:v>00:05:37</x:v>
      </x:c>
      <x:c r="D122" s="17" t="n">
        <x:v>337</x:v>
      </x:c>
      <x:c r="E122" s="17" t="n">
        <x:v>1</x:v>
      </x:c>
      <x:c r="F122" s="17" t="n">
        <x:v>5</x:v>
      </x:c>
      <x:c r="G122" s="17" t="n">
        <x:v>13</x:v>
      </x:c>
      <x:c r="H122" s="17" t="n">
        <x:v>8</x:v>
      </x:c>
      <x:c r="I122" s="17" t="n">
        <x:v>5</x:v>
      </x:c>
      <x:c r="J122" s="17" t="n">
        <x:v>0</x:v>
      </x:c>
      <x:c r="K122" s="17" t="n">
        <x:v>56154</x:v>
      </x:c>
      <x:c r="L122" s="17" t="n">
        <x:v>56654</x:v>
      </x:c>
      <x:c r="M122" s="17" t="n">
        <x:v>500</x:v>
      </x:c>
      <x:c r="N122" s="17" t="n">
        <x:v>155</x:v>
      </x:c>
      <x:c r="O122" s="17" t="n">
        <x:v>155</x:v>
      </x:c>
      <x:c r="P122" s="17" t="n">
        <x:v>0</x:v>
      </x:c>
      <x:c r="Q122" s="17" t="str">
        <x:v>Coin</x:v>
      </x:c>
      <x:c r="R122" s="18" t="str">
        <x:v>/Users/mac/Documents/智囊团/video_analysis/Top_Tycoon新号流程_20260804/frames/TT_NEW_06/TT_NEW_06_t000337.jpg</x:v>
      </x:c>
      <x:c r="S122" s="17" t="str">
        <x:v>00:05:40</x:v>
      </x:c>
      <x:c r="T122" s="17" t="str">
        <x:v>待复核</x:v>
      </x:c>
      <x:c r="U122" s="17" t="str">
        <x:v>B</x:v>
      </x:c>
      <x:c r="V122" s="17" t="str">
        <x:v>由逐秒能量变化推断；快速自动Spin可能需4fps补核</x:v>
      </x:c>
      <x:c r="W122" s="17" t="str">
        <x:v>纯金币</x:v>
      </x:c>
      <x:c r="X122" s="17" t="str">
        <x:v>是</x:v>
      </x:c>
      <x:c r="Y122" s="17" t="str">
        <x:v>否</x:v>
      </x:c>
      <x:c r="Z122" s="17" t="str">
        <x:v>未知</x:v>
      </x:c>
      <x:c r="AA122" s="17" t="str">
        <x:v>未知</x:v>
      </x:c>
      <x:c r="AB122" s="17" t="str">
        <x:v>是</x:v>
      </x:c>
    </x:row>
    <x:row r="123">
      <x:c r="A123" s="17" t="str">
        <x:v>TT_NEW_06</x:v>
      </x:c>
      <x:c r="B123" s="17" t="str">
        <x:v>TT_NEW_06_S0031</x:v>
      </x:c>
      <x:c r="C123" s="17" t="str">
        <x:v>00:05:40</x:v>
      </x:c>
      <x:c r="D123" s="17" t="n">
        <x:v>340</x:v>
      </x:c>
      <x:c r="E123" s="17" t="n">
        <x:v>1</x:v>
      </x:c>
      <x:c r="F123" s="17" t="n">
        <x:v>5</x:v>
      </x:c>
      <x:c r="G123" s="17" t="n">
        <x:v>8</x:v>
      </x:c>
      <x:c r="H123" s="17" t="n">
        <x:v>3</x:v>
      </x:c>
      <x:c r="I123" s="17" t="n">
        <x:v>5</x:v>
      </x:c>
      <x:c r="J123" s="17" t="n">
        <x:v>20</x:v>
      </x:c>
      <x:c r="K123" s="17" t="n">
        <x:v>56154</x:v>
      </x:c>
      <x:c r="L123" s="17" t="n">
        <x:v>103654</x:v>
      </x:c>
      <x:c r="M123" s="17" t="n">
        <x:v>47500</x:v>
      </x:c>
      <x:c r="N123" s="17" t="n">
        <x:v>155</x:v>
      </x:c>
      <x:c r="O123" s="17" t="n">
        <x:v>155</x:v>
      </x:c>
      <x:c r="P123" s="17" t="n">
        <x:v>0</x:v>
      </x:c>
      <x:c r="Q123" s="17" t="str">
        <x:v>Coin + Energy</x:v>
      </x:c>
      <x:c r="R123" s="18" t="str">
        <x:v>/Users/mac/Documents/智囊团/video_analysis/Top_Tycoon新号流程_20260804/frames/TT_NEW_06/TT_NEW_06_t000340.jpg</x:v>
      </x:c>
      <x:c r="S123" s="17" t="str">
        <x:v>00:05:53</x:v>
      </x:c>
      <x:c r="T123" s="17" t="str">
        <x:v>待复核</x:v>
      </x:c>
      <x:c r="U123" s="17" t="str">
        <x:v>B</x:v>
      </x:c>
      <x:c r="V123" s="17" t="str">
        <x:v>由逐秒能量变化推断；快速自动Spin可能需4fps补核</x:v>
      </x:c>
      <x:c r="W123" s="17" t="str">
        <x:v>混合奖励</x:v>
      </x:c>
      <x:c r="X123" s="17" t="str">
        <x:v>是</x:v>
      </x:c>
      <x:c r="Y123" s="17" t="str">
        <x:v>否</x:v>
      </x:c>
      <x:c r="Z123" s="17" t="str">
        <x:v>未知</x:v>
      </x:c>
      <x:c r="AA123" s="17" t="str">
        <x:v>未知</x:v>
      </x:c>
      <x:c r="AB123" s="17" t="str">
        <x:v>是</x:v>
      </x:c>
    </x:row>
    <x:row r="124">
      <x:c r="A124" s="17" t="str">
        <x:v>TT_NEW_06</x:v>
      </x:c>
      <x:c r="B124" s="17" t="str">
        <x:v>TT_NEW_06_S0032</x:v>
      </x:c>
      <x:c r="C124" s="17" t="str">
        <x:v>00:05:53</x:v>
      </x:c>
      <x:c r="D124" s="17" t="n">
        <x:v>353</x:v>
      </x:c>
      <x:c r="E124" s="17" t="n">
        <x:v>1</x:v>
      </x:c>
      <x:c r="F124" s="17" t="n">
        <x:v>5</x:v>
      </x:c>
      <x:c r="G124" s="17" t="n">
        <x:v>23</x:v>
      </x:c>
      <x:c r="H124" s="17" t="n">
        <x:v>18</x:v>
      </x:c>
      <x:c r="I124" s="17" t="n">
        <x:v>5</x:v>
      </x:c>
      <x:c r="J124" s="17" t="n">
        <x:v>0</x:v>
      </x:c>
      <x:c r="K124" s="17" t="n">
        <x:v>103654</x:v>
      </x:c>
      <x:c r="L124" s="17" t="n">
        <x:v>488654</x:v>
      </x:c>
      <x:c r="M124" s="17" t="n">
        <x:v>385000</x:v>
      </x:c>
      <x:c r="N124" s="17" t="n">
        <x:v>155</x:v>
      </x:c>
      <x:c r="O124" s="17" t="n">
        <x:v>155</x:v>
      </x:c>
      <x:c r="P124" s="17" t="n">
        <x:v>0</x:v>
      </x:c>
      <x:c r="Q124" s="17" t="str">
        <x:v>Credit Grab</x:v>
      </x:c>
      <x:c r="R124" s="18" t="str">
        <x:v>/Users/mac/Documents/智囊团/video_analysis/Top_Tycoon新号流程_20260804/frames/TT_NEW_06/TT_NEW_06_t000353.jpg</x:v>
      </x:c>
      <x:c r="S124" s="17" t="str">
        <x:v>00:06:32</x:v>
      </x:c>
      <x:c r="T124" s="17" t="str">
        <x:v>待复核</x:v>
      </x:c>
      <x:c r="U124" s="17" t="str">
        <x:v>B</x:v>
      </x:c>
      <x:c r="V124" s="17" t="str">
        <x:v>由逐秒能量变化推断；快速自动Spin可能需4fps补核</x:v>
      </x:c>
      <x:c r="W124" s="17" t="str">
        <x:v>Credit Grab</x:v>
      </x:c>
      <x:c r="X124" s="17" t="str">
        <x:v>是</x:v>
      </x:c>
      <x:c r="Y124" s="17" t="str">
        <x:v>否</x:v>
      </x:c>
      <x:c r="Z124" s="17" t="str">
        <x:v>未知</x:v>
      </x:c>
      <x:c r="AA124" s="17" t="str">
        <x:v>未知</x:v>
      </x:c>
      <x:c r="AB124" s="17" t="str">
        <x:v>否</x:v>
      </x:c>
    </x:row>
    <x:row r="125">
      <x:c r="A125" s="17" t="str">
        <x:v>TT_NEW_06</x:v>
      </x:c>
      <x:c r="B125" s="17" t="str">
        <x:v>TT_NEW_06_S0033</x:v>
      </x:c>
      <x:c r="C125" s="17" t="str">
        <x:v>00:06:32</x:v>
      </x:c>
      <x:c r="D125" s="17" t="n">
        <x:v>392</x:v>
      </x:c>
      <x:c r="E125" s="17" t="n">
        <x:v>1</x:v>
      </x:c>
      <x:c r="F125" s="17" t="n">
        <x:v>5</x:v>
      </x:c>
      <x:c r="G125" s="17" t="n">
        <x:v>18</x:v>
      </x:c>
      <x:c r="H125" s="17" t="n">
        <x:v>13</x:v>
      </x:c>
      <x:c r="I125" s="17" t="n">
        <x:v>5</x:v>
      </x:c>
      <x:c r="J125" s="17" t="n">
        <x:v>0</x:v>
      </x:c>
      <x:c r="K125" s="17" t="n">
        <x:v>488654</x:v>
      </x:c>
      <x:c r="L125" s="17" t="n">
        <x:v>493654</x:v>
      </x:c>
      <x:c r="M125" s="17" t="n">
        <x:v>5000</x:v>
      </x:c>
      <x:c r="N125" s="17" t="n">
        <x:v>155</x:v>
      </x:c>
      <x:c r="O125" s="17" t="n">
        <x:v>155</x:v>
      </x:c>
      <x:c r="P125" s="17" t="n">
        <x:v>0</x:v>
      </x:c>
      <x:c r="Q125" s="17" t="str">
        <x:v>Coin</x:v>
      </x:c>
      <x:c r="R125" s="18" t="str">
        <x:v>/Users/mac/Documents/智囊团/video_analysis/Top_Tycoon新号流程_20260804/frames/TT_NEW_06/TT_NEW_06_t000392.jpg</x:v>
      </x:c>
      <x:c r="S125" s="17" t="str">
        <x:v>00:06:34</x:v>
      </x:c>
      <x:c r="T125" s="17" t="str">
        <x:v>待复核</x:v>
      </x:c>
      <x:c r="U125" s="17" t="str">
        <x:v>B</x:v>
      </x:c>
      <x:c r="V125" s="17" t="str">
        <x:v>由逐秒能量变化推断；快速自动Spin可能需4fps补核</x:v>
      </x:c>
      <x:c r="W125" s="17" t="str">
        <x:v>纯金币</x:v>
      </x:c>
      <x:c r="X125" s="17" t="str">
        <x:v>是</x:v>
      </x:c>
      <x:c r="Y125" s="17" t="str">
        <x:v>否</x:v>
      </x:c>
      <x:c r="Z125" s="17" t="str">
        <x:v>未知</x:v>
      </x:c>
      <x:c r="AA125" s="17" t="str">
        <x:v>未知</x:v>
      </x:c>
      <x:c r="AB125" s="17" t="str">
        <x:v>否</x:v>
      </x:c>
    </x:row>
    <x:row r="126">
      <x:c r="A126" s="17" t="str">
        <x:v>TT_NEW_06</x:v>
      </x:c>
      <x:c r="B126" s="17" t="str">
        <x:v>TT_NEW_06_S0034</x:v>
      </x:c>
      <x:c r="C126" s="17" t="str">
        <x:v>00:06:34</x:v>
      </x:c>
      <x:c r="D126" s="17" t="n">
        <x:v>394</x:v>
      </x:c>
      <x:c r="E126" s="17" t="n">
        <x:v>1</x:v>
      </x:c>
      <x:c r="F126" s="17" t="n">
        <x:v>5</x:v>
      </x:c>
      <x:c r="G126" s="17" t="n">
        <x:v>13</x:v>
      </x:c>
      <x:c r="H126" s="17" t="n">
        <x:v>8</x:v>
      </x:c>
      <x:c r="I126" s="17" t="n">
        <x:v>5</x:v>
      </x:c>
      <x:c r="J126" s="17" t="n">
        <x:v>0</x:v>
      </x:c>
      <x:c r="K126" s="17" t="n">
        <x:v>488654</x:v>
      </x:c>
      <x:c r="L126" s="17" t="n">
        <x:v>493654</x:v>
      </x:c>
      <x:c r="M126" s="17" t="n">
        <x:v>5000</x:v>
      </x:c>
      <x:c r="N126" s="17"/>
      <x:c r="O126" s="17" t="n">
        <x:v>165</x:v>
      </x:c>
      <x:c r="P126" s="17"/>
      <x:c r="Q126" s="17" t="str">
        <x:v>Coin</x:v>
      </x:c>
      <x:c r="R126" s="18" t="str">
        <x:v>/Users/mac/Documents/智囊团/video_analysis/Top_Tycoon新号流程_20260804/frames/TT_NEW_06/TT_NEW_06_t000394.jpg</x:v>
      </x:c>
      <x:c r="S126" s="17" t="str">
        <x:v>00:06:38</x:v>
      </x:c>
      <x:c r="T126" s="17" t="str">
        <x:v>待复核</x:v>
      </x:c>
      <x:c r="U126" s="17" t="str">
        <x:v>B</x:v>
      </x:c>
      <x:c r="V126" s="17" t="str">
        <x:v>由逐秒能量变化推断；快速自动Spin可能需4fps补核</x:v>
      </x:c>
      <x:c r="W126" s="17" t="str">
        <x:v>纯金币</x:v>
      </x:c>
      <x:c r="X126" s="17" t="str">
        <x:v>是</x:v>
      </x:c>
      <x:c r="Y126" s="17" t="str">
        <x:v>否</x:v>
      </x:c>
      <x:c r="Z126" s="17" t="str">
        <x:v>未知</x:v>
      </x:c>
      <x:c r="AA126" s="17" t="str">
        <x:v>未知</x:v>
      </x:c>
      <x:c r="AB126" s="17" t="str">
        <x:v>是</x:v>
      </x:c>
    </x:row>
    <x:row r="127">
      <x:c r="A127" s="17" t="str">
        <x:v>TT_NEW_06</x:v>
      </x:c>
      <x:c r="B127" s="17" t="str">
        <x:v>TT_NEW_06_S0035</x:v>
      </x:c>
      <x:c r="C127" s="17" t="str">
        <x:v>00:06:38</x:v>
      </x:c>
      <x:c r="D127" s="17" t="n">
        <x:v>398</x:v>
      </x:c>
      <x:c r="E127" s="17" t="n">
        <x:v>1</x:v>
      </x:c>
      <x:c r="F127" s="17" t="n">
        <x:v>5</x:v>
      </x:c>
      <x:c r="G127" s="17" t="n">
        <x:v>8</x:v>
      </x:c>
      <x:c r="H127" s="17" t="n">
        <x:v>3</x:v>
      </x:c>
      <x:c r="I127" s="17" t="n">
        <x:v>5</x:v>
      </x:c>
      <x:c r="J127" s="17" t="n">
        <x:v>50</x:v>
      </x:c>
      <x:c r="K127" s="17" t="n">
        <x:v>493654</x:v>
      </x:c>
      <x:c r="L127" s="17" t="n">
        <x:v>517854</x:v>
      </x:c>
      <x:c r="M127" s="17" t="n">
        <x:v>24200</x:v>
      </x:c>
      <x:c r="N127" s="17" t="n">
        <x:v>155</x:v>
      </x:c>
      <x:c r="O127" s="17" t="n">
        <x:v>165</x:v>
      </x:c>
      <x:c r="P127" s="17" t="n">
        <x:v>10</x:v>
      </x:c>
      <x:c r="Q127" s="17" t="str">
        <x:v>Coin + Energy + Progress</x:v>
      </x:c>
      <x:c r="R127" s="18" t="str">
        <x:v>/Users/mac/Documents/智囊团/video_analysis/Top_Tycoon新号流程_20260804/frames/TT_NEW_06/TT_NEW_06_t000398.jpg</x:v>
      </x:c>
      <x:c r="S127" s="17" t="str">
        <x:v>00:07:13</x:v>
      </x:c>
      <x:c r="T127" s="17" t="str">
        <x:v>待复核</x:v>
      </x:c>
      <x:c r="U127" s="17" t="str">
        <x:v>B</x:v>
      </x:c>
      <x:c r="V127" s="17" t="str">
        <x:v>由逐秒能量变化推断；快速自动Spin可能需4fps补核</x:v>
      </x:c>
      <x:c r="W127" s="17" t="str">
        <x:v>混合奖励</x:v>
      </x:c>
      <x:c r="X127" s="17" t="str">
        <x:v>是</x:v>
      </x:c>
      <x:c r="Y127" s="17" t="str">
        <x:v>否</x:v>
      </x:c>
      <x:c r="Z127" s="17" t="str">
        <x:v>未知</x:v>
      </x:c>
      <x:c r="AA127" s="17" t="str">
        <x:v>未知</x:v>
      </x:c>
      <x:c r="AB127" s="17" t="str">
        <x:v>是</x:v>
      </x:c>
    </x:row>
    <x:row r="128">
      <x:c r="A128" s="17" t="str">
        <x:v>TT_NEW_06</x:v>
      </x:c>
      <x:c r="B128" s="17" t="str">
        <x:v>TT_NEW_06_S0036</x:v>
      </x:c>
      <x:c r="C128" s="17" t="str">
        <x:v>00:07:13</x:v>
      </x:c>
      <x:c r="D128" s="17" t="n">
        <x:v>433</x:v>
      </x:c>
      <x:c r="E128" s="17" t="n">
        <x:v>1</x:v>
      </x:c>
      <x:c r="F128" s="17" t="n">
        <x:v>5</x:v>
      </x:c>
      <x:c r="G128" s="17" t="n">
        <x:v>53</x:v>
      </x:c>
      <x:c r="H128" s="17" t="n">
        <x:v>48</x:v>
      </x:c>
      <x:c r="I128" s="17" t="n">
        <x:v>5</x:v>
      </x:c>
      <x:c r="J128" s="17" t="n">
        <x:v>0</x:v>
      </x:c>
      <x:c r="K128" s="17" t="n">
        <x:v>517854</x:v>
      </x:c>
      <x:c r="L128" s="17" t="n">
        <x:v>520354</x:v>
      </x:c>
      <x:c r="M128" s="17" t="n">
        <x:v>2500</x:v>
      </x:c>
      <x:c r="N128" s="17" t="n">
        <x:v>165</x:v>
      </x:c>
      <x:c r="O128" s="17" t="n">
        <x:v>165</x:v>
      </x:c>
      <x:c r="P128" s="17" t="n">
        <x:v>0</x:v>
      </x:c>
      <x:c r="Q128" s="17" t="str">
        <x:v>Coin</x:v>
      </x:c>
      <x:c r="R128" s="18" t="str">
        <x:v>/Users/mac/Documents/智囊团/video_analysis/Top_Tycoon新号流程_20260804/frames/TT_NEW_06/TT_NEW_06_t000433.jpg</x:v>
      </x:c>
      <x:c r="S128" s="17" t="str">
        <x:v>00:07:16</x:v>
      </x:c>
      <x:c r="T128" s="17" t="str">
        <x:v>待复核</x:v>
      </x:c>
      <x:c r="U128" s="17" t="str">
        <x:v>B</x:v>
      </x:c>
      <x:c r="V128" s="17" t="str">
        <x:v>由逐秒能量变化推断；快速自动Spin可能需4fps补核</x:v>
      </x:c>
      <x:c r="W128" s="17" t="str">
        <x:v>纯金币</x:v>
      </x:c>
      <x:c r="X128" s="17" t="str">
        <x:v>是</x:v>
      </x:c>
      <x:c r="Y128" s="17" t="str">
        <x:v>否</x:v>
      </x:c>
      <x:c r="Z128" s="17" t="str">
        <x:v>未知</x:v>
      </x:c>
      <x:c r="AA128" s="17" t="str">
        <x:v>未知</x:v>
      </x:c>
      <x:c r="AB128" s="17" t="str">
        <x:v>否</x:v>
      </x:c>
    </x:row>
    <x:row r="129">
      <x:c r="A129" s="17" t="str">
        <x:v>TT_NEW_06</x:v>
      </x:c>
      <x:c r="B129" s="17" t="str">
        <x:v>TT_NEW_06_S0037</x:v>
      </x:c>
      <x:c r="C129" s="17" t="str">
        <x:v>00:07:16</x:v>
      </x:c>
      <x:c r="D129" s="17" t="n">
        <x:v>436</x:v>
      </x:c>
      <x:c r="E129" s="17" t="n">
        <x:v>1</x:v>
      </x:c>
      <x:c r="F129" s="17" t="n">
        <x:v>5</x:v>
      </x:c>
      <x:c r="G129" s="17" t="n">
        <x:v>48</x:v>
      </x:c>
      <x:c r="H129" s="17" t="n">
        <x:v>43</x:v>
      </x:c>
      <x:c r="I129" s="17" t="n">
        <x:v>5</x:v>
      </x:c>
      <x:c r="J129" s="17" t="n">
        <x:v>0</x:v>
      </x:c>
      <x:c r="K129" s="17" t="n">
        <x:v>519517</x:v>
      </x:c>
      <x:c r="L129" s="17" t="n">
        <x:v>522854</x:v>
      </x:c>
      <x:c r="M129" s="17" t="n">
        <x:v>3337</x:v>
      </x:c>
      <x:c r="N129" s="17" t="n">
        <x:v>165</x:v>
      </x:c>
      <x:c r="O129" s="17" t="n">
        <x:v>165</x:v>
      </x:c>
      <x:c r="P129" s="17" t="n">
        <x:v>0</x:v>
      </x:c>
      <x:c r="Q129" s="17" t="str">
        <x:v>Coin</x:v>
      </x:c>
      <x:c r="R129" s="18" t="str">
        <x:v>/Users/mac/Documents/智囊团/video_analysis/Top_Tycoon新号流程_20260804/frames/TT_NEW_06/TT_NEW_06_t000436.jpg</x:v>
      </x:c>
      <x:c r="S129" s="17" t="str">
        <x:v>00:07:19</x:v>
      </x:c>
      <x:c r="T129" s="17" t="str">
        <x:v>待复核</x:v>
      </x:c>
      <x:c r="U129" s="17" t="str">
        <x:v>B</x:v>
      </x:c>
      <x:c r="V129" s="17" t="str">
        <x:v>由逐秒能量变化推断；快速自动Spin可能需4fps补核</x:v>
      </x:c>
      <x:c r="W129" s="17" t="str">
        <x:v>纯金币</x:v>
      </x:c>
      <x:c r="X129" s="17" t="str">
        <x:v>是</x:v>
      </x:c>
      <x:c r="Y129" s="17" t="str">
        <x:v>否</x:v>
      </x:c>
      <x:c r="Z129" s="17" t="str">
        <x:v>未知</x:v>
      </x:c>
      <x:c r="AA129" s="17" t="str">
        <x:v>未知</x:v>
      </x:c>
      <x:c r="AB129" s="17" t="str">
        <x:v>否</x:v>
      </x:c>
    </x:row>
    <x:row r="130">
      <x:c r="A130" s="17" t="str">
        <x:v>TT_NEW_06</x:v>
      </x:c>
      <x:c r="B130" s="17" t="str">
        <x:v>TT_NEW_06_S0038</x:v>
      </x:c>
      <x:c r="C130" s="17" t="str">
        <x:v>00:07:19</x:v>
      </x:c>
      <x:c r="D130" s="17" t="n">
        <x:v>439</x:v>
      </x:c>
      <x:c r="E130" s="17" t="n">
        <x:v>1</x:v>
      </x:c>
      <x:c r="F130" s="17" t="n">
        <x:v>5</x:v>
      </x:c>
      <x:c r="G130" s="17" t="n">
        <x:v>43</x:v>
      </x:c>
      <x:c r="H130" s="17" t="n">
        <x:v>38</x:v>
      </x:c>
      <x:c r="I130" s="17" t="n">
        <x:v>5</x:v>
      </x:c>
      <x:c r="J130" s="17" t="n">
        <x:v>0</x:v>
      </x:c>
      <x:c r="K130" s="17" t="n">
        <x:v>522854</x:v>
      </x:c>
      <x:c r="L130" s="17" t="n">
        <x:v>523603</x:v>
      </x:c>
      <x:c r="M130" s="17" t="n">
        <x:v>749</x:v>
      </x:c>
      <x:c r="N130" s="17" t="n">
        <x:v>165</x:v>
      </x:c>
      <x:c r="O130" s="17" t="n">
        <x:v>165</x:v>
      </x:c>
      <x:c r="P130" s="17" t="n">
        <x:v>0</x:v>
      </x:c>
      <x:c r="Q130" s="17" t="str">
        <x:v>Coin</x:v>
      </x:c>
      <x:c r="R130" s="18" t="str">
        <x:v>/Users/mac/Documents/智囊团/video_analysis/Top_Tycoon新号流程_20260804/frames/TT_NEW_06/TT_NEW_06_t000439.jpg</x:v>
      </x:c>
      <x:c r="S130" s="17" t="str">
        <x:v>00:07:20</x:v>
      </x:c>
      <x:c r="T130" s="17" t="str">
        <x:v>待复核</x:v>
      </x:c>
      <x:c r="U130" s="17" t="str">
        <x:v>B</x:v>
      </x:c>
      <x:c r="V130" s="17" t="str">
        <x:v>由逐秒能量变化推断；快速自动Spin可能需4fps补核</x:v>
      </x:c>
      <x:c r="W130" s="17" t="str">
        <x:v>纯金币</x:v>
      </x:c>
      <x:c r="X130" s="17" t="str">
        <x:v>是</x:v>
      </x:c>
      <x:c r="Y130" s="17" t="str">
        <x:v>否</x:v>
      </x:c>
      <x:c r="Z130" s="17" t="str">
        <x:v>未知</x:v>
      </x:c>
      <x:c r="AA130" s="17" t="str">
        <x:v>未知</x:v>
      </x:c>
      <x:c r="AB130" s="17" t="str">
        <x:v>否</x:v>
      </x:c>
    </x:row>
    <x:row r="131">
      <x:c r="A131" s="17" t="str">
        <x:v>TT_NEW_06</x:v>
      </x:c>
      <x:c r="B131" s="17" t="str">
        <x:v>TT_NEW_06_S0039</x:v>
      </x:c>
      <x:c r="C131" s="17" t="str">
        <x:v>00:07:20</x:v>
      </x:c>
      <x:c r="D131" s="17" t="n">
        <x:v>440</x:v>
      </x:c>
      <x:c r="E131" s="17" t="n">
        <x:v>1</x:v>
      </x:c>
      <x:c r="F131" s="17" t="n">
        <x:v>5</x:v>
      </x:c>
      <x:c r="G131" s="17" t="n">
        <x:v>38</x:v>
      </x:c>
      <x:c r="H131" s="17" t="n">
        <x:v>33</x:v>
      </x:c>
      <x:c r="I131" s="17" t="n">
        <x:v>5</x:v>
      </x:c>
      <x:c r="J131" s="17" t="n">
        <x:v>0</x:v>
      </x:c>
      <x:c r="K131" s="17" t="n">
        <x:v>522854</x:v>
      </x:c>
      <x:c r="L131" s="17" t="n">
        <x:v>525354</x:v>
      </x:c>
      <x:c r="M131" s="17" t="n">
        <x:v>2500</x:v>
      </x:c>
      <x:c r="N131" s="17" t="n">
        <x:v>165</x:v>
      </x:c>
      <x:c r="O131" s="17" t="n">
        <x:v>165</x:v>
      </x:c>
      <x:c r="P131" s="17" t="n">
        <x:v>0</x:v>
      </x:c>
      <x:c r="Q131" s="17" t="str">
        <x:v>Shield + Coin</x:v>
      </x:c>
      <x:c r="R131" s="18" t="str">
        <x:v>/Users/mac/Documents/智囊团/video_analysis/Top_Tycoon新号流程_20260804/frames/TT_NEW_06/TT_NEW_06_t000440.jpg</x:v>
      </x:c>
      <x:c r="S131" s="17" t="str">
        <x:v>00:07:24</x:v>
      </x:c>
      <x:c r="T131" s="17" t="str">
        <x:v>待复核</x:v>
      </x:c>
      <x:c r="U131" s="17" t="str">
        <x:v>B</x:v>
      </x:c>
      <x:c r="V131" s="17" t="str">
        <x:v>由逐秒能量变化推断；快速自动Spin可能需4fps补核</x:v>
      </x:c>
      <x:c r="W131" s="17" t="str">
        <x:v>Shield</x:v>
      </x:c>
      <x:c r="X131" s="17" t="str">
        <x:v>是</x:v>
      </x:c>
      <x:c r="Y131" s="17" t="str">
        <x:v>否</x:v>
      </x:c>
      <x:c r="Z131" s="17" t="str">
        <x:v>未知</x:v>
      </x:c>
      <x:c r="AA131" s="17" t="str">
        <x:v>未知</x:v>
      </x:c>
      <x:c r="AB131" s="17" t="str">
        <x:v>否</x:v>
      </x:c>
    </x:row>
    <x:row r="132">
      <x:c r="A132" s="17" t="str">
        <x:v>TT_NEW_06</x:v>
      </x:c>
      <x:c r="B132" s="17" t="str">
        <x:v>TT_NEW_06_S0040</x:v>
      </x:c>
      <x:c r="C132" s="17" t="str">
        <x:v>00:07:24</x:v>
      </x:c>
      <x:c r="D132" s="17" t="n">
        <x:v>444</x:v>
      </x:c>
      <x:c r="E132" s="17" t="n">
        <x:v>1</x:v>
      </x:c>
      <x:c r="F132" s="17" t="n">
        <x:v>5</x:v>
      </x:c>
      <x:c r="G132" s="17" t="n">
        <x:v>33</x:v>
      </x:c>
      <x:c r="H132" s="17" t="n">
        <x:v>32</x:v>
      </x:c>
      <x:c r="I132" s="17" t="n">
        <x:v>5</x:v>
      </x:c>
      <x:c r="J132" s="17" t="n">
        <x:v>4</x:v>
      </x:c>
      <x:c r="K132" s="17" t="n">
        <x:v>525354</x:v>
      </x:c>
      <x:c r="L132" s="17" t="n">
        <x:v>675354</x:v>
      </x:c>
      <x:c r="M132" s="17" t="n">
        <x:v>150000</x:v>
      </x:c>
      <x:c r="N132" s="17"/>
      <x:c r="O132" s="17" t="n">
        <x:v>165</x:v>
      </x:c>
      <x:c r="P132" s="17"/>
      <x:c r="Q132" s="17" t="str">
        <x:v>Attack</x:v>
      </x:c>
      <x:c r="R132" s="18" t="str">
        <x:v>/Users/mac/Documents/智囊团/video_analysis/Top_Tycoon新号流程_20260804/frames/TT_NEW_06/TT_NEW_06_t000444.jpg</x:v>
      </x:c>
      <x:c r="S132" s="17" t="str">
        <x:v>00:07:49</x:v>
      </x:c>
      <x:c r="T132" s="17" t="str">
        <x:v>待复核</x:v>
      </x:c>
      <x:c r="U132" s="17" t="str">
        <x:v>B</x:v>
      </x:c>
      <x:c r="V132" s="17" t="str">
        <x:v>由逐秒能量变化推断；快速自动Spin可能需4fps补核</x:v>
      </x:c>
      <x:c r="W132" s="17" t="str">
        <x:v>Attack</x:v>
      </x:c>
      <x:c r="X132" s="17" t="str">
        <x:v>是</x:v>
      </x:c>
      <x:c r="Y132" s="17" t="str">
        <x:v>否</x:v>
      </x:c>
      <x:c r="Z132" s="17" t="str">
        <x:v>未知</x:v>
      </x:c>
      <x:c r="AA132" s="17" t="str">
        <x:v>未知</x:v>
      </x:c>
      <x:c r="AB132" s="17" t="str">
        <x:v>否</x:v>
      </x:c>
    </x:row>
    <x:row r="133">
      <x:c r="A133" s="17" t="str">
        <x:v>TT_NEW_06</x:v>
      </x:c>
      <x:c r="B133" s="17" t="str">
        <x:v>TT_NEW_06_S0041</x:v>
      </x:c>
      <x:c r="C133" s="17" t="str">
        <x:v>00:07:49</x:v>
      </x:c>
      <x:c r="D133" s="17" t="n">
        <x:v>469</x:v>
      </x:c>
      <x:c r="E133" s="17" t="n">
        <x:v>1</x:v>
      </x:c>
      <x:c r="F133" s="17" t="n">
        <x:v>5</x:v>
      </x:c>
      <x:c r="G133" s="17" t="n">
        <x:v>32</x:v>
      </x:c>
      <x:c r="H133" s="17" t="n">
        <x:v>27</x:v>
      </x:c>
      <x:c r="I133" s="17" t="n">
        <x:v>5</x:v>
      </x:c>
      <x:c r="J133" s="17" t="n">
        <x:v>0</x:v>
      </x:c>
      <x:c r="K133" s="17" t="n">
        <x:v>675354</x:v>
      </x:c>
      <x:c r="L133" s="17" t="n">
        <x:v>675853</x:v>
      </x:c>
      <x:c r="M133" s="17" t="n">
        <x:v>499</x:v>
      </x:c>
      <x:c r="N133" s="17" t="n">
        <x:v>165</x:v>
      </x:c>
      <x:c r="O133" s="17" t="n">
        <x:v>165</x:v>
      </x:c>
      <x:c r="P133" s="17" t="n">
        <x:v>0</x:v>
      </x:c>
      <x:c r="Q133" s="17" t="str">
        <x:v>Coin</x:v>
      </x:c>
      <x:c r="R133" s="18" t="str">
        <x:v>/Users/mac/Documents/智囊团/video_analysis/Top_Tycoon新号流程_20260804/frames/TT_NEW_06/TT_NEW_06_t000469.jpg</x:v>
      </x:c>
      <x:c r="S133" s="17" t="str">
        <x:v>00:07:51</x:v>
      </x:c>
      <x:c r="T133" s="17" t="str">
        <x:v>待复核</x:v>
      </x:c>
      <x:c r="U133" s="17" t="str">
        <x:v>B</x:v>
      </x:c>
      <x:c r="V133" s="17" t="str">
        <x:v>由逐秒能量变化推断；快速自动Spin可能需4fps补核</x:v>
      </x:c>
      <x:c r="W133" s="17" t="str">
        <x:v>纯金币</x:v>
      </x:c>
      <x:c r="X133" s="17" t="str">
        <x:v>是</x:v>
      </x:c>
      <x:c r="Y133" s="17" t="str">
        <x:v>否</x:v>
      </x:c>
      <x:c r="Z133" s="17" t="str">
        <x:v>未知</x:v>
      </x:c>
      <x:c r="AA133" s="17" t="str">
        <x:v>未知</x:v>
      </x:c>
      <x:c r="AB133" s="17" t="str">
        <x:v>否</x:v>
      </x:c>
    </x:row>
    <x:row r="134">
      <x:c r="A134" s="17" t="str">
        <x:v>TT_NEW_06</x:v>
      </x:c>
      <x:c r="B134" s="17" t="str">
        <x:v>TT_NEW_06_S0042</x:v>
      </x:c>
      <x:c r="C134" s="17" t="str">
        <x:v>00:07:51</x:v>
      </x:c>
      <x:c r="D134" s="17" t="n">
        <x:v>471</x:v>
      </x:c>
      <x:c r="E134" s="17" t="n">
        <x:v>1</x:v>
      </x:c>
      <x:c r="F134" s="17" t="n">
        <x:v>5</x:v>
      </x:c>
      <x:c r="G134" s="17" t="n">
        <x:v>27</x:v>
      </x:c>
      <x:c r="H134" s="17" t="n">
        <x:v>22</x:v>
      </x:c>
      <x:c r="I134" s="17" t="n">
        <x:v>5</x:v>
      </x:c>
      <x:c r="J134" s="17" t="n">
        <x:v>0</x:v>
      </x:c>
      <x:c r="K134" s="17" t="n">
        <x:v>675354</x:v>
      </x:c>
      <x:c r="L134" s="17" t="n">
        <x:v>680854</x:v>
      </x:c>
      <x:c r="M134" s="17" t="n">
        <x:v>5500</x:v>
      </x:c>
      <x:c r="N134" s="17" t="n">
        <x:v>165</x:v>
      </x:c>
      <x:c r="O134" s="17" t="n">
        <x:v>165</x:v>
      </x:c>
      <x:c r="P134" s="17" t="n">
        <x:v>0</x:v>
      </x:c>
      <x:c r="Q134" s="17" t="str">
        <x:v>Coin</x:v>
      </x:c>
      <x:c r="R134" s="18" t="str">
        <x:v>/Users/mac/Documents/智囊团/video_analysis/Top_Tycoon新号流程_20260804/frames/TT_NEW_06/TT_NEW_06_t000471.jpg</x:v>
      </x:c>
      <x:c r="S134" s="17" t="str">
        <x:v>00:07:54</x:v>
      </x:c>
      <x:c r="T134" s="17" t="str">
        <x:v>待复核</x:v>
      </x:c>
      <x:c r="U134" s="17" t="str">
        <x:v>B</x:v>
      </x:c>
      <x:c r="V134" s="17" t="str">
        <x:v>由逐秒能量变化推断；快速自动Spin可能需4fps补核</x:v>
      </x:c>
      <x:c r="W134" s="17" t="str">
        <x:v>纯金币</x:v>
      </x:c>
      <x:c r="X134" s="17" t="str">
        <x:v>是</x:v>
      </x:c>
      <x:c r="Y134" s="17" t="str">
        <x:v>否</x:v>
      </x:c>
      <x:c r="Z134" s="17" t="str">
        <x:v>未知</x:v>
      </x:c>
      <x:c r="AA134" s="17" t="str">
        <x:v>未知</x:v>
      </x:c>
      <x:c r="AB134" s="17" t="str">
        <x:v>否</x:v>
      </x:c>
    </x:row>
    <x:row r="135">
      <x:c r="A135" s="17" t="str">
        <x:v>TT_NEW_06</x:v>
      </x:c>
      <x:c r="B135" s="17" t="str">
        <x:v>TT_NEW_06_S0043</x:v>
      </x:c>
      <x:c r="C135" s="17" t="str">
        <x:v>00:07:54</x:v>
      </x:c>
      <x:c r="D135" s="17" t="n">
        <x:v>474</x:v>
      </x:c>
      <x:c r="E135" s="17" t="n">
        <x:v>1</x:v>
      </x:c>
      <x:c r="F135" s="17" t="n">
        <x:v>5</x:v>
      </x:c>
      <x:c r="G135" s="17" t="n">
        <x:v>22</x:v>
      </x:c>
      <x:c r="H135" s="17" t="n">
        <x:v>17</x:v>
      </x:c>
      <x:c r="I135" s="17" t="n">
        <x:v>5</x:v>
      </x:c>
      <x:c r="J135" s="17" t="n">
        <x:v>25</x:v>
      </x:c>
      <x:c r="K135" s="17" t="n">
        <x:v>675854</x:v>
      </x:c>
      <x:c r="L135" s="17" t="n">
        <x:v>680854</x:v>
      </x:c>
      <x:c r="M135" s="17" t="n">
        <x:v>5000</x:v>
      </x:c>
      <x:c r="N135" s="17" t="n">
        <x:v>165</x:v>
      </x:c>
      <x:c r="O135" s="17" t="n">
        <x:v>165</x:v>
      </x:c>
      <x:c r="P135" s="17" t="n">
        <x:v>0</x:v>
      </x:c>
      <x:c r="Q135" s="17" t="str">
        <x:v>Coin + Energy</x:v>
      </x:c>
      <x:c r="R135" s="18" t="str">
        <x:v>/Users/mac/Documents/智囊团/video_analysis/Top_Tycoon新号流程_20260804/frames/TT_NEW_06/TT_NEW_06_t000474.jpg</x:v>
      </x:c>
      <x:c r="S135" s="17" t="str">
        <x:v>00:07:58</x:v>
      </x:c>
      <x:c r="T135" s="17" t="str">
        <x:v>待复核</x:v>
      </x:c>
      <x:c r="U135" s="17" t="str">
        <x:v>B</x:v>
      </x:c>
      <x:c r="V135" s="17" t="str">
        <x:v>由逐秒能量变化推断；快速自动Spin可能需4fps补核</x:v>
      </x:c>
      <x:c r="W135" s="17" t="str">
        <x:v>混合奖励</x:v>
      </x:c>
      <x:c r="X135" s="17" t="str">
        <x:v>是</x:v>
      </x:c>
      <x:c r="Y135" s="17" t="str">
        <x:v>否</x:v>
      </x:c>
      <x:c r="Z135" s="17" t="str">
        <x:v>未知</x:v>
      </x:c>
      <x:c r="AA135" s="17" t="str">
        <x:v>未知</x:v>
      </x:c>
      <x:c r="AB135" s="17" t="str">
        <x:v>否</x:v>
      </x:c>
    </x:row>
    <x:row r="136">
      <x:c r="A136" s="17" t="str">
        <x:v>TT_NEW_06</x:v>
      </x:c>
      <x:c r="B136" s="17" t="str">
        <x:v>TT_NEW_06_S0044</x:v>
      </x:c>
      <x:c r="C136" s="17" t="str">
        <x:v>00:07:58</x:v>
      </x:c>
      <x:c r="D136" s="17" t="n">
        <x:v>478</x:v>
      </x:c>
      <x:c r="E136" s="17" t="n">
        <x:v>1</x:v>
      </x:c>
      <x:c r="F136" s="17" t="n">
        <x:v>5</x:v>
      </x:c>
      <x:c r="G136" s="17" t="n">
        <x:v>42</x:v>
      </x:c>
      <x:c r="H136" s="17" t="n">
        <x:v>37</x:v>
      </x:c>
      <x:c r="I136" s="17" t="n">
        <x:v>5</x:v>
      </x:c>
      <x:c r="J136" s="17" t="n">
        <x:v>0</x:v>
      </x:c>
      <x:c r="K136" s="17" t="n">
        <x:v>680854</x:v>
      </x:c>
      <x:c r="L136" s="17" t="n">
        <x:v>834054</x:v>
      </x:c>
      <x:c r="M136" s="17" t="n">
        <x:v>153200</x:v>
      </x:c>
      <x:c r="N136" s="17" t="n">
        <x:v>165</x:v>
      </x:c>
      <x:c r="O136" s="17" t="n">
        <x:v>165</x:v>
      </x:c>
      <x:c r="P136" s="17" t="n">
        <x:v>0</x:v>
      </x:c>
      <x:c r="Q136" s="17" t="str">
        <x:v>Attack</x:v>
      </x:c>
      <x:c r="R136" s="18" t="str">
        <x:v>/Users/mac/Documents/智囊团/video_analysis/Top_Tycoon新号流程_20260804/frames/TT_NEW_06/TT_NEW_06_t000478.jpg</x:v>
      </x:c>
      <x:c r="S136" s="17" t="str">
        <x:v>00:08:22</x:v>
      </x:c>
      <x:c r="T136" s="17" t="str">
        <x:v>待复核</x:v>
      </x:c>
      <x:c r="U136" s="17" t="str">
        <x:v>B</x:v>
      </x:c>
      <x:c r="V136" s="17" t="str">
        <x:v>由逐秒能量变化推断；快速自动Spin可能需4fps补核</x:v>
      </x:c>
      <x:c r="W136" s="17" t="str">
        <x:v>Attack</x:v>
      </x:c>
      <x:c r="X136" s="17" t="str">
        <x:v>是</x:v>
      </x:c>
      <x:c r="Y136" s="17" t="str">
        <x:v>否</x:v>
      </x:c>
      <x:c r="Z136" s="17" t="str">
        <x:v>未知</x:v>
      </x:c>
      <x:c r="AA136" s="17" t="str">
        <x:v>未知</x:v>
      </x:c>
      <x:c r="AB136" s="17" t="str">
        <x:v>否</x:v>
      </x:c>
    </x:row>
    <x:row r="137">
      <x:c r="A137" s="17" t="str">
        <x:v>TT_NEW_06</x:v>
      </x:c>
      <x:c r="B137" s="17" t="str">
        <x:v>TT_NEW_06_S0045</x:v>
      </x:c>
      <x:c r="C137" s="17" t="str">
        <x:v>00:08:22</x:v>
      </x:c>
      <x:c r="D137" s="17" t="n">
        <x:v>502</x:v>
      </x:c>
      <x:c r="E137" s="17" t="n">
        <x:v>1</x:v>
      </x:c>
      <x:c r="F137" s="17" t="n">
        <x:v>5</x:v>
      </x:c>
      <x:c r="G137" s="17" t="n">
        <x:v>37</x:v>
      </x:c>
      <x:c r="H137" s="17" t="n">
        <x:v>32</x:v>
      </x:c>
      <x:c r="I137" s="17" t="n">
        <x:v>5</x:v>
      </x:c>
      <x:c r="J137" s="17" t="n">
        <x:v>0</x:v>
      </x:c>
      <x:c r="K137" s="17" t="n">
        <x:v>834054</x:v>
      </x:c>
      <x:c r="L137" s="17" t="n">
        <x:v>834054</x:v>
      </x:c>
      <x:c r="M137" s="17" t="n">
        <x:v>0</x:v>
      </x:c>
      <x:c r="N137" s="17" t="n">
        <x:v>165</x:v>
      </x:c>
      <x:c r="O137" s="17" t="n">
        <x:v>165</x:v>
      </x:c>
      <x:c r="P137" s="17" t="n">
        <x:v>0</x:v>
      </x:c>
      <x:c r="Q137" s="17" t="str">
        <x:v>Empty / no visible reward</x:v>
      </x:c>
      <x:c r="R137" s="18" t="str">
        <x:v>/Users/mac/Documents/智囊团/video_analysis/Top_Tycoon新号流程_20260804/evidence/event_supplements/TT_NEW_06_000500_4fps_contact.jpg</x:v>
      </x:c>
      <x:c r="S137" s="17" t="str">
        <x:v>00:08:24</x:v>
      </x:c>
      <x:c r="T137" s="17" t="str">
        <x:v>已确认</x:v>
      </x:c>
      <x:c r="U137" s="17" t="str">
        <x:v>A</x:v>
      </x:c>
      <x:c r="V137" s="17" t="str">
        <x:v>4fps事件补核，画面与余额前后值已人工复核</x:v>
      </x:c>
      <x:c r="W137" s="17" t="str">
        <x:v>空奖</x:v>
      </x:c>
      <x:c r="X137" s="17" t="str">
        <x:v>是</x:v>
      </x:c>
      <x:c r="Y137" s="17" t="str">
        <x:v>否</x:v>
      </x:c>
      <x:c r="Z137" s="17" t="str">
        <x:v>未知</x:v>
      </x:c>
      <x:c r="AA137" s="17" t="str">
        <x:v>未知</x:v>
      </x:c>
      <x:c r="AB137" s="17" t="str">
        <x:v>否</x:v>
      </x:c>
    </x:row>
    <x:row r="138">
      <x:c r="A138" s="17" t="str">
        <x:v>TT_NEW_06</x:v>
      </x:c>
      <x:c r="B138" s="17" t="str">
        <x:v>TT_NEW_06_S0046</x:v>
      </x:c>
      <x:c r="C138" s="17" t="str">
        <x:v>00:08:24</x:v>
      </x:c>
      <x:c r="D138" s="17" t="n">
        <x:v>504</x:v>
      </x:c>
      <x:c r="E138" s="17" t="n">
        <x:v>1</x:v>
      </x:c>
      <x:c r="F138" s="17" t="n">
        <x:v>5</x:v>
      </x:c>
      <x:c r="G138" s="17" t="n">
        <x:v>32</x:v>
      </x:c>
      <x:c r="H138" s="17" t="n">
        <x:v>27</x:v>
      </x:c>
      <x:c r="I138" s="17" t="n">
        <x:v>5</x:v>
      </x:c>
      <x:c r="J138" s="17" t="n">
        <x:v>0</x:v>
      </x:c>
      <x:c r="K138" s="17" t="n">
        <x:v>834054</x:v>
      </x:c>
      <x:c r="L138" s="17" t="n">
        <x:v>858397</x:v>
      </x:c>
      <x:c r="M138" s="17" t="n">
        <x:v>24343</x:v>
      </x:c>
      <x:c r="N138" s="17" t="n">
        <x:v>165</x:v>
      </x:c>
      <x:c r="O138" s="17" t="n">
        <x:v>165</x:v>
      </x:c>
      <x:c r="P138" s="17" t="n">
        <x:v>0</x:v>
      </x:c>
      <x:c r="Q138" s="17" t="str">
        <x:v>Coin</x:v>
      </x:c>
      <x:c r="R138" s="18" t="str">
        <x:v>/Users/mac/Documents/智囊团/video_analysis/Top_Tycoon新号流程_20260804/frames/TT_NEW_06/TT_NEW_06_t000504.jpg</x:v>
      </x:c>
      <x:c r="S138" s="17" t="str">
        <x:v>00:08:26</x:v>
      </x:c>
      <x:c r="T138" s="17" t="str">
        <x:v>待复核</x:v>
      </x:c>
      <x:c r="U138" s="17" t="str">
        <x:v>B</x:v>
      </x:c>
      <x:c r="V138" s="17" t="str">
        <x:v>由逐秒能量变化推断；快速自动Spin可能需4fps补核</x:v>
      </x:c>
      <x:c r="W138" s="17" t="str">
        <x:v>纯金币</x:v>
      </x:c>
      <x:c r="X138" s="17" t="str">
        <x:v>是</x:v>
      </x:c>
      <x:c r="Y138" s="17" t="str">
        <x:v>否</x:v>
      </x:c>
      <x:c r="Z138" s="17" t="str">
        <x:v>未知</x:v>
      </x:c>
      <x:c r="AA138" s="17" t="str">
        <x:v>未知</x:v>
      </x:c>
      <x:c r="AB138" s="17" t="str">
        <x:v>否</x:v>
      </x:c>
    </x:row>
    <x:row r="139">
      <x:c r="A139" s="17" t="str">
        <x:v>TT_NEW_06</x:v>
      </x:c>
      <x:c r="B139" s="17" t="str">
        <x:v>TT_NEW_06_S0047</x:v>
      </x:c>
      <x:c r="C139" s="17" t="str">
        <x:v>00:08:26</x:v>
      </x:c>
      <x:c r="D139" s="17" t="n">
        <x:v>506</x:v>
      </x:c>
      <x:c r="E139" s="17" t="n">
        <x:v>1</x:v>
      </x:c>
      <x:c r="F139" s="17" t="n">
        <x:v>5</x:v>
      </x:c>
      <x:c r="G139" s="17" t="n">
        <x:v>27</x:v>
      </x:c>
      <x:c r="H139" s="17" t="n">
        <x:v>22</x:v>
      </x:c>
      <x:c r="I139" s="17" t="n">
        <x:v>5</x:v>
      </x:c>
      <x:c r="J139" s="17" t="n">
        <x:v>0</x:v>
      </x:c>
      <x:c r="K139" s="17" t="n">
        <x:v>834054</x:v>
      </x:c>
      <x:c r="L139" s="17" t="n">
        <x:v>884054</x:v>
      </x:c>
      <x:c r="M139" s="17" t="n">
        <x:v>50000</x:v>
      </x:c>
      <x:c r="N139" s="17" t="n">
        <x:v>165</x:v>
      </x:c>
      <x:c r="O139" s="17" t="n">
        <x:v>165</x:v>
      </x:c>
      <x:c r="P139" s="17" t="n">
        <x:v>0</x:v>
      </x:c>
      <x:c r="Q139" s="17" t="str">
        <x:v>Coin</x:v>
      </x:c>
      <x:c r="R139" s="18" t="str">
        <x:v>/Users/mac/Documents/智囊团/video_analysis/Top_Tycoon新号流程_20260804/frames/TT_NEW_06/TT_NEW_06_t000506.jpg</x:v>
      </x:c>
      <x:c r="S139" s="17" t="str">
        <x:v>00:08:30</x:v>
      </x:c>
      <x:c r="T139" s="17" t="str">
        <x:v>待复核</x:v>
      </x:c>
      <x:c r="U139" s="17" t="str">
        <x:v>B</x:v>
      </x:c>
      <x:c r="V139" s="17" t="str">
        <x:v>由逐秒能量变化推断；快速自动Spin可能需4fps补核</x:v>
      </x:c>
      <x:c r="W139" s="17" t="str">
        <x:v>纯金币</x:v>
      </x:c>
      <x:c r="X139" s="17" t="str">
        <x:v>是</x:v>
      </x:c>
      <x:c r="Y139" s="17" t="str">
        <x:v>否</x:v>
      </x:c>
      <x:c r="Z139" s="17" t="str">
        <x:v>未知</x:v>
      </x:c>
      <x:c r="AA139" s="17" t="str">
        <x:v>未知</x:v>
      </x:c>
      <x:c r="AB139" s="17" t="str">
        <x:v>否</x:v>
      </x:c>
    </x:row>
    <x:row r="140">
      <x:c r="A140" s="17" t="str">
        <x:v>TT_NEW_06</x:v>
      </x:c>
      <x:c r="B140" s="17" t="str">
        <x:v>TT_NEW_06_S0048</x:v>
      </x:c>
      <x:c r="C140" s="17" t="str">
        <x:v>00:08:30</x:v>
      </x:c>
      <x:c r="D140" s="17" t="n">
        <x:v>510</x:v>
      </x:c>
      <x:c r="E140" s="17" t="n">
        <x:v>1</x:v>
      </x:c>
      <x:c r="F140" s="17" t="n">
        <x:v>5</x:v>
      </x:c>
      <x:c r="G140" s="17" t="n">
        <x:v>22</x:v>
      </x:c>
      <x:c r="H140" s="17" t="n">
        <x:v>17</x:v>
      </x:c>
      <x:c r="I140" s="17" t="n">
        <x:v>5</x:v>
      </x:c>
      <x:c r="J140" s="17" t="n">
        <x:v>0</x:v>
      </x:c>
      <x:c r="K140" s="17" t="n">
        <x:v>866543</x:v>
      </x:c>
      <x:c r="L140" s="17" t="n">
        <x:v>886554</x:v>
      </x:c>
      <x:c r="M140" s="17" t="n">
        <x:v>20011</x:v>
      </x:c>
      <x:c r="N140" s="17" t="n">
        <x:v>165</x:v>
      </x:c>
      <x:c r="O140" s="17" t="n">
        <x:v>165</x:v>
      </x:c>
      <x:c r="P140" s="17" t="n">
        <x:v>0</x:v>
      </x:c>
      <x:c r="Q140" s="17" t="str">
        <x:v>Coin</x:v>
      </x:c>
      <x:c r="R140" s="18" t="str">
        <x:v>/Users/mac/Documents/智囊团/video_analysis/Top_Tycoon新号流程_20260804/frames/TT_NEW_06/TT_NEW_06_t000510.jpg</x:v>
      </x:c>
      <x:c r="S140" s="17" t="str">
        <x:v>00:08:32</x:v>
      </x:c>
      <x:c r="T140" s="17" t="str">
        <x:v>待复核</x:v>
      </x:c>
      <x:c r="U140" s="17" t="str">
        <x:v>B</x:v>
      </x:c>
      <x:c r="V140" s="17" t="str">
        <x:v>由逐秒能量变化推断；快速自动Spin可能需4fps补核</x:v>
      </x:c>
      <x:c r="W140" s="17" t="str">
        <x:v>纯金币</x:v>
      </x:c>
      <x:c r="X140" s="17" t="str">
        <x:v>是</x:v>
      </x:c>
      <x:c r="Y140" s="17" t="str">
        <x:v>否</x:v>
      </x:c>
      <x:c r="Z140" s="17" t="str">
        <x:v>未知</x:v>
      </x:c>
      <x:c r="AA140" s="17" t="str">
        <x:v>未知</x:v>
      </x:c>
      <x:c r="AB140" s="17" t="str">
        <x:v>否</x:v>
      </x:c>
    </x:row>
    <x:row r="141">
      <x:c r="A141" s="17" t="str">
        <x:v>TT_NEW_06</x:v>
      </x:c>
      <x:c r="B141" s="17" t="str">
        <x:v>TT_NEW_06_S0049</x:v>
      </x:c>
      <x:c r="C141" s="17" t="str">
        <x:v>00:08:32</x:v>
      </x:c>
      <x:c r="D141" s="17" t="n">
        <x:v>512</x:v>
      </x:c>
      <x:c r="E141" s="17" t="n">
        <x:v>1</x:v>
      </x:c>
      <x:c r="F141" s="17" t="n">
        <x:v>5</x:v>
      </x:c>
      <x:c r="G141" s="17" t="n">
        <x:v>17</x:v>
      </x:c>
      <x:c r="H141" s="17" t="n">
        <x:v>12</x:v>
      </x:c>
      <x:c r="I141" s="17" t="n">
        <x:v>5</x:v>
      </x:c>
      <x:c r="J141" s="17" t="n">
        <x:v>0</x:v>
      </x:c>
      <x:c r="K141" s="17" t="n">
        <x:v>884054</x:v>
      </x:c>
      <x:c r="L141" s="17" t="n">
        <x:v>886554</x:v>
      </x:c>
      <x:c r="M141" s="17" t="n">
        <x:v>2500</x:v>
      </x:c>
      <x:c r="N141" s="17" t="n">
        <x:v>165</x:v>
      </x:c>
      <x:c r="O141" s="17" t="n">
        <x:v>165</x:v>
      </x:c>
      <x:c r="P141" s="17" t="n">
        <x:v>0</x:v>
      </x:c>
      <x:c r="Q141" s="17" t="str">
        <x:v>Coin</x:v>
      </x:c>
      <x:c r="R141" s="18" t="str">
        <x:v>/Users/mac/Documents/智囊团/video_analysis/Top_Tycoon新号流程_20260804/frames/TT_NEW_06/TT_NEW_06_t000512.jpg</x:v>
      </x:c>
      <x:c r="S141" s="17" t="str">
        <x:v>00:08:34</x:v>
      </x:c>
      <x:c r="T141" s="17" t="str">
        <x:v>待复核</x:v>
      </x:c>
      <x:c r="U141" s="17" t="str">
        <x:v>B</x:v>
      </x:c>
      <x:c r="V141" s="17" t="str">
        <x:v>由逐秒能量变化推断；快速自动Spin可能需4fps补核</x:v>
      </x:c>
      <x:c r="W141" s="17" t="str">
        <x:v>纯金币</x:v>
      </x:c>
      <x:c r="X141" s="17" t="str">
        <x:v>是</x:v>
      </x:c>
      <x:c r="Y141" s="17" t="str">
        <x:v>否</x:v>
      </x:c>
      <x:c r="Z141" s="17" t="str">
        <x:v>未知</x:v>
      </x:c>
      <x:c r="AA141" s="17" t="str">
        <x:v>未知</x:v>
      </x:c>
      <x:c r="AB141" s="17" t="str">
        <x:v>否</x:v>
      </x:c>
    </x:row>
  </x:sheetData>
  <x:pageMargins left="0.7" right="0.7" top="0.75" bottom="0.75" header="0.3" footer="0.3"/>
  <x:tableParts count="1">
    <x:tablePart xmlns:r="http://schemas.openxmlformats.org/officeDocument/2006/relationships" r:id="R0bace01369ad41e5"/>
  </x:tableParts>
</x:worksheet>
</file>