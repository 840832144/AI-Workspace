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5"/>
  </bookViews>
  <sheets>
    <sheet name="膨胀后" sheetId="1" state="hidden" r:id="rId1"/>
    <sheet name="旧版" sheetId="11" r:id="rId2"/>
    <sheet name="膨胀后新版" sheetId="4" r:id="rId3"/>
    <sheet name="10.24调整" sheetId="10" r:id="rId4"/>
    <sheet name="老虎机掉卡包旧版" sheetId="6" state="hidden" r:id="rId5"/>
    <sheet name="老虎机掉卡包新版" sheetId="12" r:id="rId6"/>
    <sheet name="Sheet1" sheetId="7" state="hidden" r:id="rId7"/>
    <sheet name="Sheet2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<sst xmlns="http://schemas.openxmlformats.org/spreadsheetml/2006/main" count="353" uniqueCount="44">
  <si>
    <t>基础金币/美金</t>
  </si>
  <si>
    <t>章节</t>
  </si>
  <si>
    <t>金币</t>
  </si>
  <si>
    <t>美金</t>
  </si>
  <si>
    <t>最大星级</t>
  </si>
  <si>
    <t>底注</t>
  </si>
  <si>
    <t>//筹码下限</t>
  </si>
  <si>
    <t>一局消耗</t>
  </si>
  <si>
    <t>消耗美金</t>
  </si>
  <si>
    <t>//卡包id1</t>
  </si>
  <si>
    <t>//概率</t>
  </si>
  <si>
    <t>产出卡包</t>
  </si>
  <si>
    <t>//卡包id2</t>
  </si>
  <si>
    <t>//卡包id3</t>
  </si>
  <si>
    <t>单局上限</t>
  </si>
  <si>
    <t>平均小轮数</t>
  </si>
  <si>
    <t>set/star</t>
  </si>
  <si>
    <t>gold4</t>
  </si>
  <si>
    <t>gold5</t>
  </si>
  <si>
    <t>gold6</t>
  </si>
  <si>
    <t>合计</t>
  </si>
  <si>
    <t/>
  </si>
  <si>
    <t>平均倍率</t>
  </si>
  <si>
    <t>抽水</t>
  </si>
  <si>
    <t>单局产出卡包</t>
  </si>
  <si>
    <t>卡包数量</t>
  </si>
  <si>
    <t>all</t>
  </si>
  <si>
    <t>基础</t>
  </si>
  <si>
    <t>需要牌局数</t>
  </si>
  <si>
    <t>星级</t>
  </si>
  <si>
    <t>需要开卡次数</t>
  </si>
  <si>
    <t>集满奖励</t>
  </si>
  <si>
    <t>集满美金</t>
  </si>
  <si>
    <t>最低牌局数</t>
  </si>
  <si>
    <t>卡包</t>
  </si>
  <si>
    <t>卡包价值</t>
  </si>
  <si>
    <t>入场花费美金</t>
  </si>
  <si>
    <t>一局金币</t>
  </si>
  <si>
    <t>消费返还</t>
  </si>
  <si>
    <t>消耗返还</t>
  </si>
  <si>
    <t>累计花费美金</t>
  </si>
  <si>
    <t>gold3</t>
  </si>
  <si>
    <t>需要spin次数</t>
  </si>
  <si>
    <t>最spin次数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</si>
</sst>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0000_ ;_ * \-#,##0.00000_ ;_ * &quot;-&quot;??.00000_ ;_ @_ "/>
    <numFmt numFmtId="178" formatCode="_ * #,##0.00_ ;_ * \-#,##0.00_ ;_ * &quot;-&quot;??.00_ ;_ @_ "/>
    <numFmt numFmtId="179" formatCode="_ * #,##0.000_ ;_ * \-#,##0.000_ ;_ * &quot;-&quot;??.0_ ;_ @_ "/>
    <numFmt numFmtId="180" formatCode="_ * #,##0.0_ ;_ * \-#,##0.0_ ;_ * &quot;-&quot;??.0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5" borderId="6">
      <alignment vertical="center"/>
    </xf>
    <xf numFmtId="0" fontId="11" fillId="6" borderId="7">
      <alignment vertical="center"/>
    </xf>
    <xf numFmtId="0" fontId="12" fillId="6" borderId="6">
      <alignment vertical="center"/>
    </xf>
    <xf numFmtId="0" fontId="13" fillId="7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2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3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7"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3" fontId="0" fillId="0" borderId="0" xfId="3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9" fontId="0" fillId="0" borderId="1" xfId="3" applyBorder="1">
      <alignment vertical="center"/>
    </xf>
    <xf numFmtId="180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149225</xdr:colOff>
      <xdr:row>22</xdr:row>
      <xdr:rowOff>154940</xdr:rowOff>
    </xdr:from>
    <xdr:to>
      <xdr:col>12</xdr:col>
      <xdr:colOff>461645</xdr:colOff>
      <xdr:row>32</xdr:row>
      <xdr:rowOff>160020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08060" y="3926840"/>
          <a:ext cx="1960245" cy="1719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149225</xdr:colOff>
      <xdr:row>22</xdr:row>
      <xdr:rowOff>154940</xdr:rowOff>
    </xdr:from>
    <xdr:to>
      <xdr:col>12</xdr:col>
      <xdr:colOff>461645</xdr:colOff>
      <xdr:row>32</xdr:row>
      <xdr:rowOff>160020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08060" y="3926840"/>
          <a:ext cx="1960245" cy="1719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149225</xdr:colOff>
      <xdr:row>22</xdr:row>
      <xdr:rowOff>154940</xdr:rowOff>
    </xdr:from>
    <xdr:to>
      <xdr:col>5</xdr:col>
      <xdr:colOff>461645</xdr:colOff>
      <xdr:row>32</xdr:row>
      <xdr:rowOff>160020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01975" y="3926840"/>
          <a:ext cx="1960245" cy="1719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6985</xdr:colOff>
      <xdr:row>26</xdr:row>
      <xdr:rowOff>163195</xdr:rowOff>
    </xdr:from>
    <xdr:to>
      <xdr:col>5</xdr:col>
      <xdr:colOff>319405</xdr:colOff>
      <xdr:row>36</xdr:row>
      <xdr:rowOff>168275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9735" y="4620895"/>
          <a:ext cx="1960245" cy="1719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6985</xdr:colOff>
      <xdr:row>26</xdr:row>
      <xdr:rowOff>163195</xdr:rowOff>
    </xdr:from>
    <xdr:to>
      <xdr:col>5</xdr:col>
      <xdr:colOff>319405</xdr:colOff>
      <xdr:row>36</xdr:row>
      <xdr:rowOff>168275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9735" y="4620895"/>
          <a:ext cx="1960245" cy="1719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1"/>
  <sheetViews>
    <sheetView zoomScale="115" zoomScaleNormal="115" topLeftCell="B1" workbookViewId="0">
      <selection activeCell="J12" sqref="J12"/>
    </sheetView>
  </sheetViews>
  <sheetFormatPr defaultColWidth="9" defaultRowHeight="13.5"/>
  <cols>
    <col min="1" max="1" width="12.3833333333333" style="4" customWidth="1"/>
    <col min="2" max="3" width="9" style="4"/>
    <col min="4" max="4" width="14.875" style="5" customWidth="1"/>
    <col min="5" max="8" width="9" style="4"/>
    <col min="9" max="9" width="17.125" style="5"/>
    <col min="10" max="11" width="12.625" style="4"/>
    <col min="12" max="12" width="9" style="4"/>
    <col min="13" max="13" width="14" style="4" customWidth="1"/>
    <col min="14" max="14" width="9" style="4"/>
    <col min="15" max="17" width="13.7583333333333" style="5" customWidth="1"/>
    <col min="18" max="18" width="12.625" style="5" customWidth="1"/>
    <col min="19" max="21" width="16" style="4"/>
    <col min="22" max="22" width="18.2583333333333" style="4"/>
    <col min="23" max="29" width="16" style="4"/>
    <col min="30" max="32" width="12.625" style="4" customWidth="1"/>
    <col min="33" max="44" width="9" style="4"/>
    <col min="45" max="45" width="12.875" style="4" customWidth="1"/>
    <col min="46" max="16384" width="9" style="4"/>
  </cols>
  <sheetData>
    <row r="1" spans="1:42">
      <c r="A1" s="4" t="s">
        <v>0</v>
      </c>
      <c r="C1" s="6" t="s">
        <v>1</v>
      </c>
      <c r="D1" s="7" t="s">
        <v>2</v>
      </c>
      <c r="E1" s="6" t="s">
        <v>3</v>
      </c>
      <c r="H1" s="6" t="s">
        <v>1</v>
      </c>
      <c r="I1" s="7" t="s">
        <v>2</v>
      </c>
      <c r="J1" s="6" t="s">
        <v>3</v>
      </c>
      <c r="K1" s="6" t="s">
        <v>4</v>
      </c>
      <c r="M1" s="6" t="s">
        <v>0</v>
      </c>
      <c r="O1" s="7" t="s">
        <v>5</v>
      </c>
      <c r="P1" s="7" t="s">
        <v>6</v>
      </c>
      <c r="Q1" s="7" t="s">
        <v>7</v>
      </c>
      <c r="R1" s="7" t="s">
        <v>8</v>
      </c>
      <c r="S1" s="6" t="s">
        <v>9</v>
      </c>
      <c r="T1" s="6" t="s">
        <v>10</v>
      </c>
      <c r="U1" s="6" t="s">
        <v>11</v>
      </c>
      <c r="V1" s="6" t="s">
        <v>12</v>
      </c>
      <c r="W1" s="6" t="s">
        <v>10</v>
      </c>
      <c r="X1" s="6"/>
      <c r="Y1" s="6" t="s">
        <v>13</v>
      </c>
      <c r="Z1" s="6" t="s">
        <v>10</v>
      </c>
      <c r="AA1" s="6"/>
      <c r="AB1" s="6" t="s">
        <v>14</v>
      </c>
      <c r="AC1" s="6" t="s">
        <v>15</v>
      </c>
      <c r="AF1" s="8" t="s">
        <v>16</v>
      </c>
      <c r="AG1" s="8">
        <v>1</v>
      </c>
      <c r="AH1" s="8">
        <v>2</v>
      </c>
      <c r="AI1" s="8">
        <v>3</v>
      </c>
      <c r="AJ1" s="8">
        <v>4</v>
      </c>
      <c r="AK1" s="8">
        <v>5</v>
      </c>
      <c r="AL1" s="8">
        <v>6</v>
      </c>
      <c r="AM1" s="8" t="s">
        <v>17</v>
      </c>
      <c r="AN1" s="8" t="s">
        <v>18</v>
      </c>
      <c r="AO1" s="8" t="s">
        <v>19</v>
      </c>
      <c r="AP1" s="8" t="s">
        <v>20</v>
      </c>
    </row>
    <row r="2" spans="1:42">
      <c r="A2" s="5">
        <v>250000</v>
      </c>
      <c r="C2" s="6">
        <v>1</v>
      </c>
      <c r="D2" s="7">
        <v>100000</v>
      </c>
      <c r="E2" s="6">
        <f>D2/$A$2</f>
        <v>0.4</v>
      </c>
      <c r="H2" s="6">
        <v>1</v>
      </c>
      <c r="I2" s="7">
        <f>J2*$M$2</f>
        <v>2500000</v>
      </c>
      <c r="J2" s="6">
        <v>2.5</v>
      </c>
      <c r="K2" s="6">
        <v>1</v>
      </c>
      <c r="M2" s="7">
        <v>1000000</v>
      </c>
      <c r="O2" s="7">
        <v>1000</v>
      </c>
      <c r="P2" s="7">
        <v>5000</v>
      </c>
      <c r="Q2" s="7">
        <f>O2*$M$4*$M$6</f>
        <v>7000</v>
      </c>
      <c r="R2" s="10">
        <f>Q2/$M$2</f>
        <v>0.007</v>
      </c>
      <c r="S2" s="6" t="s">
        <v>21</v>
      </c>
      <c r="T2" s="6" t="s">
        <v>21</v>
      </c>
      <c r="U2" s="6"/>
      <c r="V2" s="6" t="s">
        <v>21</v>
      </c>
      <c r="W2" s="6" t="s">
        <v>21</v>
      </c>
      <c r="X2" s="10"/>
      <c r="Y2" s="6" t="s">
        <v>21</v>
      </c>
      <c r="Z2" s="6" t="s">
        <v>21</v>
      </c>
      <c r="AA2" s="6"/>
      <c r="AB2" s="6">
        <v>1</v>
      </c>
      <c r="AC2" s="6">
        <v>13</v>
      </c>
      <c r="AF2" s="8">
        <v>1</v>
      </c>
      <c r="AG2" s="8">
        <v>8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8</v>
      </c>
    </row>
    <row r="3" spans="1:42">
      <c r="C3" s="6">
        <v>2</v>
      </c>
      <c r="D3" s="7">
        <v>150000</v>
      </c>
      <c r="E3" s="6">
        <f t="shared" ref="E3:E21" si="0">D3/$A$2</f>
        <v>0.6</v>
      </c>
      <c r="H3" s="6">
        <v>2</v>
      </c>
      <c r="I3" s="7">
        <f t="shared" ref="I3:I21" si="1">J3*$M$2</f>
        <v>2700000</v>
      </c>
      <c r="J3" s="6">
        <v>2.7</v>
      </c>
      <c r="K3" s="6">
        <v>2</v>
      </c>
      <c r="M3" s="6" t="s">
        <v>22</v>
      </c>
      <c r="O3" s="7">
        <v>3000</v>
      </c>
      <c r="P3" s="7">
        <v>210000</v>
      </c>
      <c r="Q3" s="7">
        <f t="shared" ref="Q3:Q10" si="2">O3*$M$4*$M$6</f>
        <v>21000</v>
      </c>
      <c r="R3" s="10">
        <f t="shared" ref="R3:R10" si="3">Q3/$M$2</f>
        <v>0.021</v>
      </c>
      <c r="S3" s="6"/>
      <c r="T3" s="6"/>
      <c r="U3" s="6"/>
      <c r="V3" s="6"/>
      <c r="W3" s="6"/>
      <c r="X3" s="6"/>
      <c r="Y3" s="6"/>
      <c r="Z3" s="6"/>
      <c r="AA3" s="6"/>
      <c r="AB3" s="6">
        <v>1</v>
      </c>
      <c r="AC3" s="6">
        <v>13</v>
      </c>
      <c r="AF3" s="8">
        <v>2</v>
      </c>
      <c r="AG3" s="8">
        <v>7</v>
      </c>
      <c r="AH3" s="8">
        <v>1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8</v>
      </c>
    </row>
    <row r="4" spans="1:42">
      <c r="C4" s="6">
        <v>3</v>
      </c>
      <c r="D4" s="7">
        <v>300000</v>
      </c>
      <c r="E4" s="6">
        <f t="shared" si="0"/>
        <v>1.2</v>
      </c>
      <c r="H4" s="6">
        <v>3</v>
      </c>
      <c r="I4" s="7">
        <f t="shared" si="1"/>
        <v>3000000</v>
      </c>
      <c r="J4" s="6">
        <v>3</v>
      </c>
      <c r="K4" s="6">
        <v>2</v>
      </c>
      <c r="M4" s="6">
        <v>70</v>
      </c>
      <c r="O4" s="7">
        <v>10000</v>
      </c>
      <c r="P4" s="7">
        <v>700000</v>
      </c>
      <c r="Q4" s="7">
        <f t="shared" si="2"/>
        <v>70000</v>
      </c>
      <c r="R4" s="10">
        <f t="shared" si="3"/>
        <v>0.07</v>
      </c>
      <c r="S4" s="6">
        <v>1</v>
      </c>
      <c r="T4" s="6">
        <v>750</v>
      </c>
      <c r="U4" s="6">
        <f t="shared" ref="U3:U6" si="4">T4*$AC4/10000</f>
        <v>0.975</v>
      </c>
      <c r="V4" s="6"/>
      <c r="W4" s="6"/>
      <c r="X4" s="6"/>
      <c r="Y4" s="6"/>
      <c r="Z4" s="6"/>
      <c r="AA4" s="6"/>
      <c r="AB4" s="6">
        <v>1</v>
      </c>
      <c r="AC4" s="6">
        <v>13</v>
      </c>
      <c r="AD4" s="4">
        <f>SUM(T4+W4+Z4)</f>
        <v>750</v>
      </c>
      <c r="AF4" s="8">
        <v>3</v>
      </c>
      <c r="AG4" s="8">
        <v>6</v>
      </c>
      <c r="AH4" s="8">
        <v>2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8</v>
      </c>
    </row>
    <row r="5" spans="1:42">
      <c r="C5" s="6">
        <v>4</v>
      </c>
      <c r="D5" s="7">
        <v>500000</v>
      </c>
      <c r="E5" s="6">
        <f t="shared" si="0"/>
        <v>2</v>
      </c>
      <c r="H5" s="6">
        <v>4</v>
      </c>
      <c r="I5" s="7">
        <f t="shared" si="1"/>
        <v>3200000</v>
      </c>
      <c r="J5" s="6">
        <v>3.2</v>
      </c>
      <c r="K5" s="6">
        <v>2</v>
      </c>
      <c r="M5" s="6" t="s">
        <v>23</v>
      </c>
      <c r="O5" s="7">
        <v>20000</v>
      </c>
      <c r="P5" s="7">
        <v>1400000</v>
      </c>
      <c r="Q5" s="7">
        <f t="shared" si="2"/>
        <v>140000</v>
      </c>
      <c r="R5" s="10">
        <f t="shared" si="3"/>
        <v>0.14</v>
      </c>
      <c r="S5" s="6">
        <v>1</v>
      </c>
      <c r="T5" s="6">
        <v>400</v>
      </c>
      <c r="U5" s="6">
        <f t="shared" si="4"/>
        <v>0.52</v>
      </c>
      <c r="V5" s="6">
        <v>2</v>
      </c>
      <c r="W5" s="6">
        <v>300</v>
      </c>
      <c r="X5" s="6">
        <f>W5*$AC5/10000</f>
        <v>0.39</v>
      </c>
      <c r="Y5" s="6"/>
      <c r="Z5" s="6"/>
      <c r="AA5" s="6"/>
      <c r="AB5" s="6">
        <v>1</v>
      </c>
      <c r="AC5" s="6">
        <v>13</v>
      </c>
      <c r="AD5" s="4">
        <f t="shared" ref="AD5:AD10" si="5">SUM(T5+W5+Z5)</f>
        <v>700</v>
      </c>
      <c r="AF5" s="8">
        <v>4</v>
      </c>
      <c r="AG5" s="8">
        <v>4</v>
      </c>
      <c r="AH5" s="8">
        <v>4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8</v>
      </c>
    </row>
    <row r="6" spans="1:42">
      <c r="C6" s="6">
        <v>5</v>
      </c>
      <c r="D6" s="7">
        <v>1000000</v>
      </c>
      <c r="E6" s="6">
        <f t="shared" si="0"/>
        <v>4</v>
      </c>
      <c r="H6" s="6">
        <v>5</v>
      </c>
      <c r="I6" s="7">
        <f t="shared" si="1"/>
        <v>3400000</v>
      </c>
      <c r="J6" s="6">
        <v>3.4</v>
      </c>
      <c r="K6" s="6">
        <v>2</v>
      </c>
      <c r="M6" s="6">
        <v>0.1</v>
      </c>
      <c r="O6" s="7">
        <v>50000</v>
      </c>
      <c r="P6" s="7">
        <v>3500000</v>
      </c>
      <c r="Q6" s="7">
        <f t="shared" si="2"/>
        <v>350000</v>
      </c>
      <c r="R6" s="10">
        <f t="shared" si="3"/>
        <v>0.35</v>
      </c>
      <c r="S6" s="6">
        <v>2</v>
      </c>
      <c r="T6" s="6">
        <v>400</v>
      </c>
      <c r="U6" s="6">
        <f t="shared" si="4"/>
        <v>0.52</v>
      </c>
      <c r="V6" s="6">
        <v>3</v>
      </c>
      <c r="W6" s="6">
        <v>400</v>
      </c>
      <c r="X6" s="6">
        <f>W6*$AC6/10000</f>
        <v>0.52</v>
      </c>
      <c r="Y6" s="6">
        <v>4</v>
      </c>
      <c r="Z6" s="6">
        <v>300</v>
      </c>
      <c r="AA6" s="6">
        <f>Z6*$AC6/10000</f>
        <v>0.39</v>
      </c>
      <c r="AB6" s="6">
        <v>1</v>
      </c>
      <c r="AC6" s="6">
        <v>13</v>
      </c>
      <c r="AD6" s="4">
        <f t="shared" si="5"/>
        <v>1100</v>
      </c>
      <c r="AF6" s="8">
        <v>5</v>
      </c>
      <c r="AG6" s="8">
        <v>3</v>
      </c>
      <c r="AH6" s="8">
        <v>5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8</v>
      </c>
    </row>
    <row r="7" spans="1:42">
      <c r="C7" s="6">
        <v>6</v>
      </c>
      <c r="D7" s="7">
        <v>1200000</v>
      </c>
      <c r="E7" s="6">
        <f t="shared" si="0"/>
        <v>4.8</v>
      </c>
      <c r="H7" s="6">
        <v>6</v>
      </c>
      <c r="I7" s="7">
        <f t="shared" si="1"/>
        <v>3500000</v>
      </c>
      <c r="J7" s="6">
        <v>3.5</v>
      </c>
      <c r="K7" s="6">
        <v>3</v>
      </c>
      <c r="O7" s="7">
        <v>100000</v>
      </c>
      <c r="P7" s="7">
        <v>7000000</v>
      </c>
      <c r="Q7" s="7">
        <f t="shared" si="2"/>
        <v>700000</v>
      </c>
      <c r="R7" s="10">
        <f t="shared" si="3"/>
        <v>0.7</v>
      </c>
      <c r="S7" s="6">
        <v>3</v>
      </c>
      <c r="T7" s="6">
        <v>300</v>
      </c>
      <c r="U7" s="6">
        <f t="shared" ref="U4:U10" si="6">T7*$AC7/10000</f>
        <v>0.39</v>
      </c>
      <c r="V7" s="6">
        <v>4</v>
      </c>
      <c r="W7" s="6">
        <v>250</v>
      </c>
      <c r="X7" s="6">
        <f t="shared" ref="X3:X10" si="7">W7*$AC7/10000</f>
        <v>0.325</v>
      </c>
      <c r="Y7" s="6">
        <v>5</v>
      </c>
      <c r="Z7" s="6">
        <v>200</v>
      </c>
      <c r="AA7" s="6">
        <f t="shared" ref="AA5:AA10" si="8">Z7*$AC7/10000</f>
        <v>0.26</v>
      </c>
      <c r="AB7" s="6">
        <v>1</v>
      </c>
      <c r="AC7" s="6">
        <v>13</v>
      </c>
      <c r="AD7" s="4">
        <f t="shared" si="5"/>
        <v>750</v>
      </c>
      <c r="AF7" s="8">
        <v>6</v>
      </c>
      <c r="AG7" s="8">
        <v>2</v>
      </c>
      <c r="AH7" s="8">
        <v>5</v>
      </c>
      <c r="AI7" s="8">
        <v>1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8</v>
      </c>
    </row>
    <row r="8" spans="1:42">
      <c r="C8" s="6">
        <v>7</v>
      </c>
      <c r="D8" s="7">
        <v>1500000</v>
      </c>
      <c r="E8" s="6">
        <f t="shared" si="0"/>
        <v>6</v>
      </c>
      <c r="H8" s="6">
        <v>7</v>
      </c>
      <c r="I8" s="7">
        <f t="shared" si="1"/>
        <v>3600000</v>
      </c>
      <c r="J8" s="6">
        <v>3.6</v>
      </c>
      <c r="K8" s="6">
        <v>3</v>
      </c>
      <c r="O8" s="7">
        <v>200000</v>
      </c>
      <c r="P8" s="7">
        <v>14000000</v>
      </c>
      <c r="Q8" s="7">
        <f t="shared" si="2"/>
        <v>1400000</v>
      </c>
      <c r="R8" s="10">
        <f t="shared" si="3"/>
        <v>1.4</v>
      </c>
      <c r="S8" s="6">
        <v>4</v>
      </c>
      <c r="T8" s="6">
        <v>300</v>
      </c>
      <c r="U8" s="6">
        <f t="shared" si="6"/>
        <v>0.39</v>
      </c>
      <c r="V8" s="6">
        <v>5</v>
      </c>
      <c r="W8" s="6">
        <v>250</v>
      </c>
      <c r="X8" s="6">
        <f t="shared" si="7"/>
        <v>0.325</v>
      </c>
      <c r="Y8" s="6">
        <v>6</v>
      </c>
      <c r="Z8" s="6">
        <v>200</v>
      </c>
      <c r="AA8" s="6">
        <f t="shared" si="8"/>
        <v>0.26</v>
      </c>
      <c r="AB8" s="6">
        <v>2</v>
      </c>
      <c r="AC8" s="6">
        <v>13</v>
      </c>
      <c r="AD8" s="4">
        <f t="shared" si="5"/>
        <v>750</v>
      </c>
      <c r="AF8" s="8">
        <v>7</v>
      </c>
      <c r="AG8" s="8">
        <v>1</v>
      </c>
      <c r="AH8" s="8">
        <v>4</v>
      </c>
      <c r="AI8" s="8">
        <v>3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8</v>
      </c>
    </row>
    <row r="9" spans="1:42">
      <c r="C9" s="6">
        <v>8</v>
      </c>
      <c r="D9" s="7">
        <v>1800000</v>
      </c>
      <c r="E9" s="6">
        <f t="shared" si="0"/>
        <v>7.2</v>
      </c>
      <c r="H9" s="6">
        <v>8</v>
      </c>
      <c r="I9" s="7">
        <f t="shared" si="1"/>
        <v>3700000</v>
      </c>
      <c r="J9" s="6">
        <v>3.7</v>
      </c>
      <c r="K9" s="6">
        <v>3</v>
      </c>
      <c r="O9" s="7">
        <v>500000</v>
      </c>
      <c r="P9" s="7">
        <v>35000000</v>
      </c>
      <c r="Q9" s="7">
        <f t="shared" si="2"/>
        <v>3500000</v>
      </c>
      <c r="R9" s="10">
        <f t="shared" si="3"/>
        <v>3.5</v>
      </c>
      <c r="S9" s="6">
        <v>4</v>
      </c>
      <c r="T9" s="6">
        <v>350</v>
      </c>
      <c r="U9" s="6">
        <f t="shared" si="6"/>
        <v>0.455</v>
      </c>
      <c r="V9" s="6">
        <v>5</v>
      </c>
      <c r="W9" s="6">
        <v>300</v>
      </c>
      <c r="X9" s="6">
        <f t="shared" si="7"/>
        <v>0.39</v>
      </c>
      <c r="Y9" s="6">
        <v>6</v>
      </c>
      <c r="Z9" s="6">
        <v>250</v>
      </c>
      <c r="AA9" s="6">
        <f t="shared" si="8"/>
        <v>0.325</v>
      </c>
      <c r="AB9" s="6">
        <v>3</v>
      </c>
      <c r="AC9" s="6">
        <v>13</v>
      </c>
      <c r="AD9" s="4">
        <f t="shared" si="5"/>
        <v>900</v>
      </c>
      <c r="AF9" s="8">
        <v>8</v>
      </c>
      <c r="AG9" s="8">
        <v>0</v>
      </c>
      <c r="AH9" s="8">
        <v>4</v>
      </c>
      <c r="AI9" s="8">
        <v>4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8</v>
      </c>
    </row>
    <row r="10" spans="1:42">
      <c r="C10" s="6">
        <v>9</v>
      </c>
      <c r="D10" s="7">
        <v>2000000</v>
      </c>
      <c r="E10" s="6">
        <f t="shared" si="0"/>
        <v>8</v>
      </c>
      <c r="H10" s="6">
        <v>9</v>
      </c>
      <c r="I10" s="7">
        <f t="shared" si="1"/>
        <v>20000000</v>
      </c>
      <c r="J10" s="6">
        <v>20</v>
      </c>
      <c r="K10" s="6">
        <v>4</v>
      </c>
      <c r="O10" s="7">
        <v>1000000</v>
      </c>
      <c r="P10" s="7">
        <v>70000000</v>
      </c>
      <c r="Q10" s="7">
        <f t="shared" si="2"/>
        <v>7000000</v>
      </c>
      <c r="R10" s="10">
        <f t="shared" si="3"/>
        <v>7</v>
      </c>
      <c r="S10" s="6">
        <v>4</v>
      </c>
      <c r="T10" s="6">
        <v>400</v>
      </c>
      <c r="U10" s="6">
        <f t="shared" si="6"/>
        <v>0.52</v>
      </c>
      <c r="V10" s="6">
        <v>5</v>
      </c>
      <c r="W10" s="6">
        <v>350</v>
      </c>
      <c r="X10" s="6">
        <f t="shared" si="7"/>
        <v>0.455</v>
      </c>
      <c r="Y10" s="6">
        <v>6</v>
      </c>
      <c r="Z10" s="6">
        <v>300</v>
      </c>
      <c r="AA10" s="6">
        <f t="shared" si="8"/>
        <v>0.39</v>
      </c>
      <c r="AB10" s="6">
        <v>4</v>
      </c>
      <c r="AC10" s="6">
        <v>13</v>
      </c>
      <c r="AD10" s="4">
        <f t="shared" si="5"/>
        <v>1050</v>
      </c>
      <c r="AF10" s="8">
        <v>9</v>
      </c>
      <c r="AG10" s="8">
        <v>0</v>
      </c>
      <c r="AH10" s="8">
        <v>3</v>
      </c>
      <c r="AI10" s="8">
        <v>4</v>
      </c>
      <c r="AJ10" s="8">
        <v>1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8</v>
      </c>
    </row>
    <row r="11" spans="1:42">
      <c r="C11" s="6">
        <v>10</v>
      </c>
      <c r="D11" s="7">
        <v>2500000</v>
      </c>
      <c r="E11" s="6">
        <f t="shared" si="0"/>
        <v>10</v>
      </c>
      <c r="H11" s="6">
        <v>10</v>
      </c>
      <c r="I11" s="7">
        <f t="shared" si="1"/>
        <v>25000000</v>
      </c>
      <c r="J11" s="6">
        <v>25</v>
      </c>
      <c r="K11" s="6">
        <v>4</v>
      </c>
      <c r="AF11" s="8">
        <v>10</v>
      </c>
      <c r="AG11" s="8">
        <v>0</v>
      </c>
      <c r="AH11" s="8">
        <v>3</v>
      </c>
      <c r="AI11" s="8">
        <v>3</v>
      </c>
      <c r="AJ11" s="8">
        <v>2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8</v>
      </c>
    </row>
    <row r="12" spans="1:42">
      <c r="C12" s="6">
        <v>11</v>
      </c>
      <c r="D12" s="7">
        <v>3000000</v>
      </c>
      <c r="E12" s="6">
        <f t="shared" si="0"/>
        <v>12</v>
      </c>
      <c r="H12" s="6">
        <v>11</v>
      </c>
      <c r="I12" s="7">
        <f t="shared" si="1"/>
        <v>27000000</v>
      </c>
      <c r="J12" s="6">
        <v>27</v>
      </c>
      <c r="K12" s="6">
        <v>5</v>
      </c>
      <c r="M12" s="4" t="s">
        <v>24</v>
      </c>
      <c r="O12" s="7" t="s">
        <v>25</v>
      </c>
      <c r="P12" s="7">
        <v>1</v>
      </c>
      <c r="Q12" s="7">
        <v>2</v>
      </c>
      <c r="R12" s="7">
        <v>3</v>
      </c>
      <c r="S12" s="7">
        <v>4</v>
      </c>
      <c r="T12" s="7">
        <v>5</v>
      </c>
      <c r="U12" s="7">
        <v>6</v>
      </c>
      <c r="AF12" s="8">
        <v>11</v>
      </c>
      <c r="AG12" s="8">
        <v>0</v>
      </c>
      <c r="AH12" s="8">
        <v>1</v>
      </c>
      <c r="AI12" s="8">
        <v>4</v>
      </c>
      <c r="AJ12" s="8">
        <v>2</v>
      </c>
      <c r="AK12" s="8">
        <v>0</v>
      </c>
      <c r="AL12" s="8">
        <v>0</v>
      </c>
      <c r="AM12" s="8">
        <v>1</v>
      </c>
      <c r="AN12" s="8">
        <v>0</v>
      </c>
      <c r="AO12" s="8">
        <v>0</v>
      </c>
      <c r="AP12" s="8">
        <v>8</v>
      </c>
    </row>
    <row r="13" spans="1:42">
      <c r="C13" s="6">
        <v>12</v>
      </c>
      <c r="D13" s="7">
        <v>3500000</v>
      </c>
      <c r="E13" s="6">
        <f t="shared" si="0"/>
        <v>14</v>
      </c>
      <c r="H13" s="6">
        <v>12</v>
      </c>
      <c r="I13" s="7">
        <f t="shared" si="1"/>
        <v>29000000</v>
      </c>
      <c r="J13" s="6">
        <v>29</v>
      </c>
      <c r="K13" s="6">
        <v>5</v>
      </c>
      <c r="O13" s="7">
        <v>1000</v>
      </c>
      <c r="P13" s="12">
        <f t="shared" ref="P13:U13" si="9">IF($S2=P$12,$U2,0)+IF($V2=P$12,$X2,0)+IF($Y2=P$12,$AA2,0)</f>
        <v>0</v>
      </c>
      <c r="Q13" s="12">
        <f t="shared" si="9"/>
        <v>0</v>
      </c>
      <c r="R13" s="12">
        <f t="shared" si="9"/>
        <v>0</v>
      </c>
      <c r="S13" s="12">
        <f t="shared" si="9"/>
        <v>0</v>
      </c>
      <c r="T13" s="12">
        <f t="shared" si="9"/>
        <v>0</v>
      </c>
      <c r="U13" s="12">
        <f t="shared" si="9"/>
        <v>0</v>
      </c>
      <c r="AF13" s="8">
        <v>12</v>
      </c>
      <c r="AG13" s="8">
        <v>0</v>
      </c>
      <c r="AH13" s="8">
        <v>1</v>
      </c>
      <c r="AI13" s="8">
        <v>3</v>
      </c>
      <c r="AJ13" s="8">
        <v>2</v>
      </c>
      <c r="AK13" s="8">
        <v>1</v>
      </c>
      <c r="AL13" s="8">
        <v>0</v>
      </c>
      <c r="AM13" s="8">
        <v>1</v>
      </c>
      <c r="AN13" s="8">
        <v>0</v>
      </c>
      <c r="AO13" s="8">
        <v>0</v>
      </c>
      <c r="AP13" s="8">
        <v>8</v>
      </c>
    </row>
    <row r="14" spans="1:42">
      <c r="C14" s="6">
        <v>13</v>
      </c>
      <c r="D14" s="7">
        <v>5000000</v>
      </c>
      <c r="E14" s="6">
        <f t="shared" si="0"/>
        <v>20</v>
      </c>
      <c r="H14" s="6">
        <v>13</v>
      </c>
      <c r="I14" s="7">
        <f t="shared" si="1"/>
        <v>31000000</v>
      </c>
      <c r="J14" s="6">
        <v>31</v>
      </c>
      <c r="K14" s="6">
        <v>5</v>
      </c>
      <c r="O14" s="7">
        <v>3000</v>
      </c>
      <c r="P14" s="12">
        <f t="shared" ref="P14:U14" si="10">IF($S3=P$12,$U3,0)+IF($V3=P$12,$X3,0)+IF($Y3=P$12,$AA3,0)</f>
        <v>0</v>
      </c>
      <c r="Q14" s="12">
        <f t="shared" si="10"/>
        <v>0</v>
      </c>
      <c r="R14" s="12">
        <f t="shared" si="10"/>
        <v>0</v>
      </c>
      <c r="S14" s="12">
        <f t="shared" si="10"/>
        <v>0</v>
      </c>
      <c r="T14" s="12">
        <f t="shared" si="10"/>
        <v>0</v>
      </c>
      <c r="U14" s="12">
        <f t="shared" si="10"/>
        <v>0</v>
      </c>
      <c r="AF14" s="8">
        <v>13</v>
      </c>
      <c r="AG14" s="8">
        <v>0</v>
      </c>
      <c r="AH14" s="8">
        <v>1</v>
      </c>
      <c r="AI14" s="8">
        <v>2</v>
      </c>
      <c r="AJ14" s="8">
        <v>2</v>
      </c>
      <c r="AK14" s="8">
        <v>1</v>
      </c>
      <c r="AL14" s="8">
        <v>0</v>
      </c>
      <c r="AM14" s="8">
        <v>1</v>
      </c>
      <c r="AN14" s="8">
        <v>1</v>
      </c>
      <c r="AO14" s="8">
        <v>0</v>
      </c>
      <c r="AP14" s="8">
        <v>8</v>
      </c>
    </row>
    <row r="15" spans="1:42">
      <c r="C15" s="6">
        <v>14</v>
      </c>
      <c r="D15" s="7">
        <v>7500000</v>
      </c>
      <c r="E15" s="6">
        <f t="shared" si="0"/>
        <v>30</v>
      </c>
      <c r="H15" s="6">
        <v>14</v>
      </c>
      <c r="I15" s="7">
        <f t="shared" si="1"/>
        <v>35000000</v>
      </c>
      <c r="J15" s="6">
        <v>35</v>
      </c>
      <c r="K15" s="6">
        <v>5</v>
      </c>
      <c r="O15" s="7">
        <v>10000</v>
      </c>
      <c r="P15" s="12">
        <f t="shared" ref="P15:U15" si="11">IF($S4=P$12,$U4,0)+IF($V4=P$12,$X4,0)+IF($Y4=P$12,$AA4,0)</f>
        <v>0.975</v>
      </c>
      <c r="Q15" s="12">
        <f t="shared" si="11"/>
        <v>0</v>
      </c>
      <c r="R15" s="12">
        <f t="shared" si="11"/>
        <v>0</v>
      </c>
      <c r="S15" s="12">
        <f t="shared" si="11"/>
        <v>0</v>
      </c>
      <c r="T15" s="12">
        <f t="shared" si="11"/>
        <v>0</v>
      </c>
      <c r="U15" s="12">
        <f t="shared" si="11"/>
        <v>0</v>
      </c>
      <c r="AF15" s="8">
        <v>14</v>
      </c>
      <c r="AG15" s="8">
        <v>0</v>
      </c>
      <c r="AH15" s="8">
        <v>0</v>
      </c>
      <c r="AI15" s="8">
        <v>2</v>
      </c>
      <c r="AJ15" s="8">
        <v>2</v>
      </c>
      <c r="AK15" s="8">
        <v>1</v>
      </c>
      <c r="AL15" s="8">
        <v>1</v>
      </c>
      <c r="AM15" s="8">
        <v>1</v>
      </c>
      <c r="AN15" s="8">
        <v>1</v>
      </c>
      <c r="AO15" s="8">
        <v>0</v>
      </c>
      <c r="AP15" s="8">
        <v>8</v>
      </c>
    </row>
    <row r="16" spans="1:42">
      <c r="C16" s="6">
        <v>15</v>
      </c>
      <c r="D16" s="7">
        <v>10000000</v>
      </c>
      <c r="E16" s="6">
        <f t="shared" si="0"/>
        <v>40</v>
      </c>
      <c r="H16" s="6">
        <v>15</v>
      </c>
      <c r="I16" s="7">
        <f t="shared" si="1"/>
        <v>40000000</v>
      </c>
      <c r="J16" s="6">
        <v>40</v>
      </c>
      <c r="K16" s="6">
        <v>6</v>
      </c>
      <c r="O16" s="7">
        <v>20000</v>
      </c>
      <c r="P16" s="12">
        <f t="shared" ref="P16:U16" si="12">IF($S5=P$12,$U5,0)+IF($V5=P$12,$X5,0)+IF($Y5=P$12,$AA5,0)</f>
        <v>0.52</v>
      </c>
      <c r="Q16" s="12">
        <f t="shared" si="12"/>
        <v>0.39</v>
      </c>
      <c r="R16" s="12">
        <f t="shared" si="12"/>
        <v>0</v>
      </c>
      <c r="S16" s="12">
        <f t="shared" si="12"/>
        <v>0</v>
      </c>
      <c r="T16" s="12">
        <f t="shared" si="12"/>
        <v>0</v>
      </c>
      <c r="U16" s="12">
        <f t="shared" si="12"/>
        <v>0</v>
      </c>
      <c r="AF16" s="8">
        <v>15</v>
      </c>
      <c r="AG16" s="8">
        <v>0</v>
      </c>
      <c r="AH16" s="8">
        <v>0</v>
      </c>
      <c r="AI16" s="8">
        <v>1</v>
      </c>
      <c r="AJ16" s="8">
        <v>3</v>
      </c>
      <c r="AK16" s="8">
        <v>1</v>
      </c>
      <c r="AL16" s="8">
        <v>1</v>
      </c>
      <c r="AM16" s="8">
        <v>1</v>
      </c>
      <c r="AN16" s="8">
        <v>1</v>
      </c>
      <c r="AO16" s="8">
        <v>0</v>
      </c>
      <c r="AP16" s="8">
        <v>8</v>
      </c>
    </row>
    <row r="17" spans="3:42">
      <c r="C17" s="6">
        <v>16</v>
      </c>
      <c r="D17" s="7">
        <v>12500000</v>
      </c>
      <c r="E17" s="6">
        <f t="shared" si="0"/>
        <v>50</v>
      </c>
      <c r="H17" s="6">
        <v>16</v>
      </c>
      <c r="I17" s="7">
        <f t="shared" si="1"/>
        <v>42500000</v>
      </c>
      <c r="J17" s="6">
        <v>42.5</v>
      </c>
      <c r="K17" s="6">
        <v>6</v>
      </c>
      <c r="O17" s="7">
        <v>50000</v>
      </c>
      <c r="P17" s="12">
        <f t="shared" ref="P17:U17" si="13">IF($S6=P$12,$U6,0)+IF($V6=P$12,$X6,0)+IF($Y6=P$12,$AA6,0)</f>
        <v>0</v>
      </c>
      <c r="Q17" s="12">
        <f t="shared" si="13"/>
        <v>0.52</v>
      </c>
      <c r="R17" s="12">
        <f t="shared" si="13"/>
        <v>0.52</v>
      </c>
      <c r="S17" s="12">
        <f t="shared" si="13"/>
        <v>0.39</v>
      </c>
      <c r="T17" s="12">
        <f t="shared" si="13"/>
        <v>0</v>
      </c>
      <c r="U17" s="12">
        <f t="shared" si="13"/>
        <v>0</v>
      </c>
      <c r="AF17" s="8">
        <v>16</v>
      </c>
      <c r="AG17" s="8">
        <v>0</v>
      </c>
      <c r="AH17" s="8">
        <v>0</v>
      </c>
      <c r="AI17" s="8">
        <v>1</v>
      </c>
      <c r="AJ17" s="8">
        <v>2</v>
      </c>
      <c r="AK17" s="8">
        <v>1</v>
      </c>
      <c r="AL17" s="8">
        <v>1</v>
      </c>
      <c r="AM17" s="8">
        <v>2</v>
      </c>
      <c r="AN17" s="8">
        <v>1</v>
      </c>
      <c r="AO17" s="8">
        <v>0</v>
      </c>
      <c r="AP17" s="8">
        <v>8</v>
      </c>
    </row>
    <row r="18" spans="3:42">
      <c r="C18" s="6">
        <v>17</v>
      </c>
      <c r="D18" s="7">
        <v>15000000</v>
      </c>
      <c r="E18" s="6">
        <f t="shared" si="0"/>
        <v>60</v>
      </c>
      <c r="H18" s="6">
        <v>17</v>
      </c>
      <c r="I18" s="7">
        <f t="shared" si="1"/>
        <v>45000000</v>
      </c>
      <c r="J18" s="6">
        <v>45</v>
      </c>
      <c r="K18" s="6">
        <v>6</v>
      </c>
      <c r="O18" s="7">
        <v>100000</v>
      </c>
      <c r="P18" s="12">
        <f t="shared" ref="P18:U18" si="14">IF($S7=P$12,$U7,0)+IF($V7=P$12,$X7,0)+IF($Y7=P$12,$AA7,0)</f>
        <v>0</v>
      </c>
      <c r="Q18" s="12">
        <f t="shared" si="14"/>
        <v>0</v>
      </c>
      <c r="R18" s="12">
        <f t="shared" si="14"/>
        <v>0.39</v>
      </c>
      <c r="S18" s="12">
        <f t="shared" si="14"/>
        <v>0.325</v>
      </c>
      <c r="T18" s="12">
        <f t="shared" si="14"/>
        <v>0.26</v>
      </c>
      <c r="U18" s="12">
        <f t="shared" si="14"/>
        <v>0</v>
      </c>
      <c r="AF18" s="8">
        <v>17</v>
      </c>
      <c r="AG18" s="8">
        <v>0</v>
      </c>
      <c r="AH18" s="8">
        <v>0</v>
      </c>
      <c r="AI18" s="8">
        <v>1</v>
      </c>
      <c r="AJ18" s="8">
        <v>1</v>
      </c>
      <c r="AK18" s="8">
        <v>2</v>
      </c>
      <c r="AL18" s="8">
        <v>1</v>
      </c>
      <c r="AM18" s="8">
        <v>2</v>
      </c>
      <c r="AN18" s="8">
        <v>1</v>
      </c>
      <c r="AO18" s="8">
        <v>0</v>
      </c>
      <c r="AP18" s="8">
        <v>8</v>
      </c>
    </row>
    <row r="19" spans="3:42">
      <c r="C19" s="6">
        <v>18</v>
      </c>
      <c r="D19" s="7">
        <v>17500000</v>
      </c>
      <c r="E19" s="6">
        <f t="shared" si="0"/>
        <v>70</v>
      </c>
      <c r="H19" s="6">
        <v>18</v>
      </c>
      <c r="I19" s="7">
        <f t="shared" si="1"/>
        <v>50000000</v>
      </c>
      <c r="J19" s="6">
        <v>50</v>
      </c>
      <c r="K19" s="6">
        <v>6</v>
      </c>
      <c r="O19" s="7">
        <v>200000</v>
      </c>
      <c r="P19" s="12">
        <f t="shared" ref="P19:U19" si="15">IF($S8=P$12,$U8,0)+IF($V8=P$12,$X8,0)+IF($Y8=P$12,$AA8,0)</f>
        <v>0</v>
      </c>
      <c r="Q19" s="12">
        <f t="shared" si="15"/>
        <v>0</v>
      </c>
      <c r="R19" s="12">
        <f t="shared" si="15"/>
        <v>0</v>
      </c>
      <c r="S19" s="12">
        <f t="shared" si="15"/>
        <v>0.39</v>
      </c>
      <c r="T19" s="12">
        <f t="shared" si="15"/>
        <v>0.325</v>
      </c>
      <c r="U19" s="12">
        <f t="shared" si="15"/>
        <v>0.26</v>
      </c>
      <c r="AF19" s="8">
        <v>18</v>
      </c>
      <c r="AG19" s="8">
        <v>0</v>
      </c>
      <c r="AH19" s="8">
        <v>0</v>
      </c>
      <c r="AI19" s="8">
        <v>1</v>
      </c>
      <c r="AJ19" s="8">
        <v>1</v>
      </c>
      <c r="AK19" s="8">
        <v>2</v>
      </c>
      <c r="AL19" s="8">
        <v>0</v>
      </c>
      <c r="AM19" s="8">
        <v>1</v>
      </c>
      <c r="AN19" s="8">
        <v>2</v>
      </c>
      <c r="AO19" s="8">
        <v>1</v>
      </c>
      <c r="AP19" s="8">
        <v>8</v>
      </c>
    </row>
    <row r="20" spans="3:42">
      <c r="C20" s="6">
        <v>19</v>
      </c>
      <c r="D20" s="7">
        <v>20000000</v>
      </c>
      <c r="E20" s="6">
        <f t="shared" si="0"/>
        <v>80</v>
      </c>
      <c r="H20" s="6">
        <v>19</v>
      </c>
      <c r="I20" s="7">
        <f t="shared" si="1"/>
        <v>55000000</v>
      </c>
      <c r="J20" s="6">
        <v>55</v>
      </c>
      <c r="K20" s="6">
        <v>6</v>
      </c>
      <c r="O20" s="7">
        <v>500000</v>
      </c>
      <c r="P20" s="12">
        <f t="shared" ref="P20:U20" si="16">IF($S9=P$12,$U9,0)+IF($V9=P$12,$X9,0)+IF($Y9=P$12,$AA9,0)</f>
        <v>0</v>
      </c>
      <c r="Q20" s="12">
        <f t="shared" si="16"/>
        <v>0</v>
      </c>
      <c r="R20" s="12">
        <f t="shared" si="16"/>
        <v>0</v>
      </c>
      <c r="S20" s="12">
        <f t="shared" si="16"/>
        <v>0.455</v>
      </c>
      <c r="T20" s="12">
        <f t="shared" si="16"/>
        <v>0.39</v>
      </c>
      <c r="U20" s="12">
        <f t="shared" si="16"/>
        <v>0.325</v>
      </c>
      <c r="AF20" s="8">
        <v>19</v>
      </c>
      <c r="AG20" s="8">
        <v>0</v>
      </c>
      <c r="AH20" s="8">
        <v>0</v>
      </c>
      <c r="AI20" s="8">
        <v>0</v>
      </c>
      <c r="AJ20" s="8">
        <v>1</v>
      </c>
      <c r="AK20" s="8">
        <v>2</v>
      </c>
      <c r="AL20" s="8">
        <v>0</v>
      </c>
      <c r="AM20" s="8">
        <v>2</v>
      </c>
      <c r="AN20" s="8">
        <v>2</v>
      </c>
      <c r="AO20" s="8">
        <v>1</v>
      </c>
      <c r="AP20" s="8">
        <v>8</v>
      </c>
    </row>
    <row r="21" spans="3:42">
      <c r="C21" s="6" t="s">
        <v>26</v>
      </c>
      <c r="D21" s="7">
        <v>35000000</v>
      </c>
      <c r="E21" s="6">
        <f t="shared" si="0"/>
        <v>140</v>
      </c>
      <c r="H21" s="6" t="s">
        <v>26</v>
      </c>
      <c r="I21" s="7">
        <f t="shared" si="1"/>
        <v>100000000</v>
      </c>
      <c r="J21" s="6">
        <v>100</v>
      </c>
      <c r="K21" s="6"/>
      <c r="O21" s="7">
        <v>1000000</v>
      </c>
      <c r="P21" s="12">
        <f t="shared" ref="P21:U21" si="17">IF($S10=P$12,$U10,0)+IF($V10=P$12,$X10,0)+IF($Y10=P$12,$AA10,0)</f>
        <v>0</v>
      </c>
      <c r="Q21" s="12">
        <f t="shared" si="17"/>
        <v>0</v>
      </c>
      <c r="R21" s="12">
        <f t="shared" si="17"/>
        <v>0</v>
      </c>
      <c r="S21" s="12">
        <f t="shared" si="17"/>
        <v>0.52</v>
      </c>
      <c r="T21" s="12">
        <f t="shared" si="17"/>
        <v>0.455</v>
      </c>
      <c r="U21" s="12">
        <f t="shared" si="17"/>
        <v>0.39</v>
      </c>
      <c r="AF21" s="8" t="s">
        <v>20</v>
      </c>
      <c r="AG21" s="8">
        <v>31</v>
      </c>
      <c r="AH21" s="8">
        <v>34</v>
      </c>
      <c r="AI21" s="8">
        <v>30</v>
      </c>
      <c r="AJ21" s="8">
        <v>19</v>
      </c>
      <c r="AK21" s="8">
        <v>11</v>
      </c>
      <c r="AL21" s="8">
        <v>4</v>
      </c>
      <c r="AM21" s="8">
        <v>12</v>
      </c>
      <c r="AN21" s="8">
        <v>9</v>
      </c>
      <c r="AO21" s="8">
        <v>2</v>
      </c>
      <c r="AP21" s="8">
        <v>152</v>
      </c>
    </row>
    <row r="22" spans="3:42">
      <c r="C22" s="6" t="s">
        <v>27</v>
      </c>
      <c r="D22" s="7">
        <f>SUM(D2:D21)</f>
        <v>140050000</v>
      </c>
      <c r="E22" s="6">
        <f>SUM(E2:E21)</f>
        <v>560.2</v>
      </c>
      <c r="H22" s="6" t="s">
        <v>27</v>
      </c>
      <c r="I22" s="7">
        <f>SUM(I2:I21)</f>
        <v>525100000</v>
      </c>
      <c r="J22" s="6">
        <f>SUM(J2:J21)</f>
        <v>525.1</v>
      </c>
      <c r="K22" s="6"/>
    </row>
    <row r="23" spans="3:42">
      <c r="M23" s="4" t="s">
        <v>28</v>
      </c>
      <c r="O23" s="7" t="s">
        <v>29</v>
      </c>
      <c r="P23" s="6">
        <v>1</v>
      </c>
      <c r="Q23" s="6">
        <v>2</v>
      </c>
      <c r="R23" s="6">
        <v>3</v>
      </c>
      <c r="S23" s="6">
        <v>4</v>
      </c>
      <c r="T23" s="6">
        <v>5</v>
      </c>
      <c r="U23" s="6">
        <v>6</v>
      </c>
      <c r="V23" s="7"/>
      <c r="W23" s="7"/>
      <c r="X23" s="6"/>
    </row>
    <row r="24" spans="3:42">
      <c r="O24" s="6" t="s">
        <v>30</v>
      </c>
      <c r="P24" s="6">
        <v>25</v>
      </c>
      <c r="Q24" s="6">
        <v>50</v>
      </c>
      <c r="R24" s="6">
        <v>50</v>
      </c>
      <c r="S24" s="6">
        <v>50</v>
      </c>
      <c r="T24" s="6">
        <v>50</v>
      </c>
      <c r="U24" s="6">
        <v>40</v>
      </c>
      <c r="V24" s="7" t="s">
        <v>31</v>
      </c>
      <c r="W24" s="7" t="s">
        <v>32</v>
      </c>
      <c r="X24" s="6" t="s">
        <v>33</v>
      </c>
    </row>
    <row r="25" spans="3:42">
      <c r="H25" s="6" t="s">
        <v>34</v>
      </c>
      <c r="I25" s="6" t="s">
        <v>30</v>
      </c>
      <c r="J25" s="6" t="s">
        <v>35</v>
      </c>
      <c r="O25" s="7">
        <v>1000</v>
      </c>
      <c r="P25" s="12">
        <f t="shared" ref="P25:U25" si="18">IF(P13=0,0,P$24/P13)</f>
        <v>0</v>
      </c>
      <c r="Q25" s="12">
        <f t="shared" si="18"/>
        <v>0</v>
      </c>
      <c r="R25" s="12">
        <f t="shared" si="18"/>
        <v>0</v>
      </c>
      <c r="S25" s="12">
        <f t="shared" si="18"/>
        <v>0</v>
      </c>
      <c r="T25" s="12">
        <f t="shared" si="18"/>
        <v>0</v>
      </c>
      <c r="U25" s="12">
        <f t="shared" si="18"/>
        <v>0</v>
      </c>
      <c r="V25" s="7">
        <f ca="1">IF(U25&gt;0,SUMIF($K$2:$K$21,"&lt;="&amp;$U$23,$I$2:I20),IF(T25&gt;0,SUMIF($K$2:$K$21,"&lt;="&amp;$T$23,$I$2:I20),IF(S25&gt;0,SUMIF($K$2:$K$21,"&lt;="&amp;$S$23,$I$2:I20),IF(R25&gt;0,SUMIF($K$2:$K$21,"&lt;="&amp;$R$23,$I$2:I20),IF(Q25&gt;0,SUMIF($K$2:$K$21,"&lt;="&amp;$Q$23,$I$2:I20),IF(P25&gt;0,SUMIF($K$2:$K$21,"&lt;="&amp;$P$23,$I$2:I20),0))))))</f>
        <v>0</v>
      </c>
      <c r="W25" s="12">
        <f ca="1">V25/$M$2</f>
        <v>0</v>
      </c>
      <c r="X25" s="7">
        <f>IF(U25&gt;0,U25,IF(T25&gt;0,T25,IF(S25&gt;0,S25,IF(R25&gt;0,R25,IF(Q25&gt;0,Q25,P25)))))</f>
        <v>0</v>
      </c>
    </row>
    <row r="26" spans="3:42">
      <c r="H26" s="6">
        <v>1</v>
      </c>
      <c r="I26" s="6">
        <v>25</v>
      </c>
      <c r="J26" s="11">
        <f>SUMIF($K$2:$K$21,"&lt;="&amp;H26,$I$2:$I$22)/I26/$M$2</f>
        <v>0.1</v>
      </c>
      <c r="O26" s="7">
        <v>3000</v>
      </c>
      <c r="P26" s="12">
        <f t="shared" ref="P26:P33" si="19">IF(P14=0,0,P$24/P14)</f>
        <v>0</v>
      </c>
      <c r="Q26" s="12">
        <f t="shared" ref="Q26:Q33" si="20">IF(Q14=0,0,Q$24/Q14)</f>
        <v>0</v>
      </c>
      <c r="R26" s="12">
        <f t="shared" ref="R26:R33" si="21">IF(R14=0,0,R$24/R14)</f>
        <v>0</v>
      </c>
      <c r="S26" s="12">
        <f t="shared" ref="S26:S33" si="22">IF(S14=0,0,S$24/S14)</f>
        <v>0</v>
      </c>
      <c r="T26" s="12">
        <f t="shared" ref="T26:T33" si="23">IF(T14=0,0,T$24/T14)</f>
        <v>0</v>
      </c>
      <c r="U26" s="12">
        <f t="shared" ref="U26:U33" si="24">IF(U14=0,0,U$24/U14)</f>
        <v>0</v>
      </c>
      <c r="V26" s="7">
        <f>IF(U26&gt;0,SUMIF($K$2:$K$21,"&lt;="&amp;$U$23,$I$2:I21),IF(T26&gt;0,SUMIF($K$2:$K$21,"&lt;="&amp;$T$23,$I$2:I21),IF(S26&gt;0,SUMIF($K$2:$K$21,"&lt;="&amp;$S$23,$I$2:I21),IF(R26&gt;0,SUMIF($K$2:$K$21,"&lt;="&amp;$R$23,$I$2:I21),IF(Q26&gt;0,SUMIF($K$2:$K$21,"&lt;="&amp;$Q$23,$I$2:I21),IF(P26&gt;0,SUMIF($K$2:$K$21,"&lt;="&amp;$P$23,$I$2:I21),0))))))</f>
        <v>0</v>
      </c>
      <c r="W26" s="12">
        <f t="shared" ref="W26:W33" si="25">V26/$M$2</f>
        <v>0</v>
      </c>
      <c r="X26" s="7">
        <f t="shared" ref="X26:X33" si="26">IF(U26&gt;0,U26,IF(T26&gt;0,T26,IF(S26&gt;0,S26,IF(R26&gt;0,R26,IF(Q26&gt;0,Q26,P26)))))</f>
        <v>0</v>
      </c>
    </row>
    <row r="27" spans="3:42">
      <c r="H27" s="6">
        <v>2</v>
      </c>
      <c r="I27" s="6">
        <v>50</v>
      </c>
      <c r="J27" s="11">
        <f t="shared" ref="J26:J31" si="27">SUMIF($K$2:$K$21,"&lt;="&amp;H27,$I$2:$I$22)/I27/$M$2</f>
        <v>0.296</v>
      </c>
      <c r="O27" s="7">
        <v>10000</v>
      </c>
      <c r="P27" s="12">
        <f t="shared" si="19"/>
        <v>25.6410256410256</v>
      </c>
      <c r="Q27" s="12">
        <f t="shared" si="20"/>
        <v>0</v>
      </c>
      <c r="R27" s="12">
        <f t="shared" si="21"/>
        <v>0</v>
      </c>
      <c r="S27" s="12">
        <f t="shared" si="22"/>
        <v>0</v>
      </c>
      <c r="T27" s="12">
        <f t="shared" si="23"/>
        <v>0</v>
      </c>
      <c r="U27" s="12">
        <f t="shared" si="24"/>
        <v>0</v>
      </c>
      <c r="V27" s="7">
        <f>IF(U27&gt;0,SUMIF($K$2:$K$21,"&lt;="&amp;$U$23,$I$2:I22),IF(T27&gt;0,SUMIF($K$2:$K$21,"&lt;="&amp;$T$23,$I$2:I22),IF(S27&gt;0,SUMIF($K$2:$K$21,"&lt;="&amp;$S$23,$I$2:I22),IF(R27&gt;0,SUMIF($K$2:$K$21,"&lt;="&amp;$R$23,$I$2:I22),IF(Q27&gt;0,SUMIF($K$2:$K$21,"&lt;="&amp;$Q$23,$I$2:I22),IF(P27&gt;0,SUMIF($K$2:$K$21,"&lt;="&amp;$P$23,$I$2:I22),0))))))</f>
        <v>2500000</v>
      </c>
      <c r="W27" s="12">
        <f t="shared" si="25"/>
        <v>2.5</v>
      </c>
      <c r="X27" s="7">
        <f t="shared" si="26"/>
        <v>25.6410256410256</v>
      </c>
    </row>
    <row r="28" spans="3:42">
      <c r="H28" s="6">
        <v>3</v>
      </c>
      <c r="I28" s="6">
        <v>50</v>
      </c>
      <c r="J28" s="11">
        <f t="shared" si="27"/>
        <v>0.512</v>
      </c>
      <c r="O28" s="7">
        <v>20000</v>
      </c>
      <c r="P28" s="12">
        <f t="shared" si="19"/>
        <v>48.0769230769231</v>
      </c>
      <c r="Q28" s="12">
        <f t="shared" si="20"/>
        <v>128.205128205128</v>
      </c>
      <c r="R28" s="12">
        <f t="shared" si="21"/>
        <v>0</v>
      </c>
      <c r="S28" s="12">
        <f t="shared" si="22"/>
        <v>0</v>
      </c>
      <c r="T28" s="12">
        <f t="shared" si="23"/>
        <v>0</v>
      </c>
      <c r="U28" s="12">
        <f t="shared" si="24"/>
        <v>0</v>
      </c>
      <c r="V28" s="7">
        <f>IF(U28&gt;0,SUMIF($K$2:$K$21,"&lt;="&amp;$U$23,$I$2:I23),IF(T28&gt;0,SUMIF($K$2:$K$21,"&lt;="&amp;$T$23,$I$2:I23),IF(S28&gt;0,SUMIF($K$2:$K$21,"&lt;="&amp;$S$23,$I$2:I23),IF(R28&gt;0,SUMIF($K$2:$K$21,"&lt;="&amp;$R$23,$I$2:I23),IF(Q28&gt;0,SUMIF($K$2:$K$21,"&lt;="&amp;$Q$23,$I$2:I23),IF(P28&gt;0,SUMIF($K$2:$K$21,"&lt;="&amp;$P$23,$I$2:I23),0))))))</f>
        <v>14800000</v>
      </c>
      <c r="W28" s="12">
        <f t="shared" si="25"/>
        <v>14.8</v>
      </c>
      <c r="X28" s="7">
        <f t="shared" si="26"/>
        <v>128.205128205128</v>
      </c>
    </row>
    <row r="29" spans="3:42">
      <c r="H29" s="6">
        <v>4</v>
      </c>
      <c r="I29" s="6">
        <v>50</v>
      </c>
      <c r="J29" s="11">
        <f t="shared" si="27"/>
        <v>1.412</v>
      </c>
      <c r="O29" s="7">
        <v>50000</v>
      </c>
      <c r="P29" s="12">
        <f t="shared" si="19"/>
        <v>0</v>
      </c>
      <c r="Q29" s="12">
        <f t="shared" si="20"/>
        <v>96.1538461538461</v>
      </c>
      <c r="R29" s="12">
        <f t="shared" si="21"/>
        <v>96.1538461538461</v>
      </c>
      <c r="S29" s="12">
        <f t="shared" si="22"/>
        <v>128.205128205128</v>
      </c>
      <c r="T29" s="12">
        <f t="shared" si="23"/>
        <v>0</v>
      </c>
      <c r="U29" s="12">
        <f t="shared" si="24"/>
        <v>0</v>
      </c>
      <c r="V29" s="7">
        <f>IF(U29&gt;0,SUMIF($K$2:$K$21,"&lt;="&amp;$U$23,$I$2:I24),IF(T29&gt;0,SUMIF($K$2:$K$21,"&lt;="&amp;$T$23,$I$2:I24),IF(S29&gt;0,SUMIF($K$2:$K$21,"&lt;="&amp;$S$23,$I$2:I24),IF(R29&gt;0,SUMIF($K$2:$K$21,"&lt;="&amp;$R$23,$I$2:I24),IF(Q29&gt;0,SUMIF($K$2:$K$21,"&lt;="&amp;$Q$23,$I$2:I24),IF(P29&gt;0,SUMIF($K$2:$K$21,"&lt;="&amp;$P$23,$I$2:I24),0))))))</f>
        <v>70600000</v>
      </c>
      <c r="W29" s="12">
        <f t="shared" si="25"/>
        <v>70.6</v>
      </c>
      <c r="X29" s="7">
        <f t="shared" si="26"/>
        <v>128.205128205128</v>
      </c>
    </row>
    <row r="30" spans="3:42">
      <c r="H30" s="6">
        <v>5</v>
      </c>
      <c r="I30" s="6">
        <v>50</v>
      </c>
      <c r="J30" s="11">
        <f t="shared" si="27"/>
        <v>3.852</v>
      </c>
      <c r="O30" s="7">
        <v>100000</v>
      </c>
      <c r="P30" s="12">
        <f t="shared" si="19"/>
        <v>0</v>
      </c>
      <c r="Q30" s="12">
        <f t="shared" si="20"/>
        <v>0</v>
      </c>
      <c r="R30" s="12">
        <f t="shared" si="21"/>
        <v>128.205128205128</v>
      </c>
      <c r="S30" s="12">
        <f t="shared" si="22"/>
        <v>153.846153846154</v>
      </c>
      <c r="T30" s="12">
        <f t="shared" si="23"/>
        <v>192.307692307692</v>
      </c>
      <c r="U30" s="12">
        <f t="shared" si="24"/>
        <v>0</v>
      </c>
      <c r="V30" s="7">
        <f>IF(U30&gt;0,SUMIF($K$2:$K$21,"&lt;="&amp;$U$23,$I$2:I25),IF(T30&gt;0,SUMIF($K$2:$K$21,"&lt;="&amp;$T$23,$I$2:I25),IF(S30&gt;0,SUMIF($K$2:$K$21,"&lt;="&amp;$S$23,$I$2:I25),IF(R30&gt;0,SUMIF($K$2:$K$21,"&lt;="&amp;$R$23,$I$2:I25),IF(Q30&gt;0,SUMIF($K$2:$K$21,"&lt;="&amp;$Q$23,$I$2:I25),IF(P30&gt;0,SUMIF($K$2:$K$21,"&lt;="&amp;$P$23,$I$2:I25),0))))))</f>
        <v>192600000</v>
      </c>
      <c r="W30" s="12">
        <f t="shared" si="25"/>
        <v>192.6</v>
      </c>
      <c r="X30" s="7">
        <f t="shared" si="26"/>
        <v>192.307692307692</v>
      </c>
    </row>
    <row r="31" spans="3:42">
      <c r="H31" s="6">
        <v>6</v>
      </c>
      <c r="I31" s="6">
        <v>40</v>
      </c>
      <c r="J31" s="11">
        <f>SUMIF($K$2:$K$21,"="&amp;H31,$I$2:$I$22)/I31/$M$2</f>
        <v>5.8125</v>
      </c>
      <c r="O31" s="7">
        <v>200000</v>
      </c>
      <c r="P31" s="12">
        <f t="shared" si="19"/>
        <v>0</v>
      </c>
      <c r="Q31" s="12">
        <f t="shared" si="20"/>
        <v>0</v>
      </c>
      <c r="R31" s="12">
        <f t="shared" si="21"/>
        <v>0</v>
      </c>
      <c r="S31" s="12">
        <f t="shared" si="22"/>
        <v>128.205128205128</v>
      </c>
      <c r="T31" s="12">
        <f t="shared" si="23"/>
        <v>153.846153846154</v>
      </c>
      <c r="U31" s="12">
        <f t="shared" si="24"/>
        <v>153.846153846154</v>
      </c>
      <c r="V31" s="7">
        <f>IF(U31&gt;0,SUMIF($K$2:$K$21,"&lt;="&amp;$U$23,$I$2:I26),IF(T31&gt;0,SUMIF($K$2:$K$21,"&lt;="&amp;$T$23,$I$2:I26),IF(S31&gt;0,SUMIF($K$2:$K$21,"&lt;="&amp;$S$23,$I$2:I26),IF(R31&gt;0,SUMIF($K$2:$K$21,"&lt;="&amp;$R$23,$I$2:I26),IF(Q31&gt;0,SUMIF($K$2:$K$21,"&lt;="&amp;$Q$23,$I$2:I26),IF(P31&gt;0,SUMIF($K$2:$K$21,"&lt;="&amp;$P$23,$I$2:I26),0))))))</f>
        <v>425100000</v>
      </c>
      <c r="W31" s="12">
        <f t="shared" si="25"/>
        <v>425.1</v>
      </c>
      <c r="X31" s="7">
        <f t="shared" si="26"/>
        <v>153.846153846154</v>
      </c>
    </row>
    <row r="32" spans="3:42">
      <c r="O32" s="7">
        <v>500000</v>
      </c>
      <c r="P32" s="12">
        <f t="shared" si="19"/>
        <v>0</v>
      </c>
      <c r="Q32" s="12">
        <f t="shared" si="20"/>
        <v>0</v>
      </c>
      <c r="R32" s="12">
        <f t="shared" si="21"/>
        <v>0</v>
      </c>
      <c r="S32" s="12">
        <f t="shared" si="22"/>
        <v>109.89010989011</v>
      </c>
      <c r="T32" s="12">
        <f t="shared" si="23"/>
        <v>128.205128205128</v>
      </c>
      <c r="U32" s="12">
        <f t="shared" si="24"/>
        <v>123.076923076923</v>
      </c>
      <c r="V32" s="7">
        <f>IF(U32&gt;0,SUMIF($K$2:$K$21,"&lt;="&amp;$U$23,$I$2:I27),IF(T32&gt;0,SUMIF($K$2:$K$21,"&lt;="&amp;$T$23,$I$2:I27),IF(S32&gt;0,SUMIF($K$2:$K$21,"&lt;="&amp;$S$23,$I$2:I27),IF(R32&gt;0,SUMIF($K$2:$K$21,"&lt;="&amp;$R$23,$I$2:I27),IF(Q32&gt;0,SUMIF($K$2:$K$21,"&lt;="&amp;$Q$23,$I$2:I27),IF(P32&gt;0,SUMIF($K$2:$K$21,"&lt;="&amp;$P$23,$I$2:I27),0))))))</f>
        <v>425100000</v>
      </c>
      <c r="W32" s="12">
        <f t="shared" si="25"/>
        <v>425.1</v>
      </c>
      <c r="X32" s="7">
        <f t="shared" si="26"/>
        <v>123.076923076923</v>
      </c>
    </row>
    <row r="33" spans="13:32">
      <c r="O33" s="7">
        <v>1000000</v>
      </c>
      <c r="P33" s="12">
        <f t="shared" si="19"/>
        <v>0</v>
      </c>
      <c r="Q33" s="12">
        <f t="shared" si="20"/>
        <v>0</v>
      </c>
      <c r="R33" s="12">
        <f t="shared" si="21"/>
        <v>0</v>
      </c>
      <c r="S33" s="12">
        <f t="shared" si="22"/>
        <v>96.1538461538461</v>
      </c>
      <c r="T33" s="12">
        <f t="shared" si="23"/>
        <v>109.89010989011</v>
      </c>
      <c r="U33" s="12">
        <f t="shared" si="24"/>
        <v>102.564102564103</v>
      </c>
      <c r="V33" s="7">
        <f>IF(U33&gt;0,SUMIF($K$2:$K$21,"&lt;="&amp;$U$23,$I$2:I28),IF(T33&gt;0,SUMIF($K$2:$K$21,"&lt;="&amp;$T$23,$I$2:I28),IF(S33&gt;0,SUMIF($K$2:$K$21,"&lt;="&amp;$S$23,$I$2:I28),IF(R33&gt;0,SUMIF($K$2:$K$21,"&lt;="&amp;$R$23,$I$2:I28),IF(Q33&gt;0,SUMIF($K$2:$K$21,"&lt;="&amp;$Q$23,$I$2:I28),IF(P33&gt;0,SUMIF($K$2:$K$21,"&lt;="&amp;$P$23,$I$2:I28),0))))))</f>
        <v>425100000</v>
      </c>
      <c r="W33" s="12">
        <f t="shared" si="25"/>
        <v>425.1</v>
      </c>
      <c r="X33" s="7">
        <f t="shared" si="26"/>
        <v>102.564102564103</v>
      </c>
    </row>
    <row r="35" spans="13:32">
      <c r="M35" s="4" t="s">
        <v>36</v>
      </c>
      <c r="O35" s="7"/>
      <c r="P35" s="7"/>
      <c r="Q35" s="7">
        <v>1000000</v>
      </c>
      <c r="R35" s="7">
        <v>1250000</v>
      </c>
      <c r="S35" s="7">
        <v>1500000</v>
      </c>
      <c r="T35" s="7">
        <v>1750000</v>
      </c>
      <c r="U35" s="7">
        <v>2000000</v>
      </c>
      <c r="V35" s="7">
        <v>2250000</v>
      </c>
      <c r="W35" s="7">
        <v>2500000</v>
      </c>
      <c r="X35" s="7">
        <v>2500000</v>
      </c>
      <c r="Y35" s="7">
        <v>2500000</v>
      </c>
      <c r="Z35" s="7">
        <v>2500000</v>
      </c>
      <c r="AA35" s="7">
        <v>2500000</v>
      </c>
      <c r="AB35" s="7">
        <v>2500000</v>
      </c>
      <c r="AC35" s="7">
        <v>2500000</v>
      </c>
      <c r="AD35" s="7">
        <v>2500000</v>
      </c>
      <c r="AE35" s="7">
        <v>2500000</v>
      </c>
      <c r="AF35" s="7">
        <v>2500000</v>
      </c>
    </row>
    <row r="36" spans="13:32">
      <c r="O36" s="7" t="s">
        <v>5</v>
      </c>
      <c r="P36" s="7" t="s">
        <v>37</v>
      </c>
      <c r="Q36" s="7">
        <v>0</v>
      </c>
      <c r="R36" s="6">
        <v>1</v>
      </c>
      <c r="S36" s="6">
        <v>2</v>
      </c>
      <c r="T36" s="6">
        <v>3</v>
      </c>
      <c r="U36" s="6">
        <v>4</v>
      </c>
      <c r="V36" s="6">
        <v>5</v>
      </c>
      <c r="W36" s="6">
        <v>6</v>
      </c>
      <c r="X36" s="6">
        <v>7</v>
      </c>
      <c r="Y36" s="6">
        <v>8</v>
      </c>
      <c r="Z36" s="6">
        <v>9</v>
      </c>
      <c r="AA36" s="6">
        <v>10</v>
      </c>
      <c r="AB36" s="6">
        <v>11</v>
      </c>
      <c r="AC36" s="6">
        <v>12</v>
      </c>
      <c r="AD36" s="6">
        <v>13</v>
      </c>
      <c r="AE36" s="6">
        <v>14</v>
      </c>
      <c r="AF36" s="6">
        <v>15</v>
      </c>
    </row>
    <row r="37" spans="13:32">
      <c r="O37" s="7">
        <v>1000</v>
      </c>
      <c r="P37" s="7">
        <v>70000</v>
      </c>
      <c r="Q37" s="14">
        <v>0.07</v>
      </c>
      <c r="R37" s="14">
        <v>0.056</v>
      </c>
      <c r="S37" s="14">
        <v>0.0466666666666667</v>
      </c>
      <c r="T37" s="14">
        <v>0.04</v>
      </c>
      <c r="U37" s="14">
        <v>0.035</v>
      </c>
      <c r="V37" s="14">
        <v>0.0311111111111111</v>
      </c>
      <c r="W37" s="14">
        <v>0.028</v>
      </c>
      <c r="X37" s="14">
        <v>0.028</v>
      </c>
      <c r="Y37" s="14">
        <v>0.028</v>
      </c>
      <c r="Z37" s="14">
        <v>0.028</v>
      </c>
      <c r="AA37" s="14">
        <v>0.028</v>
      </c>
      <c r="AB37" s="14">
        <v>0.028</v>
      </c>
      <c r="AC37" s="14">
        <v>0.028</v>
      </c>
      <c r="AD37" s="14">
        <v>0.028</v>
      </c>
      <c r="AE37" s="14">
        <v>0.028</v>
      </c>
      <c r="AF37" s="14">
        <v>0.028</v>
      </c>
    </row>
    <row r="38" spans="13:32">
      <c r="O38" s="7">
        <v>3000</v>
      </c>
      <c r="P38" s="7">
        <v>210000</v>
      </c>
      <c r="Q38" s="14">
        <v>0.21</v>
      </c>
      <c r="R38" s="14">
        <v>0.168</v>
      </c>
      <c r="S38" s="14">
        <v>0.14</v>
      </c>
      <c r="T38" s="14">
        <v>0.12</v>
      </c>
      <c r="U38" s="14">
        <v>0.105</v>
      </c>
      <c r="V38" s="14">
        <v>0.0933333333333333</v>
      </c>
      <c r="W38" s="14">
        <v>0.084</v>
      </c>
      <c r="X38" s="14">
        <v>0.084</v>
      </c>
      <c r="Y38" s="14">
        <v>0.084</v>
      </c>
      <c r="Z38" s="14">
        <v>0.084</v>
      </c>
      <c r="AA38" s="14">
        <v>0.084</v>
      </c>
      <c r="AB38" s="14">
        <v>0.084</v>
      </c>
      <c r="AC38" s="14">
        <v>0.084</v>
      </c>
      <c r="AD38" s="14">
        <v>0.084</v>
      </c>
      <c r="AE38" s="14">
        <v>0.084</v>
      </c>
      <c r="AF38" s="14">
        <v>0.084</v>
      </c>
    </row>
    <row r="39" spans="13:32">
      <c r="O39" s="7">
        <v>10000</v>
      </c>
      <c r="P39" s="7">
        <v>700000</v>
      </c>
      <c r="Q39" s="14">
        <v>0.7</v>
      </c>
      <c r="R39" s="14">
        <v>0.56</v>
      </c>
      <c r="S39" s="14">
        <v>0.466666666666667</v>
      </c>
      <c r="T39" s="14">
        <v>0.4</v>
      </c>
      <c r="U39" s="14">
        <v>0.35</v>
      </c>
      <c r="V39" s="14">
        <v>0.311111111111111</v>
      </c>
      <c r="W39" s="14">
        <v>0.28</v>
      </c>
      <c r="X39" s="14">
        <v>0.28</v>
      </c>
      <c r="Y39" s="14">
        <v>0.28</v>
      </c>
      <c r="Z39" s="14">
        <v>0.28</v>
      </c>
      <c r="AA39" s="14">
        <v>0.28</v>
      </c>
      <c r="AB39" s="14">
        <v>0.28</v>
      </c>
      <c r="AC39" s="14">
        <v>0.28</v>
      </c>
      <c r="AD39" s="14">
        <v>0.28</v>
      </c>
      <c r="AE39" s="14">
        <v>0.28</v>
      </c>
      <c r="AF39" s="14">
        <v>0.28</v>
      </c>
    </row>
    <row r="40" spans="13:32">
      <c r="O40" s="7">
        <v>20000</v>
      </c>
      <c r="P40" s="7">
        <v>1400000</v>
      </c>
      <c r="Q40" s="14">
        <v>1.4</v>
      </c>
      <c r="R40" s="14">
        <v>1.12</v>
      </c>
      <c r="S40" s="14">
        <v>0.933333333333333</v>
      </c>
      <c r="T40" s="14">
        <v>0.8</v>
      </c>
      <c r="U40" s="14">
        <v>0.7</v>
      </c>
      <c r="V40" s="14">
        <v>0.622222222222222</v>
      </c>
      <c r="W40" s="14">
        <v>0.56</v>
      </c>
      <c r="X40" s="14">
        <v>0.56</v>
      </c>
      <c r="Y40" s="14">
        <v>0.56</v>
      </c>
      <c r="Z40" s="14">
        <v>0.56</v>
      </c>
      <c r="AA40" s="14">
        <v>0.56</v>
      </c>
      <c r="AB40" s="14">
        <v>0.56</v>
      </c>
      <c r="AC40" s="14">
        <v>0.56</v>
      </c>
      <c r="AD40" s="14">
        <v>0.56</v>
      </c>
      <c r="AE40" s="14">
        <v>0.56</v>
      </c>
      <c r="AF40" s="14">
        <v>0.56</v>
      </c>
    </row>
    <row r="41" spans="13:32">
      <c r="O41" s="7">
        <v>50000</v>
      </c>
      <c r="P41" s="7">
        <v>3500000</v>
      </c>
      <c r="Q41" s="14">
        <v>3.2741935483871</v>
      </c>
      <c r="R41" s="14">
        <v>2.70666666666667</v>
      </c>
      <c r="S41" s="14">
        <v>2.25555555555556</v>
      </c>
      <c r="T41" s="14">
        <v>1.93333333333333</v>
      </c>
      <c r="U41" s="14">
        <v>1.75</v>
      </c>
      <c r="V41" s="14">
        <v>1.55555555555556</v>
      </c>
      <c r="W41" s="14">
        <v>1.4</v>
      </c>
      <c r="X41" s="14">
        <v>1.4</v>
      </c>
      <c r="Y41" s="14">
        <v>1.4</v>
      </c>
      <c r="Z41" s="14">
        <v>1.4</v>
      </c>
      <c r="AA41" s="14">
        <v>1.4</v>
      </c>
      <c r="AB41" s="14">
        <v>1.4</v>
      </c>
      <c r="AC41" s="14">
        <v>1.4</v>
      </c>
      <c r="AD41" s="14">
        <v>1.4</v>
      </c>
      <c r="AE41" s="14">
        <v>1.4</v>
      </c>
      <c r="AF41" s="14">
        <v>1.4</v>
      </c>
    </row>
    <row r="42" spans="13:32">
      <c r="O42" s="7">
        <v>100000</v>
      </c>
      <c r="P42" s="7">
        <v>7000000</v>
      </c>
      <c r="Q42" s="14">
        <v>5.8</v>
      </c>
      <c r="R42" s="14">
        <v>4.92121212121212</v>
      </c>
      <c r="S42" s="14">
        <v>4.22916666666667</v>
      </c>
      <c r="T42" s="14">
        <v>3.625</v>
      </c>
      <c r="U42" s="14">
        <v>3.2741935483871</v>
      </c>
      <c r="V42" s="14">
        <v>2.91039426523297</v>
      </c>
      <c r="W42" s="14">
        <v>2.70666666666667</v>
      </c>
      <c r="X42" s="14">
        <v>2.70666666666667</v>
      </c>
      <c r="Y42" s="14">
        <v>2.70666666666667</v>
      </c>
      <c r="Z42" s="14">
        <v>2.70666666666667</v>
      </c>
      <c r="AA42" s="14">
        <v>2.70666666666667</v>
      </c>
      <c r="AB42" s="14">
        <v>2.70666666666667</v>
      </c>
      <c r="AC42" s="14">
        <v>2.70666666666667</v>
      </c>
      <c r="AD42" s="14">
        <v>2.70666666666667</v>
      </c>
      <c r="AE42" s="14">
        <v>2.70666666666667</v>
      </c>
      <c r="AF42" s="14">
        <v>2.70666666666667</v>
      </c>
    </row>
    <row r="43" spans="13:32">
      <c r="O43" s="7">
        <v>200000</v>
      </c>
      <c r="P43" s="7">
        <v>14000000</v>
      </c>
      <c r="Q43" s="14">
        <v>9.66666666666666</v>
      </c>
      <c r="R43" s="14">
        <v>8.32820512820512</v>
      </c>
      <c r="S43" s="14">
        <v>7.31531531531531</v>
      </c>
      <c r="T43" s="14">
        <v>6.44444444444444</v>
      </c>
      <c r="U43" s="14">
        <v>5.8</v>
      </c>
      <c r="V43" s="14">
        <v>5.30718954248366</v>
      </c>
      <c r="W43" s="14">
        <v>4.92121212121212</v>
      </c>
      <c r="X43" s="14">
        <v>4.92121212121212</v>
      </c>
      <c r="Y43" s="14">
        <v>4.92121212121212</v>
      </c>
      <c r="Z43" s="14">
        <v>4.92121212121212</v>
      </c>
      <c r="AA43" s="14">
        <v>4.92121212121212</v>
      </c>
      <c r="AB43" s="14">
        <v>4.92121212121212</v>
      </c>
      <c r="AC43" s="14">
        <v>4.92121212121212</v>
      </c>
      <c r="AD43" s="14">
        <v>4.92121212121212</v>
      </c>
      <c r="AE43" s="14">
        <v>4.92121212121212</v>
      </c>
      <c r="AF43" s="14">
        <v>4.92121212121212</v>
      </c>
    </row>
    <row r="44" spans="13:32">
      <c r="O44" s="7">
        <v>500000</v>
      </c>
      <c r="P44" s="7">
        <v>35000000</v>
      </c>
      <c r="Q44" s="14">
        <v>21.1458333333333</v>
      </c>
      <c r="R44" s="14">
        <v>17.6521739130435</v>
      </c>
      <c r="S44" s="14">
        <v>15.037037037037</v>
      </c>
      <c r="T44" s="14">
        <v>12.8888888888889</v>
      </c>
      <c r="U44" s="14">
        <v>11.8023255813953</v>
      </c>
      <c r="V44" s="14">
        <v>10.4909560723514</v>
      </c>
      <c r="W44" s="14">
        <v>9.66666666666666</v>
      </c>
      <c r="X44" s="14">
        <v>9.66666666666666</v>
      </c>
      <c r="Y44" s="14">
        <v>9.66666666666666</v>
      </c>
      <c r="Z44" s="14">
        <v>9.66666666666666</v>
      </c>
      <c r="AA44" s="14">
        <v>9.66666666666666</v>
      </c>
      <c r="AB44" s="14">
        <v>9.66666666666666</v>
      </c>
      <c r="AC44" s="14">
        <v>9.66666666666666</v>
      </c>
      <c r="AD44" s="14">
        <v>9.66666666666666</v>
      </c>
      <c r="AE44" s="14">
        <v>9.66666666666666</v>
      </c>
      <c r="AF44" s="14">
        <v>9.66666666666666</v>
      </c>
    </row>
    <row r="45" spans="13:32">
      <c r="O45" s="7">
        <v>1000000</v>
      </c>
      <c r="P45" s="7">
        <v>70000000</v>
      </c>
      <c r="Q45" s="14">
        <v>37.5925925925926</v>
      </c>
      <c r="R45" s="14">
        <v>31.2307692307692</v>
      </c>
      <c r="S45" s="14">
        <v>27.0666666666666</v>
      </c>
      <c r="T45" s="14">
        <v>23.6734693877551</v>
      </c>
      <c r="U45" s="14">
        <v>21.1458333333333</v>
      </c>
      <c r="V45" s="14">
        <v>19.1962174940898</v>
      </c>
      <c r="W45" s="14">
        <v>17.6521739130435</v>
      </c>
      <c r="X45" s="14">
        <v>17.6521739130435</v>
      </c>
      <c r="Y45" s="14">
        <v>17.6521739130435</v>
      </c>
      <c r="Z45" s="14">
        <v>17.6521739130435</v>
      </c>
      <c r="AA45" s="14">
        <v>17.6521739130435</v>
      </c>
      <c r="AB45" s="14">
        <v>17.6521739130435</v>
      </c>
      <c r="AC45" s="14">
        <v>17.6521739130435</v>
      </c>
      <c r="AD45" s="14">
        <v>17.6521739130435</v>
      </c>
      <c r="AE45" s="14">
        <v>17.6521739130435</v>
      </c>
      <c r="AF45" s="14">
        <v>17.6521739130435</v>
      </c>
    </row>
    <row r="47" spans="13:32">
      <c r="M47" s="4" t="s">
        <v>38</v>
      </c>
      <c r="O47" s="7"/>
      <c r="P47" s="7"/>
      <c r="Q47" s="7">
        <v>1000000</v>
      </c>
      <c r="R47" s="7">
        <v>1250000</v>
      </c>
      <c r="S47" s="7">
        <v>1500000</v>
      </c>
      <c r="T47" s="7">
        <v>1750000</v>
      </c>
      <c r="U47" s="7">
        <v>2000000</v>
      </c>
      <c r="V47" s="7">
        <v>2250000</v>
      </c>
      <c r="W47" s="7">
        <v>2500000</v>
      </c>
      <c r="X47" s="7">
        <v>2500000</v>
      </c>
      <c r="Y47" s="7">
        <v>2500000</v>
      </c>
      <c r="Z47" s="7">
        <v>2500000</v>
      </c>
      <c r="AA47" s="7">
        <v>2500000</v>
      </c>
      <c r="AB47" s="7">
        <v>2500000</v>
      </c>
      <c r="AC47" s="7">
        <v>2500000</v>
      </c>
      <c r="AD47" s="7">
        <v>2500000</v>
      </c>
      <c r="AE47" s="7">
        <v>2500000</v>
      </c>
      <c r="AF47" s="7">
        <v>2500000</v>
      </c>
    </row>
    <row r="48" spans="13:32">
      <c r="O48" s="7" t="s">
        <v>5</v>
      </c>
      <c r="P48" s="7" t="s">
        <v>37</v>
      </c>
      <c r="Q48" s="7">
        <v>0</v>
      </c>
      <c r="R48" s="6">
        <v>1</v>
      </c>
      <c r="S48" s="6">
        <v>2</v>
      </c>
      <c r="T48" s="6">
        <v>3</v>
      </c>
      <c r="U48" s="6">
        <v>4</v>
      </c>
      <c r="V48" s="6">
        <v>5</v>
      </c>
      <c r="W48" s="6">
        <v>6</v>
      </c>
      <c r="X48" s="6">
        <v>7</v>
      </c>
      <c r="Y48" s="6">
        <v>8</v>
      </c>
      <c r="Z48" s="6">
        <v>9</v>
      </c>
      <c r="AA48" s="6">
        <v>10</v>
      </c>
      <c r="AB48" s="6">
        <v>11</v>
      </c>
      <c r="AC48" s="6">
        <v>12</v>
      </c>
      <c r="AD48" s="6">
        <v>13</v>
      </c>
      <c r="AE48" s="6">
        <v>14</v>
      </c>
      <c r="AF48" s="6">
        <v>15</v>
      </c>
    </row>
    <row r="49" spans="13:32">
      <c r="O49" s="7">
        <v>1000</v>
      </c>
      <c r="P49" s="7">
        <v>70000</v>
      </c>
      <c r="Q49" s="13">
        <f ca="1">IF($V25=0,0,$V25/$M$2/($X25*Q37))</f>
        <v>0</v>
      </c>
      <c r="R49" s="13">
        <f ca="1" t="shared" ref="R49:AF49" si="28">IF($V25=0,0,$V25/$M$2/($X25*R37))</f>
        <v>0</v>
      </c>
      <c r="S49" s="13">
        <f ca="1" t="shared" si="28"/>
        <v>0</v>
      </c>
      <c r="T49" s="13">
        <f ca="1" t="shared" si="28"/>
        <v>0</v>
      </c>
      <c r="U49" s="13">
        <f ca="1" t="shared" si="28"/>
        <v>0</v>
      </c>
      <c r="V49" s="13">
        <f ca="1" t="shared" si="28"/>
        <v>0</v>
      </c>
      <c r="W49" s="13">
        <f ca="1" t="shared" si="28"/>
        <v>0</v>
      </c>
      <c r="X49" s="13">
        <f ca="1" t="shared" si="28"/>
        <v>0</v>
      </c>
      <c r="Y49" s="13">
        <f ca="1" t="shared" si="28"/>
        <v>0</v>
      </c>
      <c r="Z49" s="13">
        <f ca="1" t="shared" si="28"/>
        <v>0</v>
      </c>
      <c r="AA49" s="13">
        <f ca="1" t="shared" si="28"/>
        <v>0</v>
      </c>
      <c r="AB49" s="13">
        <f ca="1" t="shared" si="28"/>
        <v>0</v>
      </c>
      <c r="AC49" s="13">
        <f ca="1" t="shared" si="28"/>
        <v>0</v>
      </c>
      <c r="AD49" s="13">
        <f ca="1" t="shared" si="28"/>
        <v>0</v>
      </c>
      <c r="AE49" s="13">
        <f ca="1" t="shared" si="28"/>
        <v>0</v>
      </c>
      <c r="AF49" s="13">
        <f ca="1" t="shared" si="28"/>
        <v>0</v>
      </c>
    </row>
    <row r="50" spans="13:32">
      <c r="O50" s="7">
        <v>3000</v>
      </c>
      <c r="P50" s="7">
        <v>210000</v>
      </c>
      <c r="Q50" s="13">
        <f t="shared" ref="Q50:Q57" si="29">IF($V26=0,0,$V26/$M$2/($X26*Q38))</f>
        <v>0</v>
      </c>
      <c r="R50" s="13">
        <f t="shared" ref="R50:AF50" si="30">IF($V26=0,0,$V26/$M$2/($X26*R38))</f>
        <v>0</v>
      </c>
      <c r="S50" s="13">
        <f t="shared" si="30"/>
        <v>0</v>
      </c>
      <c r="T50" s="13">
        <f t="shared" si="30"/>
        <v>0</v>
      </c>
      <c r="U50" s="13">
        <f t="shared" si="30"/>
        <v>0</v>
      </c>
      <c r="V50" s="13">
        <f t="shared" si="30"/>
        <v>0</v>
      </c>
      <c r="W50" s="13">
        <f t="shared" si="30"/>
        <v>0</v>
      </c>
      <c r="X50" s="13">
        <f t="shared" si="30"/>
        <v>0</v>
      </c>
      <c r="Y50" s="13">
        <f t="shared" si="30"/>
        <v>0</v>
      </c>
      <c r="Z50" s="13">
        <f t="shared" si="30"/>
        <v>0</v>
      </c>
      <c r="AA50" s="13">
        <f t="shared" si="30"/>
        <v>0</v>
      </c>
      <c r="AB50" s="13">
        <f t="shared" si="30"/>
        <v>0</v>
      </c>
      <c r="AC50" s="13">
        <f t="shared" si="30"/>
        <v>0</v>
      </c>
      <c r="AD50" s="13">
        <f t="shared" si="30"/>
        <v>0</v>
      </c>
      <c r="AE50" s="13">
        <f t="shared" si="30"/>
        <v>0</v>
      </c>
      <c r="AF50" s="13">
        <f t="shared" si="30"/>
        <v>0</v>
      </c>
    </row>
    <row r="51" spans="13:32">
      <c r="O51" s="7">
        <v>10000</v>
      </c>
      <c r="P51" s="7">
        <v>700000</v>
      </c>
      <c r="Q51" s="13">
        <f t="shared" si="29"/>
        <v>0.139285714285715</v>
      </c>
      <c r="R51" s="13">
        <f t="shared" ref="R51:AF51" si="31">IF($V27=0,0,$V27/$M$2/($X27*R39))</f>
        <v>0.174107142857143</v>
      </c>
      <c r="S51" s="13">
        <f t="shared" si="31"/>
        <v>0.208928571428572</v>
      </c>
      <c r="T51" s="13">
        <f t="shared" si="31"/>
        <v>0.24375</v>
      </c>
      <c r="U51" s="13">
        <f t="shared" si="31"/>
        <v>0.278571428571429</v>
      </c>
      <c r="V51" s="13">
        <f t="shared" si="31"/>
        <v>0.313392857142858</v>
      </c>
      <c r="W51" s="13">
        <f t="shared" si="31"/>
        <v>0.348214285714286</v>
      </c>
      <c r="X51" s="13">
        <f t="shared" si="31"/>
        <v>0.348214285714286</v>
      </c>
      <c r="Y51" s="13">
        <f t="shared" si="31"/>
        <v>0.348214285714286</v>
      </c>
      <c r="Z51" s="13">
        <f t="shared" si="31"/>
        <v>0.348214285714286</v>
      </c>
      <c r="AA51" s="13">
        <f t="shared" si="31"/>
        <v>0.348214285714286</v>
      </c>
      <c r="AB51" s="13">
        <f t="shared" si="31"/>
        <v>0.348214285714286</v>
      </c>
      <c r="AC51" s="13">
        <f t="shared" si="31"/>
        <v>0.348214285714286</v>
      </c>
      <c r="AD51" s="13">
        <f t="shared" si="31"/>
        <v>0.348214285714286</v>
      </c>
      <c r="AE51" s="13">
        <f t="shared" si="31"/>
        <v>0.348214285714286</v>
      </c>
      <c r="AF51" s="13">
        <f t="shared" si="31"/>
        <v>0.348214285714286</v>
      </c>
    </row>
    <row r="52" spans="13:32">
      <c r="O52" s="7">
        <v>20000</v>
      </c>
      <c r="P52" s="7">
        <v>1400000</v>
      </c>
      <c r="Q52" s="13">
        <f t="shared" si="29"/>
        <v>0.082457142857143</v>
      </c>
      <c r="R52" s="13">
        <f t="shared" ref="R52:AF52" si="32">IF($V28=0,0,$V28/$M$2/($X28*R40))</f>
        <v>0.103071428571429</v>
      </c>
      <c r="S52" s="13">
        <f t="shared" si="32"/>
        <v>0.123685714285715</v>
      </c>
      <c r="T52" s="13">
        <f t="shared" si="32"/>
        <v>0.1443</v>
      </c>
      <c r="U52" s="13">
        <f t="shared" si="32"/>
        <v>0.164914285714286</v>
      </c>
      <c r="V52" s="13">
        <f t="shared" si="32"/>
        <v>0.185528571428572</v>
      </c>
      <c r="W52" s="13">
        <f t="shared" si="32"/>
        <v>0.206142857142857</v>
      </c>
      <c r="X52" s="13">
        <f t="shared" si="32"/>
        <v>0.206142857142857</v>
      </c>
      <c r="Y52" s="13">
        <f t="shared" si="32"/>
        <v>0.206142857142857</v>
      </c>
      <c r="Z52" s="13">
        <f t="shared" si="32"/>
        <v>0.206142857142857</v>
      </c>
      <c r="AA52" s="13">
        <f t="shared" si="32"/>
        <v>0.206142857142857</v>
      </c>
      <c r="AB52" s="13">
        <f t="shared" si="32"/>
        <v>0.206142857142857</v>
      </c>
      <c r="AC52" s="13">
        <f t="shared" si="32"/>
        <v>0.206142857142857</v>
      </c>
      <c r="AD52" s="13">
        <f t="shared" si="32"/>
        <v>0.206142857142857</v>
      </c>
      <c r="AE52" s="13">
        <f t="shared" si="32"/>
        <v>0.206142857142857</v>
      </c>
      <c r="AF52" s="13">
        <f t="shared" si="32"/>
        <v>0.206142857142857</v>
      </c>
    </row>
    <row r="53" spans="13:32">
      <c r="O53" s="7">
        <v>50000</v>
      </c>
      <c r="P53" s="7">
        <v>3500000</v>
      </c>
      <c r="Q53" s="13">
        <f t="shared" si="29"/>
        <v>0.168187980295567</v>
      </c>
      <c r="R53" s="13">
        <f t="shared" ref="R53:AF53" si="33">IF($V29=0,0,$V29/$M$2/($X29*R41))</f>
        <v>0.203453201970443</v>
      </c>
      <c r="S53" s="13">
        <f t="shared" si="33"/>
        <v>0.244143842364532</v>
      </c>
      <c r="T53" s="13">
        <f t="shared" si="33"/>
        <v>0.284834482758622</v>
      </c>
      <c r="U53" s="13">
        <f t="shared" si="33"/>
        <v>0.314674285714286</v>
      </c>
      <c r="V53" s="13">
        <f t="shared" si="33"/>
        <v>0.354008571428571</v>
      </c>
      <c r="W53" s="13">
        <f t="shared" si="33"/>
        <v>0.393342857142858</v>
      </c>
      <c r="X53" s="13">
        <f t="shared" si="33"/>
        <v>0.393342857142858</v>
      </c>
      <c r="Y53" s="13">
        <f t="shared" si="33"/>
        <v>0.393342857142858</v>
      </c>
      <c r="Z53" s="13">
        <f t="shared" si="33"/>
        <v>0.393342857142858</v>
      </c>
      <c r="AA53" s="13">
        <f t="shared" si="33"/>
        <v>0.393342857142858</v>
      </c>
      <c r="AB53" s="13">
        <f t="shared" si="33"/>
        <v>0.393342857142858</v>
      </c>
      <c r="AC53" s="13">
        <f t="shared" si="33"/>
        <v>0.393342857142858</v>
      </c>
      <c r="AD53" s="13">
        <f t="shared" si="33"/>
        <v>0.393342857142858</v>
      </c>
      <c r="AE53" s="13">
        <f t="shared" si="33"/>
        <v>0.393342857142858</v>
      </c>
      <c r="AF53" s="13">
        <f t="shared" si="33"/>
        <v>0.393342857142858</v>
      </c>
    </row>
    <row r="54" spans="13:32">
      <c r="O54" s="7">
        <v>100000</v>
      </c>
      <c r="P54" s="7">
        <v>7000000</v>
      </c>
      <c r="Q54" s="13">
        <f t="shared" si="29"/>
        <v>0.172675862068966</v>
      </c>
      <c r="R54" s="13">
        <f t="shared" ref="R54:AF54" si="34">IF($V30=0,0,$V30/$M$2/($X30*R42))</f>
        <v>0.203510837438424</v>
      </c>
      <c r="S54" s="13">
        <f t="shared" si="34"/>
        <v>0.236812610837439</v>
      </c>
      <c r="T54" s="13">
        <f t="shared" si="34"/>
        <v>0.276281379310345</v>
      </c>
      <c r="U54" s="13">
        <f t="shared" si="34"/>
        <v>0.305882955665025</v>
      </c>
      <c r="V54" s="13">
        <f t="shared" si="34"/>
        <v>0.344118325123154</v>
      </c>
      <c r="W54" s="13">
        <f t="shared" si="34"/>
        <v>0.370019704433498</v>
      </c>
      <c r="X54" s="13">
        <f t="shared" si="34"/>
        <v>0.370019704433498</v>
      </c>
      <c r="Y54" s="13">
        <f t="shared" si="34"/>
        <v>0.370019704433498</v>
      </c>
      <c r="Z54" s="13">
        <f t="shared" si="34"/>
        <v>0.370019704433498</v>
      </c>
      <c r="AA54" s="13">
        <f t="shared" si="34"/>
        <v>0.370019704433498</v>
      </c>
      <c r="AB54" s="13">
        <f t="shared" si="34"/>
        <v>0.370019704433498</v>
      </c>
      <c r="AC54" s="13">
        <f t="shared" si="34"/>
        <v>0.370019704433498</v>
      </c>
      <c r="AD54" s="13">
        <f t="shared" si="34"/>
        <v>0.370019704433498</v>
      </c>
      <c r="AE54" s="13">
        <f t="shared" si="34"/>
        <v>0.370019704433498</v>
      </c>
      <c r="AF54" s="13">
        <f t="shared" si="34"/>
        <v>0.370019704433498</v>
      </c>
    </row>
    <row r="55" spans="13:32">
      <c r="O55" s="7">
        <v>200000</v>
      </c>
      <c r="P55" s="7">
        <v>14000000</v>
      </c>
      <c r="Q55" s="13">
        <f t="shared" si="29"/>
        <v>0.285843103448276</v>
      </c>
      <c r="R55" s="13">
        <f t="shared" ref="R55:AF55" si="35">IF($V31=0,0,$V31/$M$2/($X31*R43))</f>
        <v>0.33178217364532</v>
      </c>
      <c r="S55" s="13">
        <f t="shared" si="35"/>
        <v>0.377721243842364</v>
      </c>
      <c r="T55" s="13">
        <f t="shared" si="35"/>
        <v>0.428764655172414</v>
      </c>
      <c r="U55" s="13">
        <f t="shared" si="35"/>
        <v>0.476405172413793</v>
      </c>
      <c r="V55" s="13">
        <f t="shared" si="35"/>
        <v>0.520642795566502</v>
      </c>
      <c r="W55" s="13">
        <f t="shared" si="35"/>
        <v>0.561477524630541</v>
      </c>
      <c r="X55" s="13">
        <f t="shared" si="35"/>
        <v>0.561477524630541</v>
      </c>
      <c r="Y55" s="13">
        <f t="shared" si="35"/>
        <v>0.561477524630541</v>
      </c>
      <c r="Z55" s="13">
        <f t="shared" si="35"/>
        <v>0.561477524630541</v>
      </c>
      <c r="AA55" s="13">
        <f t="shared" si="35"/>
        <v>0.561477524630541</v>
      </c>
      <c r="AB55" s="13">
        <f t="shared" si="35"/>
        <v>0.561477524630541</v>
      </c>
      <c r="AC55" s="13">
        <f t="shared" si="35"/>
        <v>0.561477524630541</v>
      </c>
      <c r="AD55" s="13">
        <f t="shared" si="35"/>
        <v>0.561477524630541</v>
      </c>
      <c r="AE55" s="13">
        <f t="shared" si="35"/>
        <v>0.561477524630541</v>
      </c>
      <c r="AF55" s="13">
        <f t="shared" si="35"/>
        <v>0.561477524630541</v>
      </c>
    </row>
    <row r="56" spans="13:32">
      <c r="O56" s="7">
        <v>500000</v>
      </c>
      <c r="P56" s="7">
        <v>35000000</v>
      </c>
      <c r="Q56" s="13">
        <f t="shared" si="29"/>
        <v>0.163338916256158</v>
      </c>
      <c r="R56" s="13">
        <f t="shared" ref="R56:AF56" si="36">IF($V32=0,0,$V32/$M$2/($X32*R44))</f>
        <v>0.195666410098522</v>
      </c>
      <c r="S56" s="13">
        <f t="shared" si="36"/>
        <v>0.229695350985222</v>
      </c>
      <c r="T56" s="13">
        <f t="shared" si="36"/>
        <v>0.267977909482759</v>
      </c>
      <c r="U56" s="13">
        <f t="shared" si="36"/>
        <v>0.292648891625617</v>
      </c>
      <c r="V56" s="13">
        <f t="shared" si="36"/>
        <v>0.329230003078819</v>
      </c>
      <c r="W56" s="13">
        <f t="shared" si="36"/>
        <v>0.357303879310345</v>
      </c>
      <c r="X56" s="13">
        <f t="shared" si="36"/>
        <v>0.357303879310345</v>
      </c>
      <c r="Y56" s="13">
        <f t="shared" si="36"/>
        <v>0.357303879310345</v>
      </c>
      <c r="Z56" s="13">
        <f t="shared" si="36"/>
        <v>0.357303879310345</v>
      </c>
      <c r="AA56" s="13">
        <f t="shared" si="36"/>
        <v>0.357303879310345</v>
      </c>
      <c r="AB56" s="13">
        <f t="shared" si="36"/>
        <v>0.357303879310345</v>
      </c>
      <c r="AC56" s="13">
        <f t="shared" si="36"/>
        <v>0.357303879310345</v>
      </c>
      <c r="AD56" s="13">
        <f t="shared" si="36"/>
        <v>0.357303879310345</v>
      </c>
      <c r="AE56" s="13">
        <f t="shared" si="36"/>
        <v>0.357303879310345</v>
      </c>
      <c r="AF56" s="13">
        <f t="shared" si="36"/>
        <v>0.357303879310345</v>
      </c>
    </row>
    <row r="57" spans="13:32">
      <c r="O57" s="7">
        <v>1000000</v>
      </c>
      <c r="P57" s="7">
        <v>70000000</v>
      </c>
      <c r="Q57" s="13">
        <f t="shared" si="29"/>
        <v>0.110253768472906</v>
      </c>
      <c r="R57" s="13">
        <f t="shared" ref="R57:AF57" si="37">IF($V33=0,0,$V33/$M$2/($X33*R45))</f>
        <v>0.132712869458128</v>
      </c>
      <c r="S57" s="13">
        <f t="shared" si="37"/>
        <v>0.153130233990148</v>
      </c>
      <c r="T57" s="13">
        <f t="shared" si="37"/>
        <v>0.175078900862068</v>
      </c>
      <c r="U57" s="13">
        <f t="shared" si="37"/>
        <v>0.196006699507389</v>
      </c>
      <c r="V57" s="13">
        <f t="shared" si="37"/>
        <v>0.215913629926108</v>
      </c>
      <c r="W57" s="13">
        <f t="shared" si="37"/>
        <v>0.234799692118225</v>
      </c>
      <c r="X57" s="13">
        <f t="shared" si="37"/>
        <v>0.234799692118225</v>
      </c>
      <c r="Y57" s="13">
        <f t="shared" si="37"/>
        <v>0.234799692118225</v>
      </c>
      <c r="Z57" s="13">
        <f t="shared" si="37"/>
        <v>0.234799692118225</v>
      </c>
      <c r="AA57" s="13">
        <f t="shared" si="37"/>
        <v>0.234799692118225</v>
      </c>
      <c r="AB57" s="13">
        <f t="shared" si="37"/>
        <v>0.234799692118225</v>
      </c>
      <c r="AC57" s="13">
        <f t="shared" si="37"/>
        <v>0.234799692118225</v>
      </c>
      <c r="AD57" s="13">
        <f t="shared" si="37"/>
        <v>0.234799692118225</v>
      </c>
      <c r="AE57" s="13">
        <f t="shared" si="37"/>
        <v>0.234799692118225</v>
      </c>
      <c r="AF57" s="13">
        <f t="shared" si="37"/>
        <v>0.234799692118225</v>
      </c>
    </row>
    <row r="59" spans="13:32">
      <c r="M59" s="4" t="s">
        <v>39</v>
      </c>
      <c r="O59" s="7"/>
      <c r="P59" s="7"/>
      <c r="Q59" s="7">
        <v>1000000</v>
      </c>
      <c r="R59" s="7">
        <v>1250000</v>
      </c>
      <c r="S59" s="7">
        <v>1500000</v>
      </c>
      <c r="T59" s="7">
        <v>1750000</v>
      </c>
      <c r="U59" s="7">
        <v>2000000</v>
      </c>
      <c r="V59" s="7">
        <v>2250000</v>
      </c>
      <c r="W59" s="7">
        <v>2500000</v>
      </c>
      <c r="X59" s="7">
        <v>2500000</v>
      </c>
      <c r="Y59" s="7">
        <v>2500000</v>
      </c>
      <c r="Z59" s="7">
        <v>2500000</v>
      </c>
      <c r="AA59" s="7">
        <v>2500000</v>
      </c>
      <c r="AB59" s="7">
        <v>2500000</v>
      </c>
      <c r="AC59" s="7">
        <v>2500000</v>
      </c>
      <c r="AD59" s="7">
        <v>2500000</v>
      </c>
      <c r="AE59" s="7">
        <v>2500000</v>
      </c>
      <c r="AF59" s="7">
        <v>2500000</v>
      </c>
    </row>
    <row r="60" spans="13:32">
      <c r="O60" s="7" t="s">
        <v>5</v>
      </c>
      <c r="P60" s="7" t="s">
        <v>37</v>
      </c>
      <c r="Q60" s="7">
        <v>0</v>
      </c>
      <c r="R60" s="6">
        <v>1</v>
      </c>
      <c r="S60" s="6">
        <v>2</v>
      </c>
      <c r="T60" s="6">
        <v>3</v>
      </c>
      <c r="U60" s="6">
        <v>4</v>
      </c>
      <c r="V60" s="6">
        <v>5</v>
      </c>
      <c r="W60" s="6">
        <v>6</v>
      </c>
      <c r="X60" s="6">
        <v>7</v>
      </c>
      <c r="Y60" s="6">
        <v>8</v>
      </c>
      <c r="Z60" s="6">
        <v>9</v>
      </c>
      <c r="AA60" s="6">
        <v>10</v>
      </c>
      <c r="AB60" s="6">
        <v>11</v>
      </c>
      <c r="AC60" s="6">
        <v>12</v>
      </c>
      <c r="AD60" s="6">
        <v>13</v>
      </c>
      <c r="AE60" s="6">
        <v>14</v>
      </c>
      <c r="AF60" s="6">
        <v>15</v>
      </c>
    </row>
    <row r="61" spans="13:32">
      <c r="O61" s="7">
        <v>1000</v>
      </c>
      <c r="P61" s="7">
        <v>70000</v>
      </c>
      <c r="Q61" s="13">
        <f ca="1">IF($V25=0,0,$V25/($X25*$Q2))</f>
        <v>0</v>
      </c>
      <c r="R61" s="13">
        <f ca="1" t="shared" ref="R61:AF61" si="38">IF($V25=0,0,$V25/($X25*$Q2))</f>
        <v>0</v>
      </c>
      <c r="S61" s="13">
        <f ca="1" t="shared" si="38"/>
        <v>0</v>
      </c>
      <c r="T61" s="13">
        <f ca="1" t="shared" si="38"/>
        <v>0</v>
      </c>
      <c r="U61" s="13">
        <f ca="1" t="shared" si="38"/>
        <v>0</v>
      </c>
      <c r="V61" s="13">
        <f ca="1" t="shared" si="38"/>
        <v>0</v>
      </c>
      <c r="W61" s="13">
        <f ca="1" t="shared" si="38"/>
        <v>0</v>
      </c>
      <c r="X61" s="13">
        <f ca="1" t="shared" si="38"/>
        <v>0</v>
      </c>
      <c r="Y61" s="13">
        <f ca="1" t="shared" si="38"/>
        <v>0</v>
      </c>
      <c r="Z61" s="13">
        <f ca="1" t="shared" si="38"/>
        <v>0</v>
      </c>
      <c r="AA61" s="13">
        <f ca="1" t="shared" si="38"/>
        <v>0</v>
      </c>
      <c r="AB61" s="13">
        <f ca="1" t="shared" si="38"/>
        <v>0</v>
      </c>
      <c r="AC61" s="13">
        <f ca="1" t="shared" si="38"/>
        <v>0</v>
      </c>
      <c r="AD61" s="13">
        <f ca="1" t="shared" si="38"/>
        <v>0</v>
      </c>
      <c r="AE61" s="13">
        <f ca="1" t="shared" si="38"/>
        <v>0</v>
      </c>
      <c r="AF61" s="13">
        <f ca="1" t="shared" si="38"/>
        <v>0</v>
      </c>
    </row>
    <row r="62" spans="13:32">
      <c r="O62" s="7">
        <v>3000</v>
      </c>
      <c r="P62" s="7">
        <v>210000</v>
      </c>
      <c r="Q62" s="13">
        <f t="shared" ref="Q61:Q69" si="39">IF($V26=0,0,$V26/($X26*$Q3))</f>
        <v>0</v>
      </c>
      <c r="R62" s="13">
        <f t="shared" ref="R62:AF62" si="40">IF($V26=0,0,$V26/($X26*$Q3))</f>
        <v>0</v>
      </c>
      <c r="S62" s="13">
        <f t="shared" si="40"/>
        <v>0</v>
      </c>
      <c r="T62" s="13">
        <f t="shared" si="40"/>
        <v>0</v>
      </c>
      <c r="U62" s="13">
        <f t="shared" si="40"/>
        <v>0</v>
      </c>
      <c r="V62" s="13">
        <f t="shared" si="40"/>
        <v>0</v>
      </c>
      <c r="W62" s="13">
        <f t="shared" si="40"/>
        <v>0</v>
      </c>
      <c r="X62" s="13">
        <f t="shared" si="40"/>
        <v>0</v>
      </c>
      <c r="Y62" s="13">
        <f t="shared" si="40"/>
        <v>0</v>
      </c>
      <c r="Z62" s="13">
        <f t="shared" si="40"/>
        <v>0</v>
      </c>
      <c r="AA62" s="13">
        <f t="shared" si="40"/>
        <v>0</v>
      </c>
      <c r="AB62" s="13">
        <f t="shared" si="40"/>
        <v>0</v>
      </c>
      <c r="AC62" s="13">
        <f t="shared" si="40"/>
        <v>0</v>
      </c>
      <c r="AD62" s="13">
        <f t="shared" si="40"/>
        <v>0</v>
      </c>
      <c r="AE62" s="13">
        <f t="shared" si="40"/>
        <v>0</v>
      </c>
      <c r="AF62" s="13">
        <f t="shared" si="40"/>
        <v>0</v>
      </c>
    </row>
    <row r="63" spans="13:32">
      <c r="O63" s="7">
        <v>10000</v>
      </c>
      <c r="P63" s="7">
        <v>700000</v>
      </c>
      <c r="Q63" s="13">
        <f t="shared" si="39"/>
        <v>1.39285714285715</v>
      </c>
      <c r="R63" s="13">
        <f t="shared" ref="R63:AF63" si="41">IF($V27=0,0,$V27/($X27*$Q4))</f>
        <v>1.39285714285715</v>
      </c>
      <c r="S63" s="13">
        <f t="shared" si="41"/>
        <v>1.39285714285715</v>
      </c>
      <c r="T63" s="13">
        <f t="shared" si="41"/>
        <v>1.39285714285715</v>
      </c>
      <c r="U63" s="13">
        <f t="shared" si="41"/>
        <v>1.39285714285715</v>
      </c>
      <c r="V63" s="13">
        <f t="shared" si="41"/>
        <v>1.39285714285715</v>
      </c>
      <c r="W63" s="13">
        <f t="shared" si="41"/>
        <v>1.39285714285715</v>
      </c>
      <c r="X63" s="13">
        <f t="shared" si="41"/>
        <v>1.39285714285715</v>
      </c>
      <c r="Y63" s="13">
        <f t="shared" si="41"/>
        <v>1.39285714285715</v>
      </c>
      <c r="Z63" s="13">
        <f t="shared" si="41"/>
        <v>1.39285714285715</v>
      </c>
      <c r="AA63" s="13">
        <f t="shared" si="41"/>
        <v>1.39285714285715</v>
      </c>
      <c r="AB63" s="13">
        <f t="shared" si="41"/>
        <v>1.39285714285715</v>
      </c>
      <c r="AC63" s="13">
        <f t="shared" si="41"/>
        <v>1.39285714285715</v>
      </c>
      <c r="AD63" s="13">
        <f t="shared" si="41"/>
        <v>1.39285714285715</v>
      </c>
      <c r="AE63" s="13">
        <f t="shared" si="41"/>
        <v>1.39285714285715</v>
      </c>
      <c r="AF63" s="13">
        <f t="shared" si="41"/>
        <v>1.39285714285715</v>
      </c>
    </row>
    <row r="64" spans="13:32">
      <c r="O64" s="7">
        <v>20000</v>
      </c>
      <c r="P64" s="7">
        <v>1400000</v>
      </c>
      <c r="Q64" s="13">
        <f t="shared" si="39"/>
        <v>0.82457142857143</v>
      </c>
      <c r="R64" s="13">
        <f t="shared" ref="R64:AF64" si="42">IF($V28=0,0,$V28/($X28*$Q5))</f>
        <v>0.82457142857143</v>
      </c>
      <c r="S64" s="13">
        <f t="shared" si="42"/>
        <v>0.82457142857143</v>
      </c>
      <c r="T64" s="13">
        <f t="shared" si="42"/>
        <v>0.82457142857143</v>
      </c>
      <c r="U64" s="13">
        <f t="shared" si="42"/>
        <v>0.82457142857143</v>
      </c>
      <c r="V64" s="13">
        <f t="shared" si="42"/>
        <v>0.82457142857143</v>
      </c>
      <c r="W64" s="13">
        <f t="shared" si="42"/>
        <v>0.82457142857143</v>
      </c>
      <c r="X64" s="13">
        <f t="shared" si="42"/>
        <v>0.82457142857143</v>
      </c>
      <c r="Y64" s="13">
        <f t="shared" si="42"/>
        <v>0.82457142857143</v>
      </c>
      <c r="Z64" s="13">
        <f t="shared" si="42"/>
        <v>0.82457142857143</v>
      </c>
      <c r="AA64" s="13">
        <f t="shared" si="42"/>
        <v>0.82457142857143</v>
      </c>
      <c r="AB64" s="13">
        <f t="shared" si="42"/>
        <v>0.82457142857143</v>
      </c>
      <c r="AC64" s="13">
        <f t="shared" si="42"/>
        <v>0.82457142857143</v>
      </c>
      <c r="AD64" s="13">
        <f t="shared" si="42"/>
        <v>0.82457142857143</v>
      </c>
      <c r="AE64" s="13">
        <f t="shared" si="42"/>
        <v>0.82457142857143</v>
      </c>
      <c r="AF64" s="13">
        <f t="shared" si="42"/>
        <v>0.82457142857143</v>
      </c>
    </row>
    <row r="65" spans="13:32">
      <c r="O65" s="7">
        <v>50000</v>
      </c>
      <c r="P65" s="7">
        <v>3500000</v>
      </c>
      <c r="Q65" s="13">
        <f t="shared" si="39"/>
        <v>1.57337142857143</v>
      </c>
      <c r="R65" s="13">
        <f t="shared" ref="R65:AF65" si="43">IF($V29=0,0,$V29/($X29*$Q6))</f>
        <v>1.57337142857143</v>
      </c>
      <c r="S65" s="13">
        <f t="shared" si="43"/>
        <v>1.57337142857143</v>
      </c>
      <c r="T65" s="13">
        <f t="shared" si="43"/>
        <v>1.57337142857143</v>
      </c>
      <c r="U65" s="13">
        <f t="shared" si="43"/>
        <v>1.57337142857143</v>
      </c>
      <c r="V65" s="13">
        <f t="shared" si="43"/>
        <v>1.57337142857143</v>
      </c>
      <c r="W65" s="13">
        <f t="shared" si="43"/>
        <v>1.57337142857143</v>
      </c>
      <c r="X65" s="13">
        <f t="shared" si="43"/>
        <v>1.57337142857143</v>
      </c>
      <c r="Y65" s="13">
        <f t="shared" si="43"/>
        <v>1.57337142857143</v>
      </c>
      <c r="Z65" s="13">
        <f t="shared" si="43"/>
        <v>1.57337142857143</v>
      </c>
      <c r="AA65" s="13">
        <f t="shared" si="43"/>
        <v>1.57337142857143</v>
      </c>
      <c r="AB65" s="13">
        <f t="shared" si="43"/>
        <v>1.57337142857143</v>
      </c>
      <c r="AC65" s="13">
        <f t="shared" si="43"/>
        <v>1.57337142857143</v>
      </c>
      <c r="AD65" s="13">
        <f t="shared" si="43"/>
        <v>1.57337142857143</v>
      </c>
      <c r="AE65" s="13">
        <f t="shared" si="43"/>
        <v>1.57337142857143</v>
      </c>
      <c r="AF65" s="13">
        <f t="shared" si="43"/>
        <v>1.57337142857143</v>
      </c>
    </row>
    <row r="66" spans="13:32">
      <c r="O66" s="7">
        <v>100000</v>
      </c>
      <c r="P66" s="7">
        <v>7000000</v>
      </c>
      <c r="Q66" s="13">
        <f t="shared" si="39"/>
        <v>1.43074285714286</v>
      </c>
      <c r="R66" s="13">
        <f t="shared" ref="R66:AF66" si="44">IF($V30=0,0,$V30/($X30*$Q7))</f>
        <v>1.43074285714286</v>
      </c>
      <c r="S66" s="13">
        <f t="shared" si="44"/>
        <v>1.43074285714286</v>
      </c>
      <c r="T66" s="13">
        <f t="shared" si="44"/>
        <v>1.43074285714286</v>
      </c>
      <c r="U66" s="13">
        <f t="shared" si="44"/>
        <v>1.43074285714286</v>
      </c>
      <c r="V66" s="13">
        <f t="shared" si="44"/>
        <v>1.43074285714286</v>
      </c>
      <c r="W66" s="13">
        <f t="shared" si="44"/>
        <v>1.43074285714286</v>
      </c>
      <c r="X66" s="13">
        <f t="shared" si="44"/>
        <v>1.43074285714286</v>
      </c>
      <c r="Y66" s="13">
        <f t="shared" si="44"/>
        <v>1.43074285714286</v>
      </c>
      <c r="Z66" s="13">
        <f t="shared" si="44"/>
        <v>1.43074285714286</v>
      </c>
      <c r="AA66" s="13">
        <f t="shared" si="44"/>
        <v>1.43074285714286</v>
      </c>
      <c r="AB66" s="13">
        <f t="shared" si="44"/>
        <v>1.43074285714286</v>
      </c>
      <c r="AC66" s="13">
        <f t="shared" si="44"/>
        <v>1.43074285714286</v>
      </c>
      <c r="AD66" s="13">
        <f t="shared" si="44"/>
        <v>1.43074285714286</v>
      </c>
      <c r="AE66" s="13">
        <f t="shared" si="44"/>
        <v>1.43074285714286</v>
      </c>
      <c r="AF66" s="13">
        <f t="shared" si="44"/>
        <v>1.43074285714286</v>
      </c>
    </row>
    <row r="67" spans="13:32">
      <c r="O67" s="7">
        <v>200000</v>
      </c>
      <c r="P67" s="7">
        <v>14000000</v>
      </c>
      <c r="Q67" s="13">
        <f t="shared" si="39"/>
        <v>1.97367857142857</v>
      </c>
      <c r="R67" s="13">
        <f t="shared" ref="R67:AF67" si="45">IF($V31=0,0,$V31/($X31*$Q8))</f>
        <v>1.97367857142857</v>
      </c>
      <c r="S67" s="13">
        <f t="shared" si="45"/>
        <v>1.97367857142857</v>
      </c>
      <c r="T67" s="13">
        <f t="shared" si="45"/>
        <v>1.97367857142857</v>
      </c>
      <c r="U67" s="13">
        <f t="shared" si="45"/>
        <v>1.97367857142857</v>
      </c>
      <c r="V67" s="13">
        <f t="shared" si="45"/>
        <v>1.97367857142857</v>
      </c>
      <c r="W67" s="13">
        <f t="shared" si="45"/>
        <v>1.97367857142857</v>
      </c>
      <c r="X67" s="13">
        <f t="shared" si="45"/>
        <v>1.97367857142857</v>
      </c>
      <c r="Y67" s="13">
        <f t="shared" si="45"/>
        <v>1.97367857142857</v>
      </c>
      <c r="Z67" s="13">
        <f t="shared" si="45"/>
        <v>1.97367857142857</v>
      </c>
      <c r="AA67" s="13">
        <f t="shared" si="45"/>
        <v>1.97367857142857</v>
      </c>
      <c r="AB67" s="13">
        <f t="shared" si="45"/>
        <v>1.97367857142857</v>
      </c>
      <c r="AC67" s="13">
        <f t="shared" si="45"/>
        <v>1.97367857142857</v>
      </c>
      <c r="AD67" s="13">
        <f t="shared" si="45"/>
        <v>1.97367857142857</v>
      </c>
      <c r="AE67" s="13">
        <f t="shared" si="45"/>
        <v>1.97367857142857</v>
      </c>
      <c r="AF67" s="13">
        <f t="shared" si="45"/>
        <v>1.97367857142857</v>
      </c>
    </row>
    <row r="68" spans="13:32">
      <c r="O68" s="7">
        <v>500000</v>
      </c>
      <c r="P68" s="7">
        <v>35000000</v>
      </c>
      <c r="Q68" s="13">
        <f t="shared" si="39"/>
        <v>0.986839285714286</v>
      </c>
      <c r="R68" s="13">
        <f t="shared" ref="R68:AF68" si="46">IF($V32=0,0,$V32/($X32*$Q9))</f>
        <v>0.986839285714286</v>
      </c>
      <c r="S68" s="13">
        <f t="shared" si="46"/>
        <v>0.986839285714286</v>
      </c>
      <c r="T68" s="13">
        <f t="shared" si="46"/>
        <v>0.986839285714286</v>
      </c>
      <c r="U68" s="13">
        <f t="shared" si="46"/>
        <v>0.986839285714286</v>
      </c>
      <c r="V68" s="13">
        <f t="shared" si="46"/>
        <v>0.986839285714286</v>
      </c>
      <c r="W68" s="13">
        <f t="shared" si="46"/>
        <v>0.986839285714286</v>
      </c>
      <c r="X68" s="13">
        <f t="shared" si="46"/>
        <v>0.986839285714286</v>
      </c>
      <c r="Y68" s="13">
        <f t="shared" si="46"/>
        <v>0.986839285714286</v>
      </c>
      <c r="Z68" s="13">
        <f t="shared" si="46"/>
        <v>0.986839285714286</v>
      </c>
      <c r="AA68" s="13">
        <f t="shared" si="46"/>
        <v>0.986839285714286</v>
      </c>
      <c r="AB68" s="13">
        <f t="shared" si="46"/>
        <v>0.986839285714286</v>
      </c>
      <c r="AC68" s="13">
        <f t="shared" si="46"/>
        <v>0.986839285714286</v>
      </c>
      <c r="AD68" s="13">
        <f t="shared" si="46"/>
        <v>0.986839285714286</v>
      </c>
      <c r="AE68" s="13">
        <f t="shared" si="46"/>
        <v>0.986839285714286</v>
      </c>
      <c r="AF68" s="13">
        <f t="shared" si="46"/>
        <v>0.986839285714286</v>
      </c>
    </row>
    <row r="69" spans="13:32">
      <c r="O69" s="7">
        <v>1000000</v>
      </c>
      <c r="P69" s="7">
        <v>70000000</v>
      </c>
      <c r="Q69" s="13">
        <f t="shared" si="39"/>
        <v>0.592103571428569</v>
      </c>
      <c r="R69" s="13">
        <f>IF($V33=0,0,$V33/($X33*$Q10))</f>
        <v>0.592103571428569</v>
      </c>
      <c r="S69" s="13">
        <f t="shared" ref="R69:AF69" si="47">IF($V33=0,0,$V33/($X33*$Q10))</f>
        <v>0.592103571428569</v>
      </c>
      <c r="T69" s="13">
        <f t="shared" si="47"/>
        <v>0.592103571428569</v>
      </c>
      <c r="U69" s="13">
        <f t="shared" si="47"/>
        <v>0.592103571428569</v>
      </c>
      <c r="V69" s="13">
        <f t="shared" si="47"/>
        <v>0.592103571428569</v>
      </c>
      <c r="W69" s="13">
        <f t="shared" si="47"/>
        <v>0.592103571428569</v>
      </c>
      <c r="X69" s="13">
        <f t="shared" si="47"/>
        <v>0.592103571428569</v>
      </c>
      <c r="Y69" s="13">
        <f t="shared" si="47"/>
        <v>0.592103571428569</v>
      </c>
      <c r="Z69" s="13">
        <f t="shared" si="47"/>
        <v>0.592103571428569</v>
      </c>
      <c r="AA69" s="13">
        <f t="shared" si="47"/>
        <v>0.592103571428569</v>
      </c>
      <c r="AB69" s="13">
        <f t="shared" si="47"/>
        <v>0.592103571428569</v>
      </c>
      <c r="AC69" s="13">
        <f t="shared" si="47"/>
        <v>0.592103571428569</v>
      </c>
      <c r="AD69" s="13">
        <f t="shared" si="47"/>
        <v>0.592103571428569</v>
      </c>
      <c r="AE69" s="13">
        <f t="shared" si="47"/>
        <v>0.592103571428569</v>
      </c>
      <c r="AF69" s="13">
        <f t="shared" si="47"/>
        <v>0.592103571428569</v>
      </c>
    </row>
    <row r="71" spans="13:32">
      <c r="M71" s="4" t="s">
        <v>40</v>
      </c>
      <c r="O71" s="7"/>
      <c r="P71" s="7"/>
      <c r="Q71" s="7">
        <v>1000000</v>
      </c>
      <c r="R71" s="7">
        <v>1250000</v>
      </c>
      <c r="S71" s="7">
        <v>1500000</v>
      </c>
      <c r="T71" s="7">
        <v>1750000</v>
      </c>
      <c r="U71" s="7">
        <v>2000000</v>
      </c>
      <c r="V71" s="7">
        <v>2250000</v>
      </c>
      <c r="W71" s="7">
        <v>2500000</v>
      </c>
      <c r="X71" s="7">
        <v>2500000</v>
      </c>
      <c r="Y71" s="7">
        <v>2500000</v>
      </c>
      <c r="Z71" s="7">
        <v>2500000</v>
      </c>
      <c r="AA71" s="7">
        <v>2500000</v>
      </c>
      <c r="AB71" s="7">
        <v>2500000</v>
      </c>
      <c r="AC71" s="7">
        <v>2500000</v>
      </c>
      <c r="AD71" s="7">
        <v>2500000</v>
      </c>
      <c r="AE71" s="7">
        <v>2500000</v>
      </c>
      <c r="AF71" s="7">
        <v>2500000</v>
      </c>
    </row>
    <row r="72" spans="13:32">
      <c r="O72" s="7" t="s">
        <v>5</v>
      </c>
      <c r="P72" s="7" t="s">
        <v>37</v>
      </c>
      <c r="Q72" s="7">
        <v>0</v>
      </c>
      <c r="R72" s="6">
        <v>1</v>
      </c>
      <c r="S72" s="6">
        <v>2</v>
      </c>
      <c r="T72" s="6">
        <v>3</v>
      </c>
      <c r="U72" s="6">
        <v>4</v>
      </c>
      <c r="V72" s="6">
        <v>5</v>
      </c>
      <c r="W72" s="6">
        <v>6</v>
      </c>
      <c r="X72" s="6">
        <v>7</v>
      </c>
      <c r="Y72" s="6">
        <v>8</v>
      </c>
      <c r="Z72" s="6">
        <v>9</v>
      </c>
      <c r="AA72" s="6">
        <v>10</v>
      </c>
      <c r="AB72" s="6">
        <v>11</v>
      </c>
      <c r="AC72" s="6">
        <v>12</v>
      </c>
      <c r="AD72" s="6">
        <v>13</v>
      </c>
      <c r="AE72" s="6">
        <v>14</v>
      </c>
      <c r="AF72" s="6">
        <v>15</v>
      </c>
    </row>
    <row r="73" spans="13:32">
      <c r="O73" s="7">
        <v>1000</v>
      </c>
      <c r="P73" s="7">
        <v>70000</v>
      </c>
      <c r="Q73" s="14">
        <f ca="1">IF($V25=0,0,$X25*Q37)</f>
        <v>0</v>
      </c>
      <c r="R73" s="14">
        <f ca="1" t="shared" ref="R73:R81" si="48">IF($V25=0,0,$X25*R37)</f>
        <v>0</v>
      </c>
      <c r="S73" s="14">
        <f ca="1" t="shared" ref="S73:S81" si="49">IF($V25=0,0,$X25*S37)</f>
        <v>0</v>
      </c>
      <c r="T73" s="14">
        <f ca="1" t="shared" ref="T73:T81" si="50">IF($V25=0,0,$X25*T37)</f>
        <v>0</v>
      </c>
      <c r="U73" s="14">
        <f ca="1" t="shared" ref="U73:U81" si="51">IF($V25=0,0,$X25*U37)</f>
        <v>0</v>
      </c>
      <c r="V73" s="14">
        <f ca="1" t="shared" ref="V73:AF73" si="52">IF($V25=0,0,$X25*V37)</f>
        <v>0</v>
      </c>
      <c r="W73" s="14">
        <f ca="1" t="shared" si="52"/>
        <v>0</v>
      </c>
      <c r="X73" s="14">
        <f ca="1" t="shared" si="52"/>
        <v>0</v>
      </c>
      <c r="Y73" s="14">
        <f ca="1" t="shared" si="52"/>
        <v>0</v>
      </c>
      <c r="Z73" s="14">
        <f ca="1" t="shared" si="52"/>
        <v>0</v>
      </c>
      <c r="AA73" s="14">
        <f ca="1" t="shared" si="52"/>
        <v>0</v>
      </c>
      <c r="AB73" s="14">
        <f ca="1" t="shared" si="52"/>
        <v>0</v>
      </c>
      <c r="AC73" s="14">
        <f ca="1" t="shared" si="52"/>
        <v>0</v>
      </c>
      <c r="AD73" s="14">
        <f ca="1" t="shared" si="52"/>
        <v>0</v>
      </c>
      <c r="AE73" s="14">
        <f ca="1" t="shared" si="52"/>
        <v>0</v>
      </c>
      <c r="AF73" s="14">
        <f ca="1" t="shared" si="52"/>
        <v>0</v>
      </c>
    </row>
    <row r="74" spans="13:32">
      <c r="O74" s="7">
        <v>3000</v>
      </c>
      <c r="P74" s="7">
        <v>210000</v>
      </c>
      <c r="Q74" s="14">
        <f t="shared" ref="Q74:Q81" si="53">IF($V26=0,0,$X26*Q38)</f>
        <v>0</v>
      </c>
      <c r="R74" s="14">
        <f t="shared" si="48"/>
        <v>0</v>
      </c>
      <c r="S74" s="14">
        <f t="shared" si="49"/>
        <v>0</v>
      </c>
      <c r="T74" s="14">
        <f t="shared" si="50"/>
        <v>0</v>
      </c>
      <c r="U74" s="14">
        <f t="shared" si="51"/>
        <v>0</v>
      </c>
      <c r="V74" s="14">
        <f t="shared" ref="V74:AF74" si="54">IF($V26=0,0,$X26*V38)</f>
        <v>0</v>
      </c>
      <c r="W74" s="14">
        <f t="shared" si="54"/>
        <v>0</v>
      </c>
      <c r="X74" s="14">
        <f t="shared" si="54"/>
        <v>0</v>
      </c>
      <c r="Y74" s="14">
        <f t="shared" si="54"/>
        <v>0</v>
      </c>
      <c r="Z74" s="14">
        <f t="shared" si="54"/>
        <v>0</v>
      </c>
      <c r="AA74" s="14">
        <f t="shared" si="54"/>
        <v>0</v>
      </c>
      <c r="AB74" s="14">
        <f t="shared" si="54"/>
        <v>0</v>
      </c>
      <c r="AC74" s="14">
        <f t="shared" si="54"/>
        <v>0</v>
      </c>
      <c r="AD74" s="14">
        <f t="shared" si="54"/>
        <v>0</v>
      </c>
      <c r="AE74" s="14">
        <f t="shared" si="54"/>
        <v>0</v>
      </c>
      <c r="AF74" s="14">
        <f t="shared" si="54"/>
        <v>0</v>
      </c>
    </row>
    <row r="75" spans="13:32">
      <c r="O75" s="7">
        <v>10000</v>
      </c>
      <c r="P75" s="7">
        <v>700000</v>
      </c>
      <c r="Q75" s="14">
        <f t="shared" si="53"/>
        <v>17.9487179487179</v>
      </c>
      <c r="R75" s="14">
        <f t="shared" si="48"/>
        <v>14.3589743589743</v>
      </c>
      <c r="S75" s="14">
        <f t="shared" si="49"/>
        <v>11.965811965812</v>
      </c>
      <c r="T75" s="14">
        <f t="shared" si="50"/>
        <v>10.2564102564102</v>
      </c>
      <c r="U75" s="14">
        <f t="shared" si="51"/>
        <v>8.97435897435896</v>
      </c>
      <c r="V75" s="14">
        <f t="shared" ref="V75:AF75" si="55">IF($V27=0,0,$X27*V39)</f>
        <v>7.97720797720796</v>
      </c>
      <c r="W75" s="14">
        <f t="shared" si="55"/>
        <v>7.17948717948717</v>
      </c>
      <c r="X75" s="14">
        <f t="shared" si="55"/>
        <v>7.17948717948717</v>
      </c>
      <c r="Y75" s="14">
        <f t="shared" si="55"/>
        <v>7.17948717948717</v>
      </c>
      <c r="Z75" s="14">
        <f t="shared" si="55"/>
        <v>7.17948717948717</v>
      </c>
      <c r="AA75" s="14">
        <f t="shared" si="55"/>
        <v>7.17948717948717</v>
      </c>
      <c r="AB75" s="14">
        <f t="shared" si="55"/>
        <v>7.17948717948717</v>
      </c>
      <c r="AC75" s="14">
        <f t="shared" si="55"/>
        <v>7.17948717948717</v>
      </c>
      <c r="AD75" s="14">
        <f t="shared" si="55"/>
        <v>7.17948717948717</v>
      </c>
      <c r="AE75" s="14">
        <f t="shared" si="55"/>
        <v>7.17948717948717</v>
      </c>
      <c r="AF75" s="14">
        <f t="shared" si="55"/>
        <v>7.17948717948717</v>
      </c>
    </row>
    <row r="76" spans="13:32">
      <c r="O76" s="7">
        <v>20000</v>
      </c>
      <c r="P76" s="7">
        <v>1400000</v>
      </c>
      <c r="Q76" s="14">
        <f t="shared" si="53"/>
        <v>179.487179487179</v>
      </c>
      <c r="R76" s="14">
        <f t="shared" si="48"/>
        <v>143.589743589743</v>
      </c>
      <c r="S76" s="14">
        <f t="shared" si="49"/>
        <v>119.658119658119</v>
      </c>
      <c r="T76" s="14">
        <f t="shared" si="50"/>
        <v>102.564102564102</v>
      </c>
      <c r="U76" s="14">
        <f t="shared" si="51"/>
        <v>89.7435897435896</v>
      </c>
      <c r="V76" s="14">
        <f t="shared" ref="V76:AF76" si="56">IF($V28=0,0,$X28*V40)</f>
        <v>79.7720797720796</v>
      </c>
      <c r="W76" s="14">
        <f t="shared" si="56"/>
        <v>71.7948717948717</v>
      </c>
      <c r="X76" s="14">
        <f t="shared" si="56"/>
        <v>71.7948717948717</v>
      </c>
      <c r="Y76" s="14">
        <f t="shared" si="56"/>
        <v>71.7948717948717</v>
      </c>
      <c r="Z76" s="14">
        <f t="shared" si="56"/>
        <v>71.7948717948717</v>
      </c>
      <c r="AA76" s="14">
        <f t="shared" si="56"/>
        <v>71.7948717948717</v>
      </c>
      <c r="AB76" s="14">
        <f t="shared" si="56"/>
        <v>71.7948717948717</v>
      </c>
      <c r="AC76" s="14">
        <f t="shared" si="56"/>
        <v>71.7948717948717</v>
      </c>
      <c r="AD76" s="14">
        <f t="shared" si="56"/>
        <v>71.7948717948717</v>
      </c>
      <c r="AE76" s="14">
        <f t="shared" si="56"/>
        <v>71.7948717948717</v>
      </c>
      <c r="AF76" s="14">
        <f t="shared" si="56"/>
        <v>71.7948717948717</v>
      </c>
    </row>
    <row r="77" spans="13:32">
      <c r="O77" s="7">
        <v>50000</v>
      </c>
      <c r="P77" s="7">
        <v>3500000</v>
      </c>
      <c r="Q77" s="14">
        <f t="shared" si="53"/>
        <v>419.768403639371</v>
      </c>
      <c r="R77" s="14">
        <f t="shared" si="48"/>
        <v>347.008547008547</v>
      </c>
      <c r="S77" s="14">
        <f t="shared" si="49"/>
        <v>289.173789173789</v>
      </c>
      <c r="T77" s="14">
        <f t="shared" si="50"/>
        <v>247.863247863247</v>
      </c>
      <c r="U77" s="14">
        <f t="shared" si="51"/>
        <v>224.358974358974</v>
      </c>
      <c r="V77" s="14">
        <f t="shared" ref="V77:AF77" si="57">IF($V29=0,0,$X29*V41)</f>
        <v>199.4301994302</v>
      </c>
      <c r="W77" s="14">
        <f t="shared" si="57"/>
        <v>179.487179487179</v>
      </c>
      <c r="X77" s="14">
        <f t="shared" si="57"/>
        <v>179.487179487179</v>
      </c>
      <c r="Y77" s="14">
        <f t="shared" si="57"/>
        <v>179.487179487179</v>
      </c>
      <c r="Z77" s="14">
        <f t="shared" si="57"/>
        <v>179.487179487179</v>
      </c>
      <c r="AA77" s="14">
        <f t="shared" si="57"/>
        <v>179.487179487179</v>
      </c>
      <c r="AB77" s="14">
        <f t="shared" si="57"/>
        <v>179.487179487179</v>
      </c>
      <c r="AC77" s="14">
        <f t="shared" si="57"/>
        <v>179.487179487179</v>
      </c>
      <c r="AD77" s="14">
        <f t="shared" si="57"/>
        <v>179.487179487179</v>
      </c>
      <c r="AE77" s="14">
        <f t="shared" si="57"/>
        <v>179.487179487179</v>
      </c>
      <c r="AF77" s="14">
        <f t="shared" si="57"/>
        <v>179.487179487179</v>
      </c>
    </row>
    <row r="78" spans="13:32">
      <c r="O78" s="7">
        <v>100000</v>
      </c>
      <c r="P78" s="7">
        <v>7000000</v>
      </c>
      <c r="Q78" s="14">
        <f t="shared" si="53"/>
        <v>1115.38461538461</v>
      </c>
      <c r="R78" s="14">
        <f t="shared" si="48"/>
        <v>946.386946386945</v>
      </c>
      <c r="S78" s="14">
        <f t="shared" si="49"/>
        <v>813.301282051281</v>
      </c>
      <c r="T78" s="14">
        <f t="shared" si="50"/>
        <v>697.115384615384</v>
      </c>
      <c r="U78" s="14">
        <f t="shared" si="51"/>
        <v>629.652605459057</v>
      </c>
      <c r="V78" s="14">
        <f t="shared" ref="V78:AF78" si="58">IF($V30=0,0,$X30*V42)</f>
        <v>559.691204852493</v>
      </c>
      <c r="W78" s="14">
        <f t="shared" si="58"/>
        <v>520.51282051282</v>
      </c>
      <c r="X78" s="14">
        <f t="shared" si="58"/>
        <v>520.51282051282</v>
      </c>
      <c r="Y78" s="14">
        <f t="shared" si="58"/>
        <v>520.51282051282</v>
      </c>
      <c r="Z78" s="14">
        <f t="shared" si="58"/>
        <v>520.51282051282</v>
      </c>
      <c r="AA78" s="14">
        <f t="shared" si="58"/>
        <v>520.51282051282</v>
      </c>
      <c r="AB78" s="14">
        <f t="shared" si="58"/>
        <v>520.51282051282</v>
      </c>
      <c r="AC78" s="14">
        <f t="shared" si="58"/>
        <v>520.51282051282</v>
      </c>
      <c r="AD78" s="14">
        <f t="shared" si="58"/>
        <v>520.51282051282</v>
      </c>
      <c r="AE78" s="14">
        <f t="shared" si="58"/>
        <v>520.51282051282</v>
      </c>
      <c r="AF78" s="14">
        <f t="shared" si="58"/>
        <v>520.51282051282</v>
      </c>
    </row>
    <row r="79" spans="13:32">
      <c r="O79" s="7">
        <v>200000</v>
      </c>
      <c r="P79" s="7">
        <v>14000000</v>
      </c>
      <c r="Q79" s="14">
        <f t="shared" si="53"/>
        <v>1487.17948717949</v>
      </c>
      <c r="R79" s="14">
        <f t="shared" si="48"/>
        <v>1281.26232741617</v>
      </c>
      <c r="S79" s="14">
        <f t="shared" si="49"/>
        <v>1125.43312543313</v>
      </c>
      <c r="T79" s="14">
        <f t="shared" si="50"/>
        <v>991.452991452992</v>
      </c>
      <c r="U79" s="14">
        <f t="shared" si="51"/>
        <v>892.307692307693</v>
      </c>
      <c r="V79" s="14">
        <f t="shared" ref="V79:AF79" si="59">IF($V31=0,0,$X31*V43)</f>
        <v>816.490698843641</v>
      </c>
      <c r="W79" s="14">
        <f t="shared" si="59"/>
        <v>757.109557109558</v>
      </c>
      <c r="X79" s="14">
        <f t="shared" si="59"/>
        <v>757.109557109558</v>
      </c>
      <c r="Y79" s="14">
        <f t="shared" si="59"/>
        <v>757.109557109558</v>
      </c>
      <c r="Z79" s="14">
        <f t="shared" si="59"/>
        <v>757.109557109558</v>
      </c>
      <c r="AA79" s="14">
        <f t="shared" si="59"/>
        <v>757.109557109558</v>
      </c>
      <c r="AB79" s="14">
        <f t="shared" si="59"/>
        <v>757.109557109558</v>
      </c>
      <c r="AC79" s="14">
        <f t="shared" si="59"/>
        <v>757.109557109558</v>
      </c>
      <c r="AD79" s="14">
        <f t="shared" si="59"/>
        <v>757.109557109558</v>
      </c>
      <c r="AE79" s="14">
        <f t="shared" si="59"/>
        <v>757.109557109558</v>
      </c>
      <c r="AF79" s="14">
        <f t="shared" si="59"/>
        <v>757.109557109558</v>
      </c>
    </row>
    <row r="80" spans="13:32">
      <c r="O80" s="7">
        <v>500000</v>
      </c>
      <c r="P80" s="7">
        <v>35000000</v>
      </c>
      <c r="Q80" s="14">
        <f t="shared" si="53"/>
        <v>2602.5641025641</v>
      </c>
      <c r="R80" s="14">
        <f t="shared" si="48"/>
        <v>2172.57525083612</v>
      </c>
      <c r="S80" s="14">
        <f t="shared" si="49"/>
        <v>1850.71225071225</v>
      </c>
      <c r="T80" s="14">
        <f t="shared" si="50"/>
        <v>1586.32478632479</v>
      </c>
      <c r="U80" s="14">
        <f t="shared" si="51"/>
        <v>1452.59391771019</v>
      </c>
      <c r="V80" s="14">
        <f t="shared" ref="V80:AF80" si="60">IF($V32=0,0,$X32*V44)</f>
        <v>1291.19459352017</v>
      </c>
      <c r="W80" s="14">
        <f t="shared" si="60"/>
        <v>1189.74358974359</v>
      </c>
      <c r="X80" s="14">
        <f t="shared" si="60"/>
        <v>1189.74358974359</v>
      </c>
      <c r="Y80" s="14">
        <f t="shared" si="60"/>
        <v>1189.74358974359</v>
      </c>
      <c r="Z80" s="14">
        <f t="shared" si="60"/>
        <v>1189.74358974359</v>
      </c>
      <c r="AA80" s="14">
        <f t="shared" si="60"/>
        <v>1189.74358974359</v>
      </c>
      <c r="AB80" s="14">
        <f t="shared" si="60"/>
        <v>1189.74358974359</v>
      </c>
      <c r="AC80" s="14">
        <f t="shared" si="60"/>
        <v>1189.74358974359</v>
      </c>
      <c r="AD80" s="14">
        <f t="shared" si="60"/>
        <v>1189.74358974359</v>
      </c>
      <c r="AE80" s="14">
        <f t="shared" si="60"/>
        <v>1189.74358974359</v>
      </c>
      <c r="AF80" s="14">
        <f t="shared" si="60"/>
        <v>1189.74358974359</v>
      </c>
    </row>
    <row r="81" spans="15:32">
      <c r="O81" s="7">
        <v>1000000</v>
      </c>
      <c r="P81" s="7">
        <v>70000000</v>
      </c>
      <c r="Q81" s="14">
        <f t="shared" si="53"/>
        <v>3855.65052231721</v>
      </c>
      <c r="R81" s="14">
        <f t="shared" si="48"/>
        <v>3203.15581854044</v>
      </c>
      <c r="S81" s="14">
        <f t="shared" si="49"/>
        <v>2776.06837606838</v>
      </c>
      <c r="T81" s="14">
        <f t="shared" si="50"/>
        <v>2428.04814233387</v>
      </c>
      <c r="U81" s="14">
        <f t="shared" si="51"/>
        <v>2168.80341880342</v>
      </c>
      <c r="V81" s="14">
        <f t="shared" ref="V81:AF81" si="61">IF($V33=0,0,$X33*V45)</f>
        <v>1968.84281990665</v>
      </c>
      <c r="W81" s="14">
        <f t="shared" si="61"/>
        <v>1810.47937569678</v>
      </c>
      <c r="X81" s="14">
        <f t="shared" si="61"/>
        <v>1810.47937569678</v>
      </c>
      <c r="Y81" s="14">
        <f t="shared" si="61"/>
        <v>1810.47937569678</v>
      </c>
      <c r="Z81" s="14">
        <f t="shared" si="61"/>
        <v>1810.47937569678</v>
      </c>
      <c r="AA81" s="14">
        <f t="shared" si="61"/>
        <v>1810.47937569678</v>
      </c>
      <c r="AB81" s="14">
        <f t="shared" si="61"/>
        <v>1810.47937569678</v>
      </c>
      <c r="AC81" s="14">
        <f t="shared" si="61"/>
        <v>1810.47937569678</v>
      </c>
      <c r="AD81" s="14">
        <f t="shared" si="61"/>
        <v>1810.47937569678</v>
      </c>
      <c r="AE81" s="14">
        <f t="shared" si="61"/>
        <v>1810.47937569678</v>
      </c>
      <c r="AF81" s="14">
        <f t="shared" si="61"/>
        <v>1810.47937569678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1"/>
  <sheetViews>
    <sheetView zoomScale="115" zoomScaleNormal="115" workbookViewId="0">
      <selection activeCell="AF67" sqref="AF67"/>
    </sheetView>
  </sheetViews>
  <sheetFormatPr defaultColWidth="9" defaultRowHeight="13.5"/>
  <cols>
    <col min="1" max="1" width="12.3833333333333" style="4" customWidth="1"/>
    <col min="2" max="3" width="9" style="4"/>
    <col min="4" max="4" width="14.875" style="5" customWidth="1"/>
    <col min="5" max="8" width="9" style="4"/>
    <col min="9" max="9" width="17.125" style="5"/>
    <col min="10" max="11" width="12.625" style="4"/>
    <col min="12" max="12" width="9" style="4"/>
    <col min="13" max="13" width="14" style="4" customWidth="1"/>
    <col min="14" max="14" width="9" style="4" hidden="1" customWidth="1"/>
    <col min="15" max="16" width="13.7583333333333" style="5" hidden="1" customWidth="1"/>
    <col min="17" max="17" width="13.7583333333333" style="5" customWidth="1"/>
    <col min="18" max="18" width="12.625" style="5" customWidth="1"/>
    <col min="19" max="21" width="10.375" style="4" customWidth="1"/>
    <col min="22" max="22" width="14.875" style="4" customWidth="1"/>
    <col min="23" max="23" width="11" style="4" customWidth="1"/>
    <col min="24" max="24" width="10.875" style="4" customWidth="1"/>
    <col min="25" max="26" width="10.375" style="4" customWidth="1"/>
    <col min="27" max="32" width="12.625" style="4" customWidth="1"/>
    <col min="33" max="44" width="9" style="4"/>
    <col min="45" max="45" width="12.875" style="4" customWidth="1"/>
    <col min="46" max="16384" width="9" style="4"/>
  </cols>
  <sheetData>
    <row r="1" spans="1:42">
      <c r="A1" s="4" t="s">
        <v>0</v>
      </c>
      <c r="C1" s="6" t="s">
        <v>1</v>
      </c>
      <c r="D1" s="7" t="s">
        <v>2</v>
      </c>
      <c r="E1" s="6" t="s">
        <v>3</v>
      </c>
      <c r="H1" s="6" t="s">
        <v>1</v>
      </c>
      <c r="I1" s="7" t="s">
        <v>2</v>
      </c>
      <c r="J1" s="6" t="s">
        <v>3</v>
      </c>
      <c r="K1" s="6" t="s">
        <v>4</v>
      </c>
      <c r="M1" s="6" t="s">
        <v>0</v>
      </c>
      <c r="O1" s="7" t="s">
        <v>5</v>
      </c>
      <c r="P1" s="7" t="s">
        <v>6</v>
      </c>
      <c r="Q1" s="7" t="s">
        <v>7</v>
      </c>
      <c r="R1" s="7" t="s">
        <v>8</v>
      </c>
      <c r="S1" s="6" t="s">
        <v>9</v>
      </c>
      <c r="T1" s="6" t="s">
        <v>10</v>
      </c>
      <c r="U1" s="6" t="s">
        <v>11</v>
      </c>
      <c r="V1" s="6" t="s">
        <v>12</v>
      </c>
      <c r="W1" s="6" t="s">
        <v>10</v>
      </c>
      <c r="X1" s="6"/>
      <c r="Y1" s="6" t="s">
        <v>13</v>
      </c>
      <c r="Z1" s="6" t="s">
        <v>10</v>
      </c>
      <c r="AA1" s="6"/>
      <c r="AB1" s="6" t="s">
        <v>14</v>
      </c>
      <c r="AC1" s="6" t="s">
        <v>15</v>
      </c>
      <c r="AF1" s="8" t="s">
        <v>16</v>
      </c>
      <c r="AG1" s="8">
        <v>1</v>
      </c>
      <c r="AH1" s="8">
        <v>2</v>
      </c>
      <c r="AI1" s="8">
        <v>3</v>
      </c>
      <c r="AJ1" s="8">
        <v>4</v>
      </c>
      <c r="AK1" s="8">
        <v>5</v>
      </c>
      <c r="AL1" s="8">
        <v>6</v>
      </c>
      <c r="AM1" s="8" t="s">
        <v>17</v>
      </c>
      <c r="AN1" s="8" t="s">
        <v>18</v>
      </c>
      <c r="AO1" s="8" t="s">
        <v>19</v>
      </c>
      <c r="AP1" s="8" t="s">
        <v>20</v>
      </c>
    </row>
    <row r="2" spans="1:42">
      <c r="A2" s="5">
        <v>250000</v>
      </c>
      <c r="C2" s="6">
        <v>1</v>
      </c>
      <c r="D2" s="7">
        <v>100000</v>
      </c>
      <c r="E2" s="6">
        <f t="shared" ref="E2:E21" si="0">D2/$A$2</f>
        <v>0.4</v>
      </c>
      <c r="H2" s="6">
        <v>1</v>
      </c>
      <c r="I2" s="7">
        <v>100000</v>
      </c>
      <c r="J2" s="6">
        <v>0.4</v>
      </c>
      <c r="K2" s="6">
        <v>1</v>
      </c>
      <c r="M2" s="7">
        <v>250000</v>
      </c>
      <c r="O2" s="7">
        <v>1000</v>
      </c>
      <c r="P2" s="7">
        <f>O2*$M$4</f>
        <v>100000</v>
      </c>
      <c r="Q2" s="7">
        <f t="shared" ref="Q2:Q10" si="1">O2*$M$4*$M$6</f>
        <v>10000</v>
      </c>
      <c r="R2" s="10">
        <f t="shared" ref="R2:R10" si="2">Q2/$M$2</f>
        <v>0.04</v>
      </c>
      <c r="S2" s="6" t="s">
        <v>21</v>
      </c>
      <c r="T2" s="6" t="s">
        <v>21</v>
      </c>
      <c r="U2" s="6"/>
      <c r="V2" s="6" t="s">
        <v>21</v>
      </c>
      <c r="W2" s="6" t="s">
        <v>21</v>
      </c>
      <c r="X2" s="10"/>
      <c r="Y2" s="6" t="s">
        <v>21</v>
      </c>
      <c r="Z2" s="6" t="s">
        <v>21</v>
      </c>
      <c r="AA2" s="6"/>
      <c r="AB2" s="6">
        <v>1</v>
      </c>
      <c r="AC2" s="7">
        <v>14</v>
      </c>
      <c r="AF2" s="8">
        <v>1</v>
      </c>
      <c r="AG2" s="8">
        <v>8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8</v>
      </c>
    </row>
    <row r="3" spans="1:42">
      <c r="C3" s="6">
        <v>2</v>
      </c>
      <c r="D3" s="7">
        <v>150000</v>
      </c>
      <c r="E3" s="6">
        <f t="shared" si="0"/>
        <v>0.6</v>
      </c>
      <c r="H3" s="6">
        <v>2</v>
      </c>
      <c r="I3" s="7">
        <v>150000</v>
      </c>
      <c r="J3" s="6">
        <v>0.6</v>
      </c>
      <c r="K3" s="6">
        <v>2</v>
      </c>
      <c r="M3" s="6" t="s">
        <v>22</v>
      </c>
      <c r="O3" s="7">
        <v>3000</v>
      </c>
      <c r="P3" s="7">
        <f t="shared" ref="P3:P10" si="3">O3*$M$4</f>
        <v>300000</v>
      </c>
      <c r="Q3" s="7">
        <f t="shared" si="1"/>
        <v>30000</v>
      </c>
      <c r="R3" s="10">
        <f t="shared" si="2"/>
        <v>0.12</v>
      </c>
      <c r="S3" s="6"/>
      <c r="T3" s="6"/>
      <c r="U3" s="6"/>
      <c r="V3" s="6"/>
      <c r="W3" s="6"/>
      <c r="X3" s="6"/>
      <c r="Y3" s="6"/>
      <c r="Z3" s="6"/>
      <c r="AA3" s="6"/>
      <c r="AB3" s="6">
        <v>1</v>
      </c>
      <c r="AC3" s="7">
        <f>AC2</f>
        <v>14</v>
      </c>
      <c r="AF3" s="8">
        <v>2</v>
      </c>
      <c r="AG3" s="8">
        <v>7</v>
      </c>
      <c r="AH3" s="8">
        <v>1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8</v>
      </c>
    </row>
    <row r="4" spans="1:42">
      <c r="C4" s="6">
        <v>3</v>
      </c>
      <c r="D4" s="7">
        <v>300000</v>
      </c>
      <c r="E4" s="6">
        <f t="shared" si="0"/>
        <v>1.2</v>
      </c>
      <c r="H4" s="6">
        <v>3</v>
      </c>
      <c r="I4" s="7">
        <v>300000</v>
      </c>
      <c r="J4" s="6">
        <v>1.2</v>
      </c>
      <c r="K4" s="6">
        <v>2</v>
      </c>
      <c r="M4" s="6">
        <v>100</v>
      </c>
      <c r="O4" s="7">
        <v>10000</v>
      </c>
      <c r="P4" s="7">
        <f t="shared" si="3"/>
        <v>1000000</v>
      </c>
      <c r="Q4" s="7">
        <f t="shared" si="1"/>
        <v>100000</v>
      </c>
      <c r="R4" s="10">
        <f t="shared" si="2"/>
        <v>0.4</v>
      </c>
      <c r="S4" s="6">
        <v>1</v>
      </c>
      <c r="T4" s="6">
        <v>750</v>
      </c>
      <c r="U4" s="6">
        <f t="shared" ref="U4:U10" si="4">T4*$AC4/10000</f>
        <v>1.05</v>
      </c>
      <c r="V4" s="6"/>
      <c r="W4" s="6"/>
      <c r="X4" s="6"/>
      <c r="Y4" s="6"/>
      <c r="Z4" s="6"/>
      <c r="AA4" s="6"/>
      <c r="AB4" s="6">
        <v>1</v>
      </c>
      <c r="AC4" s="7">
        <f t="shared" ref="AC4:AC10" si="5">AC3</f>
        <v>14</v>
      </c>
      <c r="AD4" s="4">
        <f t="shared" ref="AD4:AD10" si="6">SUM(T4+W4+Z4)</f>
        <v>750</v>
      </c>
      <c r="AF4" s="8">
        <v>3</v>
      </c>
      <c r="AG4" s="8">
        <v>6</v>
      </c>
      <c r="AH4" s="8">
        <v>2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8</v>
      </c>
    </row>
    <row r="5" spans="1:42">
      <c r="C5" s="6">
        <v>4</v>
      </c>
      <c r="D5" s="7">
        <v>500000</v>
      </c>
      <c r="E5" s="6">
        <f t="shared" si="0"/>
        <v>2</v>
      </c>
      <c r="H5" s="6">
        <v>4</v>
      </c>
      <c r="I5" s="7">
        <v>500000</v>
      </c>
      <c r="J5" s="6">
        <v>2</v>
      </c>
      <c r="K5" s="6">
        <v>2</v>
      </c>
      <c r="M5" s="6" t="s">
        <v>23</v>
      </c>
      <c r="O5" s="7">
        <v>20000</v>
      </c>
      <c r="P5" s="7">
        <f t="shared" si="3"/>
        <v>2000000</v>
      </c>
      <c r="Q5" s="7">
        <f t="shared" si="1"/>
        <v>200000</v>
      </c>
      <c r="R5" s="10">
        <f t="shared" si="2"/>
        <v>0.8</v>
      </c>
      <c r="S5" s="6">
        <v>1</v>
      </c>
      <c r="T5" s="6">
        <v>400</v>
      </c>
      <c r="U5" s="6">
        <f t="shared" si="4"/>
        <v>0.56</v>
      </c>
      <c r="V5" s="6">
        <v>2</v>
      </c>
      <c r="W5" s="6">
        <v>300</v>
      </c>
      <c r="X5" s="6">
        <f t="shared" ref="X5:X10" si="7">W5*$AC5/10000</f>
        <v>0.42</v>
      </c>
      <c r="Y5" s="6"/>
      <c r="Z5" s="6"/>
      <c r="AA5" s="6"/>
      <c r="AB5" s="6">
        <v>1</v>
      </c>
      <c r="AC5" s="7">
        <f t="shared" si="5"/>
        <v>14</v>
      </c>
      <c r="AD5" s="4">
        <f t="shared" si="6"/>
        <v>700</v>
      </c>
      <c r="AF5" s="8">
        <v>4</v>
      </c>
      <c r="AG5" s="8">
        <v>4</v>
      </c>
      <c r="AH5" s="8">
        <v>4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8</v>
      </c>
    </row>
    <row r="6" spans="1:42">
      <c r="C6" s="6">
        <v>5</v>
      </c>
      <c r="D6" s="7">
        <v>1000000</v>
      </c>
      <c r="E6" s="6">
        <f t="shared" si="0"/>
        <v>4</v>
      </c>
      <c r="H6" s="6">
        <v>5</v>
      </c>
      <c r="I6" s="7">
        <v>1000000</v>
      </c>
      <c r="J6" s="6">
        <v>4</v>
      </c>
      <c r="K6" s="6">
        <v>2</v>
      </c>
      <c r="M6" s="6">
        <v>0.1</v>
      </c>
      <c r="O6" s="7">
        <v>50000</v>
      </c>
      <c r="P6" s="7">
        <f t="shared" si="3"/>
        <v>5000000</v>
      </c>
      <c r="Q6" s="7">
        <f t="shared" si="1"/>
        <v>500000</v>
      </c>
      <c r="R6" s="10">
        <f t="shared" si="2"/>
        <v>2</v>
      </c>
      <c r="S6" s="6">
        <v>2</v>
      </c>
      <c r="T6" s="6">
        <v>400</v>
      </c>
      <c r="U6" s="6">
        <f t="shared" si="4"/>
        <v>0.56</v>
      </c>
      <c r="V6" s="6">
        <v>3</v>
      </c>
      <c r="W6" s="6">
        <v>400</v>
      </c>
      <c r="X6" s="6">
        <f t="shared" si="7"/>
        <v>0.56</v>
      </c>
      <c r="Y6" s="6">
        <v>4</v>
      </c>
      <c r="Z6" s="6">
        <v>300</v>
      </c>
      <c r="AA6" s="6">
        <f t="shared" ref="AA6:AA10" si="8">Z6*$AC6/10000</f>
        <v>0.42</v>
      </c>
      <c r="AB6" s="6">
        <v>1</v>
      </c>
      <c r="AC6" s="7">
        <f t="shared" si="5"/>
        <v>14</v>
      </c>
      <c r="AD6" s="4">
        <f t="shared" si="6"/>
        <v>1100</v>
      </c>
      <c r="AF6" s="8">
        <v>5</v>
      </c>
      <c r="AG6" s="8">
        <v>3</v>
      </c>
      <c r="AH6" s="8">
        <v>5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8</v>
      </c>
    </row>
    <row r="7" spans="1:42">
      <c r="C7" s="6">
        <v>6</v>
      </c>
      <c r="D7" s="7">
        <v>1200000</v>
      </c>
      <c r="E7" s="6">
        <f t="shared" si="0"/>
        <v>4.8</v>
      </c>
      <c r="H7" s="6">
        <v>6</v>
      </c>
      <c r="I7" s="7">
        <v>1200000</v>
      </c>
      <c r="J7" s="6">
        <v>4.8</v>
      </c>
      <c r="K7" s="6">
        <v>3</v>
      </c>
      <c r="O7" s="7">
        <v>100000</v>
      </c>
      <c r="P7" s="7">
        <f t="shared" si="3"/>
        <v>10000000</v>
      </c>
      <c r="Q7" s="7">
        <f t="shared" si="1"/>
        <v>1000000</v>
      </c>
      <c r="R7" s="10">
        <f t="shared" si="2"/>
        <v>4</v>
      </c>
      <c r="S7" s="6">
        <v>3</v>
      </c>
      <c r="T7" s="6">
        <v>300</v>
      </c>
      <c r="U7" s="6">
        <f t="shared" si="4"/>
        <v>0.42</v>
      </c>
      <c r="V7" s="6">
        <v>4</v>
      </c>
      <c r="W7" s="6">
        <v>250</v>
      </c>
      <c r="X7" s="6">
        <f t="shared" si="7"/>
        <v>0.35</v>
      </c>
      <c r="Y7" s="6">
        <v>5</v>
      </c>
      <c r="Z7" s="6">
        <v>200</v>
      </c>
      <c r="AA7" s="6">
        <f t="shared" si="8"/>
        <v>0.28</v>
      </c>
      <c r="AB7" s="6">
        <v>1</v>
      </c>
      <c r="AC7" s="7">
        <f t="shared" si="5"/>
        <v>14</v>
      </c>
      <c r="AD7" s="4">
        <f t="shared" si="6"/>
        <v>750</v>
      </c>
      <c r="AF7" s="8">
        <v>6</v>
      </c>
      <c r="AG7" s="8">
        <v>2</v>
      </c>
      <c r="AH7" s="8">
        <v>5</v>
      </c>
      <c r="AI7" s="8">
        <v>1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8</v>
      </c>
    </row>
    <row r="8" spans="1:42">
      <c r="C8" s="6">
        <v>7</v>
      </c>
      <c r="D8" s="7">
        <v>1500000</v>
      </c>
      <c r="E8" s="6">
        <f t="shared" si="0"/>
        <v>6</v>
      </c>
      <c r="H8" s="6">
        <v>7</v>
      </c>
      <c r="I8" s="7">
        <v>1500000</v>
      </c>
      <c r="J8" s="6">
        <v>6</v>
      </c>
      <c r="K8" s="6">
        <v>3</v>
      </c>
      <c r="O8" s="7">
        <v>200000</v>
      </c>
      <c r="P8" s="7">
        <f t="shared" si="3"/>
        <v>20000000</v>
      </c>
      <c r="Q8" s="7">
        <f t="shared" si="1"/>
        <v>2000000</v>
      </c>
      <c r="R8" s="10">
        <f t="shared" si="2"/>
        <v>8</v>
      </c>
      <c r="S8" s="6">
        <v>4</v>
      </c>
      <c r="T8" s="6">
        <v>300</v>
      </c>
      <c r="U8" s="6">
        <f t="shared" si="4"/>
        <v>0.42</v>
      </c>
      <c r="V8" s="6">
        <v>5</v>
      </c>
      <c r="W8" s="6">
        <v>250</v>
      </c>
      <c r="X8" s="6">
        <f t="shared" si="7"/>
        <v>0.35</v>
      </c>
      <c r="Y8" s="6">
        <v>6</v>
      </c>
      <c r="Z8" s="6">
        <v>200</v>
      </c>
      <c r="AA8" s="6">
        <f t="shared" si="8"/>
        <v>0.28</v>
      </c>
      <c r="AB8" s="6">
        <v>2</v>
      </c>
      <c r="AC8" s="7">
        <f t="shared" si="5"/>
        <v>14</v>
      </c>
      <c r="AD8" s="4">
        <f t="shared" si="6"/>
        <v>750</v>
      </c>
      <c r="AF8" s="8">
        <v>7</v>
      </c>
      <c r="AG8" s="8">
        <v>1</v>
      </c>
      <c r="AH8" s="8">
        <v>4</v>
      </c>
      <c r="AI8" s="8">
        <v>3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8</v>
      </c>
    </row>
    <row r="9" spans="1:42">
      <c r="C9" s="6">
        <v>8</v>
      </c>
      <c r="D9" s="7">
        <v>1800000</v>
      </c>
      <c r="E9" s="6">
        <f t="shared" si="0"/>
        <v>7.2</v>
      </c>
      <c r="H9" s="6">
        <v>8</v>
      </c>
      <c r="I9" s="7">
        <v>1800000</v>
      </c>
      <c r="J9" s="6">
        <v>7.2</v>
      </c>
      <c r="K9" s="6">
        <v>3</v>
      </c>
      <c r="O9" s="7">
        <v>500000</v>
      </c>
      <c r="P9" s="7">
        <f t="shared" si="3"/>
        <v>50000000</v>
      </c>
      <c r="Q9" s="7">
        <f t="shared" si="1"/>
        <v>5000000</v>
      </c>
      <c r="R9" s="10">
        <f t="shared" si="2"/>
        <v>20</v>
      </c>
      <c r="S9" s="6">
        <v>4</v>
      </c>
      <c r="T9" s="6">
        <v>350</v>
      </c>
      <c r="U9" s="6">
        <f t="shared" si="4"/>
        <v>0.49</v>
      </c>
      <c r="V9" s="6">
        <v>5</v>
      </c>
      <c r="W9" s="6">
        <v>300</v>
      </c>
      <c r="X9" s="6">
        <f t="shared" si="7"/>
        <v>0.42</v>
      </c>
      <c r="Y9" s="6">
        <v>6</v>
      </c>
      <c r="Z9" s="6">
        <v>250</v>
      </c>
      <c r="AA9" s="6">
        <f t="shared" si="8"/>
        <v>0.35</v>
      </c>
      <c r="AB9" s="6">
        <v>3</v>
      </c>
      <c r="AC9" s="7">
        <f t="shared" si="5"/>
        <v>14</v>
      </c>
      <c r="AD9" s="4">
        <f t="shared" si="6"/>
        <v>900</v>
      </c>
      <c r="AF9" s="8">
        <v>8</v>
      </c>
      <c r="AG9" s="8">
        <v>0</v>
      </c>
      <c r="AH9" s="8">
        <v>4</v>
      </c>
      <c r="AI9" s="8">
        <v>4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8</v>
      </c>
    </row>
    <row r="10" spans="1:42">
      <c r="C10" s="6">
        <v>9</v>
      </c>
      <c r="D10" s="7">
        <v>2000000</v>
      </c>
      <c r="E10" s="6">
        <f t="shared" si="0"/>
        <v>8</v>
      </c>
      <c r="H10" s="6">
        <v>9</v>
      </c>
      <c r="I10" s="7">
        <v>2000000</v>
      </c>
      <c r="J10" s="6">
        <v>8</v>
      </c>
      <c r="K10" s="6">
        <v>4</v>
      </c>
      <c r="O10" s="7">
        <v>1000000</v>
      </c>
      <c r="P10" s="7">
        <f t="shared" si="3"/>
        <v>100000000</v>
      </c>
      <c r="Q10" s="7">
        <f t="shared" si="1"/>
        <v>10000000</v>
      </c>
      <c r="R10" s="10">
        <f t="shared" si="2"/>
        <v>40</v>
      </c>
      <c r="S10" s="6">
        <v>4</v>
      </c>
      <c r="T10" s="6">
        <v>400</v>
      </c>
      <c r="U10" s="6">
        <f t="shared" si="4"/>
        <v>0.56</v>
      </c>
      <c r="V10" s="6">
        <v>5</v>
      </c>
      <c r="W10" s="6">
        <v>350</v>
      </c>
      <c r="X10" s="6">
        <f t="shared" si="7"/>
        <v>0.49</v>
      </c>
      <c r="Y10" s="6">
        <v>6</v>
      </c>
      <c r="Z10" s="6">
        <v>300</v>
      </c>
      <c r="AA10" s="6">
        <f t="shared" si="8"/>
        <v>0.42</v>
      </c>
      <c r="AB10" s="6">
        <v>4</v>
      </c>
      <c r="AC10" s="7">
        <f t="shared" si="5"/>
        <v>14</v>
      </c>
      <c r="AD10" s="4">
        <f t="shared" si="6"/>
        <v>1050</v>
      </c>
      <c r="AF10" s="8">
        <v>9</v>
      </c>
      <c r="AG10" s="8">
        <v>0</v>
      </c>
      <c r="AH10" s="8">
        <v>3</v>
      </c>
      <c r="AI10" s="8">
        <v>4</v>
      </c>
      <c r="AJ10" s="8">
        <v>1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8</v>
      </c>
    </row>
    <row r="11" spans="1:42">
      <c r="C11" s="6">
        <v>10</v>
      </c>
      <c r="D11" s="7">
        <v>2500000</v>
      </c>
      <c r="E11" s="6">
        <f t="shared" si="0"/>
        <v>10</v>
      </c>
      <c r="H11" s="6">
        <v>10</v>
      </c>
      <c r="I11" s="7">
        <v>2500000</v>
      </c>
      <c r="J11" s="6">
        <v>10</v>
      </c>
      <c r="K11" s="6">
        <v>4</v>
      </c>
      <c r="AF11" s="8">
        <v>10</v>
      </c>
      <c r="AG11" s="8">
        <v>0</v>
      </c>
      <c r="AH11" s="8">
        <v>3</v>
      </c>
      <c r="AI11" s="8">
        <v>3</v>
      </c>
      <c r="AJ11" s="8">
        <v>2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8</v>
      </c>
    </row>
    <row r="12" spans="1:42">
      <c r="C12" s="6">
        <v>11</v>
      </c>
      <c r="D12" s="7">
        <v>3000000</v>
      </c>
      <c r="E12" s="6">
        <f t="shared" si="0"/>
        <v>12</v>
      </c>
      <c r="H12" s="6">
        <v>11</v>
      </c>
      <c r="I12" s="7">
        <v>3000000</v>
      </c>
      <c r="J12" s="6">
        <v>12</v>
      </c>
      <c r="K12" s="6">
        <v>5</v>
      </c>
      <c r="M12" s="4" t="s">
        <v>24</v>
      </c>
      <c r="O12" s="7" t="s">
        <v>25</v>
      </c>
      <c r="P12" s="7">
        <v>1</v>
      </c>
      <c r="Q12" s="7">
        <v>2</v>
      </c>
      <c r="R12" s="7">
        <v>3</v>
      </c>
      <c r="S12" s="7">
        <v>4</v>
      </c>
      <c r="T12" s="7">
        <v>5</v>
      </c>
      <c r="U12" s="7">
        <v>6</v>
      </c>
      <c r="AF12" s="8">
        <v>11</v>
      </c>
      <c r="AG12" s="8">
        <v>0</v>
      </c>
      <c r="AH12" s="8">
        <v>1</v>
      </c>
      <c r="AI12" s="8">
        <v>4</v>
      </c>
      <c r="AJ12" s="8">
        <v>2</v>
      </c>
      <c r="AK12" s="8">
        <v>0</v>
      </c>
      <c r="AL12" s="8">
        <v>0</v>
      </c>
      <c r="AM12" s="8">
        <v>1</v>
      </c>
      <c r="AN12" s="8">
        <v>0</v>
      </c>
      <c r="AO12" s="8">
        <v>0</v>
      </c>
      <c r="AP12" s="8">
        <v>8</v>
      </c>
    </row>
    <row r="13" spans="1:42">
      <c r="C13" s="6">
        <v>12</v>
      </c>
      <c r="D13" s="7">
        <v>3500000</v>
      </c>
      <c r="E13" s="6">
        <f t="shared" si="0"/>
        <v>14</v>
      </c>
      <c r="H13" s="6">
        <v>12</v>
      </c>
      <c r="I13" s="7">
        <v>3500000</v>
      </c>
      <c r="J13" s="6">
        <v>14</v>
      </c>
      <c r="K13" s="6">
        <v>5</v>
      </c>
      <c r="O13" s="7">
        <v>1000</v>
      </c>
      <c r="P13" s="12">
        <f t="shared" ref="P13:U13" si="9">IF($S2=P$12,$U2,0)+IF($V2=P$12,$X2,0)+IF($Y2=P$12,$AA2,0)</f>
        <v>0</v>
      </c>
      <c r="Q13" s="12">
        <f t="shared" si="9"/>
        <v>0</v>
      </c>
      <c r="R13" s="12">
        <f t="shared" si="9"/>
        <v>0</v>
      </c>
      <c r="S13" s="12">
        <f t="shared" si="9"/>
        <v>0</v>
      </c>
      <c r="T13" s="12">
        <f t="shared" si="9"/>
        <v>0</v>
      </c>
      <c r="U13" s="12">
        <f t="shared" si="9"/>
        <v>0</v>
      </c>
      <c r="AF13" s="8">
        <v>12</v>
      </c>
      <c r="AG13" s="8">
        <v>0</v>
      </c>
      <c r="AH13" s="8">
        <v>1</v>
      </c>
      <c r="AI13" s="8">
        <v>3</v>
      </c>
      <c r="AJ13" s="8">
        <v>2</v>
      </c>
      <c r="AK13" s="8">
        <v>1</v>
      </c>
      <c r="AL13" s="8">
        <v>0</v>
      </c>
      <c r="AM13" s="8">
        <v>1</v>
      </c>
      <c r="AN13" s="8">
        <v>0</v>
      </c>
      <c r="AO13" s="8">
        <v>0</v>
      </c>
      <c r="AP13" s="8">
        <v>8</v>
      </c>
    </row>
    <row r="14" spans="1:42">
      <c r="C14" s="6">
        <v>13</v>
      </c>
      <c r="D14" s="7">
        <v>5000000</v>
      </c>
      <c r="E14" s="6">
        <f t="shared" si="0"/>
        <v>20</v>
      </c>
      <c r="H14" s="6">
        <v>13</v>
      </c>
      <c r="I14" s="7">
        <v>5000000</v>
      </c>
      <c r="J14" s="6">
        <v>20</v>
      </c>
      <c r="K14" s="6">
        <v>5</v>
      </c>
      <c r="O14" s="7">
        <v>3000</v>
      </c>
      <c r="P14" s="12">
        <f t="shared" ref="P14:U14" si="10">IF($S3=P$12,$U3,0)+IF($V3=P$12,$X3,0)+IF($Y3=P$12,$AA3,0)</f>
        <v>0</v>
      </c>
      <c r="Q14" s="12">
        <f t="shared" si="10"/>
        <v>0</v>
      </c>
      <c r="R14" s="12">
        <f t="shared" si="10"/>
        <v>0</v>
      </c>
      <c r="S14" s="12">
        <f t="shared" si="10"/>
        <v>0</v>
      </c>
      <c r="T14" s="12">
        <f t="shared" si="10"/>
        <v>0</v>
      </c>
      <c r="U14" s="12">
        <f t="shared" si="10"/>
        <v>0</v>
      </c>
      <c r="AF14" s="8">
        <v>13</v>
      </c>
      <c r="AG14" s="8">
        <v>0</v>
      </c>
      <c r="AH14" s="8">
        <v>1</v>
      </c>
      <c r="AI14" s="8">
        <v>2</v>
      </c>
      <c r="AJ14" s="8">
        <v>2</v>
      </c>
      <c r="AK14" s="8">
        <v>1</v>
      </c>
      <c r="AL14" s="8">
        <v>0</v>
      </c>
      <c r="AM14" s="8">
        <v>1</v>
      </c>
      <c r="AN14" s="8">
        <v>1</v>
      </c>
      <c r="AO14" s="8">
        <v>0</v>
      </c>
      <c r="AP14" s="8">
        <v>8</v>
      </c>
    </row>
    <row r="15" spans="1:42">
      <c r="C15" s="6">
        <v>14</v>
      </c>
      <c r="D15" s="7">
        <v>7500000</v>
      </c>
      <c r="E15" s="6">
        <f t="shared" si="0"/>
        <v>30</v>
      </c>
      <c r="H15" s="6">
        <v>14</v>
      </c>
      <c r="I15" s="7">
        <v>7500000</v>
      </c>
      <c r="J15" s="6">
        <v>30</v>
      </c>
      <c r="K15" s="6">
        <v>5</v>
      </c>
      <c r="O15" s="7">
        <v>10000</v>
      </c>
      <c r="P15" s="12">
        <f t="shared" ref="P15:U15" si="11">IF($S4=P$12,$U4,0)+IF($V4=P$12,$X4,0)+IF($Y4=P$12,$AA4,0)</f>
        <v>1.05</v>
      </c>
      <c r="Q15" s="12">
        <f t="shared" si="11"/>
        <v>0</v>
      </c>
      <c r="R15" s="12">
        <f t="shared" si="11"/>
        <v>0</v>
      </c>
      <c r="S15" s="12">
        <f t="shared" si="11"/>
        <v>0</v>
      </c>
      <c r="T15" s="12">
        <f t="shared" si="11"/>
        <v>0</v>
      </c>
      <c r="U15" s="12">
        <f t="shared" si="11"/>
        <v>0</v>
      </c>
      <c r="AF15" s="8">
        <v>14</v>
      </c>
      <c r="AG15" s="8">
        <v>0</v>
      </c>
      <c r="AH15" s="8">
        <v>0</v>
      </c>
      <c r="AI15" s="8">
        <v>2</v>
      </c>
      <c r="AJ15" s="8">
        <v>2</v>
      </c>
      <c r="AK15" s="8">
        <v>1</v>
      </c>
      <c r="AL15" s="8">
        <v>1</v>
      </c>
      <c r="AM15" s="8">
        <v>1</v>
      </c>
      <c r="AN15" s="8">
        <v>1</v>
      </c>
      <c r="AO15" s="8">
        <v>0</v>
      </c>
      <c r="AP15" s="8">
        <v>8</v>
      </c>
    </row>
    <row r="16" spans="1:42">
      <c r="C16" s="6">
        <v>15</v>
      </c>
      <c r="D16" s="7">
        <v>10000000</v>
      </c>
      <c r="E16" s="6">
        <f t="shared" si="0"/>
        <v>40</v>
      </c>
      <c r="H16" s="6">
        <v>15</v>
      </c>
      <c r="I16" s="7">
        <v>10000000</v>
      </c>
      <c r="J16" s="6">
        <v>40</v>
      </c>
      <c r="K16" s="6">
        <v>6</v>
      </c>
      <c r="O16" s="7">
        <v>20000</v>
      </c>
      <c r="P16" s="12">
        <f t="shared" ref="P16:U16" si="12">IF($S5=P$12,$U5,0)+IF($V5=P$12,$X5,0)+IF($Y5=P$12,$AA5,0)</f>
        <v>0.56</v>
      </c>
      <c r="Q16" s="12">
        <f t="shared" si="12"/>
        <v>0.42</v>
      </c>
      <c r="R16" s="12">
        <f t="shared" si="12"/>
        <v>0</v>
      </c>
      <c r="S16" s="12">
        <f t="shared" si="12"/>
        <v>0</v>
      </c>
      <c r="T16" s="12">
        <f t="shared" si="12"/>
        <v>0</v>
      </c>
      <c r="U16" s="12">
        <f t="shared" si="12"/>
        <v>0</v>
      </c>
      <c r="AF16" s="8">
        <v>15</v>
      </c>
      <c r="AG16" s="8">
        <v>0</v>
      </c>
      <c r="AH16" s="8">
        <v>0</v>
      </c>
      <c r="AI16" s="8">
        <v>1</v>
      </c>
      <c r="AJ16" s="8">
        <v>3</v>
      </c>
      <c r="AK16" s="8">
        <v>1</v>
      </c>
      <c r="AL16" s="8">
        <v>1</v>
      </c>
      <c r="AM16" s="8">
        <v>1</v>
      </c>
      <c r="AN16" s="8">
        <v>1</v>
      </c>
      <c r="AO16" s="8">
        <v>0</v>
      </c>
      <c r="AP16" s="8">
        <v>8</v>
      </c>
    </row>
    <row r="17" spans="3:42">
      <c r="C17" s="6">
        <v>16</v>
      </c>
      <c r="D17" s="7">
        <v>12500000</v>
      </c>
      <c r="E17" s="6">
        <f t="shared" si="0"/>
        <v>50</v>
      </c>
      <c r="H17" s="6">
        <v>16</v>
      </c>
      <c r="I17" s="7">
        <v>12500000</v>
      </c>
      <c r="J17" s="6">
        <v>50</v>
      </c>
      <c r="K17" s="6">
        <v>6</v>
      </c>
      <c r="O17" s="7">
        <v>50000</v>
      </c>
      <c r="P17" s="12">
        <f t="shared" ref="P17:U17" si="13">IF($S6=P$12,$U6,0)+IF($V6=P$12,$X6,0)+IF($Y6=P$12,$AA6,0)</f>
        <v>0</v>
      </c>
      <c r="Q17" s="12">
        <f t="shared" si="13"/>
        <v>0.56</v>
      </c>
      <c r="R17" s="12">
        <f t="shared" si="13"/>
        <v>0.56</v>
      </c>
      <c r="S17" s="12">
        <f t="shared" si="13"/>
        <v>0.42</v>
      </c>
      <c r="T17" s="12">
        <f t="shared" si="13"/>
        <v>0</v>
      </c>
      <c r="U17" s="12">
        <f t="shared" si="13"/>
        <v>0</v>
      </c>
      <c r="AF17" s="8">
        <v>16</v>
      </c>
      <c r="AG17" s="8">
        <v>0</v>
      </c>
      <c r="AH17" s="8">
        <v>0</v>
      </c>
      <c r="AI17" s="8">
        <v>1</v>
      </c>
      <c r="AJ17" s="8">
        <v>2</v>
      </c>
      <c r="AK17" s="8">
        <v>1</v>
      </c>
      <c r="AL17" s="8">
        <v>1</v>
      </c>
      <c r="AM17" s="8">
        <v>2</v>
      </c>
      <c r="AN17" s="8">
        <v>1</v>
      </c>
      <c r="AO17" s="8">
        <v>0</v>
      </c>
      <c r="AP17" s="8">
        <v>8</v>
      </c>
    </row>
    <row r="18" spans="3:42">
      <c r="C18" s="6">
        <v>17</v>
      </c>
      <c r="D18" s="7">
        <v>15000000</v>
      </c>
      <c r="E18" s="6">
        <f t="shared" si="0"/>
        <v>60</v>
      </c>
      <c r="H18" s="6">
        <v>17</v>
      </c>
      <c r="I18" s="7">
        <v>15000000</v>
      </c>
      <c r="J18" s="6">
        <v>60</v>
      </c>
      <c r="K18" s="6">
        <v>6</v>
      </c>
      <c r="O18" s="7">
        <v>100000</v>
      </c>
      <c r="P18" s="12">
        <f t="shared" ref="P18:U18" si="14">IF($S7=P$12,$U7,0)+IF($V7=P$12,$X7,0)+IF($Y7=P$12,$AA7,0)</f>
        <v>0</v>
      </c>
      <c r="Q18" s="12">
        <f t="shared" si="14"/>
        <v>0</v>
      </c>
      <c r="R18" s="12">
        <f t="shared" si="14"/>
        <v>0.42</v>
      </c>
      <c r="S18" s="12">
        <f t="shared" si="14"/>
        <v>0.35</v>
      </c>
      <c r="T18" s="12">
        <f t="shared" si="14"/>
        <v>0.28</v>
      </c>
      <c r="U18" s="12">
        <f t="shared" si="14"/>
        <v>0</v>
      </c>
      <c r="AF18" s="8">
        <v>17</v>
      </c>
      <c r="AG18" s="8">
        <v>0</v>
      </c>
      <c r="AH18" s="8">
        <v>0</v>
      </c>
      <c r="AI18" s="8">
        <v>1</v>
      </c>
      <c r="AJ18" s="8">
        <v>1</v>
      </c>
      <c r="AK18" s="8">
        <v>2</v>
      </c>
      <c r="AL18" s="8">
        <v>1</v>
      </c>
      <c r="AM18" s="8">
        <v>2</v>
      </c>
      <c r="AN18" s="8">
        <v>1</v>
      </c>
      <c r="AO18" s="8">
        <v>0</v>
      </c>
      <c r="AP18" s="8">
        <v>8</v>
      </c>
    </row>
    <row r="19" spans="3:42">
      <c r="C19" s="6">
        <v>18</v>
      </c>
      <c r="D19" s="7">
        <v>17500000</v>
      </c>
      <c r="E19" s="6">
        <f t="shared" si="0"/>
        <v>70</v>
      </c>
      <c r="H19" s="6">
        <v>18</v>
      </c>
      <c r="I19" s="7">
        <v>17500000</v>
      </c>
      <c r="J19" s="6">
        <v>70</v>
      </c>
      <c r="K19" s="6">
        <v>6</v>
      </c>
      <c r="O19" s="7">
        <v>200000</v>
      </c>
      <c r="P19" s="12">
        <f t="shared" ref="P19:U19" si="15">IF($S8=P$12,$U8,0)+IF($V8=P$12,$X8,0)+IF($Y8=P$12,$AA8,0)</f>
        <v>0</v>
      </c>
      <c r="Q19" s="12">
        <f t="shared" si="15"/>
        <v>0</v>
      </c>
      <c r="R19" s="12">
        <f t="shared" si="15"/>
        <v>0</v>
      </c>
      <c r="S19" s="12">
        <f t="shared" si="15"/>
        <v>0.42</v>
      </c>
      <c r="T19" s="12">
        <f t="shared" si="15"/>
        <v>0.35</v>
      </c>
      <c r="U19" s="12">
        <f t="shared" si="15"/>
        <v>0.28</v>
      </c>
      <c r="AF19" s="8">
        <v>18</v>
      </c>
      <c r="AG19" s="8">
        <v>0</v>
      </c>
      <c r="AH19" s="8">
        <v>0</v>
      </c>
      <c r="AI19" s="8">
        <v>1</v>
      </c>
      <c r="AJ19" s="8">
        <v>1</v>
      </c>
      <c r="AK19" s="8">
        <v>2</v>
      </c>
      <c r="AL19" s="8">
        <v>0</v>
      </c>
      <c r="AM19" s="8">
        <v>1</v>
      </c>
      <c r="AN19" s="8">
        <v>2</v>
      </c>
      <c r="AO19" s="8">
        <v>1</v>
      </c>
      <c r="AP19" s="8">
        <v>8</v>
      </c>
    </row>
    <row r="20" spans="3:42">
      <c r="C20" s="6">
        <v>19</v>
      </c>
      <c r="D20" s="7">
        <v>20000000</v>
      </c>
      <c r="E20" s="6">
        <f t="shared" si="0"/>
        <v>80</v>
      </c>
      <c r="H20" s="6">
        <v>19</v>
      </c>
      <c r="I20" s="7">
        <v>20000000</v>
      </c>
      <c r="J20" s="6">
        <v>80</v>
      </c>
      <c r="K20" s="6">
        <v>6</v>
      </c>
      <c r="O20" s="7">
        <v>500000</v>
      </c>
      <c r="P20" s="12">
        <f t="shared" ref="P20:U20" si="16">IF($S9=P$12,$U9,0)+IF($V9=P$12,$X9,0)+IF($Y9=P$12,$AA9,0)</f>
        <v>0</v>
      </c>
      <c r="Q20" s="12">
        <f t="shared" si="16"/>
        <v>0</v>
      </c>
      <c r="R20" s="12">
        <f t="shared" si="16"/>
        <v>0</v>
      </c>
      <c r="S20" s="12">
        <f t="shared" si="16"/>
        <v>0.49</v>
      </c>
      <c r="T20" s="12">
        <f t="shared" si="16"/>
        <v>0.42</v>
      </c>
      <c r="U20" s="12">
        <f t="shared" si="16"/>
        <v>0.35</v>
      </c>
      <c r="AF20" s="8">
        <v>19</v>
      </c>
      <c r="AG20" s="8">
        <v>0</v>
      </c>
      <c r="AH20" s="8">
        <v>0</v>
      </c>
      <c r="AI20" s="8">
        <v>0</v>
      </c>
      <c r="AJ20" s="8">
        <v>1</v>
      </c>
      <c r="AK20" s="8">
        <v>2</v>
      </c>
      <c r="AL20" s="8">
        <v>0</v>
      </c>
      <c r="AM20" s="8">
        <v>2</v>
      </c>
      <c r="AN20" s="8">
        <v>2</v>
      </c>
      <c r="AO20" s="8">
        <v>1</v>
      </c>
      <c r="AP20" s="8">
        <v>8</v>
      </c>
    </row>
    <row r="21" spans="3:42">
      <c r="C21" s="6" t="s">
        <v>26</v>
      </c>
      <c r="D21" s="7">
        <v>35000000</v>
      </c>
      <c r="E21" s="6">
        <f t="shared" si="0"/>
        <v>140</v>
      </c>
      <c r="H21" s="6" t="s">
        <v>26</v>
      </c>
      <c r="I21" s="7">
        <v>35000000</v>
      </c>
      <c r="J21" s="6">
        <v>140</v>
      </c>
      <c r="K21" s="6">
        <v>6</v>
      </c>
      <c r="O21" s="7">
        <v>1000000</v>
      </c>
      <c r="P21" s="12">
        <f t="shared" ref="P21:U21" si="17">IF($S10=P$12,$U10,0)+IF($V10=P$12,$X10,0)+IF($Y10=P$12,$AA10,0)</f>
        <v>0</v>
      </c>
      <c r="Q21" s="12">
        <f t="shared" si="17"/>
        <v>0</v>
      </c>
      <c r="R21" s="12">
        <f t="shared" si="17"/>
        <v>0</v>
      </c>
      <c r="S21" s="12">
        <f t="shared" si="17"/>
        <v>0.56</v>
      </c>
      <c r="T21" s="12">
        <f t="shared" si="17"/>
        <v>0.49</v>
      </c>
      <c r="U21" s="12">
        <f t="shared" si="17"/>
        <v>0.42</v>
      </c>
      <c r="AF21" s="8" t="s">
        <v>20</v>
      </c>
      <c r="AG21" s="8">
        <v>31</v>
      </c>
      <c r="AH21" s="8">
        <v>34</v>
      </c>
      <c r="AI21" s="8">
        <v>30</v>
      </c>
      <c r="AJ21" s="8">
        <v>19</v>
      </c>
      <c r="AK21" s="8">
        <v>11</v>
      </c>
      <c r="AL21" s="8">
        <v>4</v>
      </c>
      <c r="AM21" s="8">
        <v>12</v>
      </c>
      <c r="AN21" s="8">
        <v>9</v>
      </c>
      <c r="AO21" s="8">
        <v>2</v>
      </c>
      <c r="AP21" s="8">
        <v>152</v>
      </c>
    </row>
    <row r="22" spans="3:42">
      <c r="C22" s="6" t="s">
        <v>27</v>
      </c>
      <c r="D22" s="7">
        <f>SUM(D2:D21)</f>
        <v>140050000</v>
      </c>
      <c r="E22" s="6">
        <f>SUM(E2:E21)</f>
        <v>560.2</v>
      </c>
      <c r="H22" s="6" t="s">
        <v>27</v>
      </c>
      <c r="I22" s="7">
        <v>140050000</v>
      </c>
      <c r="J22" s="6">
        <v>560.2</v>
      </c>
      <c r="K22" s="6"/>
    </row>
    <row r="23" spans="3:42">
      <c r="M23" s="4" t="s">
        <v>28</v>
      </c>
      <c r="O23" s="7" t="s">
        <v>29</v>
      </c>
      <c r="P23" s="6">
        <v>1</v>
      </c>
      <c r="Q23" s="6">
        <v>2</v>
      </c>
      <c r="R23" s="6">
        <v>3</v>
      </c>
      <c r="S23" s="6">
        <v>4</v>
      </c>
      <c r="T23" s="6">
        <v>5</v>
      </c>
      <c r="U23" s="6">
        <v>6</v>
      </c>
      <c r="V23" s="7"/>
      <c r="W23" s="7"/>
      <c r="X23" s="6"/>
    </row>
    <row r="24" spans="3:42">
      <c r="O24" s="6" t="s">
        <v>30</v>
      </c>
      <c r="P24" s="6">
        <v>25</v>
      </c>
      <c r="Q24" s="6">
        <v>50</v>
      </c>
      <c r="R24" s="6">
        <v>50</v>
      </c>
      <c r="S24" s="6">
        <v>50</v>
      </c>
      <c r="T24" s="6">
        <v>50</v>
      </c>
      <c r="U24" s="6">
        <v>40</v>
      </c>
      <c r="V24" s="7" t="s">
        <v>31</v>
      </c>
      <c r="W24" s="7" t="s">
        <v>32</v>
      </c>
      <c r="X24" s="6" t="s">
        <v>33</v>
      </c>
    </row>
    <row r="25" spans="3:42">
      <c r="H25" s="6" t="s">
        <v>34</v>
      </c>
      <c r="I25" s="6" t="s">
        <v>30</v>
      </c>
      <c r="J25" s="6" t="s">
        <v>35</v>
      </c>
      <c r="O25" s="7">
        <v>1000</v>
      </c>
      <c r="P25" s="12">
        <f t="shared" ref="P25:U25" si="18">IF(P13=0,0,P$24/P13)</f>
        <v>0</v>
      </c>
      <c r="Q25" s="12">
        <f t="shared" si="18"/>
        <v>0</v>
      </c>
      <c r="R25" s="12">
        <f t="shared" si="18"/>
        <v>0</v>
      </c>
      <c r="S25" s="12">
        <f t="shared" si="18"/>
        <v>0</v>
      </c>
      <c r="T25" s="12">
        <f t="shared" si="18"/>
        <v>0</v>
      </c>
      <c r="U25" s="12">
        <f t="shared" si="18"/>
        <v>0</v>
      </c>
      <c r="V25" s="7">
        <f ca="1">IF(U25&gt;0,SUMIF($K$2:$K$21,"&lt;="&amp;$U$23,$I$2:I20),IF(T25&gt;0,SUMIF($K$2:$K$21,"&lt;="&amp;$T$23,$I$2:I20),IF(S25&gt;0,SUMIF($K$2:$K$21,"&lt;="&amp;$S$23,$I$2:I20),IF(R25&gt;0,SUMIF($K$2:$K$21,"&lt;="&amp;$R$23,$I$2:I20),IF(Q25&gt;0,SUMIF($K$2:$K$21,"&lt;="&amp;$Q$23,$I$2:I20),IF(P25&gt;0,SUMIF($K$2:$K$21,"&lt;="&amp;$P$23,$I$2:I20),0))))))</f>
        <v>0</v>
      </c>
      <c r="W25" s="12">
        <f ca="1" t="shared" ref="W25:W33" si="19">V25/$M$2</f>
        <v>0</v>
      </c>
      <c r="X25" s="7">
        <f t="shared" ref="X25:X33" si="20">IF(U25&gt;0,U25,IF(T25&gt;0,T25,IF(S25&gt;0,S25,IF(R25&gt;0,R25,IF(Q25&gt;0,Q25,P25)))))</f>
        <v>0</v>
      </c>
    </row>
    <row r="26" spans="3:42">
      <c r="H26" s="6">
        <v>1</v>
      </c>
      <c r="I26" s="6">
        <v>25</v>
      </c>
      <c r="J26" s="11">
        <f t="shared" ref="J26:J30" si="21">SUMIF($K$2:$K$21,"&lt;="&amp;H26,$I$2:$I$22)/I26/$M$2</f>
        <v>0.016</v>
      </c>
      <c r="O26" s="7">
        <v>3000</v>
      </c>
      <c r="P26" s="12">
        <f t="shared" ref="P26:U26" si="22">IF(P14=0,0,P$24/P14)</f>
        <v>0</v>
      </c>
      <c r="Q26" s="12">
        <f t="shared" si="22"/>
        <v>0</v>
      </c>
      <c r="R26" s="12">
        <f t="shared" si="22"/>
        <v>0</v>
      </c>
      <c r="S26" s="12">
        <f t="shared" si="22"/>
        <v>0</v>
      </c>
      <c r="T26" s="12">
        <f t="shared" si="22"/>
        <v>0</v>
      </c>
      <c r="U26" s="12">
        <f t="shared" si="22"/>
        <v>0</v>
      </c>
      <c r="V26" s="7">
        <f>IF(U26&gt;0,SUMIF($K$2:$K$21,"&lt;="&amp;$U$23,$I$2:I21),IF(T26&gt;0,SUMIF($K$2:$K$21,"&lt;="&amp;$T$23,$I$2:I21),IF(S26&gt;0,SUMIF($K$2:$K$21,"&lt;="&amp;$S$23,$I$2:I21),IF(R26&gt;0,SUMIF($K$2:$K$21,"&lt;="&amp;$R$23,$I$2:I21),IF(Q26&gt;0,SUMIF($K$2:$K$21,"&lt;="&amp;$Q$23,$I$2:I21),IF(P26&gt;0,SUMIF($K$2:$K$21,"&lt;="&amp;$P$23,$I$2:I21),0))))))</f>
        <v>0</v>
      </c>
      <c r="W26" s="12">
        <f t="shared" si="19"/>
        <v>0</v>
      </c>
      <c r="X26" s="7">
        <f t="shared" si="20"/>
        <v>0</v>
      </c>
    </row>
    <row r="27" spans="3:42">
      <c r="H27" s="6">
        <v>2</v>
      </c>
      <c r="I27" s="6">
        <v>50</v>
      </c>
      <c r="J27" s="11">
        <f t="shared" si="21"/>
        <v>0.164</v>
      </c>
      <c r="O27" s="7">
        <v>10000</v>
      </c>
      <c r="P27" s="12">
        <f t="shared" ref="P27:U27" si="23">IF(P15=0,0,P$24/P15)</f>
        <v>23.8095238095238</v>
      </c>
      <c r="Q27" s="12">
        <f t="shared" si="23"/>
        <v>0</v>
      </c>
      <c r="R27" s="12">
        <f t="shared" si="23"/>
        <v>0</v>
      </c>
      <c r="S27" s="12">
        <f t="shared" si="23"/>
        <v>0</v>
      </c>
      <c r="T27" s="12">
        <f t="shared" si="23"/>
        <v>0</v>
      </c>
      <c r="U27" s="12">
        <f t="shared" si="23"/>
        <v>0</v>
      </c>
      <c r="V27" s="7">
        <f>IF(U27&gt;0,SUMIF($K$2:$K$21,"&lt;="&amp;$U$23,$I$2:$I$21),IF(T27&gt;0,SUMIF($K$2:$K$21,"&lt;="&amp;$T$23,$I$2:$I$21),IF(S27&gt;0,SUMIF($K$2:$K$21,"&lt;="&amp;$S$23,$I$2:$I$21),IF(R27&gt;0,SUMIF($K$2:$K$21,"&lt;="&amp;$R$23,$I$2:$I$21),IF(Q27&gt;0,SUMIF($K$2:$K$21,"&lt;="&amp;$Q$23,$I$2:$I$21),IF(P27&gt;0,SUMIF($K$2:$K$21,"&lt;="&amp;$P$23,$I$2:$I$21),0))))))</f>
        <v>100000</v>
      </c>
      <c r="W27" s="12">
        <f t="shared" si="19"/>
        <v>0.4</v>
      </c>
      <c r="X27" s="7">
        <f t="shared" si="20"/>
        <v>23.8095238095238</v>
      </c>
    </row>
    <row r="28" spans="3:42">
      <c r="H28" s="6">
        <v>3</v>
      </c>
      <c r="I28" s="6">
        <v>50</v>
      </c>
      <c r="J28" s="11">
        <f t="shared" si="21"/>
        <v>0.524</v>
      </c>
      <c r="O28" s="7">
        <v>20000</v>
      </c>
      <c r="P28" s="12">
        <f t="shared" ref="P28:U28" si="24">IF(P16=0,0,P$24/P16)</f>
        <v>44.6428571428571</v>
      </c>
      <c r="Q28" s="12">
        <f t="shared" si="24"/>
        <v>119.047619047619</v>
      </c>
      <c r="R28" s="12">
        <f t="shared" si="24"/>
        <v>0</v>
      </c>
      <c r="S28" s="12">
        <f t="shared" si="24"/>
        <v>0</v>
      </c>
      <c r="T28" s="12">
        <f t="shared" si="24"/>
        <v>0</v>
      </c>
      <c r="U28" s="12">
        <f t="shared" si="24"/>
        <v>0</v>
      </c>
      <c r="V28" s="7">
        <f t="shared" ref="V28:V33" si="25">IF(U28&gt;0,SUMIF($K$2:$K$21,"&lt;="&amp;$U$23,$I$2:$I$21),IF(T28&gt;0,SUMIF($K$2:$K$21,"&lt;="&amp;$T$23,$I$2:$I$21),IF(S28&gt;0,SUMIF($K$2:$K$21,"&lt;="&amp;$S$23,$I$2:$I$21),IF(R28&gt;0,SUMIF($K$2:$K$21,"&lt;="&amp;$R$23,$I$2:$I$21),IF(Q28&gt;0,SUMIF($K$2:$K$21,"&lt;="&amp;$Q$23,$I$2:$I$21),IF(P28&gt;0,SUMIF($K$2:$K$21,"&lt;="&amp;$P$23,$I$2:$I$21),0))))))</f>
        <v>2050000</v>
      </c>
      <c r="W28" s="12">
        <f t="shared" si="19"/>
        <v>8.2</v>
      </c>
      <c r="X28" s="7">
        <f t="shared" si="20"/>
        <v>119.047619047619</v>
      </c>
    </row>
    <row r="29" spans="3:42">
      <c r="H29" s="6">
        <v>4</v>
      </c>
      <c r="I29" s="6">
        <v>50</v>
      </c>
      <c r="J29" s="11">
        <f t="shared" si="21"/>
        <v>0.884</v>
      </c>
      <c r="O29" s="7">
        <v>50000</v>
      </c>
      <c r="P29" s="12">
        <f t="shared" ref="P29:U29" si="26">IF(P17=0,0,P$24/P17)</f>
        <v>0</v>
      </c>
      <c r="Q29" s="12">
        <f t="shared" si="26"/>
        <v>89.2857142857143</v>
      </c>
      <c r="R29" s="12">
        <f t="shared" si="26"/>
        <v>89.2857142857143</v>
      </c>
      <c r="S29" s="12">
        <f t="shared" si="26"/>
        <v>119.047619047619</v>
      </c>
      <c r="T29" s="12">
        <f t="shared" si="26"/>
        <v>0</v>
      </c>
      <c r="U29" s="12">
        <f t="shared" si="26"/>
        <v>0</v>
      </c>
      <c r="V29" s="7">
        <f t="shared" si="25"/>
        <v>11050000</v>
      </c>
      <c r="W29" s="12">
        <f t="shared" si="19"/>
        <v>44.2</v>
      </c>
      <c r="X29" s="7">
        <f t="shared" si="20"/>
        <v>119.047619047619</v>
      </c>
    </row>
    <row r="30" spans="3:42">
      <c r="H30" s="6">
        <v>5</v>
      </c>
      <c r="I30" s="6">
        <v>50</v>
      </c>
      <c r="J30" s="11">
        <f t="shared" si="21"/>
        <v>2.404</v>
      </c>
      <c r="O30" s="7">
        <v>100000</v>
      </c>
      <c r="P30" s="12">
        <f t="shared" ref="P30:U30" si="27">IF(P18=0,0,P$24/P18)</f>
        <v>0</v>
      </c>
      <c r="Q30" s="12">
        <f t="shared" si="27"/>
        <v>0</v>
      </c>
      <c r="R30" s="12">
        <f t="shared" si="27"/>
        <v>119.047619047619</v>
      </c>
      <c r="S30" s="12">
        <f t="shared" si="27"/>
        <v>142.857142857143</v>
      </c>
      <c r="T30" s="12">
        <f t="shared" si="27"/>
        <v>178.571428571429</v>
      </c>
      <c r="U30" s="12">
        <f t="shared" si="27"/>
        <v>0</v>
      </c>
      <c r="V30" s="7">
        <f t="shared" si="25"/>
        <v>30050000</v>
      </c>
      <c r="W30" s="12">
        <f t="shared" si="19"/>
        <v>120.2</v>
      </c>
      <c r="X30" s="7">
        <f t="shared" si="20"/>
        <v>178.571428571429</v>
      </c>
    </row>
    <row r="31" spans="3:42">
      <c r="H31" s="6">
        <v>6</v>
      </c>
      <c r="I31" s="6">
        <v>40</v>
      </c>
      <c r="J31" s="11">
        <f>SUMIF($K$2:$K$21,"="&amp;H31,$I$2:$I$22)/I31/$M$2</f>
        <v>11</v>
      </c>
      <c r="O31" s="7">
        <v>200000</v>
      </c>
      <c r="P31" s="12">
        <f t="shared" ref="P31:U31" si="28">IF(P19=0,0,P$24/P19)</f>
        <v>0</v>
      </c>
      <c r="Q31" s="12">
        <f t="shared" si="28"/>
        <v>0</v>
      </c>
      <c r="R31" s="12">
        <f t="shared" si="28"/>
        <v>0</v>
      </c>
      <c r="S31" s="12">
        <f t="shared" si="28"/>
        <v>119.047619047619</v>
      </c>
      <c r="T31" s="12">
        <f t="shared" si="28"/>
        <v>142.857142857143</v>
      </c>
      <c r="U31" s="12">
        <f t="shared" si="28"/>
        <v>142.857142857143</v>
      </c>
      <c r="V31" s="7">
        <f t="shared" si="25"/>
        <v>140050000</v>
      </c>
      <c r="W31" s="12">
        <f t="shared" si="19"/>
        <v>560.2</v>
      </c>
      <c r="X31" s="7">
        <f t="shared" si="20"/>
        <v>142.857142857143</v>
      </c>
    </row>
    <row r="32" spans="3:42">
      <c r="O32" s="7">
        <v>500000</v>
      </c>
      <c r="P32" s="12">
        <f t="shared" ref="P32:U32" si="29">IF(P20=0,0,P$24/P20)</f>
        <v>0</v>
      </c>
      <c r="Q32" s="12">
        <f t="shared" si="29"/>
        <v>0</v>
      </c>
      <c r="R32" s="12">
        <f t="shared" si="29"/>
        <v>0</v>
      </c>
      <c r="S32" s="12">
        <f t="shared" si="29"/>
        <v>102.040816326531</v>
      </c>
      <c r="T32" s="12">
        <f t="shared" si="29"/>
        <v>119.047619047619</v>
      </c>
      <c r="U32" s="12">
        <f t="shared" si="29"/>
        <v>114.285714285714</v>
      </c>
      <c r="V32" s="7">
        <f t="shared" si="25"/>
        <v>140050000</v>
      </c>
      <c r="W32" s="12">
        <f t="shared" si="19"/>
        <v>560.2</v>
      </c>
      <c r="X32" s="7">
        <f t="shared" si="20"/>
        <v>114.285714285714</v>
      </c>
    </row>
    <row r="33" spans="13:32">
      <c r="O33" s="7">
        <v>1000000</v>
      </c>
      <c r="P33" s="12">
        <f t="shared" ref="P33:U33" si="30">IF(P21=0,0,P$24/P21)</f>
        <v>0</v>
      </c>
      <c r="Q33" s="12">
        <f t="shared" si="30"/>
        <v>0</v>
      </c>
      <c r="R33" s="12">
        <f t="shared" si="30"/>
        <v>0</v>
      </c>
      <c r="S33" s="12">
        <f t="shared" si="30"/>
        <v>89.2857142857143</v>
      </c>
      <c r="T33" s="12">
        <f t="shared" si="30"/>
        <v>102.040816326531</v>
      </c>
      <c r="U33" s="12">
        <f t="shared" si="30"/>
        <v>95.2380952380952</v>
      </c>
      <c r="V33" s="7">
        <f t="shared" si="25"/>
        <v>140050000</v>
      </c>
      <c r="W33" s="12">
        <f t="shared" si="19"/>
        <v>560.2</v>
      </c>
      <c r="X33" s="7">
        <f t="shared" si="20"/>
        <v>95.2380952380952</v>
      </c>
    </row>
    <row r="35" spans="13:32">
      <c r="M35" s="4" t="s">
        <v>36</v>
      </c>
      <c r="O35" s="7"/>
      <c r="P35" s="7"/>
      <c r="Q35" s="7">
        <v>250000</v>
      </c>
      <c r="R35" s="7">
        <v>375000</v>
      </c>
      <c r="S35" s="7">
        <v>500000</v>
      </c>
      <c r="T35" s="7">
        <v>600000</v>
      </c>
      <c r="U35" s="7">
        <v>675000</v>
      </c>
      <c r="V35" s="7">
        <v>750000</v>
      </c>
      <c r="W35" s="7">
        <v>800000</v>
      </c>
      <c r="X35" s="7">
        <v>850000</v>
      </c>
      <c r="Y35" s="7">
        <v>900000</v>
      </c>
      <c r="Z35" s="7">
        <v>950000</v>
      </c>
      <c r="AA35" s="7">
        <v>1000000</v>
      </c>
      <c r="AB35" s="7">
        <v>1050000</v>
      </c>
      <c r="AC35" s="7">
        <v>1100000</v>
      </c>
      <c r="AD35" s="7">
        <v>1150000</v>
      </c>
      <c r="AE35" s="7">
        <v>1200000</v>
      </c>
      <c r="AF35" s="7">
        <v>1250000</v>
      </c>
    </row>
    <row r="36" spans="13:32">
      <c r="O36" s="7" t="s">
        <v>5</v>
      </c>
      <c r="P36" s="7" t="s">
        <v>37</v>
      </c>
      <c r="Q36" s="7">
        <v>0</v>
      </c>
      <c r="R36" s="6">
        <v>1</v>
      </c>
      <c r="S36" s="6">
        <v>2</v>
      </c>
      <c r="T36" s="6">
        <v>3</v>
      </c>
      <c r="U36" s="6">
        <v>4</v>
      </c>
      <c r="V36" s="6">
        <v>5</v>
      </c>
      <c r="W36" s="6">
        <v>6</v>
      </c>
      <c r="X36" s="6">
        <v>7</v>
      </c>
      <c r="Y36" s="6">
        <v>8</v>
      </c>
      <c r="Z36" s="6">
        <v>9</v>
      </c>
      <c r="AA36" s="6">
        <v>10</v>
      </c>
      <c r="AB36" s="6">
        <v>11</v>
      </c>
      <c r="AC36" s="6">
        <v>12</v>
      </c>
      <c r="AD36" s="6">
        <v>13</v>
      </c>
      <c r="AE36" s="6">
        <v>14</v>
      </c>
      <c r="AF36" s="6">
        <v>15</v>
      </c>
    </row>
    <row r="37" spans="13:32">
      <c r="O37" s="7">
        <v>1000</v>
      </c>
      <c r="P37" s="7">
        <f>Q2</f>
        <v>10000</v>
      </c>
      <c r="Q37" s="14">
        <v>0.07</v>
      </c>
      <c r="R37" s="14">
        <v>0.056</v>
      </c>
      <c r="S37" s="14">
        <v>0.0466666666666667</v>
      </c>
      <c r="T37" s="14">
        <v>0.04</v>
      </c>
      <c r="U37" s="14">
        <v>0.035</v>
      </c>
      <c r="V37" s="14">
        <v>0.0311111111111111</v>
      </c>
      <c r="W37" s="14">
        <v>0.028</v>
      </c>
      <c r="X37" s="14">
        <v>0.028</v>
      </c>
      <c r="Y37" s="14">
        <v>0.028</v>
      </c>
      <c r="Z37" s="14">
        <v>0.028</v>
      </c>
      <c r="AA37" s="14">
        <v>0.028</v>
      </c>
      <c r="AB37" s="14">
        <v>0.028</v>
      </c>
      <c r="AC37" s="14">
        <v>0.028</v>
      </c>
      <c r="AD37" s="14">
        <v>0.028</v>
      </c>
      <c r="AE37" s="14">
        <v>0.028</v>
      </c>
      <c r="AF37" s="14">
        <v>0.028</v>
      </c>
    </row>
    <row r="38" spans="13:32">
      <c r="O38" s="7">
        <v>3000</v>
      </c>
      <c r="P38" s="7">
        <f t="shared" ref="P38:P45" si="31">Q3</f>
        <v>30000</v>
      </c>
      <c r="Q38" s="14">
        <v>0.21</v>
      </c>
      <c r="R38" s="14">
        <v>0.168</v>
      </c>
      <c r="S38" s="14">
        <v>0.14</v>
      </c>
      <c r="T38" s="14">
        <v>0.12</v>
      </c>
      <c r="U38" s="14">
        <v>0.105</v>
      </c>
      <c r="V38" s="14">
        <v>0.0933333333333333</v>
      </c>
      <c r="W38" s="14">
        <v>0.084</v>
      </c>
      <c r="X38" s="14">
        <v>0.084</v>
      </c>
      <c r="Y38" s="14">
        <v>0.084</v>
      </c>
      <c r="Z38" s="14">
        <v>0.084</v>
      </c>
      <c r="AA38" s="14">
        <v>0.084</v>
      </c>
      <c r="AB38" s="14">
        <v>0.084</v>
      </c>
      <c r="AC38" s="14">
        <v>0.084</v>
      </c>
      <c r="AD38" s="14">
        <v>0.084</v>
      </c>
      <c r="AE38" s="14">
        <v>0.084</v>
      </c>
      <c r="AF38" s="14">
        <v>0.084</v>
      </c>
    </row>
    <row r="39" spans="13:32">
      <c r="O39" s="7">
        <v>10000</v>
      </c>
      <c r="P39" s="7">
        <f t="shared" si="31"/>
        <v>100000</v>
      </c>
      <c r="Q39" s="14">
        <v>0.7</v>
      </c>
      <c r="R39" s="14">
        <v>0.56</v>
      </c>
      <c r="S39" s="14">
        <v>0.466666666666667</v>
      </c>
      <c r="T39" s="14">
        <v>0.4</v>
      </c>
      <c r="U39" s="14">
        <v>0.35</v>
      </c>
      <c r="V39" s="14">
        <v>0.311111111111111</v>
      </c>
      <c r="W39" s="14">
        <v>0.28</v>
      </c>
      <c r="X39" s="14">
        <v>0.28</v>
      </c>
      <c r="Y39" s="14">
        <v>0.28</v>
      </c>
      <c r="Z39" s="14">
        <v>0.28</v>
      </c>
      <c r="AA39" s="14">
        <v>0.28</v>
      </c>
      <c r="AB39" s="14">
        <v>0.28</v>
      </c>
      <c r="AC39" s="14">
        <v>0.28</v>
      </c>
      <c r="AD39" s="14">
        <v>0.28</v>
      </c>
      <c r="AE39" s="14">
        <v>0.28</v>
      </c>
      <c r="AF39" s="14">
        <v>0.28</v>
      </c>
    </row>
    <row r="40" spans="13:32">
      <c r="O40" s="7">
        <v>20000</v>
      </c>
      <c r="P40" s="7">
        <f t="shared" si="31"/>
        <v>200000</v>
      </c>
      <c r="Q40" s="14">
        <v>1.4</v>
      </c>
      <c r="R40" s="14">
        <v>1.12</v>
      </c>
      <c r="S40" s="14">
        <v>0.933333333333333</v>
      </c>
      <c r="T40" s="14">
        <v>0.8</v>
      </c>
      <c r="U40" s="14">
        <v>0.7</v>
      </c>
      <c r="V40" s="14">
        <v>0.622222222222222</v>
      </c>
      <c r="W40" s="14">
        <v>0.56</v>
      </c>
      <c r="X40" s="14">
        <v>0.56</v>
      </c>
      <c r="Y40" s="14">
        <v>0.56</v>
      </c>
      <c r="Z40" s="14">
        <v>0.56</v>
      </c>
      <c r="AA40" s="14">
        <v>0.56</v>
      </c>
      <c r="AB40" s="14">
        <v>0.56</v>
      </c>
      <c r="AC40" s="14">
        <v>0.56</v>
      </c>
      <c r="AD40" s="14">
        <v>0.56</v>
      </c>
      <c r="AE40" s="14">
        <v>0.56</v>
      </c>
      <c r="AF40" s="14">
        <v>0.56</v>
      </c>
    </row>
    <row r="41" spans="13:32">
      <c r="O41" s="7">
        <v>50000</v>
      </c>
      <c r="P41" s="7">
        <f t="shared" si="31"/>
        <v>500000</v>
      </c>
      <c r="Q41" s="14">
        <v>3.2741935483871</v>
      </c>
      <c r="R41" s="14">
        <v>2.70666666666667</v>
      </c>
      <c r="S41" s="14">
        <v>2.25555555555556</v>
      </c>
      <c r="T41" s="14">
        <v>1.93333333333333</v>
      </c>
      <c r="U41" s="14">
        <v>1.75</v>
      </c>
      <c r="V41" s="14">
        <v>1.55555555555556</v>
      </c>
      <c r="W41" s="14">
        <v>1.4</v>
      </c>
      <c r="X41" s="14">
        <v>1.4</v>
      </c>
      <c r="Y41" s="14">
        <v>1.4</v>
      </c>
      <c r="Z41" s="14">
        <v>1.4</v>
      </c>
      <c r="AA41" s="14">
        <v>1.4</v>
      </c>
      <c r="AB41" s="14">
        <v>1.4</v>
      </c>
      <c r="AC41" s="14">
        <v>1.4</v>
      </c>
      <c r="AD41" s="14">
        <v>1.4</v>
      </c>
      <c r="AE41" s="14">
        <v>1.4</v>
      </c>
      <c r="AF41" s="14">
        <v>1.4</v>
      </c>
    </row>
    <row r="42" spans="13:32">
      <c r="O42" s="7">
        <v>100000</v>
      </c>
      <c r="P42" s="7">
        <f t="shared" si="31"/>
        <v>1000000</v>
      </c>
      <c r="Q42" s="14">
        <v>5.8</v>
      </c>
      <c r="R42" s="14">
        <v>4.92121212121212</v>
      </c>
      <c r="S42" s="14">
        <v>4.22916666666667</v>
      </c>
      <c r="T42" s="14">
        <v>3.625</v>
      </c>
      <c r="U42" s="14">
        <v>3.2741935483871</v>
      </c>
      <c r="V42" s="14">
        <v>2.91039426523297</v>
      </c>
      <c r="W42" s="14">
        <v>2.70666666666667</v>
      </c>
      <c r="X42" s="14">
        <v>2.70666666666667</v>
      </c>
      <c r="Y42" s="14">
        <v>2.70666666666667</v>
      </c>
      <c r="Z42" s="14">
        <v>2.70666666666667</v>
      </c>
      <c r="AA42" s="14">
        <v>2.70666666666667</v>
      </c>
      <c r="AB42" s="14">
        <v>2.70666666666667</v>
      </c>
      <c r="AC42" s="14">
        <v>2.70666666666667</v>
      </c>
      <c r="AD42" s="14">
        <v>2.70666666666667</v>
      </c>
      <c r="AE42" s="14">
        <v>2.70666666666667</v>
      </c>
      <c r="AF42" s="14">
        <v>2.70666666666667</v>
      </c>
    </row>
    <row r="43" spans="13:32">
      <c r="O43" s="7">
        <v>200000</v>
      </c>
      <c r="P43" s="7">
        <f t="shared" si="31"/>
        <v>2000000</v>
      </c>
      <c r="Q43" s="14">
        <v>9.66666666666666</v>
      </c>
      <c r="R43" s="14">
        <v>8.32820512820512</v>
      </c>
      <c r="S43" s="14">
        <v>7.31531531531531</v>
      </c>
      <c r="T43" s="14">
        <v>6.44444444444444</v>
      </c>
      <c r="U43" s="14">
        <v>5.8</v>
      </c>
      <c r="V43" s="14">
        <v>5.30718954248366</v>
      </c>
      <c r="W43" s="14">
        <v>4.92121212121212</v>
      </c>
      <c r="X43" s="14">
        <v>4.92121212121212</v>
      </c>
      <c r="Y43" s="14">
        <v>4.92121212121212</v>
      </c>
      <c r="Z43" s="14">
        <v>4.92121212121212</v>
      </c>
      <c r="AA43" s="14">
        <v>4.92121212121212</v>
      </c>
      <c r="AB43" s="14">
        <v>4.92121212121212</v>
      </c>
      <c r="AC43" s="14">
        <v>4.92121212121212</v>
      </c>
      <c r="AD43" s="14">
        <v>4.92121212121212</v>
      </c>
      <c r="AE43" s="14">
        <v>4.92121212121212</v>
      </c>
      <c r="AF43" s="14">
        <v>4.92121212121212</v>
      </c>
    </row>
    <row r="44" spans="13:32">
      <c r="O44" s="7">
        <v>500000</v>
      </c>
      <c r="P44" s="7">
        <f t="shared" si="31"/>
        <v>5000000</v>
      </c>
      <c r="Q44" s="14">
        <v>21.1458333333333</v>
      </c>
      <c r="R44" s="14">
        <v>17.6521739130435</v>
      </c>
      <c r="S44" s="14">
        <v>15.037037037037</v>
      </c>
      <c r="T44" s="14">
        <v>12.8888888888889</v>
      </c>
      <c r="U44" s="14">
        <v>11.8023255813953</v>
      </c>
      <c r="V44" s="14">
        <v>10.4909560723514</v>
      </c>
      <c r="W44" s="14">
        <v>9.66666666666666</v>
      </c>
      <c r="X44" s="14">
        <v>9.66666666666666</v>
      </c>
      <c r="Y44" s="14">
        <v>9.66666666666666</v>
      </c>
      <c r="Z44" s="14">
        <v>9.66666666666666</v>
      </c>
      <c r="AA44" s="14">
        <v>9.66666666666666</v>
      </c>
      <c r="AB44" s="14">
        <v>9.66666666666666</v>
      </c>
      <c r="AC44" s="14">
        <v>9.66666666666666</v>
      </c>
      <c r="AD44" s="14">
        <v>9.66666666666666</v>
      </c>
      <c r="AE44" s="14">
        <v>9.66666666666666</v>
      </c>
      <c r="AF44" s="14">
        <v>9.66666666666666</v>
      </c>
    </row>
    <row r="45" spans="13:32">
      <c r="O45" s="7">
        <v>1000000</v>
      </c>
      <c r="P45" s="7">
        <f t="shared" si="31"/>
        <v>10000000</v>
      </c>
      <c r="Q45" s="14">
        <v>37.5925925925926</v>
      </c>
      <c r="R45" s="14">
        <v>31.2307692307692</v>
      </c>
      <c r="S45" s="14">
        <v>27.0666666666666</v>
      </c>
      <c r="T45" s="14">
        <v>23.6734693877551</v>
      </c>
      <c r="U45" s="14">
        <v>21.1458333333333</v>
      </c>
      <c r="V45" s="14">
        <v>19.1962174940898</v>
      </c>
      <c r="W45" s="14">
        <v>17.6521739130435</v>
      </c>
      <c r="X45" s="14">
        <v>17.6521739130435</v>
      </c>
      <c r="Y45" s="14">
        <v>17.6521739130435</v>
      </c>
      <c r="Z45" s="14">
        <v>17.6521739130435</v>
      </c>
      <c r="AA45" s="14">
        <v>17.6521739130435</v>
      </c>
      <c r="AB45" s="14">
        <v>17.6521739130435</v>
      </c>
      <c r="AC45" s="14">
        <v>17.6521739130435</v>
      </c>
      <c r="AD45" s="14">
        <v>17.6521739130435</v>
      </c>
      <c r="AE45" s="14">
        <v>17.6521739130435</v>
      </c>
      <c r="AF45" s="14">
        <v>17.6521739130435</v>
      </c>
    </row>
    <row r="47" spans="13:32">
      <c r="M47" s="4" t="s">
        <v>38</v>
      </c>
      <c r="O47" s="7"/>
      <c r="P47" s="7"/>
      <c r="Q47" s="7">
        <v>250000</v>
      </c>
      <c r="R47" s="7">
        <v>375000</v>
      </c>
      <c r="S47" s="7">
        <v>500000</v>
      </c>
      <c r="T47" s="7">
        <v>600000</v>
      </c>
      <c r="U47" s="7">
        <v>675000</v>
      </c>
      <c r="V47" s="7">
        <v>750000</v>
      </c>
      <c r="W47" s="7">
        <v>800000</v>
      </c>
      <c r="X47" s="7">
        <v>850000</v>
      </c>
      <c r="Y47" s="7">
        <v>900000</v>
      </c>
      <c r="Z47" s="7">
        <v>950000</v>
      </c>
      <c r="AA47" s="7">
        <v>1000000</v>
      </c>
      <c r="AB47" s="7">
        <v>1050000</v>
      </c>
      <c r="AC47" s="7">
        <v>1100000</v>
      </c>
      <c r="AD47" s="7">
        <v>1150000</v>
      </c>
      <c r="AE47" s="7">
        <v>1200000</v>
      </c>
      <c r="AF47" s="7">
        <v>1250000</v>
      </c>
    </row>
    <row r="48" spans="13:32">
      <c r="O48" s="7" t="s">
        <v>5</v>
      </c>
      <c r="P48" s="7" t="s">
        <v>37</v>
      </c>
      <c r="Q48" s="7">
        <v>0</v>
      </c>
      <c r="R48" s="6">
        <v>1</v>
      </c>
      <c r="S48" s="6">
        <v>2</v>
      </c>
      <c r="T48" s="6">
        <v>3</v>
      </c>
      <c r="U48" s="6">
        <v>4</v>
      </c>
      <c r="V48" s="6">
        <v>5</v>
      </c>
      <c r="W48" s="6">
        <v>6</v>
      </c>
      <c r="X48" s="6">
        <v>7</v>
      </c>
      <c r="Y48" s="6">
        <v>8</v>
      </c>
      <c r="Z48" s="6">
        <v>9</v>
      </c>
      <c r="AA48" s="6">
        <v>10</v>
      </c>
      <c r="AB48" s="6">
        <v>11</v>
      </c>
      <c r="AC48" s="6">
        <v>12</v>
      </c>
      <c r="AD48" s="6">
        <v>13</v>
      </c>
      <c r="AE48" s="6">
        <v>14</v>
      </c>
      <c r="AF48" s="6">
        <v>15</v>
      </c>
    </row>
    <row r="49" spans="13:32">
      <c r="O49" s="7">
        <v>1000</v>
      </c>
      <c r="P49" s="7">
        <f>P37</f>
        <v>10000</v>
      </c>
      <c r="Q49" s="13">
        <f ca="1">IF($V25=0,0,$V25/$M$2/($X25*Q37))*Q$47/$Q$47</f>
        <v>0</v>
      </c>
      <c r="R49" s="13">
        <f ca="1" t="shared" ref="R49:R57" si="32">IF($V25=0,0,$V25/$M$2/($X25*R37))*R$47/$Q$47</f>
        <v>0</v>
      </c>
      <c r="S49" s="13">
        <f ca="1" t="shared" ref="S49:S57" si="33">IF($V25=0,0,$V25/$M$2/($X25*S37))*S$47/$Q$47</f>
        <v>0</v>
      </c>
      <c r="T49" s="13">
        <f ca="1" t="shared" ref="T49:T57" si="34">IF($V25=0,0,$V25/$M$2/($X25*T37))*T$47/$Q$47</f>
        <v>0</v>
      </c>
      <c r="U49" s="13">
        <f ca="1" t="shared" ref="U49:U57" si="35">IF($V25=0,0,$V25/$M$2/($X25*U37))*U$47/$Q$47</f>
        <v>0</v>
      </c>
      <c r="V49" s="13">
        <f ca="1" t="shared" ref="V49:AF49" si="36">IF($V25=0,0,$V25/$M$2/($X25*V37))*V$47/$Q$47</f>
        <v>0</v>
      </c>
      <c r="W49" s="13">
        <f ca="1" t="shared" si="36"/>
        <v>0</v>
      </c>
      <c r="X49" s="13">
        <f ca="1" t="shared" si="36"/>
        <v>0</v>
      </c>
      <c r="Y49" s="13">
        <f ca="1" t="shared" si="36"/>
        <v>0</v>
      </c>
      <c r="Z49" s="13">
        <f ca="1" t="shared" si="36"/>
        <v>0</v>
      </c>
      <c r="AA49" s="13">
        <f ca="1" t="shared" si="36"/>
        <v>0</v>
      </c>
      <c r="AB49" s="13">
        <f ca="1" t="shared" si="36"/>
        <v>0</v>
      </c>
      <c r="AC49" s="13">
        <f ca="1" t="shared" si="36"/>
        <v>0</v>
      </c>
      <c r="AD49" s="13">
        <f ca="1" t="shared" si="36"/>
        <v>0</v>
      </c>
      <c r="AE49" s="13">
        <f ca="1" t="shared" si="36"/>
        <v>0</v>
      </c>
      <c r="AF49" s="13">
        <f ca="1" t="shared" si="36"/>
        <v>0</v>
      </c>
    </row>
    <row r="50" spans="13:32">
      <c r="O50" s="7">
        <v>3000</v>
      </c>
      <c r="P50" s="7">
        <f t="shared" ref="P50:P57" si="37">P38</f>
        <v>30000</v>
      </c>
      <c r="Q50" s="13">
        <f t="shared" ref="Q50:Q57" si="38">IF($V26=0,0,$V26/$M$2/($X26*Q38))*Q$47/$Q$47</f>
        <v>0</v>
      </c>
      <c r="R50" s="13">
        <f t="shared" si="32"/>
        <v>0</v>
      </c>
      <c r="S50" s="13">
        <f t="shared" si="33"/>
        <v>0</v>
      </c>
      <c r="T50" s="13">
        <f t="shared" si="34"/>
        <v>0</v>
      </c>
      <c r="U50" s="13">
        <f t="shared" si="35"/>
        <v>0</v>
      </c>
      <c r="V50" s="13">
        <f t="shared" ref="V50:AF50" si="39">IF($V26=0,0,$V26/$M$2/($X26*V38))*V$47/$Q$47</f>
        <v>0</v>
      </c>
      <c r="W50" s="13">
        <f t="shared" si="39"/>
        <v>0</v>
      </c>
      <c r="X50" s="13">
        <f t="shared" si="39"/>
        <v>0</v>
      </c>
      <c r="Y50" s="13">
        <f t="shared" si="39"/>
        <v>0</v>
      </c>
      <c r="Z50" s="13">
        <f t="shared" si="39"/>
        <v>0</v>
      </c>
      <c r="AA50" s="13">
        <f t="shared" si="39"/>
        <v>0</v>
      </c>
      <c r="AB50" s="13">
        <f t="shared" si="39"/>
        <v>0</v>
      </c>
      <c r="AC50" s="13">
        <f t="shared" si="39"/>
        <v>0</v>
      </c>
      <c r="AD50" s="13">
        <f t="shared" si="39"/>
        <v>0</v>
      </c>
      <c r="AE50" s="13">
        <f t="shared" si="39"/>
        <v>0</v>
      </c>
      <c r="AF50" s="13">
        <f t="shared" si="39"/>
        <v>0</v>
      </c>
    </row>
    <row r="51" spans="13:32">
      <c r="O51" s="7">
        <v>10000</v>
      </c>
      <c r="P51" s="7">
        <f t="shared" si="37"/>
        <v>100000</v>
      </c>
      <c r="Q51" s="13">
        <f t="shared" si="38"/>
        <v>0.024</v>
      </c>
      <c r="R51" s="13">
        <f t="shared" si="32"/>
        <v>0.045</v>
      </c>
      <c r="S51" s="13">
        <f t="shared" si="33"/>
        <v>0.072</v>
      </c>
      <c r="T51" s="13">
        <f t="shared" si="34"/>
        <v>0.1008</v>
      </c>
      <c r="U51" s="13">
        <f t="shared" si="35"/>
        <v>0.1296</v>
      </c>
      <c r="V51" s="13">
        <f t="shared" ref="V51:AF51" si="40">IF($V27=0,0,$V27/$M$2/($X27*V39))*V$47/$Q$47</f>
        <v>0.162</v>
      </c>
      <c r="W51" s="13">
        <f t="shared" si="40"/>
        <v>0.192</v>
      </c>
      <c r="X51" s="13">
        <f t="shared" si="40"/>
        <v>0.204</v>
      </c>
      <c r="Y51" s="13">
        <f t="shared" si="40"/>
        <v>0.216</v>
      </c>
      <c r="Z51" s="13">
        <f t="shared" si="40"/>
        <v>0.228</v>
      </c>
      <c r="AA51" s="13">
        <f t="shared" si="40"/>
        <v>0.24</v>
      </c>
      <c r="AB51" s="13">
        <f t="shared" si="40"/>
        <v>0.252</v>
      </c>
      <c r="AC51" s="13">
        <f t="shared" si="40"/>
        <v>0.264</v>
      </c>
      <c r="AD51" s="13">
        <f t="shared" si="40"/>
        <v>0.276</v>
      </c>
      <c r="AE51" s="13">
        <f t="shared" si="40"/>
        <v>0.288</v>
      </c>
      <c r="AF51" s="13">
        <f t="shared" si="40"/>
        <v>0.3</v>
      </c>
    </row>
    <row r="52" spans="13:32">
      <c r="O52" s="7">
        <v>20000</v>
      </c>
      <c r="P52" s="7">
        <f t="shared" si="37"/>
        <v>200000</v>
      </c>
      <c r="Q52" s="13">
        <f t="shared" si="38"/>
        <v>0.0492</v>
      </c>
      <c r="R52" s="13">
        <f t="shared" si="32"/>
        <v>0.09225</v>
      </c>
      <c r="S52" s="13">
        <f t="shared" si="33"/>
        <v>0.1476</v>
      </c>
      <c r="T52" s="13">
        <f t="shared" si="34"/>
        <v>0.20664</v>
      </c>
      <c r="U52" s="13">
        <f t="shared" si="35"/>
        <v>0.26568</v>
      </c>
      <c r="V52" s="13">
        <f t="shared" ref="V52:AF52" si="41">IF($V28=0,0,$V28/$M$2/($X28*V40))*V$47/$Q$47</f>
        <v>0.3321</v>
      </c>
      <c r="W52" s="13">
        <f t="shared" si="41"/>
        <v>0.3936</v>
      </c>
      <c r="X52" s="13">
        <f t="shared" si="41"/>
        <v>0.4182</v>
      </c>
      <c r="Y52" s="13">
        <f t="shared" si="41"/>
        <v>0.4428</v>
      </c>
      <c r="Z52" s="13">
        <f t="shared" si="41"/>
        <v>0.4674</v>
      </c>
      <c r="AA52" s="13">
        <f t="shared" si="41"/>
        <v>0.492</v>
      </c>
      <c r="AB52" s="13">
        <f t="shared" si="41"/>
        <v>0.5166</v>
      </c>
      <c r="AC52" s="13">
        <f t="shared" si="41"/>
        <v>0.5412</v>
      </c>
      <c r="AD52" s="13">
        <f t="shared" si="41"/>
        <v>0.5658</v>
      </c>
      <c r="AE52" s="13">
        <f t="shared" si="41"/>
        <v>0.5904</v>
      </c>
      <c r="AF52" s="13">
        <f t="shared" si="41"/>
        <v>0.615</v>
      </c>
    </row>
    <row r="53" spans="13:32">
      <c r="O53" s="7">
        <v>50000</v>
      </c>
      <c r="P53" s="7">
        <f t="shared" si="37"/>
        <v>500000</v>
      </c>
      <c r="Q53" s="13">
        <f t="shared" si="38"/>
        <v>0.113395862068965</v>
      </c>
      <c r="R53" s="13">
        <f t="shared" si="32"/>
        <v>0.205758620689655</v>
      </c>
      <c r="S53" s="13">
        <f t="shared" si="33"/>
        <v>0.329213793103448</v>
      </c>
      <c r="T53" s="13">
        <f t="shared" si="34"/>
        <v>0.460899310344828</v>
      </c>
      <c r="U53" s="13">
        <f t="shared" si="35"/>
        <v>0.572832</v>
      </c>
      <c r="V53" s="13">
        <f t="shared" ref="V53:AF53" si="42">IF($V29=0,0,$V29/$M$2/($X29*V41))*V$47/$Q$47</f>
        <v>0.716039999999998</v>
      </c>
      <c r="W53" s="13">
        <f t="shared" si="42"/>
        <v>0.84864</v>
      </c>
      <c r="X53" s="13">
        <f t="shared" si="42"/>
        <v>0.90168</v>
      </c>
      <c r="Y53" s="13">
        <f t="shared" si="42"/>
        <v>0.95472</v>
      </c>
      <c r="Z53" s="13">
        <f t="shared" si="42"/>
        <v>1.00776</v>
      </c>
      <c r="AA53" s="13">
        <f t="shared" si="42"/>
        <v>1.0608</v>
      </c>
      <c r="AB53" s="13">
        <f t="shared" si="42"/>
        <v>1.11384</v>
      </c>
      <c r="AC53" s="13">
        <f t="shared" si="42"/>
        <v>1.16688</v>
      </c>
      <c r="AD53" s="13">
        <f t="shared" si="42"/>
        <v>1.21992</v>
      </c>
      <c r="AE53" s="13">
        <f t="shared" si="42"/>
        <v>1.27296</v>
      </c>
      <c r="AF53" s="13">
        <f t="shared" si="42"/>
        <v>1.326</v>
      </c>
    </row>
    <row r="54" spans="13:32">
      <c r="O54" s="7">
        <v>100000</v>
      </c>
      <c r="P54" s="7">
        <f t="shared" si="37"/>
        <v>1000000</v>
      </c>
      <c r="Q54" s="13">
        <f t="shared" si="38"/>
        <v>0.116055172413793</v>
      </c>
      <c r="R54" s="13">
        <f t="shared" si="32"/>
        <v>0.205168965517241</v>
      </c>
      <c r="S54" s="13">
        <f t="shared" si="33"/>
        <v>0.318322758620689</v>
      </c>
      <c r="T54" s="13">
        <f t="shared" si="34"/>
        <v>0.445651862068966</v>
      </c>
      <c r="U54" s="13">
        <f t="shared" si="35"/>
        <v>0.555075310344827</v>
      </c>
      <c r="V54" s="13">
        <f t="shared" ref="V54:AF54" si="43">IF($V30=0,0,$V30/$M$2/($X30*V42))*V$47/$Q$47</f>
        <v>0.693844137931036</v>
      </c>
      <c r="W54" s="13">
        <f t="shared" si="43"/>
        <v>0.795806896551723</v>
      </c>
      <c r="X54" s="13">
        <f t="shared" si="43"/>
        <v>0.845544827586206</v>
      </c>
      <c r="Y54" s="13">
        <f t="shared" si="43"/>
        <v>0.895282758620689</v>
      </c>
      <c r="Z54" s="13">
        <f t="shared" si="43"/>
        <v>0.945020689655171</v>
      </c>
      <c r="AA54" s="13">
        <f t="shared" si="43"/>
        <v>0.994758620689654</v>
      </c>
      <c r="AB54" s="13">
        <f t="shared" si="43"/>
        <v>1.04449655172414</v>
      </c>
      <c r="AC54" s="13">
        <f t="shared" si="43"/>
        <v>1.09423448275862</v>
      </c>
      <c r="AD54" s="13">
        <f t="shared" si="43"/>
        <v>1.1439724137931</v>
      </c>
      <c r="AE54" s="13">
        <f t="shared" si="43"/>
        <v>1.19371034482758</v>
      </c>
      <c r="AF54" s="13">
        <f t="shared" si="43"/>
        <v>1.24344827586207</v>
      </c>
    </row>
    <row r="55" spans="13:32">
      <c r="O55" s="7">
        <v>200000</v>
      </c>
      <c r="P55" s="7">
        <f t="shared" si="37"/>
        <v>2000000</v>
      </c>
      <c r="Q55" s="13">
        <f t="shared" si="38"/>
        <v>0.405662068965518</v>
      </c>
      <c r="R55" s="13">
        <f t="shared" si="32"/>
        <v>0.706286637931035</v>
      </c>
      <c r="S55" s="13">
        <f t="shared" si="33"/>
        <v>1.07210689655173</v>
      </c>
      <c r="T55" s="13">
        <f t="shared" si="34"/>
        <v>1.46038344827586</v>
      </c>
      <c r="U55" s="13">
        <f t="shared" si="35"/>
        <v>1.82547931034483</v>
      </c>
      <c r="V55" s="13">
        <f t="shared" ref="V55:AF55" si="44">IF($V31=0,0,$V31/$M$2/($X31*V43))*V$47/$Q$47</f>
        <v>2.21665344827586</v>
      </c>
      <c r="W55" s="13">
        <f t="shared" si="44"/>
        <v>2.54987586206897</v>
      </c>
      <c r="X55" s="13">
        <f t="shared" si="44"/>
        <v>2.70924310344828</v>
      </c>
      <c r="Y55" s="13">
        <f t="shared" si="44"/>
        <v>2.86861034482759</v>
      </c>
      <c r="Z55" s="13">
        <f t="shared" si="44"/>
        <v>3.0279775862069</v>
      </c>
      <c r="AA55" s="13">
        <f t="shared" si="44"/>
        <v>3.18734482758621</v>
      </c>
      <c r="AB55" s="13">
        <f t="shared" si="44"/>
        <v>3.34671206896552</v>
      </c>
      <c r="AC55" s="13">
        <f t="shared" si="44"/>
        <v>3.50607931034483</v>
      </c>
      <c r="AD55" s="13">
        <f t="shared" si="44"/>
        <v>3.66544655172414</v>
      </c>
      <c r="AE55" s="13">
        <f t="shared" si="44"/>
        <v>3.82481379310345</v>
      </c>
      <c r="AF55" s="13">
        <f t="shared" si="44"/>
        <v>3.98418103448276</v>
      </c>
    </row>
    <row r="56" spans="13:32">
      <c r="O56" s="7">
        <v>500000</v>
      </c>
      <c r="P56" s="7">
        <f t="shared" si="37"/>
        <v>5000000</v>
      </c>
      <c r="Q56" s="13">
        <f t="shared" si="38"/>
        <v>0.231806896551725</v>
      </c>
      <c r="R56" s="13">
        <f t="shared" si="32"/>
        <v>0.416528017241379</v>
      </c>
      <c r="S56" s="13">
        <f t="shared" si="33"/>
        <v>0.651956896551726</v>
      </c>
      <c r="T56" s="13">
        <f t="shared" si="34"/>
        <v>0.912739655172413</v>
      </c>
      <c r="U56" s="13">
        <f t="shared" si="35"/>
        <v>1.12136586206897</v>
      </c>
      <c r="V56" s="13">
        <f t="shared" ref="V56:AF56" si="45">IF($V32=0,0,$V32/$M$2/($X32*V44))*V$47/$Q$47</f>
        <v>1.40170732758621</v>
      </c>
      <c r="W56" s="13">
        <f t="shared" si="45"/>
        <v>1.62264827586207</v>
      </c>
      <c r="X56" s="13">
        <f t="shared" si="45"/>
        <v>1.72406379310345</v>
      </c>
      <c r="Y56" s="13">
        <f t="shared" si="45"/>
        <v>1.82547931034483</v>
      </c>
      <c r="Z56" s="13">
        <f t="shared" si="45"/>
        <v>1.92689482758621</v>
      </c>
      <c r="AA56" s="13">
        <f t="shared" si="45"/>
        <v>2.02831034482759</v>
      </c>
      <c r="AB56" s="13">
        <f t="shared" si="45"/>
        <v>2.12972586206897</v>
      </c>
      <c r="AC56" s="13">
        <f t="shared" si="45"/>
        <v>2.23114137931035</v>
      </c>
      <c r="AD56" s="13">
        <f t="shared" si="45"/>
        <v>2.33255689655173</v>
      </c>
      <c r="AE56" s="13">
        <f t="shared" si="45"/>
        <v>2.43397241379311</v>
      </c>
      <c r="AF56" s="13">
        <f t="shared" si="45"/>
        <v>2.53538793103448</v>
      </c>
    </row>
    <row r="57" spans="13:32">
      <c r="O57" s="7">
        <v>1000000</v>
      </c>
      <c r="P57" s="7">
        <f t="shared" si="37"/>
        <v>10000000</v>
      </c>
      <c r="Q57" s="13">
        <f t="shared" si="38"/>
        <v>0.156469655172414</v>
      </c>
      <c r="R57" s="13">
        <f t="shared" si="32"/>
        <v>0.282514655172414</v>
      </c>
      <c r="S57" s="13">
        <f t="shared" si="33"/>
        <v>0.434637931034484</v>
      </c>
      <c r="T57" s="13">
        <f t="shared" si="34"/>
        <v>0.59632324137931</v>
      </c>
      <c r="U57" s="13">
        <f t="shared" si="35"/>
        <v>0.751054344827587</v>
      </c>
      <c r="V57" s="13">
        <f t="shared" ref="V57:AF57" si="46">IF($V33=0,0,$V33/$M$2/($X33*V45))*V$47/$Q$47</f>
        <v>0.919259224137933</v>
      </c>
      <c r="W57" s="13">
        <f t="shared" si="46"/>
        <v>1.06631172413793</v>
      </c>
      <c r="X57" s="13">
        <f t="shared" si="46"/>
        <v>1.13295620689655</v>
      </c>
      <c r="Y57" s="13">
        <f t="shared" si="46"/>
        <v>1.19960068965517</v>
      </c>
      <c r="Z57" s="13">
        <f t="shared" si="46"/>
        <v>1.26624517241379</v>
      </c>
      <c r="AA57" s="13">
        <f t="shared" si="46"/>
        <v>1.33288965517241</v>
      </c>
      <c r="AB57" s="13">
        <f t="shared" si="46"/>
        <v>1.39953413793103</v>
      </c>
      <c r="AC57" s="13">
        <f t="shared" si="46"/>
        <v>1.46617862068965</v>
      </c>
      <c r="AD57" s="13">
        <f t="shared" si="46"/>
        <v>1.53282310344827</v>
      </c>
      <c r="AE57" s="13">
        <f t="shared" si="46"/>
        <v>1.59946758620689</v>
      </c>
      <c r="AF57" s="13">
        <f t="shared" si="46"/>
        <v>1.66611206896552</v>
      </c>
    </row>
    <row r="59" spans="13:32">
      <c r="M59" s="4" t="s">
        <v>39</v>
      </c>
      <c r="O59" s="7"/>
      <c r="P59" s="7"/>
      <c r="Q59" s="7">
        <v>250000</v>
      </c>
      <c r="R59" s="7">
        <v>375000</v>
      </c>
      <c r="S59" s="7">
        <v>500000</v>
      </c>
      <c r="T59" s="7">
        <v>600000</v>
      </c>
      <c r="U59" s="7">
        <v>675000</v>
      </c>
      <c r="V59" s="7">
        <v>750000</v>
      </c>
      <c r="W59" s="7">
        <v>800000</v>
      </c>
      <c r="X59" s="7">
        <v>850000</v>
      </c>
      <c r="Y59" s="7">
        <v>900000</v>
      </c>
      <c r="Z59" s="7">
        <v>950000</v>
      </c>
      <c r="AA59" s="7">
        <v>1000000</v>
      </c>
      <c r="AB59" s="7">
        <v>1050000</v>
      </c>
      <c r="AC59" s="7">
        <v>1100000</v>
      </c>
      <c r="AD59" s="7">
        <v>1150000</v>
      </c>
      <c r="AE59" s="7">
        <v>1200000</v>
      </c>
      <c r="AF59" s="7">
        <v>1250000</v>
      </c>
    </row>
    <row r="60" spans="13:32">
      <c r="O60" s="7" t="s">
        <v>5</v>
      </c>
      <c r="P60" s="7" t="s">
        <v>37</v>
      </c>
      <c r="Q60" s="7">
        <v>0</v>
      </c>
      <c r="R60" s="6">
        <v>1</v>
      </c>
      <c r="S60" s="6">
        <v>2</v>
      </c>
      <c r="T60" s="6">
        <v>3</v>
      </c>
      <c r="U60" s="6">
        <v>4</v>
      </c>
      <c r="V60" s="6">
        <v>5</v>
      </c>
      <c r="W60" s="6">
        <v>6</v>
      </c>
      <c r="X60" s="6">
        <v>7</v>
      </c>
      <c r="Y60" s="6">
        <v>8</v>
      </c>
      <c r="Z60" s="6">
        <v>9</v>
      </c>
      <c r="AA60" s="6">
        <v>10</v>
      </c>
      <c r="AB60" s="6">
        <v>11</v>
      </c>
      <c r="AC60" s="6">
        <v>12</v>
      </c>
      <c r="AD60" s="6">
        <v>13</v>
      </c>
      <c r="AE60" s="6">
        <v>14</v>
      </c>
      <c r="AF60" s="6">
        <v>15</v>
      </c>
    </row>
    <row r="61" spans="13:32">
      <c r="O61" s="7">
        <v>1000</v>
      </c>
      <c r="P61" s="7">
        <f t="shared" ref="P61:P69" si="47">P49</f>
        <v>10000</v>
      </c>
      <c r="Q61" s="13">
        <f ca="1">IF($V25=0,0,$V25/($X25*$Q2))*Q$47/$Q$47</f>
        <v>0</v>
      </c>
      <c r="R61" s="13">
        <f ca="1" t="shared" ref="R61:AF61" si="48">IF($V25=0,0,$V25/($X25*$Q2))*R$47/$Q$47</f>
        <v>0</v>
      </c>
      <c r="S61" s="13">
        <f ca="1" t="shared" si="48"/>
        <v>0</v>
      </c>
      <c r="T61" s="13">
        <f ca="1" t="shared" si="48"/>
        <v>0</v>
      </c>
      <c r="U61" s="13">
        <f ca="1" t="shared" si="48"/>
        <v>0</v>
      </c>
      <c r="V61" s="13">
        <f ca="1" t="shared" si="48"/>
        <v>0</v>
      </c>
      <c r="W61" s="13">
        <f ca="1" t="shared" si="48"/>
        <v>0</v>
      </c>
      <c r="X61" s="13">
        <f ca="1" t="shared" si="48"/>
        <v>0</v>
      </c>
      <c r="Y61" s="13">
        <f ca="1" t="shared" si="48"/>
        <v>0</v>
      </c>
      <c r="Z61" s="13">
        <f ca="1" t="shared" si="48"/>
        <v>0</v>
      </c>
      <c r="AA61" s="13">
        <f ca="1" t="shared" si="48"/>
        <v>0</v>
      </c>
      <c r="AB61" s="13">
        <f ca="1" t="shared" si="48"/>
        <v>0</v>
      </c>
      <c r="AC61" s="13">
        <f ca="1" t="shared" si="48"/>
        <v>0</v>
      </c>
      <c r="AD61" s="13">
        <f ca="1" t="shared" si="48"/>
        <v>0</v>
      </c>
      <c r="AE61" s="13">
        <f ca="1" t="shared" si="48"/>
        <v>0</v>
      </c>
      <c r="AF61" s="13">
        <f ca="1" t="shared" si="48"/>
        <v>0</v>
      </c>
    </row>
    <row r="62" spans="13:32">
      <c r="O62" s="7">
        <v>3000</v>
      </c>
      <c r="P62" s="7">
        <f t="shared" si="47"/>
        <v>30000</v>
      </c>
      <c r="Q62" s="13">
        <f t="shared" ref="Q62:Q69" si="49">IF($V26=0,0,$V26/($X26*$Q3))*Q$47/$Q$47</f>
        <v>0</v>
      </c>
      <c r="R62" s="13">
        <f t="shared" ref="R62:AF62" si="50">IF($V26=0,0,$V26/($X26*$Q3))*R$47/$Q$47</f>
        <v>0</v>
      </c>
      <c r="S62" s="13">
        <f t="shared" si="50"/>
        <v>0</v>
      </c>
      <c r="T62" s="13">
        <f t="shared" si="50"/>
        <v>0</v>
      </c>
      <c r="U62" s="13">
        <f t="shared" si="50"/>
        <v>0</v>
      </c>
      <c r="V62" s="13">
        <f t="shared" si="50"/>
        <v>0</v>
      </c>
      <c r="W62" s="13">
        <f t="shared" si="50"/>
        <v>0</v>
      </c>
      <c r="X62" s="13">
        <f t="shared" si="50"/>
        <v>0</v>
      </c>
      <c r="Y62" s="13">
        <f t="shared" si="50"/>
        <v>0</v>
      </c>
      <c r="Z62" s="13">
        <f t="shared" si="50"/>
        <v>0</v>
      </c>
      <c r="AA62" s="13">
        <f t="shared" si="50"/>
        <v>0</v>
      </c>
      <c r="AB62" s="13">
        <f t="shared" si="50"/>
        <v>0</v>
      </c>
      <c r="AC62" s="13">
        <f t="shared" si="50"/>
        <v>0</v>
      </c>
      <c r="AD62" s="13">
        <f t="shared" si="50"/>
        <v>0</v>
      </c>
      <c r="AE62" s="13">
        <f t="shared" si="50"/>
        <v>0</v>
      </c>
      <c r="AF62" s="13">
        <f t="shared" si="50"/>
        <v>0</v>
      </c>
    </row>
    <row r="63" spans="13:32">
      <c r="O63" s="7">
        <v>10000</v>
      </c>
      <c r="P63" s="7">
        <f t="shared" si="47"/>
        <v>100000</v>
      </c>
      <c r="Q63" s="13">
        <f t="shared" si="49"/>
        <v>0.042</v>
      </c>
      <c r="R63" s="13">
        <f t="shared" ref="R63:AF63" si="51">IF($V27=0,0,$V27/($X27*$Q4))*R$47/$Q$47</f>
        <v>0.063</v>
      </c>
      <c r="S63" s="13">
        <f t="shared" si="51"/>
        <v>0.084</v>
      </c>
      <c r="T63" s="13">
        <f t="shared" si="51"/>
        <v>0.1008</v>
      </c>
      <c r="U63" s="13">
        <f t="shared" si="51"/>
        <v>0.1134</v>
      </c>
      <c r="V63" s="13">
        <f t="shared" si="51"/>
        <v>0.126</v>
      </c>
      <c r="W63" s="13">
        <f t="shared" si="51"/>
        <v>0.1344</v>
      </c>
      <c r="X63" s="13">
        <f t="shared" si="51"/>
        <v>0.1428</v>
      </c>
      <c r="Y63" s="13">
        <f t="shared" si="51"/>
        <v>0.1512</v>
      </c>
      <c r="Z63" s="13">
        <f t="shared" si="51"/>
        <v>0.1596</v>
      </c>
      <c r="AA63" s="13">
        <f t="shared" si="51"/>
        <v>0.168</v>
      </c>
      <c r="AB63" s="13">
        <f t="shared" si="51"/>
        <v>0.1764</v>
      </c>
      <c r="AC63" s="13">
        <f t="shared" si="51"/>
        <v>0.1848</v>
      </c>
      <c r="AD63" s="13">
        <f t="shared" si="51"/>
        <v>0.1932</v>
      </c>
      <c r="AE63" s="13">
        <f t="shared" si="51"/>
        <v>0.2016</v>
      </c>
      <c r="AF63" s="13">
        <f t="shared" si="51"/>
        <v>0.21</v>
      </c>
    </row>
    <row r="64" spans="13:32">
      <c r="O64" s="7">
        <v>20000</v>
      </c>
      <c r="P64" s="7">
        <f t="shared" si="47"/>
        <v>200000</v>
      </c>
      <c r="Q64" s="13">
        <f t="shared" si="49"/>
        <v>0.0861</v>
      </c>
      <c r="R64" s="13">
        <f t="shared" ref="R64:AF64" si="52">IF($V28=0,0,$V28/($X28*$Q5))*R$47/$Q$47</f>
        <v>0.12915</v>
      </c>
      <c r="S64" s="13">
        <f t="shared" si="52"/>
        <v>0.1722</v>
      </c>
      <c r="T64" s="13">
        <f t="shared" si="52"/>
        <v>0.20664</v>
      </c>
      <c r="U64" s="13">
        <f t="shared" si="52"/>
        <v>0.23247</v>
      </c>
      <c r="V64" s="13">
        <f t="shared" si="52"/>
        <v>0.2583</v>
      </c>
      <c r="W64" s="13">
        <f t="shared" si="52"/>
        <v>0.27552</v>
      </c>
      <c r="X64" s="13">
        <f t="shared" si="52"/>
        <v>0.29274</v>
      </c>
      <c r="Y64" s="13">
        <f t="shared" si="52"/>
        <v>0.30996</v>
      </c>
      <c r="Z64" s="13">
        <f t="shared" si="52"/>
        <v>0.32718</v>
      </c>
      <c r="AA64" s="13">
        <f t="shared" si="52"/>
        <v>0.3444</v>
      </c>
      <c r="AB64" s="13">
        <f t="shared" si="52"/>
        <v>0.36162</v>
      </c>
      <c r="AC64" s="13">
        <f t="shared" si="52"/>
        <v>0.37884</v>
      </c>
      <c r="AD64" s="13">
        <f t="shared" si="52"/>
        <v>0.39606</v>
      </c>
      <c r="AE64" s="13">
        <f t="shared" si="52"/>
        <v>0.41328</v>
      </c>
      <c r="AF64" s="13">
        <f t="shared" si="52"/>
        <v>0.4305</v>
      </c>
    </row>
    <row r="65" spans="13:32">
      <c r="O65" s="7">
        <v>50000</v>
      </c>
      <c r="P65" s="7">
        <f t="shared" si="47"/>
        <v>500000</v>
      </c>
      <c r="Q65" s="13">
        <f t="shared" si="49"/>
        <v>0.18564</v>
      </c>
      <c r="R65" s="13">
        <f t="shared" ref="R65:AF65" si="53">IF($V29=0,0,$V29/($X29*$Q6))*R$47/$Q$47</f>
        <v>0.27846</v>
      </c>
      <c r="S65" s="13">
        <f t="shared" si="53"/>
        <v>0.37128</v>
      </c>
      <c r="T65" s="13">
        <f t="shared" si="53"/>
        <v>0.445536</v>
      </c>
      <c r="U65" s="13">
        <f t="shared" si="53"/>
        <v>0.501228</v>
      </c>
      <c r="V65" s="13">
        <f t="shared" si="53"/>
        <v>0.55692</v>
      </c>
      <c r="W65" s="13">
        <f t="shared" si="53"/>
        <v>0.594048</v>
      </c>
      <c r="X65" s="13">
        <f t="shared" si="53"/>
        <v>0.631176</v>
      </c>
      <c r="Y65" s="13">
        <f t="shared" si="53"/>
        <v>0.668304</v>
      </c>
      <c r="Z65" s="13">
        <f t="shared" si="53"/>
        <v>0.705432</v>
      </c>
      <c r="AA65" s="13">
        <f t="shared" si="53"/>
        <v>0.74256</v>
      </c>
      <c r="AB65" s="13">
        <f t="shared" si="53"/>
        <v>0.779688</v>
      </c>
      <c r="AC65" s="13">
        <f t="shared" si="53"/>
        <v>0.816816</v>
      </c>
      <c r="AD65" s="13">
        <f t="shared" si="53"/>
        <v>0.853944</v>
      </c>
      <c r="AE65" s="13">
        <f t="shared" si="53"/>
        <v>0.891072</v>
      </c>
      <c r="AF65" s="13">
        <f t="shared" si="53"/>
        <v>0.9282</v>
      </c>
    </row>
    <row r="66" spans="13:32">
      <c r="O66" s="7">
        <v>100000</v>
      </c>
      <c r="P66" s="7">
        <f t="shared" si="47"/>
        <v>1000000</v>
      </c>
      <c r="Q66" s="13">
        <f t="shared" si="49"/>
        <v>0.16828</v>
      </c>
      <c r="R66" s="13">
        <f t="shared" ref="R66:AF66" si="54">IF($V30=0,0,$V30/($X30*$Q7))*R$47/$Q$47</f>
        <v>0.25242</v>
      </c>
      <c r="S66" s="13">
        <f t="shared" si="54"/>
        <v>0.33656</v>
      </c>
      <c r="T66" s="13">
        <f t="shared" si="54"/>
        <v>0.403872</v>
      </c>
      <c r="U66" s="13">
        <f t="shared" si="54"/>
        <v>0.454356</v>
      </c>
      <c r="V66" s="13">
        <f t="shared" si="54"/>
        <v>0.50484</v>
      </c>
      <c r="W66" s="13">
        <f t="shared" si="54"/>
        <v>0.538496</v>
      </c>
      <c r="X66" s="13">
        <f t="shared" si="54"/>
        <v>0.572152</v>
      </c>
      <c r="Y66" s="13">
        <f t="shared" si="54"/>
        <v>0.605808</v>
      </c>
      <c r="Z66" s="13">
        <f t="shared" si="54"/>
        <v>0.639464</v>
      </c>
      <c r="AA66" s="13">
        <f t="shared" si="54"/>
        <v>0.67312</v>
      </c>
      <c r="AB66" s="13">
        <f t="shared" si="54"/>
        <v>0.706776</v>
      </c>
      <c r="AC66" s="13">
        <f t="shared" si="54"/>
        <v>0.740432</v>
      </c>
      <c r="AD66" s="13">
        <f t="shared" si="54"/>
        <v>0.774088</v>
      </c>
      <c r="AE66" s="13">
        <f t="shared" si="54"/>
        <v>0.807744</v>
      </c>
      <c r="AF66" s="13">
        <f t="shared" si="54"/>
        <v>0.8414</v>
      </c>
    </row>
    <row r="67" spans="13:32">
      <c r="O67" s="7">
        <v>200000</v>
      </c>
      <c r="P67" s="7">
        <f t="shared" si="47"/>
        <v>2000000</v>
      </c>
      <c r="Q67" s="13">
        <f t="shared" si="49"/>
        <v>0.490175</v>
      </c>
      <c r="R67" s="13">
        <f t="shared" ref="R67:AF67" si="55">IF($V31=0,0,$V31/($X31*$Q8))*R$47/$Q$47</f>
        <v>0.7352625</v>
      </c>
      <c r="S67" s="13">
        <f t="shared" si="55"/>
        <v>0.98035</v>
      </c>
      <c r="T67" s="13">
        <f t="shared" si="55"/>
        <v>1.17642</v>
      </c>
      <c r="U67" s="13">
        <f t="shared" si="55"/>
        <v>1.3234725</v>
      </c>
      <c r="V67" s="13">
        <f t="shared" si="55"/>
        <v>1.470525</v>
      </c>
      <c r="W67" s="13">
        <f t="shared" si="55"/>
        <v>1.56856</v>
      </c>
      <c r="X67" s="13">
        <f t="shared" si="55"/>
        <v>1.666595</v>
      </c>
      <c r="Y67" s="13">
        <f t="shared" si="55"/>
        <v>1.76463</v>
      </c>
      <c r="Z67" s="13">
        <f t="shared" si="55"/>
        <v>1.862665</v>
      </c>
      <c r="AA67" s="13">
        <f t="shared" si="55"/>
        <v>1.9607</v>
      </c>
      <c r="AB67" s="13">
        <f t="shared" si="55"/>
        <v>2.058735</v>
      </c>
      <c r="AC67" s="13">
        <f t="shared" si="55"/>
        <v>2.15677</v>
      </c>
      <c r="AD67" s="13">
        <f t="shared" si="55"/>
        <v>2.254805</v>
      </c>
      <c r="AE67" s="13">
        <f t="shared" si="55"/>
        <v>2.35284</v>
      </c>
      <c r="AF67" s="13">
        <f t="shared" si="55"/>
        <v>2.450875</v>
      </c>
    </row>
    <row r="68" spans="13:32">
      <c r="O68" s="7">
        <v>500000</v>
      </c>
      <c r="P68" s="7">
        <f t="shared" si="47"/>
        <v>5000000</v>
      </c>
      <c r="Q68" s="13">
        <f t="shared" si="49"/>
        <v>0.2450875</v>
      </c>
      <c r="R68" s="13">
        <f t="shared" ref="R68:AF68" si="56">IF($V32=0,0,$V32/($X32*$Q9))*R$47/$Q$47</f>
        <v>0.36763125</v>
      </c>
      <c r="S68" s="13">
        <f t="shared" si="56"/>
        <v>0.490175</v>
      </c>
      <c r="T68" s="13">
        <f t="shared" si="56"/>
        <v>0.58821</v>
      </c>
      <c r="U68" s="13">
        <f t="shared" si="56"/>
        <v>0.66173625</v>
      </c>
      <c r="V68" s="13">
        <f t="shared" si="56"/>
        <v>0.7352625</v>
      </c>
      <c r="W68" s="13">
        <f t="shared" si="56"/>
        <v>0.78428</v>
      </c>
      <c r="X68" s="13">
        <f t="shared" si="56"/>
        <v>0.8332975</v>
      </c>
      <c r="Y68" s="13">
        <f t="shared" si="56"/>
        <v>0.882315</v>
      </c>
      <c r="Z68" s="13">
        <f t="shared" si="56"/>
        <v>0.9313325</v>
      </c>
      <c r="AA68" s="13">
        <f t="shared" si="56"/>
        <v>0.98035</v>
      </c>
      <c r="AB68" s="13">
        <f t="shared" si="56"/>
        <v>1.0293675</v>
      </c>
      <c r="AC68" s="13">
        <f t="shared" si="56"/>
        <v>1.078385</v>
      </c>
      <c r="AD68" s="13">
        <f t="shared" si="56"/>
        <v>1.1274025</v>
      </c>
      <c r="AE68" s="13">
        <f t="shared" si="56"/>
        <v>1.17642</v>
      </c>
      <c r="AF68" s="13">
        <f t="shared" si="56"/>
        <v>1.2254375</v>
      </c>
    </row>
    <row r="69" spans="13:32">
      <c r="O69" s="7">
        <v>1000000</v>
      </c>
      <c r="P69" s="7">
        <f t="shared" si="47"/>
        <v>10000000</v>
      </c>
      <c r="Q69" s="13">
        <f t="shared" si="49"/>
        <v>0.1470525</v>
      </c>
      <c r="R69" s="13">
        <f t="shared" ref="R69:AF69" si="57">IF($V33=0,0,$V33/($X33*$Q10))*R$47/$Q$47</f>
        <v>0.22057875</v>
      </c>
      <c r="S69" s="13">
        <f t="shared" si="57"/>
        <v>0.294105</v>
      </c>
      <c r="T69" s="13">
        <f t="shared" si="57"/>
        <v>0.352926</v>
      </c>
      <c r="U69" s="13">
        <f t="shared" si="57"/>
        <v>0.39704175</v>
      </c>
      <c r="V69" s="13">
        <f t="shared" si="57"/>
        <v>0.4411575</v>
      </c>
      <c r="W69" s="13">
        <f t="shared" si="57"/>
        <v>0.470568</v>
      </c>
      <c r="X69" s="13">
        <f t="shared" si="57"/>
        <v>0.4999785</v>
      </c>
      <c r="Y69" s="13">
        <f t="shared" si="57"/>
        <v>0.529389</v>
      </c>
      <c r="Z69" s="13">
        <f t="shared" si="57"/>
        <v>0.5587995</v>
      </c>
      <c r="AA69" s="13">
        <f t="shared" si="57"/>
        <v>0.58821</v>
      </c>
      <c r="AB69" s="13">
        <f t="shared" si="57"/>
        <v>0.6176205</v>
      </c>
      <c r="AC69" s="13">
        <f t="shared" si="57"/>
        <v>0.647031</v>
      </c>
      <c r="AD69" s="13">
        <f t="shared" si="57"/>
        <v>0.6764415</v>
      </c>
      <c r="AE69" s="13">
        <f t="shared" si="57"/>
        <v>0.705852</v>
      </c>
      <c r="AF69" s="13">
        <f t="shared" si="57"/>
        <v>0.7352625</v>
      </c>
    </row>
    <row r="71" spans="13:32">
      <c r="M71" s="4" t="s">
        <v>40</v>
      </c>
      <c r="O71" s="7"/>
      <c r="P71" s="7"/>
      <c r="Q71" s="7">
        <v>250000</v>
      </c>
      <c r="R71" s="7">
        <v>375000</v>
      </c>
      <c r="S71" s="7">
        <v>500000</v>
      </c>
      <c r="T71" s="7">
        <v>600000</v>
      </c>
      <c r="U71" s="7">
        <v>675000</v>
      </c>
      <c r="V71" s="7">
        <v>750000</v>
      </c>
      <c r="W71" s="7">
        <v>800000</v>
      </c>
      <c r="X71" s="7">
        <v>850000</v>
      </c>
      <c r="Y71" s="7">
        <v>900000</v>
      </c>
      <c r="Z71" s="7">
        <v>950000</v>
      </c>
      <c r="AA71" s="7">
        <v>1000000</v>
      </c>
      <c r="AB71" s="7">
        <v>1050000</v>
      </c>
      <c r="AC71" s="7">
        <v>1100000</v>
      </c>
      <c r="AD71" s="7">
        <v>1150000</v>
      </c>
      <c r="AE71" s="7">
        <v>1200000</v>
      </c>
      <c r="AF71" s="7">
        <v>1250000</v>
      </c>
    </row>
    <row r="72" spans="13:32">
      <c r="O72" s="7" t="s">
        <v>5</v>
      </c>
      <c r="P72" s="7" t="s">
        <v>37</v>
      </c>
      <c r="Q72" s="7">
        <v>0</v>
      </c>
      <c r="R72" s="6">
        <v>1</v>
      </c>
      <c r="S72" s="6">
        <v>2</v>
      </c>
      <c r="T72" s="6">
        <v>3</v>
      </c>
      <c r="U72" s="6">
        <v>4</v>
      </c>
      <c r="V72" s="6">
        <v>5</v>
      </c>
      <c r="W72" s="6">
        <v>6</v>
      </c>
      <c r="X72" s="6">
        <v>7</v>
      </c>
      <c r="Y72" s="6">
        <v>8</v>
      </c>
      <c r="Z72" s="6">
        <v>9</v>
      </c>
      <c r="AA72" s="6">
        <v>10</v>
      </c>
      <c r="AB72" s="6">
        <v>11</v>
      </c>
      <c r="AC72" s="6">
        <v>12</v>
      </c>
      <c r="AD72" s="6">
        <v>13</v>
      </c>
      <c r="AE72" s="6">
        <v>14</v>
      </c>
      <c r="AF72" s="6">
        <v>15</v>
      </c>
    </row>
    <row r="73" spans="13:32">
      <c r="O73" s="7">
        <v>1000</v>
      </c>
      <c r="P73" s="7">
        <f t="shared" ref="P73:P81" si="58">P61</f>
        <v>10000</v>
      </c>
      <c r="Q73" s="14">
        <f ca="1" t="shared" ref="Q73:AF73" si="59">IF($V25=0,0,$X25*Q37)</f>
        <v>0</v>
      </c>
      <c r="R73" s="14">
        <f ca="1" t="shared" si="59"/>
        <v>0</v>
      </c>
      <c r="S73" s="14">
        <f ca="1" t="shared" si="59"/>
        <v>0</v>
      </c>
      <c r="T73" s="14">
        <f ca="1" t="shared" si="59"/>
        <v>0</v>
      </c>
      <c r="U73" s="14">
        <f ca="1" t="shared" si="59"/>
        <v>0</v>
      </c>
      <c r="V73" s="14">
        <f ca="1" t="shared" si="59"/>
        <v>0</v>
      </c>
      <c r="W73" s="14">
        <f ca="1" t="shared" si="59"/>
        <v>0</v>
      </c>
      <c r="X73" s="14">
        <f ca="1" t="shared" si="59"/>
        <v>0</v>
      </c>
      <c r="Y73" s="14">
        <f ca="1" t="shared" si="59"/>
        <v>0</v>
      </c>
      <c r="Z73" s="14">
        <f ca="1" t="shared" si="59"/>
        <v>0</v>
      </c>
      <c r="AA73" s="14">
        <f ca="1" t="shared" si="59"/>
        <v>0</v>
      </c>
      <c r="AB73" s="14">
        <f ca="1" t="shared" si="59"/>
        <v>0</v>
      </c>
      <c r="AC73" s="14">
        <f ca="1" t="shared" si="59"/>
        <v>0</v>
      </c>
      <c r="AD73" s="14">
        <f ca="1" t="shared" si="59"/>
        <v>0</v>
      </c>
      <c r="AE73" s="14">
        <f ca="1" t="shared" si="59"/>
        <v>0</v>
      </c>
      <c r="AF73" s="14">
        <f ca="1" t="shared" si="59"/>
        <v>0</v>
      </c>
    </row>
    <row r="74" spans="13:32">
      <c r="O74" s="7">
        <v>3000</v>
      </c>
      <c r="P74" s="7">
        <f t="shared" si="58"/>
        <v>30000</v>
      </c>
      <c r="Q74" s="14">
        <f t="shared" ref="Q74:AF74" si="60">IF($V26=0,0,$X26*Q38)</f>
        <v>0</v>
      </c>
      <c r="R74" s="14">
        <f t="shared" si="60"/>
        <v>0</v>
      </c>
      <c r="S74" s="14">
        <f t="shared" si="60"/>
        <v>0</v>
      </c>
      <c r="T74" s="14">
        <f t="shared" si="60"/>
        <v>0</v>
      </c>
      <c r="U74" s="14">
        <f t="shared" si="60"/>
        <v>0</v>
      </c>
      <c r="V74" s="14">
        <f t="shared" si="60"/>
        <v>0</v>
      </c>
      <c r="W74" s="14">
        <f t="shared" si="60"/>
        <v>0</v>
      </c>
      <c r="X74" s="14">
        <f t="shared" si="60"/>
        <v>0</v>
      </c>
      <c r="Y74" s="14">
        <f t="shared" si="60"/>
        <v>0</v>
      </c>
      <c r="Z74" s="14">
        <f t="shared" si="60"/>
        <v>0</v>
      </c>
      <c r="AA74" s="14">
        <f t="shared" si="60"/>
        <v>0</v>
      </c>
      <c r="AB74" s="14">
        <f t="shared" si="60"/>
        <v>0</v>
      </c>
      <c r="AC74" s="14">
        <f t="shared" si="60"/>
        <v>0</v>
      </c>
      <c r="AD74" s="14">
        <f t="shared" si="60"/>
        <v>0</v>
      </c>
      <c r="AE74" s="14">
        <f t="shared" si="60"/>
        <v>0</v>
      </c>
      <c r="AF74" s="14">
        <f t="shared" si="60"/>
        <v>0</v>
      </c>
    </row>
    <row r="75" spans="13:32">
      <c r="O75" s="7">
        <v>10000</v>
      </c>
      <c r="P75" s="7">
        <f t="shared" si="58"/>
        <v>100000</v>
      </c>
      <c r="Q75" s="14">
        <f t="shared" ref="Q75:AF75" si="61">IF($V27=0,0,$X27*Q39)</f>
        <v>16.6666666666667</v>
      </c>
      <c r="R75" s="14">
        <f t="shared" si="61"/>
        <v>13.3333333333333</v>
      </c>
      <c r="S75" s="14">
        <f t="shared" si="61"/>
        <v>11.1111111111111</v>
      </c>
      <c r="T75" s="14">
        <f t="shared" si="61"/>
        <v>9.52380952380952</v>
      </c>
      <c r="U75" s="14">
        <f t="shared" si="61"/>
        <v>8.33333333333333</v>
      </c>
      <c r="V75" s="14">
        <f t="shared" si="61"/>
        <v>7.4074074074074</v>
      </c>
      <c r="W75" s="14">
        <f t="shared" si="61"/>
        <v>6.66666666666667</v>
      </c>
      <c r="X75" s="14">
        <f t="shared" si="61"/>
        <v>6.66666666666667</v>
      </c>
      <c r="Y75" s="14">
        <f t="shared" si="61"/>
        <v>6.66666666666667</v>
      </c>
      <c r="Z75" s="14">
        <f t="shared" si="61"/>
        <v>6.66666666666667</v>
      </c>
      <c r="AA75" s="14">
        <f t="shared" si="61"/>
        <v>6.66666666666667</v>
      </c>
      <c r="AB75" s="14">
        <f t="shared" si="61"/>
        <v>6.66666666666667</v>
      </c>
      <c r="AC75" s="14">
        <f t="shared" si="61"/>
        <v>6.66666666666667</v>
      </c>
      <c r="AD75" s="14">
        <f t="shared" si="61"/>
        <v>6.66666666666667</v>
      </c>
      <c r="AE75" s="14">
        <f t="shared" si="61"/>
        <v>6.66666666666667</v>
      </c>
      <c r="AF75" s="14">
        <f t="shared" si="61"/>
        <v>6.66666666666667</v>
      </c>
    </row>
    <row r="76" spans="13:32">
      <c r="O76" s="7">
        <v>20000</v>
      </c>
      <c r="P76" s="7">
        <f t="shared" si="58"/>
        <v>200000</v>
      </c>
      <c r="Q76" s="14">
        <f t="shared" ref="Q76:AF76" si="62">IF($V28=0,0,$X28*Q40)</f>
        <v>166.666666666667</v>
      </c>
      <c r="R76" s="14">
        <f t="shared" si="62"/>
        <v>133.333333333333</v>
      </c>
      <c r="S76" s="14">
        <f t="shared" si="62"/>
        <v>111.111111111111</v>
      </c>
      <c r="T76" s="14">
        <f t="shared" si="62"/>
        <v>95.2380952380952</v>
      </c>
      <c r="U76" s="14">
        <f t="shared" si="62"/>
        <v>83.3333333333333</v>
      </c>
      <c r="V76" s="14">
        <f t="shared" si="62"/>
        <v>74.074074074074</v>
      </c>
      <c r="W76" s="14">
        <f t="shared" si="62"/>
        <v>66.6666666666667</v>
      </c>
      <c r="X76" s="14">
        <f t="shared" si="62"/>
        <v>66.6666666666667</v>
      </c>
      <c r="Y76" s="14">
        <f t="shared" si="62"/>
        <v>66.6666666666667</v>
      </c>
      <c r="Z76" s="14">
        <f t="shared" si="62"/>
        <v>66.6666666666667</v>
      </c>
      <c r="AA76" s="14">
        <f t="shared" si="62"/>
        <v>66.6666666666667</v>
      </c>
      <c r="AB76" s="14">
        <f t="shared" si="62"/>
        <v>66.6666666666667</v>
      </c>
      <c r="AC76" s="14">
        <f t="shared" si="62"/>
        <v>66.6666666666667</v>
      </c>
      <c r="AD76" s="14">
        <f t="shared" si="62"/>
        <v>66.6666666666667</v>
      </c>
      <c r="AE76" s="14">
        <f t="shared" si="62"/>
        <v>66.6666666666667</v>
      </c>
      <c r="AF76" s="14">
        <f t="shared" si="62"/>
        <v>66.6666666666667</v>
      </c>
    </row>
    <row r="77" spans="13:32">
      <c r="O77" s="7">
        <v>50000</v>
      </c>
      <c r="P77" s="7">
        <f t="shared" si="58"/>
        <v>500000</v>
      </c>
      <c r="Q77" s="14">
        <f t="shared" ref="Q77:AF77" si="63">IF($V29=0,0,$X29*Q41)</f>
        <v>389.78494623656</v>
      </c>
      <c r="R77" s="14">
        <f t="shared" si="63"/>
        <v>322.222222222223</v>
      </c>
      <c r="S77" s="14">
        <f t="shared" si="63"/>
        <v>268.518518518519</v>
      </c>
      <c r="T77" s="14">
        <f t="shared" si="63"/>
        <v>230.15873015873</v>
      </c>
      <c r="U77" s="14">
        <f t="shared" si="63"/>
        <v>208.333333333333</v>
      </c>
      <c r="V77" s="14">
        <f t="shared" si="63"/>
        <v>185.185185185186</v>
      </c>
      <c r="W77" s="14">
        <f t="shared" si="63"/>
        <v>166.666666666667</v>
      </c>
      <c r="X77" s="14">
        <f t="shared" si="63"/>
        <v>166.666666666667</v>
      </c>
      <c r="Y77" s="14">
        <f t="shared" si="63"/>
        <v>166.666666666667</v>
      </c>
      <c r="Z77" s="14">
        <f t="shared" si="63"/>
        <v>166.666666666667</v>
      </c>
      <c r="AA77" s="14">
        <f t="shared" si="63"/>
        <v>166.666666666667</v>
      </c>
      <c r="AB77" s="14">
        <f t="shared" si="63"/>
        <v>166.666666666667</v>
      </c>
      <c r="AC77" s="14">
        <f t="shared" si="63"/>
        <v>166.666666666667</v>
      </c>
      <c r="AD77" s="14">
        <f t="shared" si="63"/>
        <v>166.666666666667</v>
      </c>
      <c r="AE77" s="14">
        <f t="shared" si="63"/>
        <v>166.666666666667</v>
      </c>
      <c r="AF77" s="14">
        <f t="shared" si="63"/>
        <v>166.666666666667</v>
      </c>
    </row>
    <row r="78" spans="13:32">
      <c r="O78" s="7">
        <v>100000</v>
      </c>
      <c r="P78" s="7">
        <f t="shared" si="58"/>
        <v>1000000</v>
      </c>
      <c r="Q78" s="14">
        <f t="shared" ref="Q78:AF78" si="64">IF($V30=0,0,$X30*Q42)</f>
        <v>1035.71428571429</v>
      </c>
      <c r="R78" s="14">
        <f t="shared" si="64"/>
        <v>878.787878787879</v>
      </c>
      <c r="S78" s="14">
        <f t="shared" si="64"/>
        <v>755.208333333334</v>
      </c>
      <c r="T78" s="14">
        <f t="shared" si="64"/>
        <v>647.321428571429</v>
      </c>
      <c r="U78" s="14">
        <f t="shared" si="64"/>
        <v>584.677419354839</v>
      </c>
      <c r="V78" s="14">
        <f t="shared" si="64"/>
        <v>519.713261648745</v>
      </c>
      <c r="W78" s="14">
        <f t="shared" si="64"/>
        <v>483.333333333334</v>
      </c>
      <c r="X78" s="14">
        <f t="shared" si="64"/>
        <v>483.333333333334</v>
      </c>
      <c r="Y78" s="14">
        <f t="shared" si="64"/>
        <v>483.333333333334</v>
      </c>
      <c r="Z78" s="14">
        <f t="shared" si="64"/>
        <v>483.333333333334</v>
      </c>
      <c r="AA78" s="14">
        <f t="shared" si="64"/>
        <v>483.333333333334</v>
      </c>
      <c r="AB78" s="14">
        <f t="shared" si="64"/>
        <v>483.333333333334</v>
      </c>
      <c r="AC78" s="14">
        <f t="shared" si="64"/>
        <v>483.333333333334</v>
      </c>
      <c r="AD78" s="14">
        <f t="shared" si="64"/>
        <v>483.333333333334</v>
      </c>
      <c r="AE78" s="14">
        <f t="shared" si="64"/>
        <v>483.333333333334</v>
      </c>
      <c r="AF78" s="14">
        <f t="shared" si="64"/>
        <v>483.333333333334</v>
      </c>
    </row>
    <row r="79" spans="13:32">
      <c r="O79" s="7">
        <v>200000</v>
      </c>
      <c r="P79" s="7">
        <f t="shared" si="58"/>
        <v>2000000</v>
      </c>
      <c r="Q79" s="14">
        <f t="shared" ref="Q79:AF79" si="65">IF($V31=0,0,$X31*Q43)</f>
        <v>1380.95238095238</v>
      </c>
      <c r="R79" s="14">
        <f t="shared" si="65"/>
        <v>1189.74358974359</v>
      </c>
      <c r="S79" s="14">
        <f t="shared" si="65"/>
        <v>1045.04504504504</v>
      </c>
      <c r="T79" s="14">
        <f t="shared" si="65"/>
        <v>920.63492063492</v>
      </c>
      <c r="U79" s="14">
        <f t="shared" si="65"/>
        <v>828.571428571428</v>
      </c>
      <c r="V79" s="14">
        <f t="shared" si="65"/>
        <v>758.169934640523</v>
      </c>
      <c r="W79" s="14">
        <f t="shared" si="65"/>
        <v>703.030303030303</v>
      </c>
      <c r="X79" s="14">
        <f t="shared" si="65"/>
        <v>703.030303030303</v>
      </c>
      <c r="Y79" s="14">
        <f t="shared" si="65"/>
        <v>703.030303030303</v>
      </c>
      <c r="Z79" s="14">
        <f t="shared" si="65"/>
        <v>703.030303030303</v>
      </c>
      <c r="AA79" s="14">
        <f t="shared" si="65"/>
        <v>703.030303030303</v>
      </c>
      <c r="AB79" s="14">
        <f t="shared" si="65"/>
        <v>703.030303030303</v>
      </c>
      <c r="AC79" s="14">
        <f t="shared" si="65"/>
        <v>703.030303030303</v>
      </c>
      <c r="AD79" s="14">
        <f t="shared" si="65"/>
        <v>703.030303030303</v>
      </c>
      <c r="AE79" s="14">
        <f t="shared" si="65"/>
        <v>703.030303030303</v>
      </c>
      <c r="AF79" s="14">
        <f t="shared" si="65"/>
        <v>703.030303030303</v>
      </c>
    </row>
    <row r="80" spans="13:32">
      <c r="O80" s="7">
        <v>500000</v>
      </c>
      <c r="P80" s="7">
        <f t="shared" si="58"/>
        <v>5000000</v>
      </c>
      <c r="Q80" s="14">
        <f t="shared" ref="Q80:AF80" si="66">IF($V32=0,0,$X32*Q44)</f>
        <v>2416.66666666666</v>
      </c>
      <c r="R80" s="14">
        <f t="shared" si="66"/>
        <v>2017.39130434783</v>
      </c>
      <c r="S80" s="14">
        <f t="shared" si="66"/>
        <v>1718.51851851851</v>
      </c>
      <c r="T80" s="14">
        <f t="shared" si="66"/>
        <v>1473.01587301587</v>
      </c>
      <c r="U80" s="14">
        <f t="shared" si="66"/>
        <v>1348.83720930232</v>
      </c>
      <c r="V80" s="14">
        <f t="shared" si="66"/>
        <v>1198.96640826873</v>
      </c>
      <c r="W80" s="14">
        <f t="shared" si="66"/>
        <v>1104.7619047619</v>
      </c>
      <c r="X80" s="14">
        <f t="shared" si="66"/>
        <v>1104.7619047619</v>
      </c>
      <c r="Y80" s="14">
        <f t="shared" si="66"/>
        <v>1104.7619047619</v>
      </c>
      <c r="Z80" s="14">
        <f t="shared" si="66"/>
        <v>1104.7619047619</v>
      </c>
      <c r="AA80" s="14">
        <f t="shared" si="66"/>
        <v>1104.7619047619</v>
      </c>
      <c r="AB80" s="14">
        <f t="shared" si="66"/>
        <v>1104.7619047619</v>
      </c>
      <c r="AC80" s="14">
        <f t="shared" si="66"/>
        <v>1104.7619047619</v>
      </c>
      <c r="AD80" s="14">
        <f t="shared" si="66"/>
        <v>1104.7619047619</v>
      </c>
      <c r="AE80" s="14">
        <f t="shared" si="66"/>
        <v>1104.7619047619</v>
      </c>
      <c r="AF80" s="14">
        <f t="shared" si="66"/>
        <v>1104.7619047619</v>
      </c>
    </row>
    <row r="81" spans="15:32">
      <c r="O81" s="7">
        <v>1000000</v>
      </c>
      <c r="P81" s="7">
        <f t="shared" si="58"/>
        <v>10000000</v>
      </c>
      <c r="Q81" s="14">
        <f t="shared" ref="Q81:AF81" si="67">IF($V33=0,0,$X33*Q45)</f>
        <v>3580.24691358025</v>
      </c>
      <c r="R81" s="14">
        <f t="shared" si="67"/>
        <v>2974.35897435897</v>
      </c>
      <c r="S81" s="14">
        <f t="shared" si="67"/>
        <v>2577.77777777777</v>
      </c>
      <c r="T81" s="14">
        <f t="shared" si="67"/>
        <v>2254.61613216715</v>
      </c>
      <c r="U81" s="14">
        <f t="shared" si="67"/>
        <v>2013.88888888889</v>
      </c>
      <c r="V81" s="14">
        <f t="shared" si="67"/>
        <v>1828.21118991331</v>
      </c>
      <c r="W81" s="14">
        <f t="shared" si="67"/>
        <v>1681.15942028986</v>
      </c>
      <c r="X81" s="14">
        <f t="shared" si="67"/>
        <v>1681.15942028986</v>
      </c>
      <c r="Y81" s="14">
        <f t="shared" si="67"/>
        <v>1681.15942028986</v>
      </c>
      <c r="Z81" s="14">
        <f t="shared" si="67"/>
        <v>1681.15942028986</v>
      </c>
      <c r="AA81" s="14">
        <f t="shared" si="67"/>
        <v>1681.15942028986</v>
      </c>
      <c r="AB81" s="14">
        <f t="shared" si="67"/>
        <v>1681.15942028986</v>
      </c>
      <c r="AC81" s="14">
        <f t="shared" si="67"/>
        <v>1681.15942028986</v>
      </c>
      <c r="AD81" s="14">
        <f t="shared" si="67"/>
        <v>1681.15942028986</v>
      </c>
      <c r="AE81" s="14">
        <f t="shared" si="67"/>
        <v>1681.15942028986</v>
      </c>
      <c r="AF81" s="14">
        <f t="shared" si="67"/>
        <v>1681.15942028986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1"/>
  <sheetViews>
    <sheetView zoomScale="115" zoomScaleNormal="115" workbookViewId="0">
      <selection activeCell="AB18" sqref="AB18:AE18"/>
    </sheetView>
  </sheetViews>
  <sheetFormatPr defaultColWidth="9" defaultRowHeight="13.5"/>
  <cols>
    <col min="1" max="1" width="9" style="4"/>
    <col min="2" max="2" width="17.125" style="5"/>
    <col min="3" max="4" width="12.625" style="4"/>
    <col min="5" max="5" width="9" style="4"/>
    <col min="6" max="6" width="14" style="4" customWidth="1"/>
    <col min="7" max="7" width="9" style="4"/>
    <col min="8" max="10" width="13.7583333333333" style="5" customWidth="1"/>
    <col min="11" max="11" width="12.625" style="5" customWidth="1"/>
    <col min="12" max="14" width="16" style="4"/>
    <col min="15" max="15" width="18.2583333333333" style="4"/>
    <col min="16" max="22" width="16" style="4"/>
    <col min="23" max="25" width="12.625" style="4" customWidth="1"/>
    <col min="26" max="37" width="9" style="4"/>
    <col min="38" max="38" width="12.875" style="4" customWidth="1"/>
    <col min="39" max="16384" width="9" style="4"/>
  </cols>
  <sheetData>
    <row r="1" spans="1:36">
      <c r="A1" s="6" t="s">
        <v>1</v>
      </c>
      <c r="B1" s="7" t="s">
        <v>2</v>
      </c>
      <c r="C1" s="6" t="s">
        <v>3</v>
      </c>
      <c r="D1" s="6" t="s">
        <v>4</v>
      </c>
      <c r="F1" s="6" t="s">
        <v>0</v>
      </c>
      <c r="H1" s="7" t="s">
        <v>5</v>
      </c>
      <c r="I1" s="7" t="s">
        <v>6</v>
      </c>
      <c r="J1" s="7" t="s">
        <v>7</v>
      </c>
      <c r="K1" s="7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10</v>
      </c>
      <c r="Q1" s="6"/>
      <c r="R1" s="6" t="s">
        <v>13</v>
      </c>
      <c r="S1" s="6" t="s">
        <v>10</v>
      </c>
      <c r="T1" s="6"/>
      <c r="U1" s="6" t="s">
        <v>14</v>
      </c>
      <c r="V1" s="6" t="s">
        <v>15</v>
      </c>
      <c r="Y1" s="8" t="s">
        <v>16</v>
      </c>
      <c r="Z1" s="8">
        <v>1</v>
      </c>
      <c r="AA1" s="8">
        <v>2</v>
      </c>
      <c r="AB1" s="8">
        <v>3</v>
      </c>
      <c r="AC1" s="8">
        <v>4</v>
      </c>
      <c r="AD1" s="8">
        <v>5</v>
      </c>
      <c r="AE1" s="8">
        <v>6</v>
      </c>
      <c r="AF1" s="8" t="s">
        <v>17</v>
      </c>
      <c r="AG1" s="8" t="s">
        <v>18</v>
      </c>
      <c r="AH1" s="8" t="s">
        <v>19</v>
      </c>
      <c r="AI1" s="8" t="s">
        <v>20</v>
      </c>
    </row>
    <row r="2" spans="1:36">
      <c r="A2" s="6">
        <v>1</v>
      </c>
      <c r="B2" s="7">
        <f t="shared" ref="B2:B21" si="0">C2*$F$2</f>
        <v>2500000</v>
      </c>
      <c r="C2" s="6">
        <v>2.5</v>
      </c>
      <c r="D2" s="6">
        <v>1</v>
      </c>
      <c r="F2" s="7">
        <v>1000000</v>
      </c>
      <c r="H2" s="7">
        <v>1000</v>
      </c>
      <c r="I2" s="7">
        <v>5000</v>
      </c>
      <c r="J2" s="7">
        <f t="shared" ref="J2:J10" si="1">H2*$F$4*$F$6</f>
        <v>7000</v>
      </c>
      <c r="K2" s="10">
        <f t="shared" ref="K2:K10" si="2">J2/$F$2</f>
        <v>0.007</v>
      </c>
      <c r="L2" s="6" t="s">
        <v>21</v>
      </c>
      <c r="M2" s="6" t="s">
        <v>21</v>
      </c>
      <c r="N2" s="6"/>
      <c r="O2" s="6" t="s">
        <v>21</v>
      </c>
      <c r="P2" s="6" t="s">
        <v>21</v>
      </c>
      <c r="Q2" s="10"/>
      <c r="R2" s="6" t="s">
        <v>21</v>
      </c>
      <c r="S2" s="6" t="s">
        <v>21</v>
      </c>
      <c r="T2" s="6"/>
      <c r="U2" s="6">
        <v>1</v>
      </c>
      <c r="V2" s="6">
        <v>13</v>
      </c>
      <c r="Y2" s="8">
        <v>1</v>
      </c>
      <c r="Z2" s="15">
        <v>8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8">
        <v>8</v>
      </c>
      <c r="AJ2" s="15">
        <f>SUM($AI$2:AI2)</f>
        <v>8</v>
      </c>
    </row>
    <row r="3" spans="1:36">
      <c r="A3" s="6">
        <v>2</v>
      </c>
      <c r="B3" s="7">
        <f t="shared" si="0"/>
        <v>2700000</v>
      </c>
      <c r="C3" s="6">
        <v>2.7</v>
      </c>
      <c r="D3" s="6">
        <v>2</v>
      </c>
      <c r="F3" s="6" t="s">
        <v>22</v>
      </c>
      <c r="H3" s="7">
        <v>3000</v>
      </c>
      <c r="I3" s="7">
        <v>210000</v>
      </c>
      <c r="J3" s="7">
        <f t="shared" si="1"/>
        <v>21000</v>
      </c>
      <c r="K3" s="10">
        <f t="shared" si="2"/>
        <v>0.021</v>
      </c>
      <c r="L3" s="6"/>
      <c r="M3" s="6"/>
      <c r="N3" s="6"/>
      <c r="O3" s="6"/>
      <c r="P3" s="6"/>
      <c r="Q3" s="6"/>
      <c r="R3" s="6"/>
      <c r="S3" s="6"/>
      <c r="T3" s="6"/>
      <c r="U3" s="6">
        <v>1</v>
      </c>
      <c r="V3" s="6">
        <v>13</v>
      </c>
      <c r="Y3" s="8">
        <v>2</v>
      </c>
      <c r="Z3" s="16">
        <v>7</v>
      </c>
      <c r="AA3" s="16">
        <v>1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  <c r="AI3" s="8">
        <v>8</v>
      </c>
      <c r="AJ3" s="16">
        <f>SUM($AI$2:AI3)</f>
        <v>16</v>
      </c>
    </row>
    <row r="4" spans="1:36">
      <c r="A4" s="6">
        <v>3</v>
      </c>
      <c r="B4" s="7">
        <f t="shared" si="0"/>
        <v>3000000</v>
      </c>
      <c r="C4" s="6">
        <v>3</v>
      </c>
      <c r="D4" s="6">
        <v>2</v>
      </c>
      <c r="F4" s="6">
        <v>70</v>
      </c>
      <c r="H4" s="7">
        <v>10000</v>
      </c>
      <c r="I4" s="7">
        <v>700000</v>
      </c>
      <c r="J4" s="7">
        <f t="shared" si="1"/>
        <v>70000</v>
      </c>
      <c r="K4" s="10">
        <f t="shared" si="2"/>
        <v>0.07</v>
      </c>
      <c r="L4" s="6">
        <v>1</v>
      </c>
      <c r="M4" s="6">
        <v>750</v>
      </c>
      <c r="N4" s="6">
        <f t="shared" ref="N4:N10" si="3">M4*$V4/10000</f>
        <v>0.975</v>
      </c>
      <c r="O4" s="6"/>
      <c r="P4" s="6"/>
      <c r="Q4" s="6"/>
      <c r="R4" s="6"/>
      <c r="S4" s="6"/>
      <c r="T4" s="6"/>
      <c r="U4" s="6">
        <v>1</v>
      </c>
      <c r="V4" s="6">
        <v>13</v>
      </c>
      <c r="Y4" s="8">
        <v>3</v>
      </c>
      <c r="Z4" s="16">
        <v>6</v>
      </c>
      <c r="AA4" s="16">
        <v>2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8">
        <v>8</v>
      </c>
      <c r="AJ4" s="16">
        <f>SUM($AI$2:AI4)</f>
        <v>24</v>
      </c>
    </row>
    <row r="5" spans="1:36">
      <c r="A5" s="6">
        <v>4</v>
      </c>
      <c r="B5" s="7">
        <f t="shared" si="0"/>
        <v>3200000</v>
      </c>
      <c r="C5" s="6">
        <v>3.2</v>
      </c>
      <c r="D5" s="6">
        <v>2</v>
      </c>
      <c r="F5" s="6" t="s">
        <v>23</v>
      </c>
      <c r="H5" s="7">
        <v>20000</v>
      </c>
      <c r="I5" s="7">
        <v>1400000</v>
      </c>
      <c r="J5" s="7">
        <f t="shared" si="1"/>
        <v>140000</v>
      </c>
      <c r="K5" s="10">
        <f t="shared" si="2"/>
        <v>0.14</v>
      </c>
      <c r="L5" s="6">
        <v>1</v>
      </c>
      <c r="M5" s="6">
        <f>膨胀后!AD5-P5</f>
        <v>600</v>
      </c>
      <c r="N5" s="6">
        <f t="shared" si="3"/>
        <v>0.78</v>
      </c>
      <c r="O5" s="6">
        <v>2</v>
      </c>
      <c r="P5" s="6">
        <v>100</v>
      </c>
      <c r="Q5" s="6">
        <f t="shared" ref="Q5:Q10" si="4">P5*$V5/10000</f>
        <v>0.13</v>
      </c>
      <c r="R5" s="6"/>
      <c r="S5" s="6"/>
      <c r="T5" s="6"/>
      <c r="U5" s="6">
        <v>1</v>
      </c>
      <c r="V5" s="6">
        <v>13</v>
      </c>
      <c r="Y5" s="8">
        <v>4</v>
      </c>
      <c r="Z5" s="16">
        <v>4</v>
      </c>
      <c r="AA5" s="16">
        <v>4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8">
        <v>8</v>
      </c>
      <c r="AJ5" s="16">
        <f>SUM($AI$2:AI5)</f>
        <v>32</v>
      </c>
    </row>
    <row r="6" spans="1:36">
      <c r="A6" s="6">
        <v>5</v>
      </c>
      <c r="B6" s="7">
        <f t="shared" si="0"/>
        <v>3400000</v>
      </c>
      <c r="C6" s="6">
        <v>3.4</v>
      </c>
      <c r="D6" s="6">
        <v>2</v>
      </c>
      <c r="F6" s="6">
        <v>0.1</v>
      </c>
      <c r="H6" s="7">
        <v>50000</v>
      </c>
      <c r="I6" s="7">
        <v>3500000</v>
      </c>
      <c r="J6" s="7">
        <f t="shared" si="1"/>
        <v>350000</v>
      </c>
      <c r="K6" s="10">
        <f t="shared" si="2"/>
        <v>0.35</v>
      </c>
      <c r="L6" s="6">
        <v>2</v>
      </c>
      <c r="M6" s="6">
        <f>(膨胀后!AD6-S6-膨胀后!W6-膨胀后!T6)/2+膨胀后!T6</f>
        <v>525</v>
      </c>
      <c r="N6" s="6">
        <f t="shared" si="3"/>
        <v>0.6825</v>
      </c>
      <c r="O6" s="6">
        <v>3</v>
      </c>
      <c r="P6" s="6">
        <f>(膨胀后!AD6-S6-膨胀后!W6-膨胀后!T6)/2+膨胀后!W6</f>
        <v>525</v>
      </c>
      <c r="Q6" s="6">
        <f t="shared" si="4"/>
        <v>0.6825</v>
      </c>
      <c r="R6" s="6">
        <v>4</v>
      </c>
      <c r="S6" s="6">
        <v>50</v>
      </c>
      <c r="T6" s="6">
        <f t="shared" ref="T6:T10" si="5">S6*$V6/10000</f>
        <v>0.065</v>
      </c>
      <c r="U6" s="6">
        <v>1</v>
      </c>
      <c r="V6" s="6">
        <v>13</v>
      </c>
      <c r="Y6" s="8">
        <v>5</v>
      </c>
      <c r="Z6" s="16">
        <v>3</v>
      </c>
      <c r="AA6" s="16">
        <v>5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8">
        <v>8</v>
      </c>
      <c r="AJ6" s="16">
        <f>SUM($AI$2:AI6)</f>
        <v>40</v>
      </c>
    </row>
    <row r="7" spans="1:36">
      <c r="A7" s="6">
        <v>6</v>
      </c>
      <c r="B7" s="7">
        <f t="shared" si="0"/>
        <v>3500000</v>
      </c>
      <c r="C7" s="6">
        <v>3.5</v>
      </c>
      <c r="D7" s="6">
        <v>3</v>
      </c>
      <c r="H7" s="7">
        <v>100000</v>
      </c>
      <c r="I7" s="7">
        <v>7000000</v>
      </c>
      <c r="J7" s="7">
        <f t="shared" si="1"/>
        <v>700000</v>
      </c>
      <c r="K7" s="10">
        <f t="shared" si="2"/>
        <v>0.7</v>
      </c>
      <c r="L7" s="6">
        <v>3</v>
      </c>
      <c r="M7" s="6">
        <f>(膨胀后!AD7-S7-膨胀后!W7-膨胀后!T7)/2+膨胀后!T7</f>
        <v>383</v>
      </c>
      <c r="N7" s="6">
        <f t="shared" si="3"/>
        <v>0.4979</v>
      </c>
      <c r="O7" s="6">
        <v>4</v>
      </c>
      <c r="P7" s="6">
        <f>(膨胀后!AD7-S7-膨胀后!W7-膨胀后!T7)/2+膨胀后!W7</f>
        <v>333</v>
      </c>
      <c r="Q7" s="6">
        <f t="shared" si="4"/>
        <v>0.4329</v>
      </c>
      <c r="R7" s="6">
        <v>5</v>
      </c>
      <c r="S7" s="6">
        <v>34</v>
      </c>
      <c r="T7" s="6">
        <f t="shared" si="5"/>
        <v>0.0442</v>
      </c>
      <c r="U7" s="6">
        <v>1</v>
      </c>
      <c r="V7" s="6">
        <v>13</v>
      </c>
      <c r="Y7" s="8">
        <v>6</v>
      </c>
      <c r="Z7" s="15">
        <v>2</v>
      </c>
      <c r="AA7" s="15">
        <v>5</v>
      </c>
      <c r="AB7" s="15">
        <v>1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8">
        <v>8</v>
      </c>
      <c r="AJ7" s="15">
        <f>SUM($AI$2:AI7)</f>
        <v>48</v>
      </c>
    </row>
    <row r="8" spans="1:36">
      <c r="A8" s="6">
        <v>7</v>
      </c>
      <c r="B8" s="7">
        <f t="shared" si="0"/>
        <v>3600000</v>
      </c>
      <c r="C8" s="6">
        <v>3.6</v>
      </c>
      <c r="D8" s="6">
        <v>3</v>
      </c>
      <c r="H8" s="7">
        <v>200000</v>
      </c>
      <c r="I8" s="7">
        <v>14000000</v>
      </c>
      <c r="J8" s="7">
        <f t="shared" si="1"/>
        <v>1400000</v>
      </c>
      <c r="K8" s="10">
        <f t="shared" si="2"/>
        <v>1.4</v>
      </c>
      <c r="L8" s="6">
        <v>4</v>
      </c>
      <c r="M8" s="6">
        <f>(膨胀后!AD8-S8-膨胀后!W8-膨胀后!T8)/2+膨胀后!T8</f>
        <v>388</v>
      </c>
      <c r="N8" s="6">
        <f t="shared" si="3"/>
        <v>0.5044</v>
      </c>
      <c r="O8" s="6">
        <v>5</v>
      </c>
      <c r="P8" s="6">
        <f>(膨胀后!AD8-S8-膨胀后!W8-膨胀后!T8)/2+膨胀后!W8</f>
        <v>338</v>
      </c>
      <c r="Q8" s="6">
        <f t="shared" si="4"/>
        <v>0.4394</v>
      </c>
      <c r="R8" s="6">
        <v>6</v>
      </c>
      <c r="S8" s="6">
        <v>24</v>
      </c>
      <c r="T8" s="6">
        <f t="shared" si="5"/>
        <v>0.0312</v>
      </c>
      <c r="U8" s="6">
        <v>2</v>
      </c>
      <c r="V8" s="6">
        <v>13</v>
      </c>
      <c r="Y8" s="8">
        <v>7</v>
      </c>
      <c r="Z8" s="15">
        <v>1</v>
      </c>
      <c r="AA8" s="15">
        <v>4</v>
      </c>
      <c r="AB8" s="15">
        <v>3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8">
        <v>8</v>
      </c>
      <c r="AJ8" s="15">
        <f>SUM($AI$2:AI8)</f>
        <v>56</v>
      </c>
    </row>
    <row r="9" spans="1:36">
      <c r="A9" s="6">
        <v>8</v>
      </c>
      <c r="B9" s="7">
        <f t="shared" si="0"/>
        <v>3700000</v>
      </c>
      <c r="C9" s="6">
        <v>3.7</v>
      </c>
      <c r="D9" s="6">
        <v>3</v>
      </c>
      <c r="H9" s="7">
        <v>500000</v>
      </c>
      <c r="I9" s="7">
        <v>35000000</v>
      </c>
      <c r="J9" s="7">
        <f t="shared" si="1"/>
        <v>3500000</v>
      </c>
      <c r="K9" s="10">
        <f t="shared" si="2"/>
        <v>3.5</v>
      </c>
      <c r="L9" s="6">
        <v>4</v>
      </c>
      <c r="M9" s="6">
        <f>(膨胀后!AD9-S9-膨胀后!W9-膨胀后!T9)/2+膨胀后!T9</f>
        <v>450</v>
      </c>
      <c r="N9" s="6">
        <f t="shared" si="3"/>
        <v>0.585</v>
      </c>
      <c r="O9" s="6">
        <v>5</v>
      </c>
      <c r="P9" s="6">
        <f>(膨胀后!AD9-S9-膨胀后!W9-膨胀后!T9)/2+膨胀后!W9</f>
        <v>400</v>
      </c>
      <c r="Q9" s="6">
        <f t="shared" si="4"/>
        <v>0.52</v>
      </c>
      <c r="R9" s="6">
        <v>6</v>
      </c>
      <c r="S9" s="6">
        <v>50</v>
      </c>
      <c r="T9" s="6">
        <f t="shared" si="5"/>
        <v>0.065</v>
      </c>
      <c r="U9" s="6">
        <v>3</v>
      </c>
      <c r="V9" s="6">
        <v>13</v>
      </c>
      <c r="Y9" s="8">
        <v>8</v>
      </c>
      <c r="Z9" s="15">
        <v>0</v>
      </c>
      <c r="AA9" s="15">
        <v>4</v>
      </c>
      <c r="AB9" s="15">
        <v>4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8">
        <v>8</v>
      </c>
      <c r="AJ9" s="15">
        <f>SUM($AI$2:AI9)</f>
        <v>64</v>
      </c>
    </row>
    <row r="10" spans="1:36">
      <c r="A10" s="6">
        <v>9</v>
      </c>
      <c r="B10" s="7">
        <f t="shared" si="0"/>
        <v>20000000</v>
      </c>
      <c r="C10" s="6">
        <v>20</v>
      </c>
      <c r="D10" s="6">
        <v>4</v>
      </c>
      <c r="H10" s="7">
        <v>1000000</v>
      </c>
      <c r="I10" s="7">
        <v>70000000</v>
      </c>
      <c r="J10" s="7">
        <f t="shared" si="1"/>
        <v>7000000</v>
      </c>
      <c r="K10" s="10">
        <f t="shared" si="2"/>
        <v>7</v>
      </c>
      <c r="L10" s="6">
        <v>4</v>
      </c>
      <c r="M10" s="6">
        <f>(膨胀后!AD10-S10-膨胀后!W10-膨胀后!T10)/2+膨胀后!T10</f>
        <v>500</v>
      </c>
      <c r="N10" s="6">
        <f t="shared" si="3"/>
        <v>0.65</v>
      </c>
      <c r="O10" s="6">
        <v>5</v>
      </c>
      <c r="P10" s="6">
        <f>(膨胀后!AD10-S10-膨胀后!W10-膨胀后!T10)/2+膨胀后!W10</f>
        <v>450</v>
      </c>
      <c r="Q10" s="6">
        <f t="shared" si="4"/>
        <v>0.585</v>
      </c>
      <c r="R10" s="6">
        <v>6</v>
      </c>
      <c r="S10" s="6">
        <v>100</v>
      </c>
      <c r="T10" s="6">
        <f t="shared" si="5"/>
        <v>0.13</v>
      </c>
      <c r="U10" s="6">
        <v>4</v>
      </c>
      <c r="V10" s="6">
        <v>13</v>
      </c>
      <c r="Y10" s="8">
        <v>9</v>
      </c>
      <c r="Z10" s="16">
        <v>0</v>
      </c>
      <c r="AA10" s="16">
        <v>3</v>
      </c>
      <c r="AB10" s="16">
        <v>4</v>
      </c>
      <c r="AC10" s="16">
        <v>1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8">
        <v>8</v>
      </c>
      <c r="AJ10" s="16">
        <f>SUM($AI$2:AI10)</f>
        <v>72</v>
      </c>
    </row>
    <row r="11" spans="1:36">
      <c r="A11" s="6">
        <v>10</v>
      </c>
      <c r="B11" s="7">
        <f t="shared" si="0"/>
        <v>25000000</v>
      </c>
      <c r="C11" s="6">
        <v>25</v>
      </c>
      <c r="D11" s="6">
        <v>4</v>
      </c>
      <c r="Y11" s="8">
        <v>10</v>
      </c>
      <c r="Z11" s="16">
        <v>0</v>
      </c>
      <c r="AA11" s="16">
        <v>3</v>
      </c>
      <c r="AB11" s="16">
        <v>3</v>
      </c>
      <c r="AC11" s="16">
        <v>2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8">
        <v>8</v>
      </c>
      <c r="AJ11" s="16">
        <f>SUM($AI$2:AI11)</f>
        <v>80</v>
      </c>
    </row>
    <row r="12" spans="1:36">
      <c r="A12" s="6">
        <v>11</v>
      </c>
      <c r="B12" s="7">
        <f t="shared" si="0"/>
        <v>27000000</v>
      </c>
      <c r="C12" s="6">
        <v>27</v>
      </c>
      <c r="D12" s="6">
        <v>5</v>
      </c>
      <c r="F12" s="4" t="s">
        <v>24</v>
      </c>
      <c r="H12" s="7" t="s">
        <v>25</v>
      </c>
      <c r="I12" s="7">
        <v>1</v>
      </c>
      <c r="J12" s="7">
        <v>2</v>
      </c>
      <c r="K12" s="7">
        <v>3</v>
      </c>
      <c r="L12" s="7">
        <v>4</v>
      </c>
      <c r="M12" s="7">
        <v>5</v>
      </c>
      <c r="N12" s="7">
        <v>6</v>
      </c>
      <c r="Y12" s="8">
        <v>11</v>
      </c>
      <c r="Z12" s="15">
        <v>0</v>
      </c>
      <c r="AA12" s="15">
        <v>1</v>
      </c>
      <c r="AB12" s="15">
        <v>4</v>
      </c>
      <c r="AC12" s="15">
        <v>2</v>
      </c>
      <c r="AD12" s="15">
        <v>0</v>
      </c>
      <c r="AE12" s="15">
        <v>0</v>
      </c>
      <c r="AF12" s="15">
        <v>1</v>
      </c>
      <c r="AG12" s="15">
        <v>0</v>
      </c>
      <c r="AH12" s="15">
        <v>0</v>
      </c>
      <c r="AI12" s="8">
        <v>8</v>
      </c>
      <c r="AJ12" s="15">
        <f>SUM($AI$2:AI12)</f>
        <v>88</v>
      </c>
    </row>
    <row r="13" spans="1:36">
      <c r="A13" s="6">
        <v>12</v>
      </c>
      <c r="B13" s="7">
        <f t="shared" si="0"/>
        <v>29000000</v>
      </c>
      <c r="C13" s="6">
        <v>29</v>
      </c>
      <c r="D13" s="6">
        <v>5</v>
      </c>
      <c r="H13" s="7">
        <v>1000</v>
      </c>
      <c r="I13" s="12">
        <f t="shared" ref="I13:N13" si="6">IF($L2=I$12,$N2,0)+IF($O2=I$12,$Q2,0)+IF($R2=I$12,$T2,0)</f>
        <v>0</v>
      </c>
      <c r="J13" s="12">
        <f t="shared" si="6"/>
        <v>0</v>
      </c>
      <c r="K13" s="12">
        <f t="shared" si="6"/>
        <v>0</v>
      </c>
      <c r="L13" s="12">
        <f t="shared" si="6"/>
        <v>0</v>
      </c>
      <c r="M13" s="12">
        <f t="shared" si="6"/>
        <v>0</v>
      </c>
      <c r="N13" s="12">
        <f t="shared" si="6"/>
        <v>0</v>
      </c>
      <c r="Y13" s="8">
        <v>12</v>
      </c>
      <c r="Z13" s="15">
        <v>0</v>
      </c>
      <c r="AA13" s="15">
        <v>1</v>
      </c>
      <c r="AB13" s="15">
        <v>3</v>
      </c>
      <c r="AC13" s="15">
        <v>2</v>
      </c>
      <c r="AD13" s="15">
        <v>1</v>
      </c>
      <c r="AE13" s="15">
        <v>0</v>
      </c>
      <c r="AF13" s="15">
        <v>1</v>
      </c>
      <c r="AG13" s="15">
        <v>0</v>
      </c>
      <c r="AH13" s="15">
        <v>0</v>
      </c>
      <c r="AI13" s="8">
        <v>8</v>
      </c>
      <c r="AJ13" s="15">
        <f>SUM($AI$2:AI13)</f>
        <v>96</v>
      </c>
    </row>
    <row r="14" spans="1:36">
      <c r="A14" s="6">
        <v>13</v>
      </c>
      <c r="B14" s="7">
        <f t="shared" si="0"/>
        <v>31000000</v>
      </c>
      <c r="C14" s="6">
        <v>31</v>
      </c>
      <c r="D14" s="6">
        <v>5</v>
      </c>
      <c r="H14" s="7">
        <v>3000</v>
      </c>
      <c r="I14" s="12">
        <f t="shared" ref="I14:N14" si="7">IF($L3=I$12,$N3,0)+IF($O3=I$12,$Q3,0)+IF($R3=I$12,$T3,0)</f>
        <v>0</v>
      </c>
      <c r="J14" s="12">
        <f t="shared" si="7"/>
        <v>0</v>
      </c>
      <c r="K14" s="12">
        <f t="shared" si="7"/>
        <v>0</v>
      </c>
      <c r="L14" s="12">
        <f t="shared" si="7"/>
        <v>0</v>
      </c>
      <c r="M14" s="12">
        <f t="shared" si="7"/>
        <v>0</v>
      </c>
      <c r="N14" s="12">
        <f t="shared" si="7"/>
        <v>0</v>
      </c>
      <c r="Y14" s="8">
        <v>13</v>
      </c>
      <c r="Z14" s="15">
        <v>0</v>
      </c>
      <c r="AA14" s="15">
        <v>1</v>
      </c>
      <c r="AB14" s="15">
        <v>2</v>
      </c>
      <c r="AC14" s="15">
        <v>2</v>
      </c>
      <c r="AD14" s="15">
        <v>1</v>
      </c>
      <c r="AE14" s="15">
        <v>0</v>
      </c>
      <c r="AF14" s="15">
        <v>1</v>
      </c>
      <c r="AG14" s="15">
        <v>1</v>
      </c>
      <c r="AH14" s="15">
        <v>0</v>
      </c>
      <c r="AI14" s="8">
        <v>8</v>
      </c>
      <c r="AJ14" s="15">
        <f>SUM($AI$2:AI14)</f>
        <v>104</v>
      </c>
    </row>
    <row r="15" spans="1:36">
      <c r="A15" s="6">
        <v>14</v>
      </c>
      <c r="B15" s="7">
        <f t="shared" si="0"/>
        <v>35000000</v>
      </c>
      <c r="C15" s="6">
        <v>35</v>
      </c>
      <c r="D15" s="6">
        <v>5</v>
      </c>
      <c r="H15" s="7">
        <v>10000</v>
      </c>
      <c r="I15" s="12">
        <f t="shared" ref="I15:N15" si="8">IF($L4=I$12,$N4,0)+IF($O4=I$12,$Q4,0)+IF($R4=I$12,$T4,0)</f>
        <v>0.975</v>
      </c>
      <c r="J15" s="12">
        <f t="shared" si="8"/>
        <v>0</v>
      </c>
      <c r="K15" s="12">
        <f t="shared" si="8"/>
        <v>0</v>
      </c>
      <c r="L15" s="12">
        <f t="shared" si="8"/>
        <v>0</v>
      </c>
      <c r="M15" s="12">
        <f t="shared" si="8"/>
        <v>0</v>
      </c>
      <c r="N15" s="12">
        <f t="shared" si="8"/>
        <v>0</v>
      </c>
      <c r="Y15" s="8">
        <v>14</v>
      </c>
      <c r="Z15" s="15">
        <v>0</v>
      </c>
      <c r="AA15" s="15">
        <v>0</v>
      </c>
      <c r="AB15" s="15">
        <v>2</v>
      </c>
      <c r="AC15" s="15">
        <v>2</v>
      </c>
      <c r="AD15" s="15">
        <v>1</v>
      </c>
      <c r="AE15" s="15">
        <v>1</v>
      </c>
      <c r="AF15" s="15">
        <v>1</v>
      </c>
      <c r="AG15" s="15">
        <v>1</v>
      </c>
      <c r="AH15" s="15">
        <v>0</v>
      </c>
      <c r="AI15" s="8">
        <v>8</v>
      </c>
      <c r="AJ15" s="15">
        <f>SUM($AI$2:AI15)</f>
        <v>112</v>
      </c>
    </row>
    <row r="16" spans="1:36">
      <c r="A16" s="6">
        <v>15</v>
      </c>
      <c r="B16" s="7">
        <f t="shared" si="0"/>
        <v>40000000</v>
      </c>
      <c r="C16" s="6">
        <v>40</v>
      </c>
      <c r="D16" s="6">
        <v>6</v>
      </c>
      <c r="H16" s="7">
        <v>20000</v>
      </c>
      <c r="I16" s="12">
        <f t="shared" ref="I16:N16" si="9">IF($L5=I$12,$N5,0)+IF($O5=I$12,$Q5,0)+IF($R5=I$12,$T5,0)</f>
        <v>0.78</v>
      </c>
      <c r="J16" s="12">
        <f t="shared" si="9"/>
        <v>0.13</v>
      </c>
      <c r="K16" s="12">
        <f t="shared" si="9"/>
        <v>0</v>
      </c>
      <c r="L16" s="12">
        <f t="shared" si="9"/>
        <v>0</v>
      </c>
      <c r="M16" s="12">
        <f t="shared" si="9"/>
        <v>0</v>
      </c>
      <c r="N16" s="12">
        <f t="shared" si="9"/>
        <v>0</v>
      </c>
      <c r="Y16" s="8">
        <v>15</v>
      </c>
      <c r="Z16" s="16">
        <v>0</v>
      </c>
      <c r="AA16" s="16">
        <v>0</v>
      </c>
      <c r="AB16" s="16">
        <v>1</v>
      </c>
      <c r="AC16" s="16">
        <v>3</v>
      </c>
      <c r="AD16" s="16">
        <v>1</v>
      </c>
      <c r="AE16" s="16">
        <v>1</v>
      </c>
      <c r="AF16" s="16">
        <v>1</v>
      </c>
      <c r="AG16" s="16">
        <v>1</v>
      </c>
      <c r="AH16" s="16">
        <v>0</v>
      </c>
      <c r="AI16" s="8">
        <v>8</v>
      </c>
      <c r="AJ16" s="16">
        <f>SUM($AI$2:AI16)</f>
        <v>120</v>
      </c>
    </row>
    <row r="17" spans="1:36">
      <c r="A17" s="6">
        <v>16</v>
      </c>
      <c r="B17" s="7">
        <f t="shared" si="0"/>
        <v>42500000</v>
      </c>
      <c r="C17" s="6">
        <v>42.5</v>
      </c>
      <c r="D17" s="6">
        <v>6</v>
      </c>
      <c r="H17" s="7">
        <v>50000</v>
      </c>
      <c r="I17" s="12">
        <f t="shared" ref="I17:N17" si="10">IF($L6=I$12,$N6,0)+IF($O6=I$12,$Q6,0)+IF($R6=I$12,$T6,0)</f>
        <v>0</v>
      </c>
      <c r="J17" s="12">
        <f t="shared" si="10"/>
        <v>0.6825</v>
      </c>
      <c r="K17" s="12">
        <f t="shared" si="10"/>
        <v>0.6825</v>
      </c>
      <c r="L17" s="12">
        <f t="shared" si="10"/>
        <v>0.065</v>
      </c>
      <c r="M17" s="12">
        <f t="shared" si="10"/>
        <v>0</v>
      </c>
      <c r="N17" s="12">
        <f t="shared" si="10"/>
        <v>0</v>
      </c>
      <c r="Y17" s="8">
        <v>16</v>
      </c>
      <c r="Z17" s="16">
        <v>0</v>
      </c>
      <c r="AA17" s="16">
        <v>0</v>
      </c>
      <c r="AB17" s="16">
        <v>1</v>
      </c>
      <c r="AC17" s="16">
        <v>2</v>
      </c>
      <c r="AD17" s="16">
        <v>1</v>
      </c>
      <c r="AE17" s="16">
        <v>1</v>
      </c>
      <c r="AF17" s="16">
        <v>2</v>
      </c>
      <c r="AG17" s="16">
        <v>1</v>
      </c>
      <c r="AH17" s="16">
        <v>0</v>
      </c>
      <c r="AI17" s="8">
        <v>8</v>
      </c>
      <c r="AJ17" s="16">
        <f>SUM($AI$2:AI17)</f>
        <v>128</v>
      </c>
    </row>
    <row r="18" spans="1:36">
      <c r="A18" s="6">
        <v>17</v>
      </c>
      <c r="B18" s="7">
        <f t="shared" si="0"/>
        <v>45000000</v>
      </c>
      <c r="C18" s="6">
        <v>45</v>
      </c>
      <c r="D18" s="6">
        <v>6</v>
      </c>
      <c r="H18" s="7">
        <v>100000</v>
      </c>
      <c r="I18" s="12">
        <f t="shared" ref="I18:N18" si="11">IF($L7=I$12,$N7,0)+IF($O7=I$12,$Q7,0)+IF($R7=I$12,$T7,0)</f>
        <v>0</v>
      </c>
      <c r="J18" s="12">
        <f t="shared" si="11"/>
        <v>0</v>
      </c>
      <c r="K18" s="12">
        <f t="shared" si="11"/>
        <v>0.4979</v>
      </c>
      <c r="L18" s="12">
        <f t="shared" si="11"/>
        <v>0.4329</v>
      </c>
      <c r="M18" s="12">
        <f t="shared" si="11"/>
        <v>0.0442</v>
      </c>
      <c r="N18" s="12">
        <f t="shared" si="11"/>
        <v>0</v>
      </c>
      <c r="Y18" s="8">
        <v>17</v>
      </c>
      <c r="Z18" s="16">
        <v>0</v>
      </c>
      <c r="AA18" s="16">
        <v>0</v>
      </c>
      <c r="AB18" s="16">
        <v>1</v>
      </c>
      <c r="AC18" s="16">
        <v>1</v>
      </c>
      <c r="AD18" s="16">
        <v>2</v>
      </c>
      <c r="AE18" s="16">
        <v>1</v>
      </c>
      <c r="AF18" s="16">
        <v>2</v>
      </c>
      <c r="AG18" s="16">
        <v>1</v>
      </c>
      <c r="AH18" s="16">
        <v>0</v>
      </c>
      <c r="AI18" s="8">
        <v>8</v>
      </c>
      <c r="AJ18" s="16">
        <f>SUM($AI$2:AI18)</f>
        <v>136</v>
      </c>
    </row>
    <row r="19" spans="1:36">
      <c r="A19" s="6">
        <v>18</v>
      </c>
      <c r="B19" s="7">
        <f t="shared" si="0"/>
        <v>50000000</v>
      </c>
      <c r="C19" s="6">
        <v>50</v>
      </c>
      <c r="D19" s="6">
        <v>6</v>
      </c>
      <c r="H19" s="7">
        <v>200000</v>
      </c>
      <c r="I19" s="12">
        <f t="shared" ref="I19:N19" si="12">IF($L8=I$12,$N8,0)+IF($O8=I$12,$Q8,0)+IF($R8=I$12,$T8,0)</f>
        <v>0</v>
      </c>
      <c r="J19" s="12">
        <f t="shared" si="12"/>
        <v>0</v>
      </c>
      <c r="K19" s="12">
        <f t="shared" si="12"/>
        <v>0</v>
      </c>
      <c r="L19" s="12">
        <f t="shared" si="12"/>
        <v>0.5044</v>
      </c>
      <c r="M19" s="12">
        <f t="shared" si="12"/>
        <v>0.4394</v>
      </c>
      <c r="N19" s="12">
        <f t="shared" si="12"/>
        <v>0.0312</v>
      </c>
      <c r="Y19" s="8">
        <v>18</v>
      </c>
      <c r="Z19" s="16">
        <v>0</v>
      </c>
      <c r="AA19" s="16">
        <v>0</v>
      </c>
      <c r="AB19" s="16">
        <v>1</v>
      </c>
      <c r="AC19" s="16">
        <v>1</v>
      </c>
      <c r="AD19" s="16">
        <v>2</v>
      </c>
      <c r="AE19" s="16">
        <v>0</v>
      </c>
      <c r="AF19" s="16">
        <v>1</v>
      </c>
      <c r="AG19" s="16">
        <v>2</v>
      </c>
      <c r="AH19" s="16">
        <v>1</v>
      </c>
      <c r="AI19" s="8">
        <v>8</v>
      </c>
      <c r="AJ19" s="16">
        <f>SUM($AI$2:AI19)</f>
        <v>144</v>
      </c>
    </row>
    <row r="20" spans="1:36">
      <c r="A20" s="6">
        <v>19</v>
      </c>
      <c r="B20" s="7">
        <f t="shared" si="0"/>
        <v>55000000</v>
      </c>
      <c r="C20" s="6">
        <v>55</v>
      </c>
      <c r="D20" s="6">
        <v>6</v>
      </c>
      <c r="H20" s="7">
        <v>500000</v>
      </c>
      <c r="I20" s="12">
        <f t="shared" ref="I20:N20" si="13">IF($L9=I$12,$N9,0)+IF($O9=I$12,$Q9,0)+IF($R9=I$12,$T9,0)</f>
        <v>0</v>
      </c>
      <c r="J20" s="12">
        <f t="shared" si="13"/>
        <v>0</v>
      </c>
      <c r="K20" s="12">
        <f t="shared" si="13"/>
        <v>0</v>
      </c>
      <c r="L20" s="12">
        <f t="shared" si="13"/>
        <v>0.585</v>
      </c>
      <c r="M20" s="12">
        <f t="shared" si="13"/>
        <v>0.52</v>
      </c>
      <c r="N20" s="12">
        <f t="shared" si="13"/>
        <v>0.065</v>
      </c>
      <c r="Y20" s="8">
        <v>19</v>
      </c>
      <c r="Z20" s="16">
        <v>0</v>
      </c>
      <c r="AA20" s="16">
        <v>0</v>
      </c>
      <c r="AB20" s="16">
        <v>0</v>
      </c>
      <c r="AC20" s="16">
        <v>1</v>
      </c>
      <c r="AD20" s="16">
        <v>2</v>
      </c>
      <c r="AE20" s="16">
        <v>0</v>
      </c>
      <c r="AF20" s="16">
        <v>2</v>
      </c>
      <c r="AG20" s="16">
        <v>2</v>
      </c>
      <c r="AH20" s="16">
        <v>1</v>
      </c>
      <c r="AI20" s="8">
        <v>8</v>
      </c>
      <c r="AJ20" s="16">
        <f>SUM($AI$2:AI20)</f>
        <v>152</v>
      </c>
    </row>
    <row r="21" spans="1:36">
      <c r="A21" s="6" t="s">
        <v>26</v>
      </c>
      <c r="B21" s="7">
        <f t="shared" si="0"/>
        <v>100000000</v>
      </c>
      <c r="C21" s="6">
        <v>100</v>
      </c>
      <c r="D21" s="6"/>
      <c r="H21" s="7">
        <v>1000000</v>
      </c>
      <c r="I21" s="12">
        <f t="shared" ref="I21:N21" si="14">IF($L10=I$12,$N10,0)+IF($O10=I$12,$Q10,0)+IF($R10=I$12,$T10,0)</f>
        <v>0</v>
      </c>
      <c r="J21" s="12">
        <f t="shared" si="14"/>
        <v>0</v>
      </c>
      <c r="K21" s="12">
        <f t="shared" si="14"/>
        <v>0</v>
      </c>
      <c r="L21" s="12">
        <f t="shared" si="14"/>
        <v>0.65</v>
      </c>
      <c r="M21" s="12">
        <f t="shared" si="14"/>
        <v>0.585</v>
      </c>
      <c r="N21" s="12">
        <f t="shared" si="14"/>
        <v>0.13</v>
      </c>
      <c r="Y21" s="8" t="s">
        <v>20</v>
      </c>
      <c r="Z21" s="8">
        <v>31</v>
      </c>
      <c r="AA21" s="8">
        <v>34</v>
      </c>
      <c r="AB21" s="8">
        <v>30</v>
      </c>
      <c r="AC21" s="8">
        <v>19</v>
      </c>
      <c r="AD21" s="8">
        <v>11</v>
      </c>
      <c r="AE21" s="8">
        <v>4</v>
      </c>
      <c r="AF21" s="8">
        <v>12</v>
      </c>
      <c r="AG21" s="8">
        <v>9</v>
      </c>
      <c r="AH21" s="8">
        <v>2</v>
      </c>
      <c r="AI21" s="8">
        <v>152</v>
      </c>
    </row>
    <row r="22" spans="1:36">
      <c r="A22" s="6" t="s">
        <v>27</v>
      </c>
      <c r="B22" s="7">
        <f>SUM(B2:B21)</f>
        <v>525100000</v>
      </c>
      <c r="C22" s="6">
        <f>SUM(C2:C21)</f>
        <v>525.1</v>
      </c>
      <c r="D22" s="6"/>
    </row>
    <row r="23" spans="1:36">
      <c r="F23" s="4" t="s">
        <v>28</v>
      </c>
      <c r="H23" s="7" t="s">
        <v>29</v>
      </c>
      <c r="I23" s="6">
        <v>1</v>
      </c>
      <c r="J23" s="6">
        <v>2</v>
      </c>
      <c r="K23" s="6">
        <v>3</v>
      </c>
      <c r="L23" s="6">
        <v>4</v>
      </c>
      <c r="M23" s="6">
        <v>5</v>
      </c>
      <c r="N23" s="6">
        <v>6</v>
      </c>
      <c r="O23" s="7"/>
      <c r="P23" s="7"/>
      <c r="Q23" s="6"/>
    </row>
    <row r="24" spans="1:36">
      <c r="H24" s="6" t="s">
        <v>30</v>
      </c>
      <c r="I24" s="6">
        <v>25</v>
      </c>
      <c r="J24" s="6">
        <v>50</v>
      </c>
      <c r="K24" s="6">
        <v>50</v>
      </c>
      <c r="L24" s="6">
        <v>50</v>
      </c>
      <c r="M24" s="6">
        <v>50</v>
      </c>
      <c r="N24" s="6">
        <v>40</v>
      </c>
      <c r="O24" s="7" t="s">
        <v>31</v>
      </c>
      <c r="P24" s="7" t="s">
        <v>32</v>
      </c>
      <c r="Q24" s="6" t="s">
        <v>33</v>
      </c>
    </row>
    <row r="25" spans="1:36">
      <c r="A25" s="6" t="s">
        <v>34</v>
      </c>
      <c r="B25" s="6" t="s">
        <v>30</v>
      </c>
      <c r="C25" s="6" t="s">
        <v>35</v>
      </c>
      <c r="H25" s="7">
        <v>1000</v>
      </c>
      <c r="I25" s="12">
        <f t="shared" ref="I25:N25" si="15">IF(I13=0,0,I$24/I13)</f>
        <v>0</v>
      </c>
      <c r="J25" s="12">
        <f t="shared" si="15"/>
        <v>0</v>
      </c>
      <c r="K25" s="12">
        <f t="shared" si="15"/>
        <v>0</v>
      </c>
      <c r="L25" s="12">
        <f t="shared" si="15"/>
        <v>0</v>
      </c>
      <c r="M25" s="12">
        <f t="shared" si="15"/>
        <v>0</v>
      </c>
      <c r="N25" s="12">
        <f t="shared" si="15"/>
        <v>0</v>
      </c>
      <c r="O25" s="7">
        <f ca="1">IF(N25&gt;0,SUMIF($D$2:$D$21,"&lt;="&amp;$N$23,$B$2:B20),IF(M25&gt;0,SUMIF($D$2:$D$21,"&lt;="&amp;$M$23,$B$2:B20),IF(L25&gt;0,SUMIF($D$2:$D$21,"&lt;="&amp;$L$23,$B$2:B20),IF(K25&gt;0,SUMIF($D$2:$D$21,"&lt;="&amp;$K$23,$B$2:B20),IF(J25&gt;0,SUMIF($D$2:$D$21,"&lt;="&amp;$J$23,$B$2:B20),IF(I25&gt;0,SUMIF($D$2:$D$21,"&lt;="&amp;$I$23,$B$2:B20),0))))))</f>
        <v>0</v>
      </c>
      <c r="P25" s="12">
        <f ca="1" t="shared" ref="P25:P33" si="16">O25/$F$2</f>
        <v>0</v>
      </c>
      <c r="Q25" s="7">
        <f t="shared" ref="Q25:Q33" si="17">IF(N25&gt;0,N25,IF(M25&gt;0,M25,IF(L25&gt;0,L25,IF(K25&gt;0,K25,IF(J25&gt;0,J25,I25)))))</f>
        <v>0</v>
      </c>
    </row>
    <row r="26" spans="1:36">
      <c r="A26" s="6">
        <v>1</v>
      </c>
      <c r="B26" s="6">
        <v>25</v>
      </c>
      <c r="C26" s="11">
        <f t="shared" ref="C26:C30" si="18">SUMIF($D$2:$D$21,"&lt;="&amp;A26,$B$2:$B$22)/B26/$F$2</f>
        <v>0.1</v>
      </c>
      <c r="H26" s="7">
        <v>3000</v>
      </c>
      <c r="I26" s="12">
        <f t="shared" ref="I26:N26" si="19">IF(I14=0,0,I$24/I14)</f>
        <v>0</v>
      </c>
      <c r="J26" s="12">
        <f t="shared" si="19"/>
        <v>0</v>
      </c>
      <c r="K26" s="12">
        <f t="shared" si="19"/>
        <v>0</v>
      </c>
      <c r="L26" s="12">
        <f t="shared" si="19"/>
        <v>0</v>
      </c>
      <c r="M26" s="12">
        <f t="shared" si="19"/>
        <v>0</v>
      </c>
      <c r="N26" s="12">
        <f t="shared" si="19"/>
        <v>0</v>
      </c>
      <c r="O26" s="7">
        <f>IF(N26&gt;0,SUMIF($D$2:$D$21,"&lt;="&amp;$N$23,$B$2:B21),IF(M26&gt;0,SUMIF($D$2:$D$21,"&lt;="&amp;$M$23,$B$2:B21),IF(L26&gt;0,SUMIF($D$2:$D$21,"&lt;="&amp;$L$23,$B$2:B21),IF(K26&gt;0,SUMIF($D$2:$D$21,"&lt;="&amp;$K$23,$B$2:B21),IF(J26&gt;0,SUMIF($D$2:$D$21,"&lt;="&amp;$J$23,$B$2:B21),IF(I26&gt;0,SUMIF($D$2:$D$21,"&lt;="&amp;$I$23,$B$2:B21),0))))))</f>
        <v>0</v>
      </c>
      <c r="P26" s="12">
        <f t="shared" si="16"/>
        <v>0</v>
      </c>
      <c r="Q26" s="7">
        <f t="shared" si="17"/>
        <v>0</v>
      </c>
    </row>
    <row r="27" spans="1:36">
      <c r="A27" s="6">
        <v>2</v>
      </c>
      <c r="B27" s="6">
        <v>50</v>
      </c>
      <c r="C27" s="11">
        <f t="shared" si="18"/>
        <v>0.296</v>
      </c>
      <c r="H27" s="7">
        <v>10000</v>
      </c>
      <c r="I27" s="12">
        <f t="shared" ref="I27:N27" si="20">IF(I15=0,0,I$24/I15)</f>
        <v>25.6410256410256</v>
      </c>
      <c r="J27" s="12">
        <f t="shared" si="20"/>
        <v>0</v>
      </c>
      <c r="K27" s="12">
        <f t="shared" si="20"/>
        <v>0</v>
      </c>
      <c r="L27" s="12">
        <f t="shared" si="20"/>
        <v>0</v>
      </c>
      <c r="M27" s="12">
        <f t="shared" si="20"/>
        <v>0</v>
      </c>
      <c r="N27" s="12">
        <f t="shared" si="20"/>
        <v>0</v>
      </c>
      <c r="O27" s="7">
        <f>IF(N27&gt;0,SUMIF($D$2:$D$21,"&lt;="&amp;$N$23,$B$2:B22),IF(M27&gt;0,SUMIF($D$2:$D$21,"&lt;="&amp;$M$23,$B$2:B22),IF(L27&gt;0,SUMIF($D$2:$D$21,"&lt;="&amp;$L$23,$B$2:B22),IF(K27&gt;0,SUMIF($D$2:$D$21,"&lt;="&amp;$K$23,$B$2:B22),IF(J27&gt;0,SUMIF($D$2:$D$21,"&lt;="&amp;$J$23,$B$2:B22),IF(I27&gt;0,SUMIF($D$2:$D$21,"&lt;="&amp;$I$23,$B$2:B22),0))))))</f>
        <v>2500000</v>
      </c>
      <c r="P27" s="12">
        <f t="shared" si="16"/>
        <v>2.5</v>
      </c>
      <c r="Q27" s="7">
        <f t="shared" si="17"/>
        <v>25.6410256410256</v>
      </c>
    </row>
    <row r="28" spans="1:36">
      <c r="A28" s="6">
        <v>3</v>
      </c>
      <c r="B28" s="6">
        <v>50</v>
      </c>
      <c r="C28" s="11">
        <f t="shared" si="18"/>
        <v>0.512</v>
      </c>
      <c r="H28" s="7">
        <v>20000</v>
      </c>
      <c r="I28" s="12">
        <f t="shared" ref="I28:N28" si="21">IF(I16=0,0,I$24/I16)</f>
        <v>32.0512820512821</v>
      </c>
      <c r="J28" s="12">
        <f t="shared" si="21"/>
        <v>384.615384615385</v>
      </c>
      <c r="K28" s="12">
        <f t="shared" si="21"/>
        <v>0</v>
      </c>
      <c r="L28" s="12">
        <f t="shared" si="21"/>
        <v>0</v>
      </c>
      <c r="M28" s="12">
        <f t="shared" si="21"/>
        <v>0</v>
      </c>
      <c r="N28" s="12">
        <f t="shared" si="21"/>
        <v>0</v>
      </c>
      <c r="O28" s="7">
        <f>IF(N28&gt;0,SUMIF($D$2:$D$21,"&lt;="&amp;$N$23,$B$2:B23),IF(M28&gt;0,SUMIF($D$2:$D$21,"&lt;="&amp;$M$23,$B$2:B23),IF(L28&gt;0,SUMIF($D$2:$D$21,"&lt;="&amp;$L$23,$B$2:B23),IF(K28&gt;0,SUMIF($D$2:$D$21,"&lt;="&amp;$K$23,$B$2:B23),IF(J28&gt;0,SUMIF($D$2:$D$21,"&lt;="&amp;$J$23,$B$2:B23),IF(I28&gt;0,SUMIF($D$2:$D$21,"&lt;="&amp;$I$23,$B$2:B23),0))))))</f>
        <v>14800000</v>
      </c>
      <c r="P28" s="12">
        <f t="shared" si="16"/>
        <v>14.8</v>
      </c>
      <c r="Q28" s="7">
        <f t="shared" si="17"/>
        <v>384.615384615385</v>
      </c>
    </row>
    <row r="29" spans="1:36">
      <c r="A29" s="6">
        <v>4</v>
      </c>
      <c r="B29" s="6">
        <v>50</v>
      </c>
      <c r="C29" s="11">
        <f t="shared" si="18"/>
        <v>1.412</v>
      </c>
      <c r="H29" s="7">
        <v>50000</v>
      </c>
      <c r="I29" s="12">
        <f t="shared" ref="I29:N29" si="22">IF(I17=0,0,I$24/I17)</f>
        <v>0</v>
      </c>
      <c r="J29" s="12">
        <f t="shared" si="22"/>
        <v>73.2600732600733</v>
      </c>
      <c r="K29" s="12">
        <f t="shared" si="22"/>
        <v>73.2600732600733</v>
      </c>
      <c r="L29" s="12">
        <f t="shared" si="22"/>
        <v>769.230769230769</v>
      </c>
      <c r="M29" s="12">
        <f t="shared" si="22"/>
        <v>0</v>
      </c>
      <c r="N29" s="12">
        <f t="shared" si="22"/>
        <v>0</v>
      </c>
      <c r="O29" s="7">
        <f>IF(N29&gt;0,SUMIF($D$2:$D$21,"&lt;="&amp;$N$23,$B$2:B24),IF(M29&gt;0,SUMIF($D$2:$D$21,"&lt;="&amp;$M$23,$B$2:B24),IF(L29&gt;0,SUMIF($D$2:$D$21,"&lt;="&amp;$L$23,$B$2:B24),IF(K29&gt;0,SUMIF($D$2:$D$21,"&lt;="&amp;$K$23,$B$2:B24),IF(J29&gt;0,SUMIF($D$2:$D$21,"&lt;="&amp;$J$23,$B$2:B24),IF(I29&gt;0,SUMIF($D$2:$D$21,"&lt;="&amp;$I$23,$B$2:B24),0))))))</f>
        <v>70600000</v>
      </c>
      <c r="P29" s="12">
        <f t="shared" si="16"/>
        <v>70.6</v>
      </c>
      <c r="Q29" s="7">
        <f t="shared" si="17"/>
        <v>769.230769230769</v>
      </c>
    </row>
    <row r="30" spans="1:36">
      <c r="A30" s="6">
        <v>5</v>
      </c>
      <c r="B30" s="6">
        <v>50</v>
      </c>
      <c r="C30" s="11">
        <f t="shared" si="18"/>
        <v>3.852</v>
      </c>
      <c r="H30" s="7">
        <v>100000</v>
      </c>
      <c r="I30" s="12">
        <f t="shared" ref="I30:N30" si="23">IF(I18=0,0,I$24/I18)</f>
        <v>0</v>
      </c>
      <c r="J30" s="12">
        <f t="shared" si="23"/>
        <v>0</v>
      </c>
      <c r="K30" s="12">
        <f t="shared" si="23"/>
        <v>100.421771440048</v>
      </c>
      <c r="L30" s="12">
        <f t="shared" si="23"/>
        <v>115.500115500115</v>
      </c>
      <c r="M30" s="12">
        <f t="shared" si="23"/>
        <v>1131.22171945701</v>
      </c>
      <c r="N30" s="12">
        <f t="shared" si="23"/>
        <v>0</v>
      </c>
      <c r="O30" s="7">
        <f>IF(N30&gt;0,SUMIF($D$2:$D$21,"&lt;="&amp;$N$23,$B$2:B25),IF(M30&gt;0,SUMIF($D$2:$D$21,"&lt;="&amp;$M$23,$B$2:B25),IF(L30&gt;0,SUMIF($D$2:$D$21,"&lt;="&amp;$L$23,$B$2:B25),IF(K30&gt;0,SUMIF($D$2:$D$21,"&lt;="&amp;$K$23,$B$2:B25),IF(J30&gt;0,SUMIF($D$2:$D$21,"&lt;="&amp;$J$23,$B$2:B25),IF(I30&gt;0,SUMIF($D$2:$D$21,"&lt;="&amp;$I$23,$B$2:B25),0))))))</f>
        <v>192600000</v>
      </c>
      <c r="P30" s="12">
        <f t="shared" si="16"/>
        <v>192.6</v>
      </c>
      <c r="Q30" s="7">
        <f t="shared" si="17"/>
        <v>1131.22171945701</v>
      </c>
    </row>
    <row r="31" spans="1:36">
      <c r="A31" s="6">
        <v>6</v>
      </c>
      <c r="B31" s="6">
        <v>40</v>
      </c>
      <c r="C31" s="11">
        <f>SUMIF($D$2:$D$21,"="&amp;A31,$B$2:$B$22)/B31/$F$2</f>
        <v>5.8125</v>
      </c>
      <c r="H31" s="7">
        <v>200000</v>
      </c>
      <c r="I31" s="12">
        <f t="shared" ref="I31:N31" si="24">IF(I19=0,0,I$24/I19)</f>
        <v>0</v>
      </c>
      <c r="J31" s="12">
        <f t="shared" si="24"/>
        <v>0</v>
      </c>
      <c r="K31" s="12">
        <f t="shared" si="24"/>
        <v>0</v>
      </c>
      <c r="L31" s="12">
        <f t="shared" si="24"/>
        <v>99.1276764472641</v>
      </c>
      <c r="M31" s="12">
        <f t="shared" si="24"/>
        <v>113.791533909877</v>
      </c>
      <c r="N31" s="12">
        <f t="shared" si="24"/>
        <v>1282.05128205128</v>
      </c>
      <c r="O31" s="7">
        <f>IF(N31&gt;0,SUMIF($D$2:$D$21,"&lt;="&amp;$N$23,$B$2:B26),IF(M31&gt;0,SUMIF($D$2:$D$21,"&lt;="&amp;$M$23,$B$2:B26),IF(L31&gt;0,SUMIF($D$2:$D$21,"&lt;="&amp;$L$23,$B$2:B26),IF(K31&gt;0,SUMIF($D$2:$D$21,"&lt;="&amp;$K$23,$B$2:B26),IF(J31&gt;0,SUMIF($D$2:$D$21,"&lt;="&amp;$J$23,$B$2:B26),IF(I31&gt;0,SUMIF($D$2:$D$21,"&lt;="&amp;$I$23,$B$2:B26),0))))))</f>
        <v>425100000</v>
      </c>
      <c r="P31" s="12">
        <f t="shared" si="16"/>
        <v>425.1</v>
      </c>
      <c r="Q31" s="7">
        <f t="shared" si="17"/>
        <v>1282.05128205128</v>
      </c>
    </row>
    <row r="32" spans="1:36">
      <c r="H32" s="7">
        <v>500000</v>
      </c>
      <c r="I32" s="12">
        <f t="shared" ref="I32:N32" si="25">IF(I20=0,0,I$24/I20)</f>
        <v>0</v>
      </c>
      <c r="J32" s="12">
        <f t="shared" si="25"/>
        <v>0</v>
      </c>
      <c r="K32" s="12">
        <f t="shared" si="25"/>
        <v>0</v>
      </c>
      <c r="L32" s="12">
        <f t="shared" si="25"/>
        <v>85.4700854700855</v>
      </c>
      <c r="M32" s="12">
        <f t="shared" si="25"/>
        <v>96.1538461538461</v>
      </c>
      <c r="N32" s="12">
        <f t="shared" si="25"/>
        <v>615.384615384615</v>
      </c>
      <c r="O32" s="7">
        <f>IF(N32&gt;0,SUMIF($D$2:$D$21,"&lt;="&amp;$N$23,$B$2:B27),IF(M32&gt;0,SUMIF($D$2:$D$21,"&lt;="&amp;$M$23,$B$2:B27),IF(L32&gt;0,SUMIF($D$2:$D$21,"&lt;="&amp;$L$23,$B$2:B27),IF(K32&gt;0,SUMIF($D$2:$D$21,"&lt;="&amp;$K$23,$B$2:B27),IF(J32&gt;0,SUMIF($D$2:$D$21,"&lt;="&amp;$J$23,$B$2:B27),IF(I32&gt;0,SUMIF($D$2:$D$21,"&lt;="&amp;$I$23,$B$2:B27),0))))))</f>
        <v>425100000</v>
      </c>
      <c r="P32" s="12">
        <f t="shared" si="16"/>
        <v>425.1</v>
      </c>
      <c r="Q32" s="7">
        <f t="shared" si="17"/>
        <v>615.384615384615</v>
      </c>
    </row>
    <row r="33" spans="6:25">
      <c r="H33" s="7">
        <v>1000000</v>
      </c>
      <c r="I33" s="12">
        <f t="shared" ref="I33:N33" si="26">IF(I21=0,0,I$24/I21)</f>
        <v>0</v>
      </c>
      <c r="J33" s="12">
        <f t="shared" si="26"/>
        <v>0</v>
      </c>
      <c r="K33" s="12">
        <f t="shared" si="26"/>
        <v>0</v>
      </c>
      <c r="L33" s="12">
        <f t="shared" si="26"/>
        <v>76.9230769230769</v>
      </c>
      <c r="M33" s="12">
        <f t="shared" si="26"/>
        <v>85.4700854700855</v>
      </c>
      <c r="N33" s="12">
        <f t="shared" si="26"/>
        <v>307.692307692308</v>
      </c>
      <c r="O33" s="7">
        <f>IF(N33&gt;0,SUMIF($D$2:$D$21,"&lt;="&amp;$N$23,$B$2:B28),IF(M33&gt;0,SUMIF($D$2:$D$21,"&lt;="&amp;$M$23,$B$2:B28),IF(L33&gt;0,SUMIF($D$2:$D$21,"&lt;="&amp;$L$23,$B$2:B28),IF(K33&gt;0,SUMIF($D$2:$D$21,"&lt;="&amp;$K$23,$B$2:B28),IF(J33&gt;0,SUMIF($D$2:$D$21,"&lt;="&amp;$J$23,$B$2:B28),IF(I33&gt;0,SUMIF($D$2:$D$21,"&lt;="&amp;$I$23,$B$2:B28),0))))))</f>
        <v>425100000</v>
      </c>
      <c r="P33" s="12">
        <f t="shared" si="16"/>
        <v>425.1</v>
      </c>
      <c r="Q33" s="7">
        <f t="shared" si="17"/>
        <v>307.692307692308</v>
      </c>
    </row>
    <row r="35" spans="6:25">
      <c r="F35" s="4" t="s">
        <v>36</v>
      </c>
      <c r="H35" s="7"/>
      <c r="I35" s="7"/>
      <c r="J35" s="7">
        <v>1000000</v>
      </c>
      <c r="K35" s="7">
        <v>1250000</v>
      </c>
      <c r="L35" s="7">
        <v>1500000</v>
      </c>
      <c r="M35" s="7">
        <v>1750000</v>
      </c>
      <c r="N35" s="7">
        <v>2000000</v>
      </c>
      <c r="O35" s="7">
        <v>2250000</v>
      </c>
      <c r="P35" s="7">
        <v>2500000</v>
      </c>
      <c r="Q35" s="7">
        <v>2500000</v>
      </c>
      <c r="R35" s="7">
        <v>2500000</v>
      </c>
      <c r="S35" s="7">
        <v>2500000</v>
      </c>
      <c r="T35" s="7">
        <v>2500000</v>
      </c>
      <c r="U35" s="7">
        <v>2500000</v>
      </c>
      <c r="V35" s="7">
        <v>2500000</v>
      </c>
      <c r="W35" s="7">
        <v>2500000</v>
      </c>
      <c r="X35" s="7">
        <v>2500000</v>
      </c>
      <c r="Y35" s="7">
        <v>2500000</v>
      </c>
    </row>
    <row r="36" spans="6:25">
      <c r="H36" s="7" t="s">
        <v>5</v>
      </c>
      <c r="I36" s="7" t="s">
        <v>37</v>
      </c>
      <c r="J36" s="7">
        <v>0</v>
      </c>
      <c r="K36" s="6">
        <v>1</v>
      </c>
      <c r="L36" s="6">
        <v>2</v>
      </c>
      <c r="M36" s="6">
        <v>3</v>
      </c>
      <c r="N36" s="6">
        <v>4</v>
      </c>
      <c r="O36" s="6">
        <v>5</v>
      </c>
      <c r="P36" s="6">
        <v>6</v>
      </c>
      <c r="Q36" s="6">
        <v>7</v>
      </c>
      <c r="R36" s="6">
        <v>8</v>
      </c>
      <c r="S36" s="6">
        <v>9</v>
      </c>
      <c r="T36" s="6">
        <v>10</v>
      </c>
      <c r="U36" s="6">
        <v>11</v>
      </c>
      <c r="V36" s="6">
        <v>12</v>
      </c>
      <c r="W36" s="6">
        <v>13</v>
      </c>
      <c r="X36" s="6">
        <v>14</v>
      </c>
      <c r="Y36" s="6">
        <v>15</v>
      </c>
    </row>
    <row r="37" spans="6:25">
      <c r="H37" s="7">
        <v>1000</v>
      </c>
      <c r="I37" s="7">
        <v>70000</v>
      </c>
      <c r="J37" s="14">
        <v>0.07</v>
      </c>
      <c r="K37" s="14">
        <v>0.056</v>
      </c>
      <c r="L37" s="14">
        <v>0.0466666666666667</v>
      </c>
      <c r="M37" s="14">
        <v>0.04</v>
      </c>
      <c r="N37" s="14">
        <v>0.035</v>
      </c>
      <c r="O37" s="14">
        <v>0.0311111111111111</v>
      </c>
      <c r="P37" s="14">
        <v>0.028</v>
      </c>
      <c r="Q37" s="14">
        <v>0.028</v>
      </c>
      <c r="R37" s="14">
        <v>0.028</v>
      </c>
      <c r="S37" s="14">
        <v>0.028</v>
      </c>
      <c r="T37" s="14">
        <v>0.028</v>
      </c>
      <c r="U37" s="14">
        <v>0.028</v>
      </c>
      <c r="V37" s="14">
        <v>0.028</v>
      </c>
      <c r="W37" s="14">
        <v>0.028</v>
      </c>
      <c r="X37" s="14">
        <v>0.028</v>
      </c>
      <c r="Y37" s="14">
        <v>0.028</v>
      </c>
    </row>
    <row r="38" spans="6:25">
      <c r="H38" s="7">
        <v>3000</v>
      </c>
      <c r="I38" s="7">
        <v>210000</v>
      </c>
      <c r="J38" s="14">
        <v>0.21</v>
      </c>
      <c r="K38" s="14">
        <v>0.168</v>
      </c>
      <c r="L38" s="14">
        <v>0.14</v>
      </c>
      <c r="M38" s="14">
        <v>0.12</v>
      </c>
      <c r="N38" s="14">
        <v>0.105</v>
      </c>
      <c r="O38" s="14">
        <v>0.0933333333333333</v>
      </c>
      <c r="P38" s="14">
        <v>0.084</v>
      </c>
      <c r="Q38" s="14">
        <v>0.084</v>
      </c>
      <c r="R38" s="14">
        <v>0.084</v>
      </c>
      <c r="S38" s="14">
        <v>0.084</v>
      </c>
      <c r="T38" s="14">
        <v>0.084</v>
      </c>
      <c r="U38" s="14">
        <v>0.084</v>
      </c>
      <c r="V38" s="14">
        <v>0.084</v>
      </c>
      <c r="W38" s="14">
        <v>0.084</v>
      </c>
      <c r="X38" s="14">
        <v>0.084</v>
      </c>
      <c r="Y38" s="14">
        <v>0.084</v>
      </c>
    </row>
    <row r="39" spans="6:25">
      <c r="H39" s="7">
        <v>10000</v>
      </c>
      <c r="I39" s="7">
        <v>700000</v>
      </c>
      <c r="J39" s="14">
        <v>0.7</v>
      </c>
      <c r="K39" s="14">
        <v>0.56</v>
      </c>
      <c r="L39" s="14">
        <v>0.466666666666667</v>
      </c>
      <c r="M39" s="14">
        <v>0.4</v>
      </c>
      <c r="N39" s="14">
        <v>0.35</v>
      </c>
      <c r="O39" s="14">
        <v>0.311111111111111</v>
      </c>
      <c r="P39" s="14">
        <v>0.28</v>
      </c>
      <c r="Q39" s="14">
        <v>0.28</v>
      </c>
      <c r="R39" s="14">
        <v>0.28</v>
      </c>
      <c r="S39" s="14">
        <v>0.28</v>
      </c>
      <c r="T39" s="14">
        <v>0.28</v>
      </c>
      <c r="U39" s="14">
        <v>0.28</v>
      </c>
      <c r="V39" s="14">
        <v>0.28</v>
      </c>
      <c r="W39" s="14">
        <v>0.28</v>
      </c>
      <c r="X39" s="14">
        <v>0.28</v>
      </c>
      <c r="Y39" s="14">
        <v>0.28</v>
      </c>
    </row>
    <row r="40" spans="6:25">
      <c r="H40" s="7">
        <v>20000</v>
      </c>
      <c r="I40" s="7">
        <v>1400000</v>
      </c>
      <c r="J40" s="14">
        <v>1.4</v>
      </c>
      <c r="K40" s="14">
        <v>1.12</v>
      </c>
      <c r="L40" s="14">
        <v>0.933333333333333</v>
      </c>
      <c r="M40" s="14">
        <v>0.8</v>
      </c>
      <c r="N40" s="14">
        <v>0.7</v>
      </c>
      <c r="O40" s="14">
        <v>0.622222222222222</v>
      </c>
      <c r="P40" s="14">
        <v>0.56</v>
      </c>
      <c r="Q40" s="14">
        <v>0.56</v>
      </c>
      <c r="R40" s="14">
        <v>0.56</v>
      </c>
      <c r="S40" s="14">
        <v>0.56</v>
      </c>
      <c r="T40" s="14">
        <v>0.56</v>
      </c>
      <c r="U40" s="14">
        <v>0.56</v>
      </c>
      <c r="V40" s="14">
        <v>0.56</v>
      </c>
      <c r="W40" s="14">
        <v>0.56</v>
      </c>
      <c r="X40" s="14">
        <v>0.56</v>
      </c>
      <c r="Y40" s="14">
        <v>0.56</v>
      </c>
    </row>
    <row r="41" spans="6:25">
      <c r="H41" s="7">
        <v>50000</v>
      </c>
      <c r="I41" s="7">
        <v>3500000</v>
      </c>
      <c r="J41" s="14">
        <v>3.2741935483871</v>
      </c>
      <c r="K41" s="14">
        <v>2.70666666666667</v>
      </c>
      <c r="L41" s="14">
        <v>2.25555555555556</v>
      </c>
      <c r="M41" s="14">
        <v>1.93333333333333</v>
      </c>
      <c r="N41" s="14">
        <v>1.75</v>
      </c>
      <c r="O41" s="14">
        <v>1.55555555555556</v>
      </c>
      <c r="P41" s="14">
        <v>1.4</v>
      </c>
      <c r="Q41" s="14">
        <v>1.4</v>
      </c>
      <c r="R41" s="14">
        <v>1.4</v>
      </c>
      <c r="S41" s="14">
        <v>1.4</v>
      </c>
      <c r="T41" s="14">
        <v>1.4</v>
      </c>
      <c r="U41" s="14">
        <v>1.4</v>
      </c>
      <c r="V41" s="14">
        <v>1.4</v>
      </c>
      <c r="W41" s="14">
        <v>1.4</v>
      </c>
      <c r="X41" s="14">
        <v>1.4</v>
      </c>
      <c r="Y41" s="14">
        <v>1.4</v>
      </c>
    </row>
    <row r="42" spans="6:25">
      <c r="H42" s="7">
        <v>100000</v>
      </c>
      <c r="I42" s="7">
        <v>7000000</v>
      </c>
      <c r="J42" s="14">
        <v>5.8</v>
      </c>
      <c r="K42" s="14">
        <v>4.92121212121212</v>
      </c>
      <c r="L42" s="14">
        <v>4.22916666666667</v>
      </c>
      <c r="M42" s="14">
        <v>3.625</v>
      </c>
      <c r="N42" s="14">
        <v>3.2741935483871</v>
      </c>
      <c r="O42" s="14">
        <v>2.91039426523297</v>
      </c>
      <c r="P42" s="14">
        <v>2.70666666666667</v>
      </c>
      <c r="Q42" s="14">
        <v>2.70666666666667</v>
      </c>
      <c r="R42" s="14">
        <v>2.70666666666667</v>
      </c>
      <c r="S42" s="14">
        <v>2.70666666666667</v>
      </c>
      <c r="T42" s="14">
        <v>2.70666666666667</v>
      </c>
      <c r="U42" s="14">
        <v>2.70666666666667</v>
      </c>
      <c r="V42" s="14">
        <v>2.70666666666667</v>
      </c>
      <c r="W42" s="14">
        <v>2.70666666666667</v>
      </c>
      <c r="X42" s="14">
        <v>2.70666666666667</v>
      </c>
      <c r="Y42" s="14">
        <v>2.70666666666667</v>
      </c>
    </row>
    <row r="43" spans="6:25">
      <c r="H43" s="7">
        <v>200000</v>
      </c>
      <c r="I43" s="7">
        <v>14000000</v>
      </c>
      <c r="J43" s="14">
        <v>9.66666666666666</v>
      </c>
      <c r="K43" s="14">
        <v>8.32820512820512</v>
      </c>
      <c r="L43" s="14">
        <v>7.31531531531531</v>
      </c>
      <c r="M43" s="14">
        <v>6.44444444444444</v>
      </c>
      <c r="N43" s="14">
        <v>5.8</v>
      </c>
      <c r="O43" s="14">
        <v>5.30718954248366</v>
      </c>
      <c r="P43" s="14">
        <v>4.92121212121212</v>
      </c>
      <c r="Q43" s="14">
        <v>4.92121212121212</v>
      </c>
      <c r="R43" s="14">
        <v>4.92121212121212</v>
      </c>
      <c r="S43" s="14">
        <v>4.92121212121212</v>
      </c>
      <c r="T43" s="14">
        <v>4.92121212121212</v>
      </c>
      <c r="U43" s="14">
        <v>4.92121212121212</v>
      </c>
      <c r="V43" s="14">
        <v>4.92121212121212</v>
      </c>
      <c r="W43" s="14">
        <v>4.92121212121212</v>
      </c>
      <c r="X43" s="14">
        <v>4.92121212121212</v>
      </c>
      <c r="Y43" s="14">
        <v>4.92121212121212</v>
      </c>
    </row>
    <row r="44" spans="6:25">
      <c r="H44" s="7">
        <v>500000</v>
      </c>
      <c r="I44" s="7">
        <v>35000000</v>
      </c>
      <c r="J44" s="14">
        <v>21.1458333333333</v>
      </c>
      <c r="K44" s="14">
        <v>17.6521739130435</v>
      </c>
      <c r="L44" s="14">
        <v>15.037037037037</v>
      </c>
      <c r="M44" s="14">
        <v>12.8888888888889</v>
      </c>
      <c r="N44" s="14">
        <v>11.8023255813953</v>
      </c>
      <c r="O44" s="14">
        <v>10.4909560723514</v>
      </c>
      <c r="P44" s="14">
        <v>9.66666666666666</v>
      </c>
      <c r="Q44" s="14">
        <v>9.66666666666666</v>
      </c>
      <c r="R44" s="14">
        <v>9.66666666666666</v>
      </c>
      <c r="S44" s="14">
        <v>9.66666666666666</v>
      </c>
      <c r="T44" s="14">
        <v>9.66666666666666</v>
      </c>
      <c r="U44" s="14">
        <v>9.66666666666666</v>
      </c>
      <c r="V44" s="14">
        <v>9.66666666666666</v>
      </c>
      <c r="W44" s="14">
        <v>9.66666666666666</v>
      </c>
      <c r="X44" s="14">
        <v>9.66666666666666</v>
      </c>
      <c r="Y44" s="14">
        <v>9.66666666666666</v>
      </c>
    </row>
    <row r="45" spans="6:25">
      <c r="H45" s="7">
        <v>1000000</v>
      </c>
      <c r="I45" s="7">
        <v>70000000</v>
      </c>
      <c r="J45" s="14">
        <v>37.5925925925926</v>
      </c>
      <c r="K45" s="14">
        <v>31.2307692307692</v>
      </c>
      <c r="L45" s="14">
        <v>27.0666666666666</v>
      </c>
      <c r="M45" s="14">
        <v>23.6734693877551</v>
      </c>
      <c r="N45" s="14">
        <v>21.1458333333333</v>
      </c>
      <c r="O45" s="14">
        <v>19.1962174940898</v>
      </c>
      <c r="P45" s="14">
        <v>17.6521739130435</v>
      </c>
      <c r="Q45" s="14">
        <v>17.6521739130435</v>
      </c>
      <c r="R45" s="14">
        <v>17.6521739130435</v>
      </c>
      <c r="S45" s="14">
        <v>17.6521739130435</v>
      </c>
      <c r="T45" s="14">
        <v>17.6521739130435</v>
      </c>
      <c r="U45" s="14">
        <v>17.6521739130435</v>
      </c>
      <c r="V45" s="14">
        <v>17.6521739130435</v>
      </c>
      <c r="W45" s="14">
        <v>17.6521739130435</v>
      </c>
      <c r="X45" s="14">
        <v>17.6521739130435</v>
      </c>
      <c r="Y45" s="14">
        <v>17.6521739130435</v>
      </c>
    </row>
    <row r="47" spans="6:25">
      <c r="F47" s="4" t="s">
        <v>38</v>
      </c>
      <c r="H47" s="7"/>
      <c r="I47" s="7"/>
      <c r="J47" s="7">
        <v>1000000</v>
      </c>
      <c r="K47" s="7">
        <v>1250000</v>
      </c>
      <c r="L47" s="7">
        <v>1500000</v>
      </c>
      <c r="M47" s="7">
        <v>1750000</v>
      </c>
      <c r="N47" s="7">
        <v>2000000</v>
      </c>
      <c r="O47" s="7">
        <v>2250000</v>
      </c>
      <c r="P47" s="7">
        <v>2500000</v>
      </c>
      <c r="Q47" s="7">
        <v>2500000</v>
      </c>
      <c r="R47" s="7">
        <v>2500000</v>
      </c>
      <c r="S47" s="7">
        <v>2500000</v>
      </c>
      <c r="T47" s="7">
        <v>2500000</v>
      </c>
      <c r="U47" s="7">
        <v>2500000</v>
      </c>
      <c r="V47" s="7">
        <v>2500000</v>
      </c>
      <c r="W47" s="7">
        <v>2500000</v>
      </c>
      <c r="X47" s="7">
        <v>2500000</v>
      </c>
      <c r="Y47" s="7">
        <v>2500000</v>
      </c>
    </row>
    <row r="48" spans="6:25">
      <c r="H48" s="7" t="s">
        <v>5</v>
      </c>
      <c r="I48" s="7" t="s">
        <v>37</v>
      </c>
      <c r="J48" s="7">
        <v>0</v>
      </c>
      <c r="K48" s="6">
        <v>1</v>
      </c>
      <c r="L48" s="6">
        <v>2</v>
      </c>
      <c r="M48" s="6">
        <v>3</v>
      </c>
      <c r="N48" s="6">
        <v>4</v>
      </c>
      <c r="O48" s="6">
        <v>5</v>
      </c>
      <c r="P48" s="6">
        <v>6</v>
      </c>
      <c r="Q48" s="6">
        <v>7</v>
      </c>
      <c r="R48" s="6">
        <v>8</v>
      </c>
      <c r="S48" s="6">
        <v>9</v>
      </c>
      <c r="T48" s="6">
        <v>10</v>
      </c>
      <c r="U48" s="6">
        <v>11</v>
      </c>
      <c r="V48" s="6">
        <v>12</v>
      </c>
      <c r="W48" s="6">
        <v>13</v>
      </c>
      <c r="X48" s="6">
        <v>14</v>
      </c>
      <c r="Y48" s="6">
        <v>15</v>
      </c>
    </row>
    <row r="49" spans="6:25">
      <c r="H49" s="7">
        <v>1000</v>
      </c>
      <c r="I49" s="7">
        <v>70000</v>
      </c>
      <c r="J49" s="13">
        <f ca="1" t="shared" ref="J49:Y49" si="27">IF($O25=0,0,$O25/$F$2/($Q25*J37))</f>
        <v>0</v>
      </c>
      <c r="K49" s="13">
        <f ca="1" t="shared" si="27"/>
        <v>0</v>
      </c>
      <c r="L49" s="13">
        <f ca="1" t="shared" si="27"/>
        <v>0</v>
      </c>
      <c r="M49" s="13">
        <f ca="1" t="shared" si="27"/>
        <v>0</v>
      </c>
      <c r="N49" s="13">
        <f ca="1" t="shared" si="27"/>
        <v>0</v>
      </c>
      <c r="O49" s="13">
        <f ca="1" t="shared" si="27"/>
        <v>0</v>
      </c>
      <c r="P49" s="13">
        <f ca="1" t="shared" si="27"/>
        <v>0</v>
      </c>
      <c r="Q49" s="13">
        <f ca="1" t="shared" si="27"/>
        <v>0</v>
      </c>
      <c r="R49" s="13">
        <f ca="1" t="shared" si="27"/>
        <v>0</v>
      </c>
      <c r="S49" s="13">
        <f ca="1" t="shared" si="27"/>
        <v>0</v>
      </c>
      <c r="T49" s="13">
        <f ca="1" t="shared" si="27"/>
        <v>0</v>
      </c>
      <c r="U49" s="13">
        <f ca="1" t="shared" si="27"/>
        <v>0</v>
      </c>
      <c r="V49" s="13">
        <f ca="1" t="shared" si="27"/>
        <v>0</v>
      </c>
      <c r="W49" s="13">
        <f ca="1" t="shared" si="27"/>
        <v>0</v>
      </c>
      <c r="X49" s="13">
        <f ca="1" t="shared" si="27"/>
        <v>0</v>
      </c>
      <c r="Y49" s="13">
        <f ca="1" t="shared" si="27"/>
        <v>0</v>
      </c>
    </row>
    <row r="50" spans="6:25">
      <c r="H50" s="7">
        <v>3000</v>
      </c>
      <c r="I50" s="7">
        <v>210000</v>
      </c>
      <c r="J50" s="13">
        <f t="shared" ref="J50:Y50" si="28">IF($O26=0,0,$O26/$F$2/($Q26*J38))</f>
        <v>0</v>
      </c>
      <c r="K50" s="13">
        <f t="shared" si="28"/>
        <v>0</v>
      </c>
      <c r="L50" s="13">
        <f t="shared" si="28"/>
        <v>0</v>
      </c>
      <c r="M50" s="13">
        <f t="shared" si="28"/>
        <v>0</v>
      </c>
      <c r="N50" s="13">
        <f t="shared" si="28"/>
        <v>0</v>
      </c>
      <c r="O50" s="13">
        <f t="shared" si="28"/>
        <v>0</v>
      </c>
      <c r="P50" s="13">
        <f t="shared" si="28"/>
        <v>0</v>
      </c>
      <c r="Q50" s="13">
        <f t="shared" si="28"/>
        <v>0</v>
      </c>
      <c r="R50" s="13">
        <f t="shared" si="28"/>
        <v>0</v>
      </c>
      <c r="S50" s="13">
        <f t="shared" si="28"/>
        <v>0</v>
      </c>
      <c r="T50" s="13">
        <f t="shared" si="28"/>
        <v>0</v>
      </c>
      <c r="U50" s="13">
        <f t="shared" si="28"/>
        <v>0</v>
      </c>
      <c r="V50" s="13">
        <f t="shared" si="28"/>
        <v>0</v>
      </c>
      <c r="W50" s="13">
        <f t="shared" si="28"/>
        <v>0</v>
      </c>
      <c r="X50" s="13">
        <f t="shared" si="28"/>
        <v>0</v>
      </c>
      <c r="Y50" s="13">
        <f t="shared" si="28"/>
        <v>0</v>
      </c>
    </row>
    <row r="51" spans="6:25">
      <c r="H51" s="7">
        <v>10000</v>
      </c>
      <c r="I51" s="7">
        <v>700000</v>
      </c>
      <c r="J51" s="13">
        <f t="shared" ref="J51:Y51" si="29">IF($O27=0,0,$O27/$F$2/($Q27*J39))</f>
        <v>0.139285714285715</v>
      </c>
      <c r="K51" s="13">
        <f t="shared" si="29"/>
        <v>0.174107142857143</v>
      </c>
      <c r="L51" s="13">
        <f t="shared" si="29"/>
        <v>0.208928571428572</v>
      </c>
      <c r="M51" s="13">
        <f t="shared" si="29"/>
        <v>0.24375</v>
      </c>
      <c r="N51" s="13">
        <f t="shared" si="29"/>
        <v>0.278571428571429</v>
      </c>
      <c r="O51" s="13">
        <f t="shared" si="29"/>
        <v>0.313392857142858</v>
      </c>
      <c r="P51" s="13">
        <f t="shared" si="29"/>
        <v>0.348214285714286</v>
      </c>
      <c r="Q51" s="13">
        <f t="shared" si="29"/>
        <v>0.348214285714286</v>
      </c>
      <c r="R51" s="13">
        <f t="shared" si="29"/>
        <v>0.348214285714286</v>
      </c>
      <c r="S51" s="13">
        <f t="shared" si="29"/>
        <v>0.348214285714286</v>
      </c>
      <c r="T51" s="13">
        <f t="shared" si="29"/>
        <v>0.348214285714286</v>
      </c>
      <c r="U51" s="13">
        <f t="shared" si="29"/>
        <v>0.348214285714286</v>
      </c>
      <c r="V51" s="13">
        <f t="shared" si="29"/>
        <v>0.348214285714286</v>
      </c>
      <c r="W51" s="13">
        <f t="shared" si="29"/>
        <v>0.348214285714286</v>
      </c>
      <c r="X51" s="13">
        <f t="shared" si="29"/>
        <v>0.348214285714286</v>
      </c>
      <c r="Y51" s="13">
        <f t="shared" si="29"/>
        <v>0.348214285714286</v>
      </c>
    </row>
    <row r="52" spans="6:25">
      <c r="H52" s="7">
        <v>20000</v>
      </c>
      <c r="I52" s="7">
        <v>1400000</v>
      </c>
      <c r="J52" s="13">
        <f t="shared" ref="J52:Y52" si="30">IF($O28=0,0,$O28/$F$2/($Q28*J40))</f>
        <v>0.0274857142857143</v>
      </c>
      <c r="K52" s="13">
        <f t="shared" si="30"/>
        <v>0.0343571428571429</v>
      </c>
      <c r="L52" s="13">
        <f t="shared" si="30"/>
        <v>0.0412285714285714</v>
      </c>
      <c r="M52" s="13">
        <f t="shared" si="30"/>
        <v>0.0481</v>
      </c>
      <c r="N52" s="13">
        <f t="shared" si="30"/>
        <v>0.0549714285714286</v>
      </c>
      <c r="O52" s="13">
        <f t="shared" si="30"/>
        <v>0.0618428571428572</v>
      </c>
      <c r="P52" s="13">
        <f t="shared" si="30"/>
        <v>0.0687142857142857</v>
      </c>
      <c r="Q52" s="13">
        <f t="shared" si="30"/>
        <v>0.0687142857142857</v>
      </c>
      <c r="R52" s="13">
        <f t="shared" si="30"/>
        <v>0.0687142857142857</v>
      </c>
      <c r="S52" s="13">
        <f t="shared" si="30"/>
        <v>0.0687142857142857</v>
      </c>
      <c r="T52" s="13">
        <f t="shared" si="30"/>
        <v>0.0687142857142857</v>
      </c>
      <c r="U52" s="13">
        <f t="shared" si="30"/>
        <v>0.0687142857142857</v>
      </c>
      <c r="V52" s="13">
        <f t="shared" si="30"/>
        <v>0.0687142857142857</v>
      </c>
      <c r="W52" s="13">
        <f t="shared" si="30"/>
        <v>0.0687142857142857</v>
      </c>
      <c r="X52" s="13">
        <f t="shared" si="30"/>
        <v>0.0687142857142857</v>
      </c>
      <c r="Y52" s="13">
        <f t="shared" si="30"/>
        <v>0.0687142857142857</v>
      </c>
    </row>
    <row r="53" spans="6:25">
      <c r="H53" s="7">
        <v>50000</v>
      </c>
      <c r="I53" s="7">
        <v>3500000</v>
      </c>
      <c r="J53" s="13">
        <f t="shared" ref="J53:Y53" si="31">IF($O29=0,0,$O29/$F$2/($Q29*J41))</f>
        <v>0.0280313300492611</v>
      </c>
      <c r="K53" s="13">
        <f t="shared" si="31"/>
        <v>0.0339088669950739</v>
      </c>
      <c r="L53" s="13">
        <f t="shared" si="31"/>
        <v>0.0406906403940886</v>
      </c>
      <c r="M53" s="13">
        <f t="shared" si="31"/>
        <v>0.0474724137931035</v>
      </c>
      <c r="N53" s="13">
        <f t="shared" si="31"/>
        <v>0.0524457142857143</v>
      </c>
      <c r="O53" s="13">
        <f t="shared" si="31"/>
        <v>0.0590014285714284</v>
      </c>
      <c r="P53" s="13">
        <f t="shared" si="31"/>
        <v>0.0655571428571429</v>
      </c>
      <c r="Q53" s="13">
        <f t="shared" si="31"/>
        <v>0.0655571428571429</v>
      </c>
      <c r="R53" s="13">
        <f t="shared" si="31"/>
        <v>0.0655571428571429</v>
      </c>
      <c r="S53" s="13">
        <f t="shared" si="31"/>
        <v>0.0655571428571429</v>
      </c>
      <c r="T53" s="13">
        <f t="shared" si="31"/>
        <v>0.0655571428571429</v>
      </c>
      <c r="U53" s="13">
        <f t="shared" si="31"/>
        <v>0.0655571428571429</v>
      </c>
      <c r="V53" s="13">
        <f t="shared" si="31"/>
        <v>0.0655571428571429</v>
      </c>
      <c r="W53" s="13">
        <f t="shared" si="31"/>
        <v>0.0655571428571429</v>
      </c>
      <c r="X53" s="13">
        <f t="shared" si="31"/>
        <v>0.0655571428571429</v>
      </c>
      <c r="Y53" s="13">
        <f t="shared" si="31"/>
        <v>0.0655571428571429</v>
      </c>
    </row>
    <row r="54" spans="6:25">
      <c r="H54" s="7">
        <v>100000</v>
      </c>
      <c r="I54" s="7">
        <v>7000000</v>
      </c>
      <c r="J54" s="13">
        <f t="shared" ref="J54:Y54" si="32">IF($O30=0,0,$O30/$F$2/($Q30*J42))</f>
        <v>0.0293548965517241</v>
      </c>
      <c r="K54" s="13">
        <f t="shared" si="32"/>
        <v>0.034596842364532</v>
      </c>
      <c r="L54" s="13">
        <f t="shared" si="32"/>
        <v>0.0402581438423645</v>
      </c>
      <c r="M54" s="13">
        <f t="shared" si="32"/>
        <v>0.0469678344827586</v>
      </c>
      <c r="N54" s="13">
        <f t="shared" si="32"/>
        <v>0.0520001024630541</v>
      </c>
      <c r="O54" s="13">
        <f t="shared" si="32"/>
        <v>0.0585001152709361</v>
      </c>
      <c r="P54" s="13">
        <f t="shared" si="32"/>
        <v>0.0629033497536945</v>
      </c>
      <c r="Q54" s="13">
        <f t="shared" si="32"/>
        <v>0.0629033497536945</v>
      </c>
      <c r="R54" s="13">
        <f t="shared" si="32"/>
        <v>0.0629033497536945</v>
      </c>
      <c r="S54" s="13">
        <f t="shared" si="32"/>
        <v>0.0629033497536945</v>
      </c>
      <c r="T54" s="13">
        <f t="shared" si="32"/>
        <v>0.0629033497536945</v>
      </c>
      <c r="U54" s="13">
        <f t="shared" si="32"/>
        <v>0.0629033497536945</v>
      </c>
      <c r="V54" s="13">
        <f t="shared" si="32"/>
        <v>0.0629033497536945</v>
      </c>
      <c r="W54" s="13">
        <f t="shared" si="32"/>
        <v>0.0629033497536945</v>
      </c>
      <c r="X54" s="13">
        <f t="shared" si="32"/>
        <v>0.0629033497536945</v>
      </c>
      <c r="Y54" s="13">
        <f t="shared" si="32"/>
        <v>0.0629033497536945</v>
      </c>
    </row>
    <row r="55" spans="6:25">
      <c r="H55" s="7">
        <v>200000</v>
      </c>
      <c r="I55" s="7">
        <v>14000000</v>
      </c>
      <c r="J55" s="13">
        <f t="shared" ref="J55:Y55" si="33">IF($O31=0,0,$O31/$F$2/($Q31*J43))</f>
        <v>0.0343011724137931</v>
      </c>
      <c r="K55" s="13">
        <f t="shared" si="33"/>
        <v>0.0398138608374385</v>
      </c>
      <c r="L55" s="13">
        <f t="shared" si="33"/>
        <v>0.0453265492610838</v>
      </c>
      <c r="M55" s="13">
        <f t="shared" si="33"/>
        <v>0.0514517586206897</v>
      </c>
      <c r="N55" s="13">
        <f t="shared" si="33"/>
        <v>0.0571686206896552</v>
      </c>
      <c r="O55" s="13">
        <f t="shared" si="33"/>
        <v>0.0624771354679803</v>
      </c>
      <c r="P55" s="13">
        <f t="shared" si="33"/>
        <v>0.067377302955665</v>
      </c>
      <c r="Q55" s="13">
        <f t="shared" si="33"/>
        <v>0.067377302955665</v>
      </c>
      <c r="R55" s="13">
        <f t="shared" si="33"/>
        <v>0.067377302955665</v>
      </c>
      <c r="S55" s="13">
        <f t="shared" si="33"/>
        <v>0.067377302955665</v>
      </c>
      <c r="T55" s="13">
        <f t="shared" si="33"/>
        <v>0.067377302955665</v>
      </c>
      <c r="U55" s="13">
        <f t="shared" si="33"/>
        <v>0.067377302955665</v>
      </c>
      <c r="V55" s="13">
        <f t="shared" si="33"/>
        <v>0.067377302955665</v>
      </c>
      <c r="W55" s="13">
        <f t="shared" si="33"/>
        <v>0.067377302955665</v>
      </c>
      <c r="X55" s="13">
        <f t="shared" si="33"/>
        <v>0.067377302955665</v>
      </c>
      <c r="Y55" s="13">
        <f t="shared" si="33"/>
        <v>0.067377302955665</v>
      </c>
    </row>
    <row r="56" spans="6:25">
      <c r="H56" s="7">
        <v>500000</v>
      </c>
      <c r="I56" s="7">
        <v>35000000</v>
      </c>
      <c r="J56" s="13">
        <f t="shared" ref="J56:Y56" si="34">IF($O32=0,0,$O32/$F$2/($Q32*J44))</f>
        <v>0.0326677832512316</v>
      </c>
      <c r="K56" s="13">
        <f t="shared" si="34"/>
        <v>0.0391332820197044</v>
      </c>
      <c r="L56" s="13">
        <f t="shared" si="34"/>
        <v>0.0459390701970444</v>
      </c>
      <c r="M56" s="13">
        <f t="shared" si="34"/>
        <v>0.0535955818965517</v>
      </c>
      <c r="N56" s="13">
        <f t="shared" si="34"/>
        <v>0.0585297783251234</v>
      </c>
      <c r="O56" s="13">
        <f t="shared" si="34"/>
        <v>0.0658460006157637</v>
      </c>
      <c r="P56" s="13">
        <f t="shared" si="34"/>
        <v>0.071460775862069</v>
      </c>
      <c r="Q56" s="13">
        <f t="shared" si="34"/>
        <v>0.071460775862069</v>
      </c>
      <c r="R56" s="13">
        <f t="shared" si="34"/>
        <v>0.071460775862069</v>
      </c>
      <c r="S56" s="13">
        <f t="shared" si="34"/>
        <v>0.071460775862069</v>
      </c>
      <c r="T56" s="13">
        <f t="shared" si="34"/>
        <v>0.071460775862069</v>
      </c>
      <c r="U56" s="13">
        <f t="shared" si="34"/>
        <v>0.071460775862069</v>
      </c>
      <c r="V56" s="13">
        <f t="shared" si="34"/>
        <v>0.071460775862069</v>
      </c>
      <c r="W56" s="13">
        <f t="shared" si="34"/>
        <v>0.071460775862069</v>
      </c>
      <c r="X56" s="13">
        <f t="shared" si="34"/>
        <v>0.071460775862069</v>
      </c>
      <c r="Y56" s="13">
        <f t="shared" si="34"/>
        <v>0.071460775862069</v>
      </c>
    </row>
    <row r="57" spans="6:25">
      <c r="H57" s="7">
        <v>1000000</v>
      </c>
      <c r="I57" s="7">
        <v>70000000</v>
      </c>
      <c r="J57" s="13">
        <f t="shared" ref="J57:Y57" si="35">IF($O33=0,0,$O33/$F$2/($Q33*J45))</f>
        <v>0.0367512561576355</v>
      </c>
      <c r="K57" s="13">
        <f t="shared" si="35"/>
        <v>0.0442376231527094</v>
      </c>
      <c r="L57" s="13">
        <f t="shared" si="35"/>
        <v>0.0510434113300494</v>
      </c>
      <c r="M57" s="13">
        <f t="shared" si="35"/>
        <v>0.0583596336206897</v>
      </c>
      <c r="N57" s="13">
        <f t="shared" si="35"/>
        <v>0.0653355665024632</v>
      </c>
      <c r="O57" s="13">
        <f t="shared" si="35"/>
        <v>0.0719712099753696</v>
      </c>
      <c r="P57" s="13">
        <f t="shared" si="35"/>
        <v>0.0782665640394088</v>
      </c>
      <c r="Q57" s="13">
        <f t="shared" si="35"/>
        <v>0.0782665640394088</v>
      </c>
      <c r="R57" s="13">
        <f t="shared" si="35"/>
        <v>0.0782665640394088</v>
      </c>
      <c r="S57" s="13">
        <f t="shared" si="35"/>
        <v>0.0782665640394088</v>
      </c>
      <c r="T57" s="13">
        <f t="shared" si="35"/>
        <v>0.0782665640394088</v>
      </c>
      <c r="U57" s="13">
        <f t="shared" si="35"/>
        <v>0.0782665640394088</v>
      </c>
      <c r="V57" s="13">
        <f t="shared" si="35"/>
        <v>0.0782665640394088</v>
      </c>
      <c r="W57" s="13">
        <f t="shared" si="35"/>
        <v>0.0782665640394088</v>
      </c>
      <c r="X57" s="13">
        <f t="shared" si="35"/>
        <v>0.0782665640394088</v>
      </c>
      <c r="Y57" s="13">
        <f t="shared" si="35"/>
        <v>0.0782665640394088</v>
      </c>
    </row>
    <row r="59" spans="6:25">
      <c r="F59" s="4" t="s">
        <v>39</v>
      </c>
      <c r="H59" s="7"/>
      <c r="I59" s="7"/>
      <c r="J59" s="7">
        <v>1000000</v>
      </c>
      <c r="K59" s="7">
        <v>1250000</v>
      </c>
      <c r="L59" s="7">
        <v>1500000</v>
      </c>
      <c r="M59" s="7">
        <v>1750000</v>
      </c>
      <c r="N59" s="7">
        <v>2000000</v>
      </c>
      <c r="O59" s="7">
        <v>2250000</v>
      </c>
      <c r="P59" s="7">
        <v>2500000</v>
      </c>
      <c r="Q59" s="7">
        <v>2500000</v>
      </c>
      <c r="R59" s="7">
        <v>2500000</v>
      </c>
      <c r="S59" s="7">
        <v>2500000</v>
      </c>
      <c r="T59" s="7">
        <v>2500000</v>
      </c>
      <c r="U59" s="7">
        <v>2500000</v>
      </c>
      <c r="V59" s="7">
        <v>2500000</v>
      </c>
      <c r="W59" s="7">
        <v>2500000</v>
      </c>
      <c r="X59" s="7">
        <v>2500000</v>
      </c>
      <c r="Y59" s="7">
        <v>2500000</v>
      </c>
    </row>
    <row r="60" spans="6:25">
      <c r="H60" s="7" t="s">
        <v>5</v>
      </c>
      <c r="I60" s="7" t="s">
        <v>37</v>
      </c>
      <c r="J60" s="7">
        <v>0</v>
      </c>
      <c r="K60" s="6">
        <v>1</v>
      </c>
      <c r="L60" s="6">
        <v>2</v>
      </c>
      <c r="M60" s="6">
        <v>3</v>
      </c>
      <c r="N60" s="6">
        <v>4</v>
      </c>
      <c r="O60" s="6">
        <v>5</v>
      </c>
      <c r="P60" s="6">
        <v>6</v>
      </c>
      <c r="Q60" s="6">
        <v>7</v>
      </c>
      <c r="R60" s="6">
        <v>8</v>
      </c>
      <c r="S60" s="6">
        <v>9</v>
      </c>
      <c r="T60" s="6">
        <v>10</v>
      </c>
      <c r="U60" s="6">
        <v>11</v>
      </c>
      <c r="V60" s="6">
        <v>12</v>
      </c>
      <c r="W60" s="6">
        <v>13</v>
      </c>
      <c r="X60" s="6">
        <v>14</v>
      </c>
      <c r="Y60" s="6">
        <v>15</v>
      </c>
    </row>
    <row r="61" spans="6:25">
      <c r="H61" s="7">
        <v>1000</v>
      </c>
      <c r="I61" s="7">
        <v>70000</v>
      </c>
      <c r="J61" s="13">
        <f ca="1">IF($O25=0,0,$O25/$F$2/($Q25*$K2))*(J$59/$J$59)</f>
        <v>0</v>
      </c>
      <c r="K61" s="13">
        <f ca="1" t="shared" ref="K61:Y61" si="36">IF($O25=0,0,$O25/$F$2/($Q25*$K2))*(K$59/$J$59)</f>
        <v>0</v>
      </c>
      <c r="L61" s="13">
        <f ca="1" t="shared" si="36"/>
        <v>0</v>
      </c>
      <c r="M61" s="13">
        <f ca="1" t="shared" si="36"/>
        <v>0</v>
      </c>
      <c r="N61" s="13">
        <f ca="1" t="shared" si="36"/>
        <v>0</v>
      </c>
      <c r="O61" s="13">
        <f ca="1" t="shared" si="36"/>
        <v>0</v>
      </c>
      <c r="P61" s="13">
        <f ca="1" t="shared" si="36"/>
        <v>0</v>
      </c>
      <c r="Q61" s="13">
        <f ca="1" t="shared" si="36"/>
        <v>0</v>
      </c>
      <c r="R61" s="13">
        <f ca="1" t="shared" si="36"/>
        <v>0</v>
      </c>
      <c r="S61" s="13">
        <f ca="1" t="shared" si="36"/>
        <v>0</v>
      </c>
      <c r="T61" s="13">
        <f ca="1" t="shared" si="36"/>
        <v>0</v>
      </c>
      <c r="U61" s="13">
        <f ca="1" t="shared" si="36"/>
        <v>0</v>
      </c>
      <c r="V61" s="13">
        <f ca="1" t="shared" si="36"/>
        <v>0</v>
      </c>
      <c r="W61" s="13">
        <f ca="1" t="shared" si="36"/>
        <v>0</v>
      </c>
      <c r="X61" s="13">
        <f ca="1" t="shared" si="36"/>
        <v>0</v>
      </c>
      <c r="Y61" s="13">
        <f ca="1" t="shared" si="36"/>
        <v>0</v>
      </c>
    </row>
    <row r="62" spans="6:25">
      <c r="H62" s="7">
        <v>3000</v>
      </c>
      <c r="I62" s="7">
        <v>210000</v>
      </c>
      <c r="J62" s="13">
        <f t="shared" ref="J62:J69" si="37">IF($O26=0,0,$O26/$F$2/($Q26*$K3))*(J$59/$J$59)</f>
        <v>0</v>
      </c>
      <c r="K62" s="13">
        <f t="shared" ref="K62:Y62" si="38">IF($O26=0,0,$O26/$F$2/($Q26*$K3))*(K$59/$J$59)</f>
        <v>0</v>
      </c>
      <c r="L62" s="13">
        <f t="shared" si="38"/>
        <v>0</v>
      </c>
      <c r="M62" s="13">
        <f t="shared" si="38"/>
        <v>0</v>
      </c>
      <c r="N62" s="13">
        <f t="shared" si="38"/>
        <v>0</v>
      </c>
      <c r="O62" s="13">
        <f t="shared" si="38"/>
        <v>0</v>
      </c>
      <c r="P62" s="13">
        <f t="shared" si="38"/>
        <v>0</v>
      </c>
      <c r="Q62" s="13">
        <f t="shared" si="38"/>
        <v>0</v>
      </c>
      <c r="R62" s="13">
        <f t="shared" si="38"/>
        <v>0</v>
      </c>
      <c r="S62" s="13">
        <f t="shared" si="38"/>
        <v>0</v>
      </c>
      <c r="T62" s="13">
        <f t="shared" si="38"/>
        <v>0</v>
      </c>
      <c r="U62" s="13">
        <f t="shared" si="38"/>
        <v>0</v>
      </c>
      <c r="V62" s="13">
        <f t="shared" si="38"/>
        <v>0</v>
      </c>
      <c r="W62" s="13">
        <f t="shared" si="38"/>
        <v>0</v>
      </c>
      <c r="X62" s="13">
        <f t="shared" si="38"/>
        <v>0</v>
      </c>
      <c r="Y62" s="13">
        <f t="shared" si="38"/>
        <v>0</v>
      </c>
    </row>
    <row r="63" spans="6:25">
      <c r="H63" s="7">
        <v>10000</v>
      </c>
      <c r="I63" s="7">
        <v>700000</v>
      </c>
      <c r="J63" s="13">
        <f t="shared" si="37"/>
        <v>1.39285714285715</v>
      </c>
      <c r="K63" s="13">
        <f t="shared" ref="K63:Y63" si="39">IF($O27=0,0,$O27/$F$2/($Q27*$K4))*(K$59/$J$59)</f>
        <v>1.74107142857143</v>
      </c>
      <c r="L63" s="13">
        <f t="shared" si="39"/>
        <v>2.08928571428572</v>
      </c>
      <c r="M63" s="13">
        <f t="shared" si="39"/>
        <v>2.4375</v>
      </c>
      <c r="N63" s="13">
        <f t="shared" si="39"/>
        <v>2.78571428571429</v>
      </c>
      <c r="O63" s="13">
        <f t="shared" si="39"/>
        <v>3.13392857142858</v>
      </c>
      <c r="P63" s="13">
        <f t="shared" si="39"/>
        <v>3.48214285714286</v>
      </c>
      <c r="Q63" s="13">
        <f t="shared" si="39"/>
        <v>3.48214285714286</v>
      </c>
      <c r="R63" s="13">
        <f t="shared" si="39"/>
        <v>3.48214285714286</v>
      </c>
      <c r="S63" s="13">
        <f t="shared" si="39"/>
        <v>3.48214285714286</v>
      </c>
      <c r="T63" s="13">
        <f t="shared" si="39"/>
        <v>3.48214285714286</v>
      </c>
      <c r="U63" s="13">
        <f t="shared" si="39"/>
        <v>3.48214285714286</v>
      </c>
      <c r="V63" s="13">
        <f t="shared" si="39"/>
        <v>3.48214285714286</v>
      </c>
      <c r="W63" s="13">
        <f t="shared" si="39"/>
        <v>3.48214285714286</v>
      </c>
      <c r="X63" s="13">
        <f t="shared" si="39"/>
        <v>3.48214285714286</v>
      </c>
      <c r="Y63" s="13">
        <f t="shared" si="39"/>
        <v>3.48214285714286</v>
      </c>
    </row>
    <row r="64" spans="6:25">
      <c r="H64" s="7">
        <v>20000</v>
      </c>
      <c r="I64" s="7">
        <v>1400000</v>
      </c>
      <c r="J64" s="13">
        <f t="shared" si="37"/>
        <v>0.274857142857143</v>
      </c>
      <c r="K64" s="13">
        <f t="shared" ref="K64:Y64" si="40">IF($O28=0,0,$O28/$F$2/($Q28*$K5))*(K$59/$J$59)</f>
        <v>0.343571428571428</v>
      </c>
      <c r="L64" s="13">
        <f t="shared" si="40"/>
        <v>0.412285714285714</v>
      </c>
      <c r="M64" s="13">
        <f t="shared" si="40"/>
        <v>0.481</v>
      </c>
      <c r="N64" s="13">
        <f t="shared" si="40"/>
        <v>0.549714285714285</v>
      </c>
      <c r="O64" s="13">
        <f t="shared" si="40"/>
        <v>0.618428571428571</v>
      </c>
      <c r="P64" s="13">
        <f t="shared" si="40"/>
        <v>0.687142857142856</v>
      </c>
      <c r="Q64" s="13">
        <f t="shared" si="40"/>
        <v>0.687142857142856</v>
      </c>
      <c r="R64" s="13">
        <f t="shared" si="40"/>
        <v>0.687142857142856</v>
      </c>
      <c r="S64" s="13">
        <f t="shared" si="40"/>
        <v>0.687142857142856</v>
      </c>
      <c r="T64" s="13">
        <f t="shared" si="40"/>
        <v>0.687142857142856</v>
      </c>
      <c r="U64" s="13">
        <f t="shared" si="40"/>
        <v>0.687142857142856</v>
      </c>
      <c r="V64" s="13">
        <f t="shared" si="40"/>
        <v>0.687142857142856</v>
      </c>
      <c r="W64" s="13">
        <f t="shared" si="40"/>
        <v>0.687142857142856</v>
      </c>
      <c r="X64" s="13">
        <f t="shared" si="40"/>
        <v>0.687142857142856</v>
      </c>
      <c r="Y64" s="13">
        <f t="shared" si="40"/>
        <v>0.687142857142856</v>
      </c>
    </row>
    <row r="65" spans="6:25">
      <c r="H65" s="7">
        <v>50000</v>
      </c>
      <c r="I65" s="7">
        <v>3500000</v>
      </c>
      <c r="J65" s="13">
        <f t="shared" si="37"/>
        <v>0.262228571428571</v>
      </c>
      <c r="K65" s="13">
        <f t="shared" ref="K65:Y65" si="41">IF($O29=0,0,$O29/$F$2/($Q29*$K6))*(K$59/$J$59)</f>
        <v>0.327785714285714</v>
      </c>
      <c r="L65" s="13">
        <f t="shared" si="41"/>
        <v>0.393342857142857</v>
      </c>
      <c r="M65" s="13">
        <f t="shared" si="41"/>
        <v>0.4589</v>
      </c>
      <c r="N65" s="13">
        <f t="shared" si="41"/>
        <v>0.524457142857143</v>
      </c>
      <c r="O65" s="13">
        <f t="shared" si="41"/>
        <v>0.590014285714286</v>
      </c>
      <c r="P65" s="13">
        <f t="shared" si="41"/>
        <v>0.655571428571429</v>
      </c>
      <c r="Q65" s="13">
        <f t="shared" si="41"/>
        <v>0.655571428571429</v>
      </c>
      <c r="R65" s="13">
        <f t="shared" si="41"/>
        <v>0.655571428571429</v>
      </c>
      <c r="S65" s="13">
        <f t="shared" si="41"/>
        <v>0.655571428571429</v>
      </c>
      <c r="T65" s="13">
        <f t="shared" si="41"/>
        <v>0.655571428571429</v>
      </c>
      <c r="U65" s="13">
        <f t="shared" si="41"/>
        <v>0.655571428571429</v>
      </c>
      <c r="V65" s="13">
        <f t="shared" si="41"/>
        <v>0.655571428571429</v>
      </c>
      <c r="W65" s="13">
        <f t="shared" si="41"/>
        <v>0.655571428571429</v>
      </c>
      <c r="X65" s="13">
        <f t="shared" si="41"/>
        <v>0.655571428571429</v>
      </c>
      <c r="Y65" s="13">
        <f t="shared" si="41"/>
        <v>0.655571428571429</v>
      </c>
    </row>
    <row r="66" spans="6:25">
      <c r="H66" s="7">
        <v>100000</v>
      </c>
      <c r="I66" s="7">
        <v>7000000</v>
      </c>
      <c r="J66" s="13">
        <f t="shared" si="37"/>
        <v>0.243226285714286</v>
      </c>
      <c r="K66" s="13">
        <f t="shared" ref="K66:Y66" si="42">IF($O30=0,0,$O30/$F$2/($Q30*$K7))*(K$59/$J$59)</f>
        <v>0.304032857142858</v>
      </c>
      <c r="L66" s="13">
        <f t="shared" si="42"/>
        <v>0.36483942857143</v>
      </c>
      <c r="M66" s="13">
        <f t="shared" si="42"/>
        <v>0.425646000000001</v>
      </c>
      <c r="N66" s="13">
        <f t="shared" si="42"/>
        <v>0.486452571428573</v>
      </c>
      <c r="O66" s="13">
        <f t="shared" si="42"/>
        <v>0.547259142857145</v>
      </c>
      <c r="P66" s="13">
        <f t="shared" si="42"/>
        <v>0.608065714285716</v>
      </c>
      <c r="Q66" s="13">
        <f t="shared" si="42"/>
        <v>0.608065714285716</v>
      </c>
      <c r="R66" s="13">
        <f t="shared" si="42"/>
        <v>0.608065714285716</v>
      </c>
      <c r="S66" s="13">
        <f t="shared" si="42"/>
        <v>0.608065714285716</v>
      </c>
      <c r="T66" s="13">
        <f t="shared" si="42"/>
        <v>0.608065714285716</v>
      </c>
      <c r="U66" s="13">
        <f t="shared" si="42"/>
        <v>0.608065714285716</v>
      </c>
      <c r="V66" s="13">
        <f t="shared" si="42"/>
        <v>0.608065714285716</v>
      </c>
      <c r="W66" s="13">
        <f t="shared" si="42"/>
        <v>0.608065714285716</v>
      </c>
      <c r="X66" s="13">
        <f t="shared" si="42"/>
        <v>0.608065714285716</v>
      </c>
      <c r="Y66" s="13">
        <f t="shared" si="42"/>
        <v>0.608065714285716</v>
      </c>
    </row>
    <row r="67" spans="6:25">
      <c r="H67" s="7">
        <v>200000</v>
      </c>
      <c r="I67" s="7">
        <v>14000000</v>
      </c>
      <c r="J67" s="13">
        <f t="shared" si="37"/>
        <v>0.236841428571429</v>
      </c>
      <c r="K67" s="13">
        <f t="shared" ref="K67:Y67" si="43">IF($O31=0,0,$O31/$F$2/($Q31*$K8))*(K$59/$J$59)</f>
        <v>0.296051785714286</v>
      </c>
      <c r="L67" s="13">
        <f t="shared" si="43"/>
        <v>0.355262142857144</v>
      </c>
      <c r="M67" s="13">
        <f t="shared" si="43"/>
        <v>0.414472500000001</v>
      </c>
      <c r="N67" s="13">
        <f t="shared" si="43"/>
        <v>0.473682857142858</v>
      </c>
      <c r="O67" s="13">
        <f t="shared" si="43"/>
        <v>0.532893214285715</v>
      </c>
      <c r="P67" s="13">
        <f t="shared" si="43"/>
        <v>0.592103571428573</v>
      </c>
      <c r="Q67" s="13">
        <f t="shared" si="43"/>
        <v>0.592103571428573</v>
      </c>
      <c r="R67" s="13">
        <f t="shared" si="43"/>
        <v>0.592103571428573</v>
      </c>
      <c r="S67" s="13">
        <f t="shared" si="43"/>
        <v>0.592103571428573</v>
      </c>
      <c r="T67" s="13">
        <f t="shared" si="43"/>
        <v>0.592103571428573</v>
      </c>
      <c r="U67" s="13">
        <f t="shared" si="43"/>
        <v>0.592103571428573</v>
      </c>
      <c r="V67" s="13">
        <f t="shared" si="43"/>
        <v>0.592103571428573</v>
      </c>
      <c r="W67" s="13">
        <f t="shared" si="43"/>
        <v>0.592103571428573</v>
      </c>
      <c r="X67" s="13">
        <f t="shared" si="43"/>
        <v>0.592103571428573</v>
      </c>
      <c r="Y67" s="13">
        <f t="shared" si="43"/>
        <v>0.592103571428573</v>
      </c>
    </row>
    <row r="68" spans="6:25">
      <c r="H68" s="7">
        <v>500000</v>
      </c>
      <c r="I68" s="7">
        <v>35000000</v>
      </c>
      <c r="J68" s="13">
        <f t="shared" si="37"/>
        <v>0.197367857142857</v>
      </c>
      <c r="K68" s="13">
        <f t="shared" ref="K68:Y68" si="44">IF($O32=0,0,$O32/$F$2/($Q32*$K9))*(K$59/$J$59)</f>
        <v>0.246709821428572</v>
      </c>
      <c r="L68" s="13">
        <f t="shared" si="44"/>
        <v>0.296051785714286</v>
      </c>
      <c r="M68" s="13">
        <f t="shared" si="44"/>
        <v>0.34539375</v>
      </c>
      <c r="N68" s="13">
        <f t="shared" si="44"/>
        <v>0.394735714285715</v>
      </c>
      <c r="O68" s="13">
        <f t="shared" si="44"/>
        <v>0.444077678571429</v>
      </c>
      <c r="P68" s="13">
        <f t="shared" si="44"/>
        <v>0.493419642857143</v>
      </c>
      <c r="Q68" s="13">
        <f t="shared" si="44"/>
        <v>0.493419642857143</v>
      </c>
      <c r="R68" s="13">
        <f t="shared" si="44"/>
        <v>0.493419642857143</v>
      </c>
      <c r="S68" s="13">
        <f t="shared" si="44"/>
        <v>0.493419642857143</v>
      </c>
      <c r="T68" s="13">
        <f t="shared" si="44"/>
        <v>0.493419642857143</v>
      </c>
      <c r="U68" s="13">
        <f t="shared" si="44"/>
        <v>0.493419642857143</v>
      </c>
      <c r="V68" s="13">
        <f t="shared" si="44"/>
        <v>0.493419642857143</v>
      </c>
      <c r="W68" s="13">
        <f t="shared" si="44"/>
        <v>0.493419642857143</v>
      </c>
      <c r="X68" s="13">
        <f t="shared" si="44"/>
        <v>0.493419642857143</v>
      </c>
      <c r="Y68" s="13">
        <f t="shared" si="44"/>
        <v>0.493419642857143</v>
      </c>
    </row>
    <row r="69" spans="6:25">
      <c r="H69" s="7">
        <v>1000000</v>
      </c>
      <c r="I69" s="7">
        <v>70000000</v>
      </c>
      <c r="J69" s="13">
        <f t="shared" si="37"/>
        <v>0.197367857142857</v>
      </c>
      <c r="K69" s="13">
        <f t="shared" ref="K69:Y69" si="45">IF($O33=0,0,$O33/$F$2/($Q33*$K10))*(K$59/$J$59)</f>
        <v>0.246709821428571</v>
      </c>
      <c r="L69" s="13">
        <f t="shared" si="45"/>
        <v>0.296051785714285</v>
      </c>
      <c r="M69" s="13">
        <f t="shared" si="45"/>
        <v>0.34539375</v>
      </c>
      <c r="N69" s="13">
        <f t="shared" si="45"/>
        <v>0.394735714285714</v>
      </c>
      <c r="O69" s="13">
        <f t="shared" si="45"/>
        <v>0.444077678571428</v>
      </c>
      <c r="P69" s="13">
        <f t="shared" si="45"/>
        <v>0.493419642857142</v>
      </c>
      <c r="Q69" s="13">
        <f t="shared" si="45"/>
        <v>0.493419642857142</v>
      </c>
      <c r="R69" s="13">
        <f t="shared" si="45"/>
        <v>0.493419642857142</v>
      </c>
      <c r="S69" s="13">
        <f t="shared" si="45"/>
        <v>0.493419642857142</v>
      </c>
      <c r="T69" s="13">
        <f t="shared" si="45"/>
        <v>0.493419642857142</v>
      </c>
      <c r="U69" s="13">
        <f t="shared" si="45"/>
        <v>0.493419642857142</v>
      </c>
      <c r="V69" s="13">
        <f t="shared" si="45"/>
        <v>0.493419642857142</v>
      </c>
      <c r="W69" s="13">
        <f t="shared" si="45"/>
        <v>0.493419642857142</v>
      </c>
      <c r="X69" s="13">
        <f t="shared" si="45"/>
        <v>0.493419642857142</v>
      </c>
      <c r="Y69" s="13">
        <f t="shared" si="45"/>
        <v>0.493419642857142</v>
      </c>
    </row>
    <row r="71" spans="6:25">
      <c r="F71" s="4" t="s">
        <v>40</v>
      </c>
      <c r="H71" s="7"/>
      <c r="I71" s="7"/>
      <c r="J71" s="7">
        <v>1000000</v>
      </c>
      <c r="K71" s="7">
        <v>1250000</v>
      </c>
      <c r="L71" s="7">
        <v>1500000</v>
      </c>
      <c r="M71" s="7">
        <v>1750000</v>
      </c>
      <c r="N71" s="7">
        <v>2000000</v>
      </c>
      <c r="O71" s="7">
        <v>2250000</v>
      </c>
      <c r="P71" s="7">
        <v>2500000</v>
      </c>
      <c r="Q71" s="7">
        <v>2500000</v>
      </c>
      <c r="R71" s="7">
        <v>2500000</v>
      </c>
      <c r="S71" s="7">
        <v>2500000</v>
      </c>
      <c r="T71" s="7">
        <v>2500000</v>
      </c>
      <c r="U71" s="7">
        <v>2500000</v>
      </c>
      <c r="V71" s="7">
        <v>2500000</v>
      </c>
      <c r="W71" s="7">
        <v>2500000</v>
      </c>
      <c r="X71" s="7">
        <v>2500000</v>
      </c>
      <c r="Y71" s="7">
        <v>2500000</v>
      </c>
    </row>
    <row r="72" spans="6:25">
      <c r="H72" s="7" t="s">
        <v>5</v>
      </c>
      <c r="I72" s="7" t="s">
        <v>37</v>
      </c>
      <c r="J72" s="7">
        <v>0</v>
      </c>
      <c r="K72" s="6">
        <v>1</v>
      </c>
      <c r="L72" s="6">
        <v>2</v>
      </c>
      <c r="M72" s="6">
        <v>3</v>
      </c>
      <c r="N72" s="6">
        <v>4</v>
      </c>
      <c r="O72" s="6">
        <v>5</v>
      </c>
      <c r="P72" s="6">
        <v>6</v>
      </c>
      <c r="Q72" s="6">
        <v>7</v>
      </c>
      <c r="R72" s="6">
        <v>8</v>
      </c>
      <c r="S72" s="6">
        <v>9</v>
      </c>
      <c r="T72" s="6">
        <v>10</v>
      </c>
      <c r="U72" s="6">
        <v>11</v>
      </c>
      <c r="V72" s="6">
        <v>12</v>
      </c>
      <c r="W72" s="6">
        <v>13</v>
      </c>
      <c r="X72" s="6">
        <v>14</v>
      </c>
      <c r="Y72" s="6">
        <v>15</v>
      </c>
    </row>
    <row r="73" spans="6:25">
      <c r="H73" s="7">
        <v>1000</v>
      </c>
      <c r="I73" s="7">
        <v>70000</v>
      </c>
      <c r="J73" s="14">
        <f ca="1" t="shared" ref="J73:J81" si="46">IF($O25=0,0,$Q25*J37)*$F$6</f>
        <v>0</v>
      </c>
      <c r="K73" s="14">
        <f ca="1" t="shared" ref="K73:Y73" si="47">IF($O25=0,0,$Q25*K37)*$F$6</f>
        <v>0</v>
      </c>
      <c r="L73" s="14">
        <f ca="1" t="shared" si="47"/>
        <v>0</v>
      </c>
      <c r="M73" s="14">
        <f ca="1" t="shared" si="47"/>
        <v>0</v>
      </c>
      <c r="N73" s="14">
        <f ca="1" t="shared" si="47"/>
        <v>0</v>
      </c>
      <c r="O73" s="14">
        <f ca="1" t="shared" si="47"/>
        <v>0</v>
      </c>
      <c r="P73" s="14">
        <f ca="1" t="shared" si="47"/>
        <v>0</v>
      </c>
      <c r="Q73" s="14">
        <f ca="1" t="shared" si="47"/>
        <v>0</v>
      </c>
      <c r="R73" s="14">
        <f ca="1" t="shared" si="47"/>
        <v>0</v>
      </c>
      <c r="S73" s="14">
        <f ca="1" t="shared" si="47"/>
        <v>0</v>
      </c>
      <c r="T73" s="14">
        <f ca="1" t="shared" si="47"/>
        <v>0</v>
      </c>
      <c r="U73" s="14">
        <f ca="1" t="shared" si="47"/>
        <v>0</v>
      </c>
      <c r="V73" s="14">
        <f ca="1" t="shared" si="47"/>
        <v>0</v>
      </c>
      <c r="W73" s="14">
        <f ca="1" t="shared" si="47"/>
        <v>0</v>
      </c>
      <c r="X73" s="14">
        <f ca="1" t="shared" si="47"/>
        <v>0</v>
      </c>
      <c r="Y73" s="14">
        <f ca="1" t="shared" si="47"/>
        <v>0</v>
      </c>
    </row>
    <row r="74" spans="6:25">
      <c r="H74" s="7">
        <v>3000</v>
      </c>
      <c r="I74" s="7">
        <v>210000</v>
      </c>
      <c r="J74" s="14">
        <f t="shared" si="46"/>
        <v>0</v>
      </c>
      <c r="K74" s="14">
        <f t="shared" ref="K74:Y74" si="48">IF($O26=0,0,$Q26*K38)*$F$6</f>
        <v>0</v>
      </c>
      <c r="L74" s="14">
        <f t="shared" si="48"/>
        <v>0</v>
      </c>
      <c r="M74" s="14">
        <f t="shared" si="48"/>
        <v>0</v>
      </c>
      <c r="N74" s="14">
        <f t="shared" si="48"/>
        <v>0</v>
      </c>
      <c r="O74" s="14">
        <f t="shared" si="48"/>
        <v>0</v>
      </c>
      <c r="P74" s="14">
        <f t="shared" si="48"/>
        <v>0</v>
      </c>
      <c r="Q74" s="14">
        <f t="shared" si="48"/>
        <v>0</v>
      </c>
      <c r="R74" s="14">
        <f t="shared" si="48"/>
        <v>0</v>
      </c>
      <c r="S74" s="14">
        <f t="shared" si="48"/>
        <v>0</v>
      </c>
      <c r="T74" s="14">
        <f t="shared" si="48"/>
        <v>0</v>
      </c>
      <c r="U74" s="14">
        <f t="shared" si="48"/>
        <v>0</v>
      </c>
      <c r="V74" s="14">
        <f t="shared" si="48"/>
        <v>0</v>
      </c>
      <c r="W74" s="14">
        <f t="shared" si="48"/>
        <v>0</v>
      </c>
      <c r="X74" s="14">
        <f t="shared" si="48"/>
        <v>0</v>
      </c>
      <c r="Y74" s="14">
        <f t="shared" si="48"/>
        <v>0</v>
      </c>
    </row>
    <row r="75" spans="6:25">
      <c r="H75" s="7">
        <v>10000</v>
      </c>
      <c r="I75" s="7">
        <v>700000</v>
      </c>
      <c r="J75" s="14">
        <f t="shared" si="46"/>
        <v>1.79487179487179</v>
      </c>
      <c r="K75" s="14">
        <f t="shared" ref="K75:Y75" si="49">IF($O27=0,0,$Q27*K39)*$F$6</f>
        <v>1.43589743589743</v>
      </c>
      <c r="L75" s="14">
        <f t="shared" si="49"/>
        <v>1.1965811965812</v>
      </c>
      <c r="M75" s="14">
        <f t="shared" si="49"/>
        <v>1.02564102564102</v>
      </c>
      <c r="N75" s="14">
        <f t="shared" si="49"/>
        <v>0.897435897435896</v>
      </c>
      <c r="O75" s="14">
        <f t="shared" si="49"/>
        <v>0.797720797720796</v>
      </c>
      <c r="P75" s="14">
        <f t="shared" si="49"/>
        <v>0.717948717948717</v>
      </c>
      <c r="Q75" s="14">
        <f t="shared" si="49"/>
        <v>0.717948717948717</v>
      </c>
      <c r="R75" s="14">
        <f t="shared" si="49"/>
        <v>0.717948717948717</v>
      </c>
      <c r="S75" s="14">
        <f t="shared" si="49"/>
        <v>0.717948717948717</v>
      </c>
      <c r="T75" s="14">
        <f t="shared" si="49"/>
        <v>0.717948717948717</v>
      </c>
      <c r="U75" s="14">
        <f t="shared" si="49"/>
        <v>0.717948717948717</v>
      </c>
      <c r="V75" s="14">
        <f t="shared" si="49"/>
        <v>0.717948717948717</v>
      </c>
      <c r="W75" s="14">
        <f t="shared" si="49"/>
        <v>0.717948717948717</v>
      </c>
      <c r="X75" s="14">
        <f t="shared" si="49"/>
        <v>0.717948717948717</v>
      </c>
      <c r="Y75" s="14">
        <f t="shared" si="49"/>
        <v>0.717948717948717</v>
      </c>
    </row>
    <row r="76" spans="6:25">
      <c r="H76" s="7">
        <v>20000</v>
      </c>
      <c r="I76" s="7">
        <v>1400000</v>
      </c>
      <c r="J76" s="14">
        <f t="shared" si="46"/>
        <v>53.8461538461539</v>
      </c>
      <c r="K76" s="14">
        <f t="shared" ref="K76:Y76" si="50">IF($O28=0,0,$Q28*K40)*$F$6</f>
        <v>43.0769230769231</v>
      </c>
      <c r="L76" s="14">
        <f t="shared" si="50"/>
        <v>35.8974358974359</v>
      </c>
      <c r="M76" s="14">
        <f t="shared" si="50"/>
        <v>30.7692307692308</v>
      </c>
      <c r="N76" s="14">
        <f t="shared" si="50"/>
        <v>26.9230769230769</v>
      </c>
      <c r="O76" s="14">
        <f t="shared" si="50"/>
        <v>23.9316239316239</v>
      </c>
      <c r="P76" s="14">
        <f t="shared" si="50"/>
        <v>21.5384615384616</v>
      </c>
      <c r="Q76" s="14">
        <f t="shared" si="50"/>
        <v>21.5384615384616</v>
      </c>
      <c r="R76" s="14">
        <f t="shared" si="50"/>
        <v>21.5384615384616</v>
      </c>
      <c r="S76" s="14">
        <f t="shared" si="50"/>
        <v>21.5384615384616</v>
      </c>
      <c r="T76" s="14">
        <f t="shared" si="50"/>
        <v>21.5384615384616</v>
      </c>
      <c r="U76" s="14">
        <f t="shared" si="50"/>
        <v>21.5384615384616</v>
      </c>
      <c r="V76" s="14">
        <f t="shared" si="50"/>
        <v>21.5384615384616</v>
      </c>
      <c r="W76" s="14">
        <f t="shared" si="50"/>
        <v>21.5384615384616</v>
      </c>
      <c r="X76" s="14">
        <f t="shared" si="50"/>
        <v>21.5384615384616</v>
      </c>
      <c r="Y76" s="14">
        <f t="shared" si="50"/>
        <v>21.5384615384616</v>
      </c>
    </row>
    <row r="77" spans="6:25">
      <c r="H77" s="7">
        <v>50000</v>
      </c>
      <c r="I77" s="7">
        <v>3500000</v>
      </c>
      <c r="J77" s="14">
        <f t="shared" si="46"/>
        <v>251.861042183623</v>
      </c>
      <c r="K77" s="14">
        <f t="shared" ref="K77:Y77" si="51">IF($O29=0,0,$Q29*K41)*$F$6</f>
        <v>208.205128205128</v>
      </c>
      <c r="L77" s="14">
        <f t="shared" si="51"/>
        <v>173.504273504274</v>
      </c>
      <c r="M77" s="14">
        <f t="shared" si="51"/>
        <v>148.717948717948</v>
      </c>
      <c r="N77" s="14">
        <f t="shared" si="51"/>
        <v>134.615384615385</v>
      </c>
      <c r="O77" s="14">
        <f t="shared" si="51"/>
        <v>119.65811965812</v>
      </c>
      <c r="P77" s="14">
        <f t="shared" si="51"/>
        <v>107.692307692308</v>
      </c>
      <c r="Q77" s="14">
        <f t="shared" si="51"/>
        <v>107.692307692308</v>
      </c>
      <c r="R77" s="14">
        <f t="shared" si="51"/>
        <v>107.692307692308</v>
      </c>
      <c r="S77" s="14">
        <f t="shared" si="51"/>
        <v>107.692307692308</v>
      </c>
      <c r="T77" s="14">
        <f t="shared" si="51"/>
        <v>107.692307692308</v>
      </c>
      <c r="U77" s="14">
        <f t="shared" si="51"/>
        <v>107.692307692308</v>
      </c>
      <c r="V77" s="14">
        <f t="shared" si="51"/>
        <v>107.692307692308</v>
      </c>
      <c r="W77" s="14">
        <f t="shared" si="51"/>
        <v>107.692307692308</v>
      </c>
      <c r="X77" s="14">
        <f t="shared" si="51"/>
        <v>107.692307692308</v>
      </c>
      <c r="Y77" s="14">
        <f t="shared" si="51"/>
        <v>107.692307692308</v>
      </c>
    </row>
    <row r="78" spans="6:25">
      <c r="H78" s="7">
        <v>100000</v>
      </c>
      <c r="I78" s="7">
        <v>7000000</v>
      </c>
      <c r="J78" s="14">
        <f t="shared" si="46"/>
        <v>656.108597285066</v>
      </c>
      <c r="K78" s="14">
        <f t="shared" ref="K78:Y78" si="52">IF($O30=0,0,$Q30*K42)*$F$6</f>
        <v>556.698203757025</v>
      </c>
      <c r="L78" s="14">
        <f t="shared" si="52"/>
        <v>478.412518853694</v>
      </c>
      <c r="M78" s="14">
        <f t="shared" si="52"/>
        <v>410.067873303166</v>
      </c>
      <c r="N78" s="14">
        <f t="shared" si="52"/>
        <v>370.38388556415</v>
      </c>
      <c r="O78" s="14">
        <f t="shared" si="52"/>
        <v>329.230120501466</v>
      </c>
      <c r="P78" s="14">
        <f t="shared" si="52"/>
        <v>306.184012066364</v>
      </c>
      <c r="Q78" s="14">
        <f t="shared" si="52"/>
        <v>306.184012066364</v>
      </c>
      <c r="R78" s="14">
        <f t="shared" si="52"/>
        <v>306.184012066364</v>
      </c>
      <c r="S78" s="14">
        <f t="shared" si="52"/>
        <v>306.184012066364</v>
      </c>
      <c r="T78" s="14">
        <f t="shared" si="52"/>
        <v>306.184012066364</v>
      </c>
      <c r="U78" s="14">
        <f t="shared" si="52"/>
        <v>306.184012066364</v>
      </c>
      <c r="V78" s="14">
        <f t="shared" si="52"/>
        <v>306.184012066364</v>
      </c>
      <c r="W78" s="14">
        <f t="shared" si="52"/>
        <v>306.184012066364</v>
      </c>
      <c r="X78" s="14">
        <f t="shared" si="52"/>
        <v>306.184012066364</v>
      </c>
      <c r="Y78" s="14">
        <f t="shared" si="52"/>
        <v>306.184012066364</v>
      </c>
    </row>
    <row r="79" spans="6:25">
      <c r="H79" s="7">
        <v>200000</v>
      </c>
      <c r="I79" s="7">
        <v>14000000</v>
      </c>
      <c r="J79" s="14">
        <f t="shared" si="46"/>
        <v>1239.31623931624</v>
      </c>
      <c r="K79" s="14">
        <f t="shared" ref="K79:Y79" si="53">IF($O31=0,0,$Q31*K43)*$F$6</f>
        <v>1067.71860618014</v>
      </c>
      <c r="L79" s="14">
        <f t="shared" si="53"/>
        <v>937.860937860936</v>
      </c>
      <c r="M79" s="14">
        <f t="shared" si="53"/>
        <v>826.210826210824</v>
      </c>
      <c r="N79" s="14">
        <f t="shared" si="53"/>
        <v>743.589743589742</v>
      </c>
      <c r="O79" s="14">
        <f t="shared" si="53"/>
        <v>680.408915703032</v>
      </c>
      <c r="P79" s="14">
        <f t="shared" si="53"/>
        <v>630.92463092463</v>
      </c>
      <c r="Q79" s="14">
        <f t="shared" si="53"/>
        <v>630.92463092463</v>
      </c>
      <c r="R79" s="14">
        <f t="shared" si="53"/>
        <v>630.92463092463</v>
      </c>
      <c r="S79" s="14">
        <f t="shared" si="53"/>
        <v>630.92463092463</v>
      </c>
      <c r="T79" s="14">
        <f t="shared" si="53"/>
        <v>630.92463092463</v>
      </c>
      <c r="U79" s="14">
        <f t="shared" si="53"/>
        <v>630.92463092463</v>
      </c>
      <c r="V79" s="14">
        <f t="shared" si="53"/>
        <v>630.92463092463</v>
      </c>
      <c r="W79" s="14">
        <f t="shared" si="53"/>
        <v>630.92463092463</v>
      </c>
      <c r="X79" s="14">
        <f t="shared" si="53"/>
        <v>630.92463092463</v>
      </c>
      <c r="Y79" s="14">
        <f t="shared" si="53"/>
        <v>630.92463092463</v>
      </c>
    </row>
    <row r="80" spans="6:25">
      <c r="H80" s="7">
        <v>500000</v>
      </c>
      <c r="I80" s="7">
        <v>35000000</v>
      </c>
      <c r="J80" s="14">
        <f t="shared" si="46"/>
        <v>1301.28205128205</v>
      </c>
      <c r="K80" s="14">
        <f t="shared" ref="K80:Y80" si="54">IF($O32=0,0,$Q32*K44)*$F$6</f>
        <v>1086.28762541806</v>
      </c>
      <c r="L80" s="14">
        <f t="shared" si="54"/>
        <v>925.356125356123</v>
      </c>
      <c r="M80" s="14">
        <f t="shared" si="54"/>
        <v>793.162393162393</v>
      </c>
      <c r="N80" s="14">
        <f t="shared" si="54"/>
        <v>726.296958855095</v>
      </c>
      <c r="O80" s="14">
        <f t="shared" si="54"/>
        <v>645.597296760086</v>
      </c>
      <c r="P80" s="14">
        <f t="shared" si="54"/>
        <v>594.871794871794</v>
      </c>
      <c r="Q80" s="14">
        <f t="shared" si="54"/>
        <v>594.871794871794</v>
      </c>
      <c r="R80" s="14">
        <f t="shared" si="54"/>
        <v>594.871794871794</v>
      </c>
      <c r="S80" s="14">
        <f t="shared" si="54"/>
        <v>594.871794871794</v>
      </c>
      <c r="T80" s="14">
        <f t="shared" si="54"/>
        <v>594.871794871794</v>
      </c>
      <c r="U80" s="14">
        <f t="shared" si="54"/>
        <v>594.871794871794</v>
      </c>
      <c r="V80" s="14">
        <f t="shared" si="54"/>
        <v>594.871794871794</v>
      </c>
      <c r="W80" s="14">
        <f t="shared" si="54"/>
        <v>594.871794871794</v>
      </c>
      <c r="X80" s="14">
        <f t="shared" si="54"/>
        <v>594.871794871794</v>
      </c>
      <c r="Y80" s="14">
        <f t="shared" si="54"/>
        <v>594.871794871794</v>
      </c>
    </row>
    <row r="81" spans="8:25">
      <c r="H81" s="7">
        <v>1000000</v>
      </c>
      <c r="I81" s="7">
        <v>70000000</v>
      </c>
      <c r="J81" s="14">
        <f t="shared" si="46"/>
        <v>1156.69515669516</v>
      </c>
      <c r="K81" s="14">
        <f t="shared" ref="K81:Y81" si="55">IF($O33=0,0,$Q33*K45)*$F$6</f>
        <v>960.94674556213</v>
      </c>
      <c r="L81" s="14">
        <f t="shared" si="55"/>
        <v>832.820512820512</v>
      </c>
      <c r="M81" s="14">
        <f t="shared" si="55"/>
        <v>728.414442700158</v>
      </c>
      <c r="N81" s="14">
        <f t="shared" si="55"/>
        <v>650.641025641025</v>
      </c>
      <c r="O81" s="14">
        <f t="shared" si="55"/>
        <v>590.652845971995</v>
      </c>
      <c r="P81" s="14">
        <f t="shared" si="55"/>
        <v>543.143812709031</v>
      </c>
      <c r="Q81" s="14">
        <f t="shared" si="55"/>
        <v>543.143812709031</v>
      </c>
      <c r="R81" s="14">
        <f t="shared" si="55"/>
        <v>543.143812709031</v>
      </c>
      <c r="S81" s="14">
        <f t="shared" si="55"/>
        <v>543.143812709031</v>
      </c>
      <c r="T81" s="14">
        <f t="shared" si="55"/>
        <v>543.143812709031</v>
      </c>
      <c r="U81" s="14">
        <f t="shared" si="55"/>
        <v>543.143812709031</v>
      </c>
      <c r="V81" s="14">
        <f t="shared" si="55"/>
        <v>543.143812709031</v>
      </c>
      <c r="W81" s="14">
        <f t="shared" si="55"/>
        <v>543.143812709031</v>
      </c>
      <c r="X81" s="14">
        <f t="shared" si="55"/>
        <v>543.143812709031</v>
      </c>
      <c r="Y81" s="14">
        <f t="shared" si="55"/>
        <v>543.143812709031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75"/>
  <sheetViews>
    <sheetView zoomScale="85" zoomScaleNormal="85" workbookViewId="0">
      <selection activeCell="Q12" sqref="Q12"/>
    </sheetView>
  </sheetViews>
  <sheetFormatPr defaultColWidth="9" defaultRowHeight="13.5"/>
  <cols>
    <col min="1" max="1" width="12.3833333333333" style="4" customWidth="1"/>
    <col min="2" max="3" width="9" style="4"/>
    <col min="4" max="4" width="14.875" style="5" customWidth="1"/>
    <col min="5" max="6" width="9" style="4"/>
    <col min="7" max="7" width="10.375" style="4"/>
    <col min="8" max="8" width="9" style="4"/>
    <col min="9" max="9" width="17.125" style="5"/>
    <col min="10" max="11" width="12.625" style="4"/>
    <col min="12" max="12" width="9" style="4"/>
    <col min="13" max="13" width="14" style="4" customWidth="1"/>
    <col min="14" max="14" width="9" style="4"/>
    <col min="15" max="17" width="13.7583333333333" style="5" customWidth="1"/>
    <col min="18" max="18" width="12.625" style="5" customWidth="1"/>
    <col min="19" max="21" width="16" style="4"/>
    <col min="22" max="22" width="18.2583333333333" style="4"/>
    <col min="23" max="29" width="16" style="4"/>
    <col min="30" max="32" width="12.625" style="4" customWidth="1"/>
    <col min="33" max="33" width="13.7583333333333" style="4"/>
    <col min="34" max="42" width="9" style="4"/>
    <col min="43" max="43" width="13.7583333333333" style="4"/>
    <col min="44" max="44" width="9" style="4"/>
    <col min="45" max="45" width="12.875" style="4" customWidth="1"/>
    <col min="46" max="47" width="9.375" style="4"/>
    <col min="48" max="49" width="11.5" style="4"/>
    <col min="50" max="50" width="14.875" style="4"/>
    <col min="51" max="51" width="9.375" style="4"/>
    <col min="52" max="55" width="9" style="4"/>
    <col min="56" max="56" width="13.7583333333333" style="4"/>
    <col min="57" max="57" width="14.875" style="4"/>
    <col min="58" max="73" width="12.625" style="4"/>
    <col min="74" max="76" width="9" style="4"/>
    <col min="77" max="77" width="13.7583333333333" style="4"/>
    <col min="78" max="78" width="14.875" style="4"/>
    <col min="79" max="94" width="12.625" style="4"/>
    <col min="95" max="16384" width="9" style="4"/>
  </cols>
  <sheetData>
    <row r="1" spans="1:94">
      <c r="A1" s="4" t="s">
        <v>0</v>
      </c>
      <c r="C1" s="6" t="s">
        <v>1</v>
      </c>
      <c r="D1" s="7" t="s">
        <v>2</v>
      </c>
      <c r="E1" s="6" t="s">
        <v>3</v>
      </c>
      <c r="H1" s="6" t="s">
        <v>1</v>
      </c>
      <c r="I1" s="7" t="s">
        <v>2</v>
      </c>
      <c r="J1" s="6" t="s">
        <v>3</v>
      </c>
      <c r="K1" s="6" t="s">
        <v>4</v>
      </c>
      <c r="M1" s="6" t="s">
        <v>0</v>
      </c>
      <c r="O1" s="7" t="s">
        <v>5</v>
      </c>
      <c r="P1" s="7" t="s">
        <v>6</v>
      </c>
      <c r="Q1" s="7" t="s">
        <v>7</v>
      </c>
      <c r="R1" s="7" t="s">
        <v>8</v>
      </c>
      <c r="S1" s="6" t="s">
        <v>9</v>
      </c>
      <c r="T1" s="6" t="s">
        <v>10</v>
      </c>
      <c r="U1" s="6" t="s">
        <v>11</v>
      </c>
      <c r="V1" s="6" t="s">
        <v>12</v>
      </c>
      <c r="W1" s="6" t="s">
        <v>10</v>
      </c>
      <c r="X1" s="6"/>
      <c r="Y1" s="6" t="s">
        <v>13</v>
      </c>
      <c r="Z1" s="6" t="s">
        <v>10</v>
      </c>
      <c r="AA1" s="6"/>
      <c r="AB1" s="6" t="s">
        <v>14</v>
      </c>
      <c r="AC1" s="6" t="s">
        <v>15</v>
      </c>
      <c r="AE1" s="4" t="s">
        <v>24</v>
      </c>
      <c r="AG1" s="7" t="s">
        <v>25</v>
      </c>
      <c r="AH1" s="7">
        <v>1</v>
      </c>
      <c r="AI1" s="7">
        <v>2</v>
      </c>
      <c r="AJ1" s="7">
        <v>3</v>
      </c>
      <c r="AK1" s="7">
        <v>4</v>
      </c>
      <c r="AL1" s="7">
        <v>5</v>
      </c>
      <c r="AM1" s="7">
        <v>6</v>
      </c>
      <c r="AO1" s="4" t="s">
        <v>28</v>
      </c>
      <c r="AQ1" s="7" t="s">
        <v>29</v>
      </c>
      <c r="AR1" s="6">
        <v>1</v>
      </c>
      <c r="AS1" s="6">
        <v>2</v>
      </c>
      <c r="AT1" s="6">
        <v>3</v>
      </c>
      <c r="AU1" s="6">
        <v>4</v>
      </c>
      <c r="AV1" s="6">
        <v>5</v>
      </c>
      <c r="AW1" s="6">
        <v>6</v>
      </c>
      <c r="AX1" s="7"/>
      <c r="AY1" s="7"/>
      <c r="AZ1" s="6"/>
      <c r="BB1" s="4" t="s">
        <v>36</v>
      </c>
      <c r="BD1" s="7"/>
      <c r="BE1" s="7"/>
      <c r="BF1" s="7">
        <v>1000000</v>
      </c>
      <c r="BG1" s="7">
        <v>1250000</v>
      </c>
      <c r="BH1" s="7">
        <v>1500000</v>
      </c>
      <c r="BI1" s="7">
        <v>1750000</v>
      </c>
      <c r="BJ1" s="7">
        <v>2000000</v>
      </c>
      <c r="BK1" s="7">
        <v>2250000</v>
      </c>
      <c r="BL1" s="7">
        <v>2500000</v>
      </c>
      <c r="BM1" s="7">
        <v>2500000</v>
      </c>
      <c r="BN1" s="7">
        <v>2500000</v>
      </c>
      <c r="BO1" s="7">
        <v>2500000</v>
      </c>
      <c r="BP1" s="7">
        <v>2500000</v>
      </c>
      <c r="BQ1" s="7">
        <v>2500000</v>
      </c>
      <c r="BR1" s="7">
        <v>2500000</v>
      </c>
      <c r="BS1" s="7">
        <v>2500000</v>
      </c>
      <c r="BT1" s="7">
        <v>2500000</v>
      </c>
      <c r="BU1" s="7">
        <v>2500000</v>
      </c>
      <c r="BW1" s="4" t="s">
        <v>38</v>
      </c>
      <c r="BY1" s="7"/>
      <c r="BZ1" s="7"/>
      <c r="CA1" s="7">
        <v>1000000</v>
      </c>
      <c r="CB1" s="7">
        <v>1250000</v>
      </c>
      <c r="CC1" s="7">
        <v>1500000</v>
      </c>
      <c r="CD1" s="7">
        <v>1750000</v>
      </c>
      <c r="CE1" s="7">
        <v>2000000</v>
      </c>
      <c r="CF1" s="7">
        <v>2250000</v>
      </c>
      <c r="CG1" s="7">
        <v>2500000</v>
      </c>
      <c r="CH1" s="7">
        <v>2500000</v>
      </c>
      <c r="CI1" s="7">
        <v>2500000</v>
      </c>
      <c r="CJ1" s="7">
        <v>2500000</v>
      </c>
      <c r="CK1" s="7">
        <v>2500000</v>
      </c>
      <c r="CL1" s="7">
        <v>2500000</v>
      </c>
      <c r="CM1" s="7">
        <v>2500000</v>
      </c>
      <c r="CN1" s="7">
        <v>2500000</v>
      </c>
      <c r="CO1" s="7">
        <v>2500000</v>
      </c>
      <c r="CP1" s="7">
        <v>2500000</v>
      </c>
    </row>
    <row r="2" spans="1:94">
      <c r="A2" s="5">
        <v>1000000</v>
      </c>
      <c r="C2" s="6">
        <v>1</v>
      </c>
      <c r="D2" s="7">
        <v>100000</v>
      </c>
      <c r="E2" s="6">
        <f t="shared" ref="E2:E21" si="0">D2/$A$2</f>
        <v>0.1</v>
      </c>
      <c r="H2" s="6">
        <v>1</v>
      </c>
      <c r="I2" s="7">
        <v>200000</v>
      </c>
      <c r="J2" s="6">
        <f>I2/$A$2</f>
        <v>0.2</v>
      </c>
      <c r="K2" s="6">
        <v>1</v>
      </c>
      <c r="M2" s="7">
        <v>1000000</v>
      </c>
      <c r="O2" s="7">
        <v>1000</v>
      </c>
      <c r="P2" s="7">
        <v>5000</v>
      </c>
      <c r="Q2" s="7">
        <f t="shared" ref="Q2:Q13" si="1">O2*$M$4*$M$6</f>
        <v>7000</v>
      </c>
      <c r="R2" s="10">
        <f t="shared" ref="R2:R13" si="2">Q2/$M$2</f>
        <v>0.007</v>
      </c>
      <c r="S2" s="6" t="s">
        <v>21</v>
      </c>
      <c r="T2" s="6" t="s">
        <v>21</v>
      </c>
      <c r="U2" s="6"/>
      <c r="V2" s="6" t="s">
        <v>21</v>
      </c>
      <c r="W2" s="6" t="s">
        <v>21</v>
      </c>
      <c r="X2" s="10"/>
      <c r="Y2" s="6" t="s">
        <v>21</v>
      </c>
      <c r="Z2" s="6" t="s">
        <v>21</v>
      </c>
      <c r="AA2" s="6"/>
      <c r="AB2" s="6">
        <v>1</v>
      </c>
      <c r="AC2" s="6">
        <v>13</v>
      </c>
      <c r="AG2" s="7">
        <f>O2</f>
        <v>1000</v>
      </c>
      <c r="AH2" s="12">
        <f t="shared" ref="AH2:AM2" si="3">IF($S2=AH$1,$U2,0)+IF($V2=AH$1,$X2,0)+IF($Y2=AH$1,$AA2,0)</f>
        <v>0</v>
      </c>
      <c r="AI2" s="12">
        <f t="shared" si="3"/>
        <v>0</v>
      </c>
      <c r="AJ2" s="12">
        <f t="shared" si="3"/>
        <v>0</v>
      </c>
      <c r="AK2" s="12">
        <f t="shared" si="3"/>
        <v>0</v>
      </c>
      <c r="AL2" s="12">
        <f t="shared" si="3"/>
        <v>0</v>
      </c>
      <c r="AM2" s="12">
        <f t="shared" si="3"/>
        <v>0</v>
      </c>
      <c r="AQ2" s="6" t="s">
        <v>30</v>
      </c>
      <c r="AR2" s="6">
        <v>25</v>
      </c>
      <c r="AS2" s="6">
        <v>50</v>
      </c>
      <c r="AT2" s="6">
        <v>50</v>
      </c>
      <c r="AU2" s="6">
        <v>50</v>
      </c>
      <c r="AV2" s="6">
        <v>50</v>
      </c>
      <c r="AW2" s="6">
        <v>40</v>
      </c>
      <c r="AX2" s="7" t="s">
        <v>31</v>
      </c>
      <c r="AY2" s="7" t="s">
        <v>32</v>
      </c>
      <c r="AZ2" s="6" t="s">
        <v>33</v>
      </c>
      <c r="BD2" s="7" t="s">
        <v>5</v>
      </c>
      <c r="BE2" s="7" t="s">
        <v>37</v>
      </c>
      <c r="BF2" s="7">
        <v>0</v>
      </c>
      <c r="BG2" s="6">
        <v>1</v>
      </c>
      <c r="BH2" s="6">
        <v>2</v>
      </c>
      <c r="BI2" s="6">
        <v>3</v>
      </c>
      <c r="BJ2" s="6">
        <v>4</v>
      </c>
      <c r="BK2" s="6">
        <v>5</v>
      </c>
      <c r="BL2" s="6">
        <v>6</v>
      </c>
      <c r="BM2" s="6">
        <v>7</v>
      </c>
      <c r="BN2" s="6">
        <v>8</v>
      </c>
      <c r="BO2" s="6">
        <v>9</v>
      </c>
      <c r="BP2" s="6">
        <v>10</v>
      </c>
      <c r="BQ2" s="6">
        <v>11</v>
      </c>
      <c r="BR2" s="6">
        <v>12</v>
      </c>
      <c r="BS2" s="6">
        <v>13</v>
      </c>
      <c r="BT2" s="6">
        <v>14</v>
      </c>
      <c r="BU2" s="6">
        <v>15</v>
      </c>
      <c r="BY2" s="7" t="s">
        <v>5</v>
      </c>
      <c r="BZ2" s="7" t="s">
        <v>37</v>
      </c>
      <c r="CA2" s="7">
        <v>0</v>
      </c>
      <c r="CB2" s="6">
        <v>1</v>
      </c>
      <c r="CC2" s="6">
        <v>2</v>
      </c>
      <c r="CD2" s="6">
        <v>3</v>
      </c>
      <c r="CE2" s="6">
        <v>4</v>
      </c>
      <c r="CF2" s="6">
        <v>5</v>
      </c>
      <c r="CG2" s="6">
        <v>6</v>
      </c>
      <c r="CH2" s="6">
        <v>7</v>
      </c>
      <c r="CI2" s="6">
        <v>8</v>
      </c>
      <c r="CJ2" s="6">
        <v>9</v>
      </c>
      <c r="CK2" s="6">
        <v>10</v>
      </c>
      <c r="CL2" s="6">
        <v>11</v>
      </c>
      <c r="CM2" s="6">
        <v>12</v>
      </c>
      <c r="CN2" s="6">
        <v>13</v>
      </c>
      <c r="CO2" s="6">
        <v>14</v>
      </c>
      <c r="CP2" s="6">
        <v>15</v>
      </c>
    </row>
    <row r="3" spans="1:94">
      <c r="C3" s="6">
        <v>2</v>
      </c>
      <c r="D3" s="7">
        <v>150000</v>
      </c>
      <c r="E3" s="6">
        <f t="shared" si="0"/>
        <v>0.15</v>
      </c>
      <c r="H3" s="6">
        <v>2</v>
      </c>
      <c r="I3" s="7">
        <v>300000</v>
      </c>
      <c r="J3" s="6">
        <f t="shared" ref="J3:J22" si="4">I3/$A$2</f>
        <v>0.3</v>
      </c>
      <c r="K3" s="6">
        <v>2</v>
      </c>
      <c r="M3" s="6" t="s">
        <v>22</v>
      </c>
      <c r="O3" s="7">
        <v>3000</v>
      </c>
      <c r="P3" s="7">
        <f>O3*50</f>
        <v>150000</v>
      </c>
      <c r="Q3" s="7">
        <f t="shared" si="1"/>
        <v>21000</v>
      </c>
      <c r="R3" s="10">
        <f t="shared" si="2"/>
        <v>0.021</v>
      </c>
      <c r="S3" s="6"/>
      <c r="T3" s="6"/>
      <c r="U3" s="6"/>
      <c r="V3" s="6"/>
      <c r="W3" s="6"/>
      <c r="X3" s="6"/>
      <c r="Y3" s="6"/>
      <c r="Z3" s="6"/>
      <c r="AA3" s="6"/>
      <c r="AB3" s="6">
        <v>1</v>
      </c>
      <c r="AC3" s="6">
        <v>13</v>
      </c>
      <c r="AG3" s="7">
        <f t="shared" ref="AG3:AG13" si="5">O3</f>
        <v>3000</v>
      </c>
      <c r="AH3" s="12">
        <f t="shared" ref="AH3:AM3" si="6">IF($S3=AH$1,$U3,0)+IF($V3=AH$1,$X3,0)+IF($Y3=AH$1,$AA3,0)</f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Q3" s="7">
        <f>AG2</f>
        <v>1000</v>
      </c>
      <c r="AR3" s="12">
        <f t="shared" ref="AR3:AW3" si="7">IF(AH2=0,0,AR$2/AH2)</f>
        <v>0</v>
      </c>
      <c r="AS3" s="12">
        <f t="shared" si="7"/>
        <v>0</v>
      </c>
      <c r="AT3" s="12">
        <f t="shared" si="7"/>
        <v>0</v>
      </c>
      <c r="AU3" s="12">
        <f t="shared" si="7"/>
        <v>0</v>
      </c>
      <c r="AV3" s="12">
        <f t="shared" si="7"/>
        <v>0</v>
      </c>
      <c r="AW3" s="12">
        <f t="shared" si="7"/>
        <v>0</v>
      </c>
      <c r="AX3" s="7">
        <f ca="1">IF(AW3&gt;0,SUMIF($K$2:$K$21,"&lt;="&amp;$AW$1,$I$2:I20),IF(AV3&gt;0,SUMIF($K$2:$K$21,"&lt;="&amp;$AV$1,$I$2:I20),IF(AU3&gt;0,SUMIF($K$2:$K$21,"&lt;="&amp;$AU$1,$I$2:I20),IF(AT3&gt;0,SUMIF($K$2:$K$21,"&lt;="&amp;$AT$1,$I$2:I20),IF(AS3&gt;0,SUMIF($K$2:$K$21,"&lt;="&amp;$AS$1,$I$2:I20),IF(AR3&gt;0,SUMIF($K$2:$K$21,"&lt;="&amp;$AR$1,$I$2:I20),0))))))</f>
        <v>0</v>
      </c>
      <c r="AY3" s="12">
        <f ca="1" t="shared" ref="AY3:AY14" si="8">AX3/$M$2</f>
        <v>0</v>
      </c>
      <c r="AZ3" s="7">
        <f t="shared" ref="AZ3:AZ14" si="9">IF(AW3&gt;0,AW3,IF(AV3&gt;0,AV3,IF(AU3&gt;0,AU3,IF(AT3&gt;0,AT3,IF(AS3&gt;0,AS3,AR3)))))</f>
        <v>0</v>
      </c>
      <c r="BD3" s="7">
        <f>AQ3</f>
        <v>1000</v>
      </c>
      <c r="BE3" s="7">
        <v>70000</v>
      </c>
      <c r="BF3" s="14">
        <v>0.07</v>
      </c>
      <c r="BG3" s="14">
        <v>0.056</v>
      </c>
      <c r="BH3" s="14">
        <v>0.0466666666666667</v>
      </c>
      <c r="BI3" s="14">
        <v>0.04</v>
      </c>
      <c r="BJ3" s="14">
        <v>0.035</v>
      </c>
      <c r="BK3" s="14">
        <v>0.0311111111111111</v>
      </c>
      <c r="BL3" s="14">
        <v>0.028</v>
      </c>
      <c r="BM3" s="14">
        <v>0.028</v>
      </c>
      <c r="BN3" s="14">
        <v>0.028</v>
      </c>
      <c r="BO3" s="14">
        <v>0.028</v>
      </c>
      <c r="BP3" s="14">
        <v>0.028</v>
      </c>
      <c r="BQ3" s="14">
        <v>0.028</v>
      </c>
      <c r="BR3" s="14">
        <v>0.028</v>
      </c>
      <c r="BS3" s="14">
        <v>0.028</v>
      </c>
      <c r="BT3" s="14">
        <v>0.028</v>
      </c>
      <c r="BU3" s="14">
        <v>0.028</v>
      </c>
      <c r="BY3" s="7">
        <f>BD3</f>
        <v>1000</v>
      </c>
      <c r="BZ3" s="7">
        <v>70000</v>
      </c>
      <c r="CA3" s="13">
        <f ca="1" t="shared" ref="CA3:CP3" si="10">IF($AX3=0,0,$AX3/$M$2/($AZ3*BF3))</f>
        <v>0</v>
      </c>
      <c r="CB3" s="13">
        <f ca="1" t="shared" si="10"/>
        <v>0</v>
      </c>
      <c r="CC3" s="13">
        <f ca="1" t="shared" si="10"/>
        <v>0</v>
      </c>
      <c r="CD3" s="13">
        <f ca="1" t="shared" si="10"/>
        <v>0</v>
      </c>
      <c r="CE3" s="13">
        <f ca="1" t="shared" si="10"/>
        <v>0</v>
      </c>
      <c r="CF3" s="13">
        <f ca="1" t="shared" si="10"/>
        <v>0</v>
      </c>
      <c r="CG3" s="13">
        <f ca="1" t="shared" si="10"/>
        <v>0</v>
      </c>
      <c r="CH3" s="13">
        <f ca="1" t="shared" si="10"/>
        <v>0</v>
      </c>
      <c r="CI3" s="13">
        <f ca="1" t="shared" si="10"/>
        <v>0</v>
      </c>
      <c r="CJ3" s="13">
        <f ca="1" t="shared" si="10"/>
        <v>0</v>
      </c>
      <c r="CK3" s="13">
        <f ca="1" t="shared" si="10"/>
        <v>0</v>
      </c>
      <c r="CL3" s="13">
        <f ca="1" t="shared" si="10"/>
        <v>0</v>
      </c>
      <c r="CM3" s="13">
        <f ca="1" t="shared" si="10"/>
        <v>0</v>
      </c>
      <c r="CN3" s="13">
        <f ca="1" t="shared" si="10"/>
        <v>0</v>
      </c>
      <c r="CO3" s="13">
        <f ca="1" t="shared" si="10"/>
        <v>0</v>
      </c>
      <c r="CP3" s="13">
        <f ca="1" t="shared" si="10"/>
        <v>0</v>
      </c>
    </row>
    <row r="4" spans="1:94">
      <c r="C4" s="6">
        <v>3</v>
      </c>
      <c r="D4" s="7">
        <v>300000</v>
      </c>
      <c r="E4" s="6">
        <f t="shared" si="0"/>
        <v>0.3</v>
      </c>
      <c r="H4" s="6">
        <v>3</v>
      </c>
      <c r="I4" s="7">
        <v>600000</v>
      </c>
      <c r="J4" s="6">
        <f t="shared" si="4"/>
        <v>0.6</v>
      </c>
      <c r="K4" s="6">
        <v>2</v>
      </c>
      <c r="M4" s="6">
        <v>70</v>
      </c>
      <c r="O4" s="7">
        <v>10000</v>
      </c>
      <c r="P4" s="7">
        <f t="shared" ref="P4:P13" si="11">O4*50</f>
        <v>500000</v>
      </c>
      <c r="Q4" s="7">
        <f t="shared" si="1"/>
        <v>70000</v>
      </c>
      <c r="R4" s="10">
        <f t="shared" si="2"/>
        <v>0.07</v>
      </c>
      <c r="S4" s="6">
        <v>1</v>
      </c>
      <c r="T4" s="6">
        <v>750</v>
      </c>
      <c r="U4" s="6">
        <f t="shared" ref="U4:U13" si="12">T4*$AC4/10000</f>
        <v>0.975</v>
      </c>
      <c r="V4" s="6"/>
      <c r="W4" s="6"/>
      <c r="X4" s="6"/>
      <c r="Y4" s="6"/>
      <c r="Z4" s="6"/>
      <c r="AA4" s="6"/>
      <c r="AB4" s="6">
        <v>1</v>
      </c>
      <c r="AC4" s="6">
        <v>13</v>
      </c>
      <c r="AD4" s="4">
        <f t="shared" ref="AD4:AD10" si="13">SUM(T4+W4+Z4)</f>
        <v>750</v>
      </c>
      <c r="AG4" s="7">
        <f t="shared" si="5"/>
        <v>10000</v>
      </c>
      <c r="AH4" s="12">
        <f t="shared" ref="AH4:AM4" si="14">IF($S4=AH$1,$U4,0)+IF($V4=AH$1,$X4,0)+IF($Y4=AH$1,$AA4,0)</f>
        <v>0.975</v>
      </c>
      <c r="AI4" s="12">
        <f t="shared" si="14"/>
        <v>0</v>
      </c>
      <c r="AJ4" s="12">
        <f t="shared" si="14"/>
        <v>0</v>
      </c>
      <c r="AK4" s="12">
        <f t="shared" si="14"/>
        <v>0</v>
      </c>
      <c r="AL4" s="12">
        <f t="shared" si="14"/>
        <v>0</v>
      </c>
      <c r="AM4" s="12">
        <f t="shared" si="14"/>
        <v>0</v>
      </c>
      <c r="AQ4" s="7">
        <f t="shared" ref="AQ4:AQ14" si="15">AG3</f>
        <v>3000</v>
      </c>
      <c r="AR4" s="12">
        <f t="shared" ref="AR4:AW4" si="16">IF(AH3=0,0,AR$2/AH3)</f>
        <v>0</v>
      </c>
      <c r="AS4" s="12">
        <f t="shared" si="16"/>
        <v>0</v>
      </c>
      <c r="AT4" s="12">
        <f t="shared" si="16"/>
        <v>0</v>
      </c>
      <c r="AU4" s="12">
        <f t="shared" si="16"/>
        <v>0</v>
      </c>
      <c r="AV4" s="12">
        <f t="shared" si="16"/>
        <v>0</v>
      </c>
      <c r="AW4" s="12">
        <f t="shared" si="16"/>
        <v>0</v>
      </c>
      <c r="AX4" s="7">
        <f>IF(AW4&gt;0,SUMIF($K$2:$K$21,"&lt;="&amp;$AW$1,$I$2:I21),IF(AV4&gt;0,SUMIF($K$2:$K$21,"&lt;="&amp;$AV$1,$I$2:I21),IF(AU4&gt;0,SUMIF($K$2:$K$21,"&lt;="&amp;$AU$1,$I$2:I21),IF(AT4&gt;0,SUMIF($K$2:$K$21,"&lt;="&amp;$AT$1,$I$2:I21),IF(AS4&gt;0,SUMIF($K$2:$K$21,"&lt;="&amp;$AS$1,$I$2:I21),IF(AR4&gt;0,SUMIF($K$2:$K$21,"&lt;="&amp;$AR$1,$I$2:I21),0))))))</f>
        <v>0</v>
      </c>
      <c r="AY4" s="12">
        <f t="shared" si="8"/>
        <v>0</v>
      </c>
      <c r="AZ4" s="7">
        <f t="shared" si="9"/>
        <v>0</v>
      </c>
      <c r="BD4" s="7">
        <f t="shared" ref="BD4:BD14" si="17">AQ4</f>
        <v>3000</v>
      </c>
      <c r="BE4" s="7">
        <v>210000</v>
      </c>
      <c r="BF4" s="14">
        <v>0.21</v>
      </c>
      <c r="BG4" s="14">
        <v>0.168</v>
      </c>
      <c r="BH4" s="14">
        <v>0.14</v>
      </c>
      <c r="BI4" s="14">
        <v>0.12</v>
      </c>
      <c r="BJ4" s="14">
        <v>0.105</v>
      </c>
      <c r="BK4" s="14">
        <v>0.0933333333333333</v>
      </c>
      <c r="BL4" s="14">
        <v>0.084</v>
      </c>
      <c r="BM4" s="14">
        <v>0.084</v>
      </c>
      <c r="BN4" s="14">
        <v>0.084</v>
      </c>
      <c r="BO4" s="14">
        <v>0.084</v>
      </c>
      <c r="BP4" s="14">
        <v>0.084</v>
      </c>
      <c r="BQ4" s="14">
        <v>0.084</v>
      </c>
      <c r="BR4" s="14">
        <v>0.084</v>
      </c>
      <c r="BS4" s="14">
        <v>0.084</v>
      </c>
      <c r="BT4" s="14">
        <v>0.084</v>
      </c>
      <c r="BU4" s="14">
        <v>0.084</v>
      </c>
      <c r="BY4" s="7">
        <f t="shared" ref="BY4:BY14" si="18">BD4</f>
        <v>3000</v>
      </c>
      <c r="BZ4" s="7">
        <v>210000</v>
      </c>
      <c r="CA4" s="13">
        <f t="shared" ref="CA4:CP4" si="19">IF($AX4=0,0,$AX4/$M$2/($AZ4*BF4))</f>
        <v>0</v>
      </c>
      <c r="CB4" s="13">
        <f t="shared" si="19"/>
        <v>0</v>
      </c>
      <c r="CC4" s="13">
        <f t="shared" si="19"/>
        <v>0</v>
      </c>
      <c r="CD4" s="13">
        <f t="shared" si="19"/>
        <v>0</v>
      </c>
      <c r="CE4" s="13">
        <f t="shared" si="19"/>
        <v>0</v>
      </c>
      <c r="CF4" s="13">
        <f t="shared" si="19"/>
        <v>0</v>
      </c>
      <c r="CG4" s="13">
        <f t="shared" si="19"/>
        <v>0</v>
      </c>
      <c r="CH4" s="13">
        <f t="shared" si="19"/>
        <v>0</v>
      </c>
      <c r="CI4" s="13">
        <f t="shared" si="19"/>
        <v>0</v>
      </c>
      <c r="CJ4" s="13">
        <f t="shared" si="19"/>
        <v>0</v>
      </c>
      <c r="CK4" s="13">
        <f t="shared" si="19"/>
        <v>0</v>
      </c>
      <c r="CL4" s="13">
        <f t="shared" si="19"/>
        <v>0</v>
      </c>
      <c r="CM4" s="13">
        <f t="shared" si="19"/>
        <v>0</v>
      </c>
      <c r="CN4" s="13">
        <f t="shared" si="19"/>
        <v>0</v>
      </c>
      <c r="CO4" s="13">
        <f t="shared" si="19"/>
        <v>0</v>
      </c>
      <c r="CP4" s="13">
        <f t="shared" si="19"/>
        <v>0</v>
      </c>
    </row>
    <row r="5" spans="1:94">
      <c r="C5" s="6">
        <v>4</v>
      </c>
      <c r="D5" s="7">
        <v>500000</v>
      </c>
      <c r="E5" s="6">
        <f t="shared" si="0"/>
        <v>0.5</v>
      </c>
      <c r="H5" s="6">
        <v>4</v>
      </c>
      <c r="I5" s="7">
        <v>1000000</v>
      </c>
      <c r="J5" s="6">
        <f t="shared" si="4"/>
        <v>1</v>
      </c>
      <c r="K5" s="6">
        <v>2</v>
      </c>
      <c r="M5" s="6" t="s">
        <v>23</v>
      </c>
      <c r="O5" s="7">
        <v>20000</v>
      </c>
      <c r="P5" s="7">
        <f t="shared" si="11"/>
        <v>1000000</v>
      </c>
      <c r="Q5" s="7">
        <f t="shared" si="1"/>
        <v>140000</v>
      </c>
      <c r="R5" s="10">
        <f t="shared" si="2"/>
        <v>0.14</v>
      </c>
      <c r="S5" s="6">
        <v>1</v>
      </c>
      <c r="T5" s="6">
        <v>600</v>
      </c>
      <c r="U5" s="6">
        <f t="shared" si="12"/>
        <v>0.78</v>
      </c>
      <c r="V5" s="6">
        <v>2</v>
      </c>
      <c r="W5" s="6">
        <v>100</v>
      </c>
      <c r="X5" s="6">
        <f t="shared" ref="X5:X13" si="20">W5*$AC5/10000</f>
        <v>0.13</v>
      </c>
      <c r="Y5" s="6"/>
      <c r="Z5" s="6"/>
      <c r="AA5" s="6"/>
      <c r="AB5" s="6">
        <v>1</v>
      </c>
      <c r="AC5" s="6">
        <v>13</v>
      </c>
      <c r="AD5" s="4">
        <f t="shared" si="13"/>
        <v>700</v>
      </c>
      <c r="AG5" s="7">
        <f t="shared" si="5"/>
        <v>20000</v>
      </c>
      <c r="AH5" s="12">
        <f>IF($S5=AH$1,$U5,0)+IF($V5=AH$1,$X5,0)+IF($Y5=AH$1,$AA5,0)</f>
        <v>0.78</v>
      </c>
      <c r="AI5" s="12">
        <f t="shared" ref="AH5:AM5" si="21">IF($S5=AI$1,$U5,0)+IF($V5=AI$1,$X5,0)+IF($Y5=AI$1,$AA5,0)</f>
        <v>0.13</v>
      </c>
      <c r="AJ5" s="12">
        <f t="shared" si="21"/>
        <v>0</v>
      </c>
      <c r="AK5" s="12">
        <f t="shared" si="21"/>
        <v>0</v>
      </c>
      <c r="AL5" s="12">
        <f t="shared" si="21"/>
        <v>0</v>
      </c>
      <c r="AM5" s="12">
        <f t="shared" si="21"/>
        <v>0</v>
      </c>
      <c r="AQ5" s="7">
        <f t="shared" si="15"/>
        <v>10000</v>
      </c>
      <c r="AR5" s="12">
        <f t="shared" ref="AR5:AW5" si="22">IF(AH4=0,0,AR$2/AH4)</f>
        <v>25.6410256410256</v>
      </c>
      <c r="AS5" s="12">
        <f t="shared" si="22"/>
        <v>0</v>
      </c>
      <c r="AT5" s="12">
        <f t="shared" si="22"/>
        <v>0</v>
      </c>
      <c r="AU5" s="12">
        <f t="shared" si="22"/>
        <v>0</v>
      </c>
      <c r="AV5" s="12">
        <f t="shared" si="22"/>
        <v>0</v>
      </c>
      <c r="AW5" s="12">
        <f t="shared" si="22"/>
        <v>0</v>
      </c>
      <c r="AX5" s="7">
        <f>IF(AW5&gt;0,SUMIF($K$2:$K$21,"&lt;="&amp;$AW$1,$I$2:I22),IF(AV5&gt;0,SUMIF($K$2:$K$21,"&lt;="&amp;$AV$1,$I$2:I22),IF(AU5&gt;0,SUMIF($K$2:$K$21,"&lt;="&amp;$AU$1,$I$2:I22),IF(AT5&gt;0,SUMIF($K$2:$K$21,"&lt;="&amp;$AT$1,$I$2:I22),IF(AS5&gt;0,SUMIF($K$2:$K$21,"&lt;="&amp;$AS$1,$I$2:I22),IF(AR5&gt;0,SUMIF($K$2:$K$21,"&lt;="&amp;$AR$1,$I$2:I22),0))))))</f>
        <v>200000</v>
      </c>
      <c r="AY5" s="12">
        <f t="shared" si="8"/>
        <v>0.2</v>
      </c>
      <c r="AZ5" s="7">
        <f t="shared" si="9"/>
        <v>25.6410256410256</v>
      </c>
      <c r="BD5" s="7">
        <f t="shared" si="17"/>
        <v>10000</v>
      </c>
      <c r="BE5" s="7">
        <v>700000</v>
      </c>
      <c r="BF5" s="14">
        <v>0.7</v>
      </c>
      <c r="BG5" s="14">
        <v>0.56</v>
      </c>
      <c r="BH5" s="14">
        <v>0.466666666666667</v>
      </c>
      <c r="BI5" s="14">
        <v>0.4</v>
      </c>
      <c r="BJ5" s="14">
        <v>0.35</v>
      </c>
      <c r="BK5" s="14">
        <v>0.311111111111111</v>
      </c>
      <c r="BL5" s="14">
        <v>0.28</v>
      </c>
      <c r="BM5" s="14">
        <v>0.28</v>
      </c>
      <c r="BN5" s="14">
        <v>0.28</v>
      </c>
      <c r="BO5" s="14">
        <v>0.28</v>
      </c>
      <c r="BP5" s="14">
        <v>0.28</v>
      </c>
      <c r="BQ5" s="14">
        <v>0.28</v>
      </c>
      <c r="BR5" s="14">
        <v>0.28</v>
      </c>
      <c r="BS5" s="14">
        <v>0.28</v>
      </c>
      <c r="BT5" s="14">
        <v>0.28</v>
      </c>
      <c r="BU5" s="14">
        <v>0.28</v>
      </c>
      <c r="BY5" s="7">
        <f t="shared" si="18"/>
        <v>10000</v>
      </c>
      <c r="BZ5" s="7">
        <v>700000</v>
      </c>
      <c r="CA5" s="13">
        <f t="shared" ref="CA5:CP5" si="23">IF($AX5=0,0,$AX5/$M$2/($AZ5*BF5))</f>
        <v>0.0111428571428572</v>
      </c>
      <c r="CB5" s="13">
        <f t="shared" si="23"/>
        <v>0.0139285714285715</v>
      </c>
      <c r="CC5" s="13">
        <f t="shared" si="23"/>
        <v>0.0167142857142857</v>
      </c>
      <c r="CD5" s="13">
        <f t="shared" si="23"/>
        <v>0.0195</v>
      </c>
      <c r="CE5" s="13">
        <f t="shared" si="23"/>
        <v>0.0222857142857143</v>
      </c>
      <c r="CF5" s="13">
        <f t="shared" si="23"/>
        <v>0.0250714285714286</v>
      </c>
      <c r="CG5" s="13">
        <f t="shared" si="23"/>
        <v>0.0278571428571429</v>
      </c>
      <c r="CH5" s="13">
        <f t="shared" si="23"/>
        <v>0.0278571428571429</v>
      </c>
      <c r="CI5" s="13">
        <f t="shared" si="23"/>
        <v>0.0278571428571429</v>
      </c>
      <c r="CJ5" s="13">
        <f t="shared" si="23"/>
        <v>0.0278571428571429</v>
      </c>
      <c r="CK5" s="13">
        <f t="shared" si="23"/>
        <v>0.0278571428571429</v>
      </c>
      <c r="CL5" s="13">
        <f t="shared" si="23"/>
        <v>0.0278571428571429</v>
      </c>
      <c r="CM5" s="13">
        <f t="shared" si="23"/>
        <v>0.0278571428571429</v>
      </c>
      <c r="CN5" s="13">
        <f t="shared" si="23"/>
        <v>0.0278571428571429</v>
      </c>
      <c r="CO5" s="13">
        <f t="shared" si="23"/>
        <v>0.0278571428571429</v>
      </c>
      <c r="CP5" s="13">
        <f t="shared" si="23"/>
        <v>0.0278571428571429</v>
      </c>
    </row>
    <row r="6" spans="1:94">
      <c r="C6" s="6">
        <v>5</v>
      </c>
      <c r="D6" s="7">
        <v>1000000</v>
      </c>
      <c r="E6" s="6">
        <f t="shared" si="0"/>
        <v>1</v>
      </c>
      <c r="H6" s="6">
        <v>5</v>
      </c>
      <c r="I6" s="7">
        <v>2000000</v>
      </c>
      <c r="J6" s="6">
        <f t="shared" si="4"/>
        <v>2</v>
      </c>
      <c r="K6" s="6">
        <v>2</v>
      </c>
      <c r="M6" s="6">
        <v>0.1</v>
      </c>
      <c r="O6" s="7">
        <v>50000</v>
      </c>
      <c r="P6" s="7">
        <f t="shared" si="11"/>
        <v>2500000</v>
      </c>
      <c r="Q6" s="7">
        <f t="shared" si="1"/>
        <v>350000</v>
      </c>
      <c r="R6" s="10">
        <f t="shared" si="2"/>
        <v>0.35</v>
      </c>
      <c r="S6" s="6">
        <v>2</v>
      </c>
      <c r="T6" s="6">
        <v>525</v>
      </c>
      <c r="U6" s="6">
        <f t="shared" si="12"/>
        <v>0.6825</v>
      </c>
      <c r="V6" s="6">
        <v>3</v>
      </c>
      <c r="W6" s="6">
        <v>525</v>
      </c>
      <c r="X6" s="6">
        <f t="shared" si="20"/>
        <v>0.6825</v>
      </c>
      <c r="Y6" s="6">
        <v>4</v>
      </c>
      <c r="Z6" s="6">
        <v>50</v>
      </c>
      <c r="AA6" s="6">
        <f t="shared" ref="AA6:AA13" si="24">Z6*$AC6/10000</f>
        <v>0.065</v>
      </c>
      <c r="AB6" s="6">
        <v>1</v>
      </c>
      <c r="AC6" s="6">
        <v>13</v>
      </c>
      <c r="AD6" s="4">
        <f t="shared" si="13"/>
        <v>1100</v>
      </c>
      <c r="AG6" s="7">
        <f t="shared" si="5"/>
        <v>50000</v>
      </c>
      <c r="AH6" s="12">
        <f t="shared" ref="AH6:AM6" si="25">IF($S6=AH$1,$U6,0)+IF($V6=AH$1,$X6,0)+IF($Y6=AH$1,$AA6,0)</f>
        <v>0</v>
      </c>
      <c r="AI6" s="12">
        <f t="shared" si="25"/>
        <v>0.6825</v>
      </c>
      <c r="AJ6" s="12">
        <f t="shared" si="25"/>
        <v>0.6825</v>
      </c>
      <c r="AK6" s="12">
        <f t="shared" si="25"/>
        <v>0.065</v>
      </c>
      <c r="AL6" s="12">
        <f t="shared" si="25"/>
        <v>0</v>
      </c>
      <c r="AM6" s="12">
        <f t="shared" si="25"/>
        <v>0</v>
      </c>
      <c r="AQ6" s="7">
        <f t="shared" si="15"/>
        <v>20000</v>
      </c>
      <c r="AR6" s="12">
        <f t="shared" ref="AR6:AW6" si="26">IF(AH5=0,0,AR$2/AH5)</f>
        <v>32.0512820512821</v>
      </c>
      <c r="AS6" s="12">
        <f t="shared" si="26"/>
        <v>384.615384615385</v>
      </c>
      <c r="AT6" s="12">
        <f t="shared" si="26"/>
        <v>0</v>
      </c>
      <c r="AU6" s="12">
        <f t="shared" si="26"/>
        <v>0</v>
      </c>
      <c r="AV6" s="12">
        <f t="shared" si="26"/>
        <v>0</v>
      </c>
      <c r="AW6" s="12">
        <f t="shared" si="26"/>
        <v>0</v>
      </c>
      <c r="AX6" s="7">
        <f>IF(AW6&gt;0,SUMIF($K$2:$K$21,"&lt;="&amp;$AW$1,$I$2:I23),IF(AV6&gt;0,SUMIF($K$2:$K$21,"&lt;="&amp;$AV$1,$I$2:I23),IF(AU6&gt;0,SUMIF($K$2:$K$21,"&lt;="&amp;$AU$1,$I$2:I23),IF(AT6&gt;0,SUMIF($K$2:$K$21,"&lt;="&amp;$AT$1,$I$2:I23),IF(AS6&gt;0,SUMIF($K$2:$K$21,"&lt;="&amp;$AS$1,$I$2:I23),IF(AR6&gt;0,SUMIF($K$2:$K$21,"&lt;="&amp;$AR$1,$I$2:I23),0))))))</f>
        <v>4100000</v>
      </c>
      <c r="AY6" s="12">
        <f t="shared" si="8"/>
        <v>4.1</v>
      </c>
      <c r="AZ6" s="7">
        <f t="shared" si="9"/>
        <v>384.615384615385</v>
      </c>
      <c r="BD6" s="7">
        <f t="shared" si="17"/>
        <v>20000</v>
      </c>
      <c r="BE6" s="7">
        <v>1400000</v>
      </c>
      <c r="BF6" s="14">
        <v>1.4</v>
      </c>
      <c r="BG6" s="14">
        <v>1.12</v>
      </c>
      <c r="BH6" s="14">
        <v>0.933333333333333</v>
      </c>
      <c r="BI6" s="14">
        <v>0.8</v>
      </c>
      <c r="BJ6" s="14">
        <v>0.7</v>
      </c>
      <c r="BK6" s="14">
        <v>0.622222222222222</v>
      </c>
      <c r="BL6" s="14">
        <v>0.56</v>
      </c>
      <c r="BM6" s="14">
        <v>0.56</v>
      </c>
      <c r="BN6" s="14">
        <v>0.56</v>
      </c>
      <c r="BO6" s="14">
        <v>0.56</v>
      </c>
      <c r="BP6" s="14">
        <v>0.56</v>
      </c>
      <c r="BQ6" s="14">
        <v>0.56</v>
      </c>
      <c r="BR6" s="14">
        <v>0.56</v>
      </c>
      <c r="BS6" s="14">
        <v>0.56</v>
      </c>
      <c r="BT6" s="14">
        <v>0.56</v>
      </c>
      <c r="BU6" s="14">
        <v>0.56</v>
      </c>
      <c r="BY6" s="7">
        <f t="shared" si="18"/>
        <v>20000</v>
      </c>
      <c r="BZ6" s="7">
        <v>1400000</v>
      </c>
      <c r="CA6" s="13">
        <f t="shared" ref="CA6:CP6" si="27">IF($AX6=0,0,$AX6/$M$2/($AZ6*BF6))</f>
        <v>0.00761428571428571</v>
      </c>
      <c r="CB6" s="13">
        <f t="shared" si="27"/>
        <v>0.00951785714285713</v>
      </c>
      <c r="CC6" s="13">
        <f t="shared" si="27"/>
        <v>0.0114214285714286</v>
      </c>
      <c r="CD6" s="13">
        <f t="shared" si="27"/>
        <v>0.013325</v>
      </c>
      <c r="CE6" s="13">
        <f t="shared" si="27"/>
        <v>0.0152285714285714</v>
      </c>
      <c r="CF6" s="13">
        <f t="shared" si="27"/>
        <v>0.0171321428571428</v>
      </c>
      <c r="CG6" s="13">
        <f t="shared" si="27"/>
        <v>0.0190357142857143</v>
      </c>
      <c r="CH6" s="13">
        <f t="shared" si="27"/>
        <v>0.0190357142857143</v>
      </c>
      <c r="CI6" s="13">
        <f t="shared" si="27"/>
        <v>0.0190357142857143</v>
      </c>
      <c r="CJ6" s="13">
        <f t="shared" si="27"/>
        <v>0.0190357142857143</v>
      </c>
      <c r="CK6" s="13">
        <f t="shared" si="27"/>
        <v>0.0190357142857143</v>
      </c>
      <c r="CL6" s="13">
        <f t="shared" si="27"/>
        <v>0.0190357142857143</v>
      </c>
      <c r="CM6" s="13">
        <f t="shared" si="27"/>
        <v>0.0190357142857143</v>
      </c>
      <c r="CN6" s="13">
        <f t="shared" si="27"/>
        <v>0.0190357142857143</v>
      </c>
      <c r="CO6" s="13">
        <f t="shared" si="27"/>
        <v>0.0190357142857143</v>
      </c>
      <c r="CP6" s="13">
        <f t="shared" si="27"/>
        <v>0.0190357142857143</v>
      </c>
    </row>
    <row r="7" spans="1:94">
      <c r="C7" s="6">
        <v>6</v>
      </c>
      <c r="D7" s="7">
        <v>1200000</v>
      </c>
      <c r="E7" s="6">
        <f t="shared" si="0"/>
        <v>1.2</v>
      </c>
      <c r="H7" s="6">
        <v>6</v>
      </c>
      <c r="I7" s="7">
        <v>2400000</v>
      </c>
      <c r="J7" s="6">
        <f t="shared" si="4"/>
        <v>2.4</v>
      </c>
      <c r="K7" s="6">
        <v>3</v>
      </c>
      <c r="O7" s="7">
        <v>100000</v>
      </c>
      <c r="P7" s="7">
        <f t="shared" si="11"/>
        <v>5000000</v>
      </c>
      <c r="Q7" s="7">
        <f t="shared" si="1"/>
        <v>700000</v>
      </c>
      <c r="R7" s="10">
        <f t="shared" si="2"/>
        <v>0.7</v>
      </c>
      <c r="S7" s="6">
        <v>3</v>
      </c>
      <c r="T7" s="6">
        <v>383</v>
      </c>
      <c r="U7" s="6">
        <f t="shared" si="12"/>
        <v>0.4979</v>
      </c>
      <c r="V7" s="6">
        <v>4</v>
      </c>
      <c r="W7" s="6">
        <v>333</v>
      </c>
      <c r="X7" s="6">
        <f t="shared" si="20"/>
        <v>0.4329</v>
      </c>
      <c r="Y7" s="6">
        <v>5</v>
      </c>
      <c r="Z7" s="6">
        <v>34</v>
      </c>
      <c r="AA7" s="6">
        <f t="shared" si="24"/>
        <v>0.0442</v>
      </c>
      <c r="AB7" s="6">
        <v>1</v>
      </c>
      <c r="AC7" s="6">
        <v>13</v>
      </c>
      <c r="AD7" s="4">
        <f t="shared" si="13"/>
        <v>750</v>
      </c>
      <c r="AG7" s="7">
        <f t="shared" si="5"/>
        <v>100000</v>
      </c>
      <c r="AH7" s="12">
        <f t="shared" ref="AH7:AM7" si="28">IF($S7=AH$1,$U7,0)+IF($V7=AH$1,$X7,0)+IF($Y7=AH$1,$AA7,0)</f>
        <v>0</v>
      </c>
      <c r="AI7" s="12">
        <f t="shared" si="28"/>
        <v>0</v>
      </c>
      <c r="AJ7" s="12">
        <f t="shared" si="28"/>
        <v>0.4979</v>
      </c>
      <c r="AK7" s="12">
        <f t="shared" si="28"/>
        <v>0.4329</v>
      </c>
      <c r="AL7" s="12">
        <f t="shared" si="28"/>
        <v>0.0442</v>
      </c>
      <c r="AM7" s="12">
        <f t="shared" si="28"/>
        <v>0</v>
      </c>
      <c r="AQ7" s="7">
        <f t="shared" si="15"/>
        <v>50000</v>
      </c>
      <c r="AR7" s="12">
        <f t="shared" ref="AR7:AW7" si="29">IF(AH6=0,0,AR$2/AH6)</f>
        <v>0</v>
      </c>
      <c r="AS7" s="12">
        <f t="shared" si="29"/>
        <v>73.2600732600733</v>
      </c>
      <c r="AT7" s="12">
        <f t="shared" si="29"/>
        <v>73.2600732600733</v>
      </c>
      <c r="AU7" s="12">
        <f t="shared" si="29"/>
        <v>769.230769230769</v>
      </c>
      <c r="AV7" s="12">
        <f t="shared" si="29"/>
        <v>0</v>
      </c>
      <c r="AW7" s="12">
        <f t="shared" si="29"/>
        <v>0</v>
      </c>
      <c r="AX7" s="7">
        <f>IF(AW7&gt;0,SUMIF($K$2:$K$21,"&lt;="&amp;$AW$1,$I$2:I24),IF(AV7&gt;0,SUMIF($K$2:$K$21,"&lt;="&amp;$AV$1,$I$2:I24),IF(AU7&gt;0,SUMIF($K$2:$K$21,"&lt;="&amp;$AU$1,$I$2:I24),IF(AT7&gt;0,SUMIF($K$2:$K$21,"&lt;="&amp;$AT$1,$I$2:I24),IF(AS7&gt;0,SUMIF($K$2:$K$21,"&lt;="&amp;$AS$1,$I$2:I24),IF(AR7&gt;0,SUMIF($K$2:$K$21,"&lt;="&amp;$AR$1,$I$2:I24),0))))))</f>
        <v>22000000</v>
      </c>
      <c r="AY7" s="12">
        <f t="shared" si="8"/>
        <v>22</v>
      </c>
      <c r="AZ7" s="7">
        <f t="shared" si="9"/>
        <v>769.230769230769</v>
      </c>
      <c r="BD7" s="7">
        <f t="shared" si="17"/>
        <v>50000</v>
      </c>
      <c r="BE7" s="7">
        <v>3500000</v>
      </c>
      <c r="BF7" s="14">
        <v>3.2741935483871</v>
      </c>
      <c r="BG7" s="14">
        <v>2.70666666666667</v>
      </c>
      <c r="BH7" s="14">
        <v>2.25555555555556</v>
      </c>
      <c r="BI7" s="14">
        <v>1.93333333333333</v>
      </c>
      <c r="BJ7" s="14">
        <v>1.75</v>
      </c>
      <c r="BK7" s="14">
        <v>1.55555555555556</v>
      </c>
      <c r="BL7" s="14">
        <v>1.4</v>
      </c>
      <c r="BM7" s="14">
        <v>1.4</v>
      </c>
      <c r="BN7" s="14">
        <v>1.4</v>
      </c>
      <c r="BO7" s="14">
        <v>1.4</v>
      </c>
      <c r="BP7" s="14">
        <v>1.4</v>
      </c>
      <c r="BQ7" s="14">
        <v>1.4</v>
      </c>
      <c r="BR7" s="14">
        <v>1.4</v>
      </c>
      <c r="BS7" s="14">
        <v>1.4</v>
      </c>
      <c r="BT7" s="14">
        <v>1.4</v>
      </c>
      <c r="BU7" s="14">
        <v>1.4</v>
      </c>
      <c r="BY7" s="7">
        <f t="shared" si="18"/>
        <v>50000</v>
      </c>
      <c r="BZ7" s="7">
        <v>3500000</v>
      </c>
      <c r="CA7" s="13">
        <f t="shared" ref="CA7:CP7" si="30">IF($AX7=0,0,$AX7/$M$2/($AZ7*BF7))</f>
        <v>0.00873497536945812</v>
      </c>
      <c r="CB7" s="13">
        <f t="shared" si="30"/>
        <v>0.0105665024630542</v>
      </c>
      <c r="CC7" s="13">
        <f t="shared" si="30"/>
        <v>0.012679802955665</v>
      </c>
      <c r="CD7" s="13">
        <f t="shared" si="30"/>
        <v>0.0147931034482759</v>
      </c>
      <c r="CE7" s="13">
        <f t="shared" si="30"/>
        <v>0.0163428571428571</v>
      </c>
      <c r="CF7" s="13">
        <f t="shared" si="30"/>
        <v>0.0183857142857142</v>
      </c>
      <c r="CG7" s="13">
        <f t="shared" si="30"/>
        <v>0.0204285714285714</v>
      </c>
      <c r="CH7" s="13">
        <f t="shared" si="30"/>
        <v>0.0204285714285714</v>
      </c>
      <c r="CI7" s="13">
        <f t="shared" si="30"/>
        <v>0.0204285714285714</v>
      </c>
      <c r="CJ7" s="13">
        <f t="shared" si="30"/>
        <v>0.0204285714285714</v>
      </c>
      <c r="CK7" s="13">
        <f t="shared" si="30"/>
        <v>0.0204285714285714</v>
      </c>
      <c r="CL7" s="13">
        <f t="shared" si="30"/>
        <v>0.0204285714285714</v>
      </c>
      <c r="CM7" s="13">
        <f t="shared" si="30"/>
        <v>0.0204285714285714</v>
      </c>
      <c r="CN7" s="13">
        <f t="shared" si="30"/>
        <v>0.0204285714285714</v>
      </c>
      <c r="CO7" s="13">
        <f t="shared" si="30"/>
        <v>0.0204285714285714</v>
      </c>
      <c r="CP7" s="13">
        <f t="shared" si="30"/>
        <v>0.0204285714285714</v>
      </c>
    </row>
    <row r="8" spans="1:94">
      <c r="C8" s="6">
        <v>7</v>
      </c>
      <c r="D8" s="7">
        <v>1500000</v>
      </c>
      <c r="E8" s="6">
        <f t="shared" si="0"/>
        <v>1.5</v>
      </c>
      <c r="H8" s="6">
        <v>7</v>
      </c>
      <c r="I8" s="7">
        <v>3000000</v>
      </c>
      <c r="J8" s="6">
        <f t="shared" si="4"/>
        <v>3</v>
      </c>
      <c r="K8" s="6">
        <v>3</v>
      </c>
      <c r="O8" s="7">
        <v>200000</v>
      </c>
      <c r="P8" s="7">
        <f t="shared" si="11"/>
        <v>10000000</v>
      </c>
      <c r="Q8" s="7">
        <f t="shared" si="1"/>
        <v>1400000</v>
      </c>
      <c r="R8" s="10">
        <f t="shared" si="2"/>
        <v>1.4</v>
      </c>
      <c r="S8" s="6">
        <v>4</v>
      </c>
      <c r="T8" s="6">
        <v>400</v>
      </c>
      <c r="U8" s="6">
        <f t="shared" si="12"/>
        <v>0.52</v>
      </c>
      <c r="V8" s="6">
        <v>5</v>
      </c>
      <c r="W8" s="6">
        <v>338</v>
      </c>
      <c r="X8" s="6">
        <f t="shared" si="20"/>
        <v>0.4394</v>
      </c>
      <c r="Y8" s="6">
        <v>6</v>
      </c>
      <c r="Z8" s="6">
        <v>9</v>
      </c>
      <c r="AA8" s="6">
        <f t="shared" si="24"/>
        <v>0.0117</v>
      </c>
      <c r="AB8" s="6">
        <v>2</v>
      </c>
      <c r="AC8" s="6">
        <v>13</v>
      </c>
      <c r="AD8" s="4">
        <f t="shared" si="13"/>
        <v>747</v>
      </c>
      <c r="AG8" s="7">
        <f t="shared" si="5"/>
        <v>200000</v>
      </c>
      <c r="AH8" s="12">
        <f t="shared" ref="AH8:AM8" si="31">IF($S8=AH$1,$U8,0)+IF($V8=AH$1,$X8,0)+IF($Y8=AH$1,$AA8,0)</f>
        <v>0</v>
      </c>
      <c r="AI8" s="12">
        <f t="shared" si="31"/>
        <v>0</v>
      </c>
      <c r="AJ8" s="12">
        <f t="shared" si="31"/>
        <v>0</v>
      </c>
      <c r="AK8" s="12">
        <f t="shared" si="31"/>
        <v>0.52</v>
      </c>
      <c r="AL8" s="12">
        <f t="shared" si="31"/>
        <v>0.4394</v>
      </c>
      <c r="AM8" s="12">
        <f t="shared" si="31"/>
        <v>0.0117</v>
      </c>
      <c r="AQ8" s="7">
        <f t="shared" si="15"/>
        <v>100000</v>
      </c>
      <c r="AR8" s="12">
        <f t="shared" ref="AR8:AW8" si="32">IF(AH7=0,0,AR$2/AH7)</f>
        <v>0</v>
      </c>
      <c r="AS8" s="12">
        <f t="shared" si="32"/>
        <v>0</v>
      </c>
      <c r="AT8" s="12">
        <f t="shared" si="32"/>
        <v>100.421771440048</v>
      </c>
      <c r="AU8" s="12">
        <f t="shared" si="32"/>
        <v>115.500115500115</v>
      </c>
      <c r="AV8" s="12">
        <f t="shared" si="32"/>
        <v>1131.22171945701</v>
      </c>
      <c r="AW8" s="12">
        <f t="shared" si="32"/>
        <v>0</v>
      </c>
      <c r="AX8" s="7">
        <f>IF(AW8&gt;0,SUMIF($K$2:$K$21,"&lt;="&amp;$AW$1,$I$2:I25),IF(AV8&gt;0,SUMIF($K$2:$K$21,"&lt;="&amp;$AV$1,$I$2:I25),IF(AU8&gt;0,SUMIF($K$2:$K$21,"&lt;="&amp;$AU$1,$I$2:I25),IF(AT8&gt;0,SUMIF($K$2:$K$21,"&lt;="&amp;$AT$1,$I$2:I25),IF(AS8&gt;0,SUMIF($K$2:$K$21,"&lt;="&amp;$AS$1,$I$2:I25),IF(AR8&gt;0,SUMIF($K$2:$K$21,"&lt;="&amp;$AR$1,$I$2:I25),0))))))</f>
        <v>45000000</v>
      </c>
      <c r="AY8" s="12">
        <f t="shared" si="8"/>
        <v>45</v>
      </c>
      <c r="AZ8" s="7">
        <f t="shared" si="9"/>
        <v>1131.22171945701</v>
      </c>
      <c r="BD8" s="7">
        <f t="shared" si="17"/>
        <v>100000</v>
      </c>
      <c r="BE8" s="7">
        <v>7000000</v>
      </c>
      <c r="BF8" s="14">
        <v>5.8</v>
      </c>
      <c r="BG8" s="14">
        <v>4.92121212121212</v>
      </c>
      <c r="BH8" s="14">
        <v>4.22916666666667</v>
      </c>
      <c r="BI8" s="14">
        <v>3.625</v>
      </c>
      <c r="BJ8" s="14">
        <v>3.2741935483871</v>
      </c>
      <c r="BK8" s="14">
        <v>2.91039426523297</v>
      </c>
      <c r="BL8" s="14">
        <v>2.70666666666667</v>
      </c>
      <c r="BM8" s="14">
        <v>2.70666666666667</v>
      </c>
      <c r="BN8" s="14">
        <v>2.70666666666667</v>
      </c>
      <c r="BO8" s="14">
        <v>2.70666666666667</v>
      </c>
      <c r="BP8" s="14">
        <v>2.70666666666667</v>
      </c>
      <c r="BQ8" s="14">
        <v>2.70666666666667</v>
      </c>
      <c r="BR8" s="14">
        <v>2.70666666666667</v>
      </c>
      <c r="BS8" s="14">
        <v>2.70666666666667</v>
      </c>
      <c r="BT8" s="14">
        <v>2.70666666666667</v>
      </c>
      <c r="BU8" s="14">
        <v>2.70666666666667</v>
      </c>
      <c r="BY8" s="7">
        <f t="shared" si="18"/>
        <v>100000</v>
      </c>
      <c r="BZ8" s="7">
        <v>7000000</v>
      </c>
      <c r="CA8" s="13">
        <f t="shared" ref="CA8:CP8" si="33">IF($AX8=0,0,$AX8/$M$2/($AZ8*BF8))</f>
        <v>0.00685862068965519</v>
      </c>
      <c r="CB8" s="13">
        <f t="shared" si="33"/>
        <v>0.00808337438423648</v>
      </c>
      <c r="CC8" s="13">
        <f t="shared" si="33"/>
        <v>0.00940610837438426</v>
      </c>
      <c r="CD8" s="13">
        <f t="shared" si="33"/>
        <v>0.0109737931034483</v>
      </c>
      <c r="CE8" s="13">
        <f t="shared" si="33"/>
        <v>0.0121495566502463</v>
      </c>
      <c r="CF8" s="13">
        <f t="shared" si="33"/>
        <v>0.0136682512315272</v>
      </c>
      <c r="CG8" s="13">
        <f t="shared" si="33"/>
        <v>0.0146970443349754</v>
      </c>
      <c r="CH8" s="13">
        <f t="shared" si="33"/>
        <v>0.0146970443349754</v>
      </c>
      <c r="CI8" s="13">
        <f t="shared" si="33"/>
        <v>0.0146970443349754</v>
      </c>
      <c r="CJ8" s="13">
        <f t="shared" si="33"/>
        <v>0.0146970443349754</v>
      </c>
      <c r="CK8" s="13">
        <f t="shared" si="33"/>
        <v>0.0146970443349754</v>
      </c>
      <c r="CL8" s="13">
        <f t="shared" si="33"/>
        <v>0.0146970443349754</v>
      </c>
      <c r="CM8" s="13">
        <f t="shared" si="33"/>
        <v>0.0146970443349754</v>
      </c>
      <c r="CN8" s="13">
        <f t="shared" si="33"/>
        <v>0.0146970443349754</v>
      </c>
      <c r="CO8" s="13">
        <f t="shared" si="33"/>
        <v>0.0146970443349754</v>
      </c>
      <c r="CP8" s="13">
        <f t="shared" si="33"/>
        <v>0.0146970443349754</v>
      </c>
    </row>
    <row r="9" spans="1:94">
      <c r="C9" s="6">
        <v>8</v>
      </c>
      <c r="D9" s="7">
        <v>1800000</v>
      </c>
      <c r="E9" s="6">
        <f t="shared" si="0"/>
        <v>1.8</v>
      </c>
      <c r="H9" s="6">
        <v>8</v>
      </c>
      <c r="I9" s="7">
        <v>3500000</v>
      </c>
      <c r="J9" s="6">
        <f t="shared" si="4"/>
        <v>3.5</v>
      </c>
      <c r="K9" s="6">
        <v>3</v>
      </c>
      <c r="O9" s="7">
        <v>500000</v>
      </c>
      <c r="P9" s="7">
        <f t="shared" si="11"/>
        <v>25000000</v>
      </c>
      <c r="Q9" s="7">
        <f t="shared" si="1"/>
        <v>3500000</v>
      </c>
      <c r="R9" s="10">
        <f t="shared" si="2"/>
        <v>3.5</v>
      </c>
      <c r="S9" s="6">
        <v>4</v>
      </c>
      <c r="T9" s="6">
        <v>475</v>
      </c>
      <c r="U9" s="6">
        <f t="shared" si="12"/>
        <v>0.6175</v>
      </c>
      <c r="V9" s="6">
        <v>5</v>
      </c>
      <c r="W9" s="6">
        <v>400</v>
      </c>
      <c r="X9" s="6">
        <f t="shared" si="20"/>
        <v>0.52</v>
      </c>
      <c r="Y9" s="6">
        <v>6</v>
      </c>
      <c r="Z9" s="6">
        <v>21</v>
      </c>
      <c r="AA9" s="6">
        <f t="shared" si="24"/>
        <v>0.0273</v>
      </c>
      <c r="AB9" s="6">
        <v>3</v>
      </c>
      <c r="AC9" s="6">
        <v>13</v>
      </c>
      <c r="AD9" s="4">
        <f t="shared" si="13"/>
        <v>896</v>
      </c>
      <c r="AG9" s="7">
        <f t="shared" si="5"/>
        <v>500000</v>
      </c>
      <c r="AH9" s="12">
        <f t="shared" ref="AH9:AM9" si="34">IF($S9=AH$1,$U9,0)+IF($V9=AH$1,$X9,0)+IF($Y9=AH$1,$AA9,0)</f>
        <v>0</v>
      </c>
      <c r="AI9" s="12">
        <f t="shared" si="34"/>
        <v>0</v>
      </c>
      <c r="AJ9" s="12">
        <f t="shared" si="34"/>
        <v>0</v>
      </c>
      <c r="AK9" s="12">
        <f t="shared" si="34"/>
        <v>0.6175</v>
      </c>
      <c r="AL9" s="12">
        <f t="shared" si="34"/>
        <v>0.52</v>
      </c>
      <c r="AM9" s="12">
        <f t="shared" si="34"/>
        <v>0.0273</v>
      </c>
      <c r="AQ9" s="7">
        <f t="shared" si="15"/>
        <v>200000</v>
      </c>
      <c r="AR9" s="12">
        <f t="shared" ref="AR9:AW9" si="35">IF(AH8=0,0,AR$2/AH8)</f>
        <v>0</v>
      </c>
      <c r="AS9" s="12">
        <f t="shared" si="35"/>
        <v>0</v>
      </c>
      <c r="AT9" s="12">
        <f t="shared" si="35"/>
        <v>0</v>
      </c>
      <c r="AU9" s="12">
        <f t="shared" si="35"/>
        <v>96.1538461538461</v>
      </c>
      <c r="AV9" s="12">
        <f t="shared" si="35"/>
        <v>113.791533909877</v>
      </c>
      <c r="AW9" s="12">
        <f t="shared" si="35"/>
        <v>3418.80341880342</v>
      </c>
      <c r="AX9" s="7">
        <f>IF(AW9&gt;0,SUMIF($K$2:$K$21,"&lt;="&amp;$AW$1,$I$2:I26),IF(AV9&gt;0,SUMIF($K$2:$K$21,"&lt;="&amp;$AV$1,$I$2:I26),IF(AU9&gt;0,SUMIF($K$2:$K$21,"&lt;="&amp;$AU$1,$I$2:I26),IF(AT9&gt;0,SUMIF($K$2:$K$21,"&lt;="&amp;$AT$1,$I$2:I26),IF(AS9&gt;0,SUMIF($K$2:$K$21,"&lt;="&amp;$AS$1,$I$2:I26),IF(AR9&gt;0,SUMIF($K$2:$K$21,"&lt;="&amp;$AR$1,$I$2:I26),0))))))</f>
        <v>200000000</v>
      </c>
      <c r="AY9" s="12">
        <f t="shared" si="8"/>
        <v>200</v>
      </c>
      <c r="AZ9" s="7">
        <f t="shared" si="9"/>
        <v>3418.80341880342</v>
      </c>
      <c r="BD9" s="7">
        <f t="shared" si="17"/>
        <v>200000</v>
      </c>
      <c r="BE9" s="7">
        <v>14000000</v>
      </c>
      <c r="BF9" s="14">
        <v>9.66666666666666</v>
      </c>
      <c r="BG9" s="14">
        <v>8.32820512820512</v>
      </c>
      <c r="BH9" s="14">
        <v>7.31531531531531</v>
      </c>
      <c r="BI9" s="14">
        <v>6.44444444444444</v>
      </c>
      <c r="BJ9" s="14">
        <v>5.8</v>
      </c>
      <c r="BK9" s="14">
        <v>5.30718954248366</v>
      </c>
      <c r="BL9" s="14">
        <v>4.92121212121212</v>
      </c>
      <c r="BM9" s="14">
        <v>4.92121212121212</v>
      </c>
      <c r="BN9" s="14">
        <v>4.92121212121212</v>
      </c>
      <c r="BO9" s="14">
        <v>4.92121212121212</v>
      </c>
      <c r="BP9" s="14">
        <v>4.92121212121212</v>
      </c>
      <c r="BQ9" s="14">
        <v>4.92121212121212</v>
      </c>
      <c r="BR9" s="14">
        <v>4.92121212121212</v>
      </c>
      <c r="BS9" s="14">
        <v>4.92121212121212</v>
      </c>
      <c r="BT9" s="14">
        <v>4.92121212121212</v>
      </c>
      <c r="BU9" s="14">
        <v>4.92121212121212</v>
      </c>
      <c r="BY9" s="7">
        <f t="shared" si="18"/>
        <v>200000</v>
      </c>
      <c r="BZ9" s="7">
        <v>14000000</v>
      </c>
      <c r="CA9" s="13">
        <f t="shared" ref="CA9:CP9" si="36">IF($AX9=0,0,$AX9/$M$2/($AZ9*BF9))</f>
        <v>0.00605172413793104</v>
      </c>
      <c r="CB9" s="13">
        <f t="shared" si="36"/>
        <v>0.00702432266009853</v>
      </c>
      <c r="CC9" s="13">
        <f t="shared" si="36"/>
        <v>0.00799692118226601</v>
      </c>
      <c r="CD9" s="13">
        <f t="shared" si="36"/>
        <v>0.00907758620689655</v>
      </c>
      <c r="CE9" s="13">
        <f t="shared" si="36"/>
        <v>0.0100862068965517</v>
      </c>
      <c r="CF9" s="13">
        <f t="shared" si="36"/>
        <v>0.0110227832512315</v>
      </c>
      <c r="CG9" s="13">
        <f t="shared" si="36"/>
        <v>0.011887315270936</v>
      </c>
      <c r="CH9" s="13">
        <f t="shared" si="36"/>
        <v>0.011887315270936</v>
      </c>
      <c r="CI9" s="13">
        <f t="shared" si="36"/>
        <v>0.011887315270936</v>
      </c>
      <c r="CJ9" s="13">
        <f t="shared" si="36"/>
        <v>0.011887315270936</v>
      </c>
      <c r="CK9" s="13">
        <f t="shared" si="36"/>
        <v>0.011887315270936</v>
      </c>
      <c r="CL9" s="13">
        <f t="shared" si="36"/>
        <v>0.011887315270936</v>
      </c>
      <c r="CM9" s="13">
        <f t="shared" si="36"/>
        <v>0.011887315270936</v>
      </c>
      <c r="CN9" s="13">
        <f t="shared" si="36"/>
        <v>0.011887315270936</v>
      </c>
      <c r="CO9" s="13">
        <f t="shared" si="36"/>
        <v>0.011887315270936</v>
      </c>
      <c r="CP9" s="13">
        <f t="shared" si="36"/>
        <v>0.011887315270936</v>
      </c>
    </row>
    <row r="10" spans="1:94">
      <c r="C10" s="6">
        <v>9</v>
      </c>
      <c r="D10" s="7">
        <v>2000000</v>
      </c>
      <c r="E10" s="6">
        <f t="shared" si="0"/>
        <v>2</v>
      </c>
      <c r="H10" s="6">
        <v>9</v>
      </c>
      <c r="I10" s="7">
        <v>4000000</v>
      </c>
      <c r="J10" s="6">
        <f t="shared" si="4"/>
        <v>4</v>
      </c>
      <c r="K10" s="6">
        <v>4</v>
      </c>
      <c r="O10" s="7">
        <v>1000000</v>
      </c>
      <c r="P10" s="7">
        <f t="shared" si="11"/>
        <v>50000000</v>
      </c>
      <c r="Q10" s="7">
        <f t="shared" si="1"/>
        <v>7000000</v>
      </c>
      <c r="R10" s="10">
        <f t="shared" si="2"/>
        <v>7</v>
      </c>
      <c r="S10" s="6">
        <v>4</v>
      </c>
      <c r="T10" s="6">
        <v>555</v>
      </c>
      <c r="U10" s="6">
        <f t="shared" si="12"/>
        <v>0.7215</v>
      </c>
      <c r="V10" s="6">
        <v>5</v>
      </c>
      <c r="W10" s="6">
        <v>450</v>
      </c>
      <c r="X10" s="6">
        <f t="shared" si="20"/>
        <v>0.585</v>
      </c>
      <c r="Y10" s="6">
        <v>6</v>
      </c>
      <c r="Z10" s="6">
        <v>45</v>
      </c>
      <c r="AA10" s="6">
        <f t="shared" si="24"/>
        <v>0.0585</v>
      </c>
      <c r="AB10" s="6">
        <v>4</v>
      </c>
      <c r="AC10" s="6">
        <v>13</v>
      </c>
      <c r="AD10" s="4">
        <f t="shared" si="13"/>
        <v>1050</v>
      </c>
      <c r="AG10" s="7">
        <f t="shared" si="5"/>
        <v>1000000</v>
      </c>
      <c r="AH10" s="12">
        <f t="shared" ref="AH10:AM10" si="37">IF($S10=AH$1,$U10,0)+IF($V10=AH$1,$X10,0)+IF($Y10=AH$1,$AA10,0)</f>
        <v>0</v>
      </c>
      <c r="AI10" s="12">
        <f t="shared" si="37"/>
        <v>0</v>
      </c>
      <c r="AJ10" s="12">
        <f t="shared" si="37"/>
        <v>0</v>
      </c>
      <c r="AK10" s="12">
        <f t="shared" si="37"/>
        <v>0.7215</v>
      </c>
      <c r="AL10" s="12">
        <f t="shared" si="37"/>
        <v>0.585</v>
      </c>
      <c r="AM10" s="12">
        <f t="shared" si="37"/>
        <v>0.0585</v>
      </c>
      <c r="AQ10" s="7">
        <f t="shared" si="15"/>
        <v>500000</v>
      </c>
      <c r="AR10" s="12">
        <f t="shared" ref="AR10:AW10" si="38">IF(AH9=0,0,AR$2/AH9)</f>
        <v>0</v>
      </c>
      <c r="AS10" s="12">
        <f t="shared" si="38"/>
        <v>0</v>
      </c>
      <c r="AT10" s="12">
        <f t="shared" si="38"/>
        <v>0</v>
      </c>
      <c r="AU10" s="12">
        <f t="shared" si="38"/>
        <v>80.9716599190283</v>
      </c>
      <c r="AV10" s="12">
        <f t="shared" si="38"/>
        <v>96.1538461538461</v>
      </c>
      <c r="AW10" s="12">
        <f t="shared" si="38"/>
        <v>1465.20146520147</v>
      </c>
      <c r="AX10" s="7">
        <f>IF(AW10&gt;0,SUMIF($K$2:$K$21,"&lt;="&amp;$AW$1,$I$2:I27),IF(AV10&gt;0,SUMIF($K$2:$K$21,"&lt;="&amp;$AV$1,$I$2:I27),IF(AU10&gt;0,SUMIF($K$2:$K$21,"&lt;="&amp;$AU$1,$I$2:I27),IF(AT10&gt;0,SUMIF($K$2:$K$21,"&lt;="&amp;$AT$1,$I$2:I27),IF(AS10&gt;0,SUMIF($K$2:$K$21,"&lt;="&amp;$AS$1,$I$2:I27),IF(AR10&gt;0,SUMIF($K$2:$K$21,"&lt;="&amp;$AR$1,$I$2:I27),0))))))</f>
        <v>200000000</v>
      </c>
      <c r="AY10" s="12">
        <f t="shared" si="8"/>
        <v>200</v>
      </c>
      <c r="AZ10" s="7">
        <f t="shared" si="9"/>
        <v>1465.20146520147</v>
      </c>
      <c r="BD10" s="7">
        <f t="shared" si="17"/>
        <v>500000</v>
      </c>
      <c r="BE10" s="7">
        <v>35000000</v>
      </c>
      <c r="BF10" s="14">
        <v>21.1458333333333</v>
      </c>
      <c r="BG10" s="14">
        <v>17.6521739130435</v>
      </c>
      <c r="BH10" s="14">
        <v>15.037037037037</v>
      </c>
      <c r="BI10" s="14">
        <v>12.8888888888889</v>
      </c>
      <c r="BJ10" s="14">
        <v>11.8023255813953</v>
      </c>
      <c r="BK10" s="14">
        <v>10.4909560723514</v>
      </c>
      <c r="BL10" s="14">
        <v>9.66666666666666</v>
      </c>
      <c r="BM10" s="14">
        <v>9.66666666666666</v>
      </c>
      <c r="BN10" s="14">
        <v>9.66666666666666</v>
      </c>
      <c r="BO10" s="14">
        <v>9.66666666666666</v>
      </c>
      <c r="BP10" s="14">
        <v>9.66666666666666</v>
      </c>
      <c r="BQ10" s="14">
        <v>9.66666666666666</v>
      </c>
      <c r="BR10" s="14">
        <v>9.66666666666666</v>
      </c>
      <c r="BS10" s="14">
        <v>9.66666666666666</v>
      </c>
      <c r="BT10" s="14">
        <v>9.66666666666666</v>
      </c>
      <c r="BU10" s="14">
        <v>9.66666666666666</v>
      </c>
      <c r="BY10" s="7">
        <f t="shared" si="18"/>
        <v>500000</v>
      </c>
      <c r="BZ10" s="7">
        <v>35000000</v>
      </c>
      <c r="CA10" s="13">
        <f t="shared" ref="CA10:CP10" si="39">IF($AX10=0,0,$AX10/$M$2/($AZ10*BF10))</f>
        <v>0.00645517241379309</v>
      </c>
      <c r="CB10" s="13">
        <f t="shared" si="39"/>
        <v>0.00773275862068962</v>
      </c>
      <c r="CC10" s="13">
        <f t="shared" si="39"/>
        <v>0.00907758620689654</v>
      </c>
      <c r="CD10" s="13">
        <f t="shared" si="39"/>
        <v>0.0105905172413793</v>
      </c>
      <c r="CE10" s="13">
        <f t="shared" si="39"/>
        <v>0.0115655172413793</v>
      </c>
      <c r="CF10" s="13">
        <f t="shared" si="39"/>
        <v>0.0130112068965517</v>
      </c>
      <c r="CG10" s="13">
        <f t="shared" si="39"/>
        <v>0.0141206896551724</v>
      </c>
      <c r="CH10" s="13">
        <f t="shared" si="39"/>
        <v>0.0141206896551724</v>
      </c>
      <c r="CI10" s="13">
        <f t="shared" si="39"/>
        <v>0.0141206896551724</v>
      </c>
      <c r="CJ10" s="13">
        <f t="shared" si="39"/>
        <v>0.0141206896551724</v>
      </c>
      <c r="CK10" s="13">
        <f t="shared" si="39"/>
        <v>0.0141206896551724</v>
      </c>
      <c r="CL10" s="13">
        <f t="shared" si="39"/>
        <v>0.0141206896551724</v>
      </c>
      <c r="CM10" s="13">
        <f t="shared" si="39"/>
        <v>0.0141206896551724</v>
      </c>
      <c r="CN10" s="13">
        <f t="shared" si="39"/>
        <v>0.0141206896551724</v>
      </c>
      <c r="CO10" s="13">
        <f t="shared" si="39"/>
        <v>0.0141206896551724</v>
      </c>
      <c r="CP10" s="13">
        <f t="shared" si="39"/>
        <v>0.0141206896551724</v>
      </c>
    </row>
    <row r="11" spans="1:94">
      <c r="C11" s="6">
        <v>10</v>
      </c>
      <c r="D11" s="7">
        <v>2500000</v>
      </c>
      <c r="E11" s="6">
        <f t="shared" si="0"/>
        <v>2.5</v>
      </c>
      <c r="H11" s="6">
        <v>10</v>
      </c>
      <c r="I11" s="7">
        <v>5000000</v>
      </c>
      <c r="J11" s="6">
        <f t="shared" si="4"/>
        <v>5</v>
      </c>
      <c r="K11" s="6">
        <v>4</v>
      </c>
      <c r="O11" s="7">
        <v>2000000</v>
      </c>
      <c r="P11" s="7">
        <f t="shared" si="11"/>
        <v>100000000</v>
      </c>
      <c r="Q11" s="7">
        <f t="shared" si="1"/>
        <v>14000000</v>
      </c>
      <c r="R11" s="10">
        <f t="shared" si="2"/>
        <v>14</v>
      </c>
      <c r="S11" s="6">
        <v>4</v>
      </c>
      <c r="T11" s="6">
        <v>635</v>
      </c>
      <c r="U11" s="6">
        <f t="shared" si="12"/>
        <v>0.8255</v>
      </c>
      <c r="V11" s="6">
        <v>5</v>
      </c>
      <c r="W11" s="6">
        <v>500</v>
      </c>
      <c r="X11" s="6">
        <f t="shared" si="20"/>
        <v>0.65</v>
      </c>
      <c r="Y11" s="6">
        <v>6</v>
      </c>
      <c r="Z11" s="6">
        <v>69</v>
      </c>
      <c r="AA11" s="6">
        <f t="shared" si="24"/>
        <v>0.0897</v>
      </c>
      <c r="AB11" s="6">
        <v>5</v>
      </c>
      <c r="AC11" s="6">
        <v>13</v>
      </c>
      <c r="AG11" s="7">
        <f t="shared" si="5"/>
        <v>2000000</v>
      </c>
      <c r="AH11" s="12">
        <f t="shared" ref="AH11:AM11" si="40">IF($S11=AH$1,$U11,0)+IF($V11=AH$1,$X11,0)+IF($Y11=AH$1,$AA11,0)</f>
        <v>0</v>
      </c>
      <c r="AI11" s="12">
        <f t="shared" si="40"/>
        <v>0</v>
      </c>
      <c r="AJ11" s="12">
        <f t="shared" si="40"/>
        <v>0</v>
      </c>
      <c r="AK11" s="12">
        <f t="shared" si="40"/>
        <v>0.8255</v>
      </c>
      <c r="AL11" s="12">
        <f t="shared" si="40"/>
        <v>0.65</v>
      </c>
      <c r="AM11" s="12">
        <f t="shared" si="40"/>
        <v>0.0897</v>
      </c>
      <c r="AQ11" s="7">
        <f t="shared" si="15"/>
        <v>1000000</v>
      </c>
      <c r="AR11" s="12">
        <f t="shared" ref="AR11:AW11" si="41">IF(AH10=0,0,AR$2/AH10)</f>
        <v>0</v>
      </c>
      <c r="AS11" s="12">
        <f t="shared" si="41"/>
        <v>0</v>
      </c>
      <c r="AT11" s="12">
        <f t="shared" si="41"/>
        <v>0</v>
      </c>
      <c r="AU11" s="12">
        <f t="shared" si="41"/>
        <v>69.3000693000693</v>
      </c>
      <c r="AV11" s="12">
        <f t="shared" si="41"/>
        <v>85.4700854700855</v>
      </c>
      <c r="AW11" s="12">
        <f t="shared" si="41"/>
        <v>683.760683760684</v>
      </c>
      <c r="AX11" s="7">
        <f>IF(AW11&gt;0,SUMIF($K$2:$K$21,"&lt;="&amp;$AW$1,$I$2:I28),IF(AV11&gt;0,SUMIF($K$2:$K$21,"&lt;="&amp;$AV$1,$I$2:I28),IF(AU11&gt;0,SUMIF($K$2:$K$21,"&lt;="&amp;$AU$1,$I$2:I28),IF(AT11&gt;0,SUMIF($K$2:$K$21,"&lt;="&amp;$AT$1,$I$2:I28),IF(AS11&gt;0,SUMIF($K$2:$K$21,"&lt;="&amp;$AS$1,$I$2:I28),IF(AR11&gt;0,SUMIF($K$2:$K$21,"&lt;="&amp;$AR$1,$I$2:I28),0))))))</f>
        <v>200000000</v>
      </c>
      <c r="AY11" s="12">
        <f t="shared" si="8"/>
        <v>200</v>
      </c>
      <c r="AZ11" s="7">
        <f t="shared" si="9"/>
        <v>683.760683760684</v>
      </c>
      <c r="BD11" s="7">
        <f t="shared" si="17"/>
        <v>1000000</v>
      </c>
      <c r="BE11" s="7">
        <v>70000000</v>
      </c>
      <c r="BF11" s="14">
        <v>37.5925925925926</v>
      </c>
      <c r="BG11" s="14">
        <v>31.2307692307692</v>
      </c>
      <c r="BH11" s="14">
        <v>27.0666666666666</v>
      </c>
      <c r="BI11" s="14">
        <v>23.6734693877551</v>
      </c>
      <c r="BJ11" s="14">
        <v>21.1458333333333</v>
      </c>
      <c r="BK11" s="14">
        <v>19.1962174940898</v>
      </c>
      <c r="BL11" s="14">
        <v>17.6521739130435</v>
      </c>
      <c r="BM11" s="14">
        <v>17.6521739130435</v>
      </c>
      <c r="BN11" s="14">
        <v>17.6521739130435</v>
      </c>
      <c r="BO11" s="14">
        <v>17.6521739130435</v>
      </c>
      <c r="BP11" s="14">
        <v>17.6521739130435</v>
      </c>
      <c r="BQ11" s="14">
        <v>17.6521739130435</v>
      </c>
      <c r="BR11" s="14">
        <v>17.6521739130435</v>
      </c>
      <c r="BS11" s="14">
        <v>17.6521739130435</v>
      </c>
      <c r="BT11" s="14">
        <v>17.6521739130435</v>
      </c>
      <c r="BU11" s="14">
        <v>17.6521739130435</v>
      </c>
      <c r="BY11" s="7">
        <f t="shared" si="18"/>
        <v>1000000</v>
      </c>
      <c r="BZ11" s="7">
        <v>70000000</v>
      </c>
      <c r="CA11" s="13">
        <f t="shared" ref="CA11:CP11" si="42">IF($AX11=0,0,$AX11/$M$2/($AZ11*BF11))</f>
        <v>0.0077807881773399</v>
      </c>
      <c r="CB11" s="13">
        <f t="shared" si="42"/>
        <v>0.00936576354679803</v>
      </c>
      <c r="CC11" s="13">
        <f t="shared" si="42"/>
        <v>0.0108066502463054</v>
      </c>
      <c r="CD11" s="13">
        <f t="shared" si="42"/>
        <v>0.0123556034482759</v>
      </c>
      <c r="CE11" s="13">
        <f t="shared" si="42"/>
        <v>0.013832512315271</v>
      </c>
      <c r="CF11" s="13">
        <f t="shared" si="42"/>
        <v>0.0152373768472907</v>
      </c>
      <c r="CG11" s="13">
        <f t="shared" si="42"/>
        <v>0.016570197044335</v>
      </c>
      <c r="CH11" s="13">
        <f t="shared" si="42"/>
        <v>0.016570197044335</v>
      </c>
      <c r="CI11" s="13">
        <f t="shared" si="42"/>
        <v>0.016570197044335</v>
      </c>
      <c r="CJ11" s="13">
        <f t="shared" si="42"/>
        <v>0.016570197044335</v>
      </c>
      <c r="CK11" s="13">
        <f t="shared" si="42"/>
        <v>0.016570197044335</v>
      </c>
      <c r="CL11" s="13">
        <f t="shared" si="42"/>
        <v>0.016570197044335</v>
      </c>
      <c r="CM11" s="13">
        <f t="shared" si="42"/>
        <v>0.016570197044335</v>
      </c>
      <c r="CN11" s="13">
        <f t="shared" si="42"/>
        <v>0.016570197044335</v>
      </c>
      <c r="CO11" s="13">
        <f t="shared" si="42"/>
        <v>0.016570197044335</v>
      </c>
      <c r="CP11" s="13">
        <f t="shared" si="42"/>
        <v>0.016570197044335</v>
      </c>
    </row>
    <row r="12" spans="1:94">
      <c r="C12" s="6">
        <v>11</v>
      </c>
      <c r="D12" s="7">
        <v>3000000</v>
      </c>
      <c r="E12" s="6">
        <f t="shared" si="0"/>
        <v>3</v>
      </c>
      <c r="H12" s="6">
        <v>11</v>
      </c>
      <c r="I12" s="7">
        <v>6000000</v>
      </c>
      <c r="J12" s="6">
        <f t="shared" si="4"/>
        <v>6</v>
      </c>
      <c r="K12" s="6">
        <v>5</v>
      </c>
      <c r="O12" s="7">
        <v>5000000</v>
      </c>
      <c r="P12" s="7">
        <f t="shared" si="11"/>
        <v>250000000</v>
      </c>
      <c r="Q12" s="7">
        <f t="shared" si="1"/>
        <v>35000000</v>
      </c>
      <c r="R12" s="10">
        <f t="shared" si="2"/>
        <v>35</v>
      </c>
      <c r="S12" s="6">
        <v>4</v>
      </c>
      <c r="T12" s="6">
        <v>715</v>
      </c>
      <c r="U12" s="6">
        <f t="shared" si="12"/>
        <v>0.9295</v>
      </c>
      <c r="V12" s="6">
        <v>5</v>
      </c>
      <c r="W12" s="6">
        <v>550</v>
      </c>
      <c r="X12" s="6">
        <f t="shared" si="20"/>
        <v>0.715</v>
      </c>
      <c r="Y12" s="6">
        <v>6</v>
      </c>
      <c r="Z12" s="6">
        <v>93</v>
      </c>
      <c r="AA12" s="6">
        <f t="shared" si="24"/>
        <v>0.1209</v>
      </c>
      <c r="AB12" s="6">
        <v>6</v>
      </c>
      <c r="AC12" s="6">
        <v>13</v>
      </c>
      <c r="AG12" s="7">
        <f t="shared" si="5"/>
        <v>5000000</v>
      </c>
      <c r="AH12" s="12">
        <f t="shared" ref="AH12:AM12" si="43">IF($S12=AH$1,$U12,0)+IF($V12=AH$1,$X12,0)+IF($Y12=AH$1,$AA12,0)</f>
        <v>0</v>
      </c>
      <c r="AI12" s="12">
        <f t="shared" si="43"/>
        <v>0</v>
      </c>
      <c r="AJ12" s="12">
        <f t="shared" si="43"/>
        <v>0</v>
      </c>
      <c r="AK12" s="12">
        <f t="shared" si="43"/>
        <v>0.9295</v>
      </c>
      <c r="AL12" s="12">
        <f t="shared" si="43"/>
        <v>0.715</v>
      </c>
      <c r="AM12" s="12">
        <f t="shared" si="43"/>
        <v>0.1209</v>
      </c>
      <c r="AQ12" s="7">
        <f t="shared" si="15"/>
        <v>2000000</v>
      </c>
      <c r="AR12" s="12">
        <f t="shared" ref="AR12:AW12" si="44">IF(AH11=0,0,AR$2/AH11)</f>
        <v>0</v>
      </c>
      <c r="AS12" s="12">
        <f t="shared" si="44"/>
        <v>0</v>
      </c>
      <c r="AT12" s="12">
        <f t="shared" si="44"/>
        <v>0</v>
      </c>
      <c r="AU12" s="12">
        <f t="shared" si="44"/>
        <v>60.5693519079346</v>
      </c>
      <c r="AV12" s="12">
        <f t="shared" si="44"/>
        <v>76.9230769230769</v>
      </c>
      <c r="AW12" s="12">
        <f t="shared" si="44"/>
        <v>445.930880713489</v>
      </c>
      <c r="AX12" s="7">
        <f>IF(AW12&gt;0,SUMIF($K$2:$K$21,"&lt;="&amp;$AW$1,$I$2:I29),IF(AV12&gt;0,SUMIF($K$2:$K$21,"&lt;="&amp;$AV$1,$I$2:I29),IF(AU12&gt;0,SUMIF($K$2:$K$21,"&lt;="&amp;$AU$1,$I$2:I29),IF(AT12&gt;0,SUMIF($K$2:$K$21,"&lt;="&amp;$AT$1,$I$2:I29),IF(AS12&gt;0,SUMIF($K$2:$K$21,"&lt;="&amp;$AS$1,$I$2:I29),IF(AR12&gt;0,SUMIF($K$2:$K$21,"&lt;="&amp;$AR$1,$I$2:I29),0))))))</f>
        <v>200000000</v>
      </c>
      <c r="AY12" s="12">
        <f t="shared" si="8"/>
        <v>200</v>
      </c>
      <c r="AZ12" s="7">
        <f t="shared" si="9"/>
        <v>445.930880713489</v>
      </c>
      <c r="BD12" s="7">
        <f t="shared" si="17"/>
        <v>2000000</v>
      </c>
      <c r="BE12" s="7">
        <v>105000000</v>
      </c>
      <c r="BF12" s="14">
        <v>54.0393518518519</v>
      </c>
      <c r="BG12" s="14">
        <v>44.8093645484949</v>
      </c>
      <c r="BH12" s="14">
        <v>39.0962962962962</v>
      </c>
      <c r="BI12" s="14">
        <v>34.4580498866213</v>
      </c>
      <c r="BJ12" s="14">
        <v>30.4893410852713</v>
      </c>
      <c r="BK12" s="14">
        <v>27.9014789158282</v>
      </c>
      <c r="BL12" s="14">
        <v>25.6376811594203</v>
      </c>
      <c r="BM12" s="14">
        <v>25.6376811594203</v>
      </c>
      <c r="BN12" s="14">
        <v>25.6376811594203</v>
      </c>
      <c r="BO12" s="14">
        <v>25.6376811594203</v>
      </c>
      <c r="BP12" s="14">
        <v>25.6376811594203</v>
      </c>
      <c r="BQ12" s="14">
        <v>25.6376811594203</v>
      </c>
      <c r="BR12" s="14">
        <v>25.6376811594203</v>
      </c>
      <c r="BS12" s="14">
        <v>25.6376811594203</v>
      </c>
      <c r="BT12" s="14">
        <v>25.6376811594203</v>
      </c>
      <c r="BU12" s="14">
        <v>25.6376811594203</v>
      </c>
      <c r="BY12" s="7">
        <f t="shared" si="18"/>
        <v>2000000</v>
      </c>
      <c r="BZ12" s="7">
        <v>95666666.6666667</v>
      </c>
      <c r="CA12" s="13">
        <f t="shared" ref="CA12:CP12" si="45">IF($AX12=0,0,$AX12/$M$2/($AZ12*BF12))</f>
        <v>0.00829950738916256</v>
      </c>
      <c r="CB12" s="13">
        <f t="shared" si="45"/>
        <v>0.0100090685176892</v>
      </c>
      <c r="CC12" s="13">
        <f t="shared" si="45"/>
        <v>0.0114716748768473</v>
      </c>
      <c r="CD12" s="13">
        <f t="shared" si="45"/>
        <v>0.0130158265332983</v>
      </c>
      <c r="CE12" s="13">
        <f t="shared" si="45"/>
        <v>0.0147100587954871</v>
      </c>
      <c r="CF12" s="13">
        <f t="shared" si="45"/>
        <v>0.0160744167487685</v>
      </c>
      <c r="CG12" s="13">
        <f t="shared" si="45"/>
        <v>0.0174937817976258</v>
      </c>
      <c r="CH12" s="13">
        <f t="shared" si="45"/>
        <v>0.0174937817976258</v>
      </c>
      <c r="CI12" s="13">
        <f t="shared" si="45"/>
        <v>0.0174937817976258</v>
      </c>
      <c r="CJ12" s="13">
        <f t="shared" si="45"/>
        <v>0.0174937817976258</v>
      </c>
      <c r="CK12" s="13">
        <f t="shared" si="45"/>
        <v>0.0174937817976258</v>
      </c>
      <c r="CL12" s="13">
        <f t="shared" si="45"/>
        <v>0.0174937817976258</v>
      </c>
      <c r="CM12" s="13">
        <f t="shared" si="45"/>
        <v>0.0174937817976258</v>
      </c>
      <c r="CN12" s="13">
        <f t="shared" si="45"/>
        <v>0.0174937817976258</v>
      </c>
      <c r="CO12" s="13">
        <f t="shared" si="45"/>
        <v>0.0174937817976258</v>
      </c>
      <c r="CP12" s="13">
        <f t="shared" si="45"/>
        <v>0.0174937817976258</v>
      </c>
    </row>
    <row r="13" spans="1:94">
      <c r="C13" s="6">
        <v>12</v>
      </c>
      <c r="D13" s="7">
        <v>3500000</v>
      </c>
      <c r="E13" s="6">
        <f t="shared" si="0"/>
        <v>3.5</v>
      </c>
      <c r="H13" s="6">
        <v>12</v>
      </c>
      <c r="I13" s="7">
        <v>7000000</v>
      </c>
      <c r="J13" s="6">
        <f t="shared" si="4"/>
        <v>7</v>
      </c>
      <c r="K13" s="6">
        <v>5</v>
      </c>
      <c r="O13" s="7">
        <v>10000000</v>
      </c>
      <c r="P13" s="7">
        <f t="shared" si="11"/>
        <v>500000000</v>
      </c>
      <c r="Q13" s="7">
        <f t="shared" si="1"/>
        <v>70000000</v>
      </c>
      <c r="R13" s="10">
        <f t="shared" si="2"/>
        <v>70</v>
      </c>
      <c r="S13" s="6">
        <v>4</v>
      </c>
      <c r="T13" s="6">
        <v>795</v>
      </c>
      <c r="U13" s="6">
        <f t="shared" si="12"/>
        <v>1.0335</v>
      </c>
      <c r="V13" s="6">
        <v>5</v>
      </c>
      <c r="W13" s="6">
        <v>600</v>
      </c>
      <c r="X13" s="6">
        <f t="shared" si="20"/>
        <v>0.78</v>
      </c>
      <c r="Y13" s="6">
        <v>6</v>
      </c>
      <c r="Z13" s="6">
        <v>117</v>
      </c>
      <c r="AA13" s="6">
        <f t="shared" si="24"/>
        <v>0.1521</v>
      </c>
      <c r="AB13" s="6">
        <v>7</v>
      </c>
      <c r="AC13" s="6">
        <v>13</v>
      </c>
      <c r="AG13" s="7">
        <f t="shared" si="5"/>
        <v>10000000</v>
      </c>
      <c r="AH13" s="12">
        <f t="shared" ref="AH13:AM13" si="46">IF($S13=AH$1,$U13,0)+IF($V13=AH$1,$X13,0)+IF($Y13=AH$1,$AA13,0)</f>
        <v>0</v>
      </c>
      <c r="AI13" s="12">
        <f t="shared" si="46"/>
        <v>0</v>
      </c>
      <c r="AJ13" s="12">
        <f t="shared" si="46"/>
        <v>0</v>
      </c>
      <c r="AK13" s="12">
        <f t="shared" si="46"/>
        <v>1.0335</v>
      </c>
      <c r="AL13" s="12">
        <f t="shared" si="46"/>
        <v>0.78</v>
      </c>
      <c r="AM13" s="12">
        <f t="shared" si="46"/>
        <v>0.1521</v>
      </c>
      <c r="AQ13" s="7">
        <f t="shared" si="15"/>
        <v>5000000</v>
      </c>
      <c r="AR13" s="12">
        <f t="shared" ref="AR13:AW13" si="47">IF(AH12=0,0,AR$2/AH12)</f>
        <v>0</v>
      </c>
      <c r="AS13" s="12">
        <f t="shared" si="47"/>
        <v>0</v>
      </c>
      <c r="AT13" s="12">
        <f t="shared" si="47"/>
        <v>0</v>
      </c>
      <c r="AU13" s="12">
        <f t="shared" si="47"/>
        <v>53.7923614846692</v>
      </c>
      <c r="AV13" s="12">
        <f t="shared" si="47"/>
        <v>69.9300699300699</v>
      </c>
      <c r="AW13" s="12">
        <f t="shared" si="47"/>
        <v>330.85194375517</v>
      </c>
      <c r="AX13" s="7">
        <f>IF(AW13&gt;0,SUMIF($K$2:$K$21,"&lt;="&amp;$AW$1,$I$2:I30),IF(AV13&gt;0,SUMIF($K$2:$K$21,"&lt;="&amp;$AV$1,$I$2:I30),IF(AU13&gt;0,SUMIF($K$2:$K$21,"&lt;="&amp;$AU$1,$I$2:I30),IF(AT13&gt;0,SUMIF($K$2:$K$21,"&lt;="&amp;$AT$1,$I$2:I30),IF(AS13&gt;0,SUMIF($K$2:$K$21,"&lt;="&amp;$AS$1,$I$2:I30),IF(AR13&gt;0,SUMIF($K$2:$K$21,"&lt;="&amp;$AR$1,$I$2:I30),0))))))</f>
        <v>200000000</v>
      </c>
      <c r="AY13" s="12">
        <f t="shared" si="8"/>
        <v>200</v>
      </c>
      <c r="AZ13" s="7">
        <f t="shared" si="9"/>
        <v>330.85194375517</v>
      </c>
      <c r="BD13" s="7">
        <f t="shared" si="17"/>
        <v>5000000</v>
      </c>
      <c r="BE13" s="7">
        <v>140000000</v>
      </c>
      <c r="BF13" s="14">
        <v>70.4861111111112</v>
      </c>
      <c r="BG13" s="14">
        <v>58.3879598662206</v>
      </c>
      <c r="BH13" s="14">
        <v>51.1259259259258</v>
      </c>
      <c r="BI13" s="14">
        <v>45.2426303854875</v>
      </c>
      <c r="BJ13" s="14">
        <v>39.8328488372093</v>
      </c>
      <c r="BK13" s="14">
        <v>36.6067403375666</v>
      </c>
      <c r="BL13" s="14">
        <v>33.6231884057972</v>
      </c>
      <c r="BM13" s="14">
        <v>33.6231884057972</v>
      </c>
      <c r="BN13" s="14">
        <v>33.6231884057972</v>
      </c>
      <c r="BO13" s="14">
        <v>33.6231884057972</v>
      </c>
      <c r="BP13" s="14">
        <v>33.6231884057972</v>
      </c>
      <c r="BQ13" s="14">
        <v>33.6231884057972</v>
      </c>
      <c r="BR13" s="14">
        <v>33.6231884057972</v>
      </c>
      <c r="BS13" s="14">
        <v>33.6231884057972</v>
      </c>
      <c r="BT13" s="14">
        <v>33.6231884057972</v>
      </c>
      <c r="BU13" s="14">
        <v>33.6231884057972</v>
      </c>
      <c r="BY13" s="7">
        <f t="shared" si="18"/>
        <v>5000000</v>
      </c>
      <c r="BZ13" s="7">
        <v>123666666.666667</v>
      </c>
      <c r="CA13" s="13">
        <f t="shared" ref="CA13:CP13" si="48">IF($AX13=0,0,$AX13/$M$2/($AZ13*BF13))</f>
        <v>0.00857615763546796</v>
      </c>
      <c r="CB13" s="13">
        <f t="shared" si="48"/>
        <v>0.0103531618742124</v>
      </c>
      <c r="CC13" s="13">
        <f t="shared" si="48"/>
        <v>0.0118237467400754</v>
      </c>
      <c r="CD13" s="13">
        <f t="shared" si="48"/>
        <v>0.0133612921010425</v>
      </c>
      <c r="CE13" s="13">
        <f t="shared" si="48"/>
        <v>0.015175916803503</v>
      </c>
      <c r="CF13" s="13">
        <f t="shared" si="48"/>
        <v>0.0165133523068605</v>
      </c>
      <c r="CG13" s="13">
        <f t="shared" si="48"/>
        <v>0.0179786637931034</v>
      </c>
      <c r="CH13" s="13">
        <f t="shared" si="48"/>
        <v>0.0179786637931034</v>
      </c>
      <c r="CI13" s="13">
        <f t="shared" si="48"/>
        <v>0.0179786637931034</v>
      </c>
      <c r="CJ13" s="13">
        <f t="shared" si="48"/>
        <v>0.0179786637931034</v>
      </c>
      <c r="CK13" s="13">
        <f t="shared" si="48"/>
        <v>0.0179786637931034</v>
      </c>
      <c r="CL13" s="13">
        <f t="shared" si="48"/>
        <v>0.0179786637931034</v>
      </c>
      <c r="CM13" s="13">
        <f t="shared" si="48"/>
        <v>0.0179786637931034</v>
      </c>
      <c r="CN13" s="13">
        <f t="shared" si="48"/>
        <v>0.0179786637931034</v>
      </c>
      <c r="CO13" s="13">
        <f t="shared" si="48"/>
        <v>0.0179786637931034</v>
      </c>
      <c r="CP13" s="13">
        <f t="shared" si="48"/>
        <v>0.0179786637931034</v>
      </c>
    </row>
    <row r="14" spans="1:94">
      <c r="C14" s="6">
        <v>13</v>
      </c>
      <c r="D14" s="7">
        <v>5000000</v>
      </c>
      <c r="E14" s="6">
        <f t="shared" si="0"/>
        <v>5</v>
      </c>
      <c r="H14" s="6">
        <v>13</v>
      </c>
      <c r="I14" s="7">
        <v>10000000</v>
      </c>
      <c r="J14" s="6">
        <f t="shared" si="4"/>
        <v>10</v>
      </c>
      <c r="K14" s="6">
        <v>5</v>
      </c>
      <c r="AQ14" s="7">
        <f t="shared" si="15"/>
        <v>10000000</v>
      </c>
      <c r="AR14" s="12">
        <f t="shared" ref="AR14:AW14" si="49">IF(AH13=0,0,AR$2/AH13)</f>
        <v>0</v>
      </c>
      <c r="AS14" s="12">
        <f t="shared" si="49"/>
        <v>0</v>
      </c>
      <c r="AT14" s="12">
        <f t="shared" si="49"/>
        <v>0</v>
      </c>
      <c r="AU14" s="12">
        <f t="shared" si="49"/>
        <v>48.3792936623125</v>
      </c>
      <c r="AV14" s="12">
        <f t="shared" si="49"/>
        <v>64.1025641025641</v>
      </c>
      <c r="AW14" s="12">
        <f t="shared" si="49"/>
        <v>262.984878369494</v>
      </c>
      <c r="AX14" s="7">
        <f>IF(AW14&gt;0,SUMIF($K$2:$K$21,"&lt;="&amp;$AW$1,$I$2:I31),IF(AV14&gt;0,SUMIF($K$2:$K$21,"&lt;="&amp;$AV$1,$I$2:I31),IF(AU14&gt;0,SUMIF($K$2:$K$21,"&lt;="&amp;$AU$1,$I$2:I31),IF(AT14&gt;0,SUMIF($K$2:$K$21,"&lt;="&amp;$AT$1,$I$2:I31),IF(AS14&gt;0,SUMIF($K$2:$K$21,"&lt;="&amp;$AS$1,$I$2:I31),IF(AR14&gt;0,SUMIF($K$2:$K$21,"&lt;="&amp;$AR$1,$I$2:I31),0))))))</f>
        <v>200000000</v>
      </c>
      <c r="AY14" s="12">
        <f t="shared" si="8"/>
        <v>200</v>
      </c>
      <c r="AZ14" s="7">
        <f t="shared" si="9"/>
        <v>262.984878369494</v>
      </c>
      <c r="BD14" s="7">
        <f t="shared" si="17"/>
        <v>10000000</v>
      </c>
      <c r="BE14" s="7">
        <v>175000000</v>
      </c>
      <c r="BF14" s="14">
        <v>86.9328703703705</v>
      </c>
      <c r="BG14" s="14">
        <v>71.9665551839463</v>
      </c>
      <c r="BH14" s="14">
        <v>63.1555555555554</v>
      </c>
      <c r="BI14" s="14">
        <v>56.0272108843537</v>
      </c>
      <c r="BJ14" s="14">
        <v>49.1763565891473</v>
      </c>
      <c r="BK14" s="14">
        <v>45.312001759305</v>
      </c>
      <c r="BL14" s="14">
        <v>41.608695652174</v>
      </c>
      <c r="BM14" s="14">
        <v>41.608695652174</v>
      </c>
      <c r="BN14" s="14">
        <v>41.608695652174</v>
      </c>
      <c r="BO14" s="14">
        <v>41.608695652174</v>
      </c>
      <c r="BP14" s="14">
        <v>41.608695652174</v>
      </c>
      <c r="BQ14" s="14">
        <v>41.608695652174</v>
      </c>
      <c r="BR14" s="14">
        <v>41.608695652174</v>
      </c>
      <c r="BS14" s="14">
        <v>41.608695652174</v>
      </c>
      <c r="BT14" s="14">
        <v>41.608695652174</v>
      </c>
      <c r="BU14" s="14">
        <v>41.608695652174</v>
      </c>
      <c r="BY14" s="7">
        <f t="shared" si="18"/>
        <v>10000000</v>
      </c>
      <c r="BZ14" s="7">
        <v>151666666.666667</v>
      </c>
      <c r="CA14" s="13">
        <f t="shared" ref="CA14:CP14" si="50">IF($AX14=0,0,$AX14/$M$2/($AZ14*BF14))</f>
        <v>0.00874812941019835</v>
      </c>
      <c r="CB14" s="13">
        <f t="shared" si="50"/>
        <v>0.0105674086811042</v>
      </c>
      <c r="CC14" s="13">
        <f t="shared" si="50"/>
        <v>0.0120416959887403</v>
      </c>
      <c r="CD14" s="13">
        <f t="shared" si="50"/>
        <v>0.0135737615347256</v>
      </c>
      <c r="CE14" s="13">
        <f t="shared" si="50"/>
        <v>0.0154647487684729</v>
      </c>
      <c r="CF14" s="13">
        <f t="shared" si="50"/>
        <v>0.016783632822927</v>
      </c>
      <c r="CG14" s="13">
        <f t="shared" si="50"/>
        <v>0.0182774294670846</v>
      </c>
      <c r="CH14" s="13">
        <f t="shared" si="50"/>
        <v>0.0182774294670846</v>
      </c>
      <c r="CI14" s="13">
        <f t="shared" si="50"/>
        <v>0.0182774294670846</v>
      </c>
      <c r="CJ14" s="13">
        <f t="shared" si="50"/>
        <v>0.0182774294670846</v>
      </c>
      <c r="CK14" s="13">
        <f t="shared" si="50"/>
        <v>0.0182774294670846</v>
      </c>
      <c r="CL14" s="13">
        <f t="shared" si="50"/>
        <v>0.0182774294670846</v>
      </c>
      <c r="CM14" s="13">
        <f t="shared" si="50"/>
        <v>0.0182774294670846</v>
      </c>
      <c r="CN14" s="13">
        <f t="shared" si="50"/>
        <v>0.0182774294670846</v>
      </c>
      <c r="CO14" s="13">
        <f t="shared" si="50"/>
        <v>0.0182774294670846</v>
      </c>
      <c r="CP14" s="13">
        <f t="shared" si="50"/>
        <v>0.0182774294670846</v>
      </c>
    </row>
    <row r="15" spans="1:94">
      <c r="C15" s="6">
        <v>14</v>
      </c>
      <c r="D15" s="7">
        <v>7500000</v>
      </c>
      <c r="E15" s="6">
        <f t="shared" si="0"/>
        <v>7.5</v>
      </c>
      <c r="H15" s="6">
        <v>14</v>
      </c>
      <c r="I15" s="7">
        <v>15000000</v>
      </c>
      <c r="J15" s="6">
        <f t="shared" si="4"/>
        <v>15</v>
      </c>
      <c r="K15" s="6">
        <v>6</v>
      </c>
      <c r="M15" s="4" t="s">
        <v>39</v>
      </c>
      <c r="O15" s="7"/>
      <c r="P15" s="7"/>
      <c r="Q15" s="7">
        <v>1000000</v>
      </c>
      <c r="R15" s="7">
        <v>1250000</v>
      </c>
      <c r="S15" s="7">
        <v>1500000</v>
      </c>
      <c r="T15" s="7">
        <v>1750000</v>
      </c>
      <c r="U15" s="7">
        <v>2000000</v>
      </c>
      <c r="V15" s="7">
        <v>2250000</v>
      </c>
      <c r="W15" s="7">
        <v>2500000</v>
      </c>
      <c r="X15" s="7">
        <v>2500000</v>
      </c>
      <c r="Y15" s="7">
        <v>2500000</v>
      </c>
      <c r="Z15" s="7">
        <v>2500000</v>
      </c>
      <c r="AA15" s="7">
        <v>2500000</v>
      </c>
      <c r="AB15" s="7">
        <v>2500000</v>
      </c>
      <c r="AC15" s="7">
        <v>2500000</v>
      </c>
      <c r="AD15" s="7">
        <v>2500000</v>
      </c>
      <c r="AE15" s="7">
        <v>2500000</v>
      </c>
      <c r="AF15" s="7">
        <v>2500000</v>
      </c>
    </row>
    <row r="16" spans="1:94">
      <c r="C16" s="6">
        <v>15</v>
      </c>
      <c r="D16" s="7">
        <v>10000000</v>
      </c>
      <c r="E16" s="6">
        <f t="shared" si="0"/>
        <v>10</v>
      </c>
      <c r="H16" s="6">
        <v>15</v>
      </c>
      <c r="I16" s="7">
        <v>20000000</v>
      </c>
      <c r="J16" s="6">
        <f t="shared" si="4"/>
        <v>20</v>
      </c>
      <c r="K16" s="6">
        <v>6</v>
      </c>
      <c r="O16" s="7" t="s">
        <v>5</v>
      </c>
      <c r="P16" s="7" t="s">
        <v>37</v>
      </c>
      <c r="Q16" s="7">
        <v>0</v>
      </c>
      <c r="R16" s="6">
        <v>1</v>
      </c>
      <c r="S16" s="6">
        <v>2</v>
      </c>
      <c r="T16" s="6">
        <v>3</v>
      </c>
      <c r="U16" s="6">
        <v>4</v>
      </c>
      <c r="V16" s="6">
        <v>5</v>
      </c>
      <c r="W16" s="6">
        <v>6</v>
      </c>
      <c r="X16" s="6">
        <v>7</v>
      </c>
      <c r="Y16" s="6">
        <v>8</v>
      </c>
      <c r="Z16" s="6">
        <v>9</v>
      </c>
      <c r="AA16" s="6">
        <v>10</v>
      </c>
      <c r="AB16" s="6">
        <v>11</v>
      </c>
      <c r="AC16" s="6">
        <v>12</v>
      </c>
      <c r="AD16" s="6">
        <v>13</v>
      </c>
      <c r="AE16" s="6">
        <v>14</v>
      </c>
      <c r="AF16" s="6">
        <v>15</v>
      </c>
    </row>
    <row r="17" spans="3:32">
      <c r="C17" s="6">
        <v>16</v>
      </c>
      <c r="D17" s="7">
        <v>12500000</v>
      </c>
      <c r="E17" s="6">
        <f t="shared" si="0"/>
        <v>12.5</v>
      </c>
      <c r="H17" s="6">
        <v>16</v>
      </c>
      <c r="I17" s="7">
        <v>22000000</v>
      </c>
      <c r="J17" s="6">
        <f t="shared" si="4"/>
        <v>22</v>
      </c>
      <c r="K17" s="6">
        <v>6</v>
      </c>
      <c r="O17" s="7">
        <f>O2</f>
        <v>1000</v>
      </c>
      <c r="P17" s="7">
        <f>Q2</f>
        <v>7000</v>
      </c>
      <c r="Q17" s="13">
        <f ca="1" t="shared" ref="Q17:Q28" si="51">IF($AX3=0,0,$AX3/$M$2/($AZ3*$R2))*CA$1/$CA$1</f>
        <v>0</v>
      </c>
      <c r="R17" s="13">
        <f ca="1" t="shared" ref="R17:AF17" si="52">IF($AX3=0,0,$AX3/$M$2/($AZ3*$R2))*CB$1/$CA$1</f>
        <v>0</v>
      </c>
      <c r="S17" s="13">
        <f ca="1" t="shared" si="52"/>
        <v>0</v>
      </c>
      <c r="T17" s="13">
        <f ca="1" t="shared" si="52"/>
        <v>0</v>
      </c>
      <c r="U17" s="13">
        <f ca="1" t="shared" si="52"/>
        <v>0</v>
      </c>
      <c r="V17" s="13">
        <f ca="1" t="shared" si="52"/>
        <v>0</v>
      </c>
      <c r="W17" s="13">
        <f ca="1" t="shared" si="52"/>
        <v>0</v>
      </c>
      <c r="X17" s="13">
        <f ca="1" t="shared" si="52"/>
        <v>0</v>
      </c>
      <c r="Y17" s="13">
        <f ca="1" t="shared" si="52"/>
        <v>0</v>
      </c>
      <c r="Z17" s="13">
        <f ca="1" t="shared" si="52"/>
        <v>0</v>
      </c>
      <c r="AA17" s="13">
        <f ca="1" t="shared" si="52"/>
        <v>0</v>
      </c>
      <c r="AB17" s="13">
        <f ca="1" t="shared" si="52"/>
        <v>0</v>
      </c>
      <c r="AC17" s="13">
        <f ca="1" t="shared" si="52"/>
        <v>0</v>
      </c>
      <c r="AD17" s="13">
        <f ca="1" t="shared" si="52"/>
        <v>0</v>
      </c>
      <c r="AE17" s="13">
        <f ca="1" t="shared" si="52"/>
        <v>0</v>
      </c>
      <c r="AF17" s="13">
        <f ca="1" t="shared" si="52"/>
        <v>0</v>
      </c>
    </row>
    <row r="18" spans="3:32">
      <c r="C18" s="6">
        <v>17</v>
      </c>
      <c r="D18" s="7">
        <v>15000000</v>
      </c>
      <c r="E18" s="6">
        <f t="shared" si="0"/>
        <v>15</v>
      </c>
      <c r="H18" s="6">
        <v>17</v>
      </c>
      <c r="I18" s="7">
        <v>28000000</v>
      </c>
      <c r="J18" s="6">
        <f t="shared" si="4"/>
        <v>28</v>
      </c>
      <c r="K18" s="6">
        <v>6</v>
      </c>
      <c r="O18" s="7">
        <f t="shared" ref="O18:O28" si="53">O3</f>
        <v>3000</v>
      </c>
      <c r="P18" s="7">
        <f t="shared" ref="P18:P28" si="54">Q3</f>
        <v>21000</v>
      </c>
      <c r="Q18" s="13">
        <f t="shared" si="51"/>
        <v>0</v>
      </c>
      <c r="R18" s="13">
        <f t="shared" ref="R18:AF18" si="55">IF($AX4=0,0,$AX4/$M$2/($AZ4*$R3))*CB$1/$CA$1</f>
        <v>0</v>
      </c>
      <c r="S18" s="13">
        <f t="shared" si="55"/>
        <v>0</v>
      </c>
      <c r="T18" s="13">
        <f t="shared" si="55"/>
        <v>0</v>
      </c>
      <c r="U18" s="13">
        <f t="shared" si="55"/>
        <v>0</v>
      </c>
      <c r="V18" s="13">
        <f t="shared" si="55"/>
        <v>0</v>
      </c>
      <c r="W18" s="13">
        <f t="shared" si="55"/>
        <v>0</v>
      </c>
      <c r="X18" s="13">
        <f t="shared" si="55"/>
        <v>0</v>
      </c>
      <c r="Y18" s="13">
        <f t="shared" si="55"/>
        <v>0</v>
      </c>
      <c r="Z18" s="13">
        <f t="shared" si="55"/>
        <v>0</v>
      </c>
      <c r="AA18" s="13">
        <f t="shared" si="55"/>
        <v>0</v>
      </c>
      <c r="AB18" s="13">
        <f t="shared" si="55"/>
        <v>0</v>
      </c>
      <c r="AC18" s="13">
        <f t="shared" si="55"/>
        <v>0</v>
      </c>
      <c r="AD18" s="13">
        <f t="shared" si="55"/>
        <v>0</v>
      </c>
      <c r="AE18" s="13">
        <f t="shared" si="55"/>
        <v>0</v>
      </c>
      <c r="AF18" s="13">
        <f t="shared" si="55"/>
        <v>0</v>
      </c>
    </row>
    <row r="19" spans="3:32">
      <c r="C19" s="6">
        <v>18</v>
      </c>
      <c r="D19" s="7">
        <v>17500000</v>
      </c>
      <c r="E19" s="6">
        <f t="shared" si="0"/>
        <v>17.5</v>
      </c>
      <c r="H19" s="6">
        <v>18</v>
      </c>
      <c r="I19" s="7">
        <v>30000000</v>
      </c>
      <c r="J19" s="6">
        <f t="shared" si="4"/>
        <v>30</v>
      </c>
      <c r="K19" s="6">
        <v>6</v>
      </c>
      <c r="O19" s="7">
        <f t="shared" si="53"/>
        <v>10000</v>
      </c>
      <c r="P19" s="7">
        <f t="shared" si="54"/>
        <v>70000</v>
      </c>
      <c r="Q19" s="13">
        <f t="shared" si="51"/>
        <v>0.111428571428572</v>
      </c>
      <c r="R19" s="13">
        <f t="shared" ref="R19:AF19" si="56">IF($AX5=0,0,$AX5/$M$2/($AZ5*$R4))*CB$1/$CA$1</f>
        <v>0.139285714285715</v>
      </c>
      <c r="S19" s="13">
        <f t="shared" si="56"/>
        <v>0.167142857142857</v>
      </c>
      <c r="T19" s="13">
        <f t="shared" si="56"/>
        <v>0.195</v>
      </c>
      <c r="U19" s="13">
        <f t="shared" si="56"/>
        <v>0.222857142857143</v>
      </c>
      <c r="V19" s="13">
        <f t="shared" si="56"/>
        <v>0.250714285714286</v>
      </c>
      <c r="W19" s="13">
        <f t="shared" si="56"/>
        <v>0.278571428571429</v>
      </c>
      <c r="X19" s="13">
        <f t="shared" si="56"/>
        <v>0.278571428571429</v>
      </c>
      <c r="Y19" s="13">
        <f t="shared" si="56"/>
        <v>0.278571428571429</v>
      </c>
      <c r="Z19" s="13">
        <f t="shared" si="56"/>
        <v>0.278571428571429</v>
      </c>
      <c r="AA19" s="13">
        <f t="shared" si="56"/>
        <v>0.278571428571429</v>
      </c>
      <c r="AB19" s="13">
        <f t="shared" si="56"/>
        <v>0.278571428571429</v>
      </c>
      <c r="AC19" s="13">
        <f t="shared" si="56"/>
        <v>0.278571428571429</v>
      </c>
      <c r="AD19" s="13">
        <f t="shared" si="56"/>
        <v>0.278571428571429</v>
      </c>
      <c r="AE19" s="13">
        <f t="shared" si="56"/>
        <v>0.278571428571429</v>
      </c>
      <c r="AF19" s="13">
        <f t="shared" si="56"/>
        <v>0.278571428571429</v>
      </c>
    </row>
    <row r="20" spans="3:32">
      <c r="C20" s="6">
        <v>19</v>
      </c>
      <c r="D20" s="7">
        <v>20000000</v>
      </c>
      <c r="E20" s="6">
        <f t="shared" si="0"/>
        <v>20</v>
      </c>
      <c r="H20" s="6">
        <v>19</v>
      </c>
      <c r="I20" s="7">
        <v>40000000</v>
      </c>
      <c r="J20" s="6">
        <f t="shared" si="4"/>
        <v>40</v>
      </c>
      <c r="K20" s="6">
        <v>6</v>
      </c>
      <c r="O20" s="7">
        <f t="shared" si="53"/>
        <v>20000</v>
      </c>
      <c r="P20" s="7">
        <f t="shared" si="54"/>
        <v>140000</v>
      </c>
      <c r="Q20" s="13">
        <f t="shared" si="51"/>
        <v>0.0761428571428571</v>
      </c>
      <c r="R20" s="13">
        <f t="shared" ref="R20:AF20" si="57">IF($AX6=0,0,$AX6/$M$2/($AZ6*$R5))*CB$1/$CA$1</f>
        <v>0.0951785714285713</v>
      </c>
      <c r="S20" s="13">
        <f t="shared" si="57"/>
        <v>0.114214285714286</v>
      </c>
      <c r="T20" s="13">
        <f t="shared" si="57"/>
        <v>0.13325</v>
      </c>
      <c r="U20" s="13">
        <f t="shared" si="57"/>
        <v>0.152285714285714</v>
      </c>
      <c r="V20" s="13">
        <f t="shared" si="57"/>
        <v>0.171321428571428</v>
      </c>
      <c r="W20" s="13">
        <f t="shared" si="57"/>
        <v>0.190357142857143</v>
      </c>
      <c r="X20" s="13">
        <f t="shared" si="57"/>
        <v>0.190357142857143</v>
      </c>
      <c r="Y20" s="13">
        <f t="shared" si="57"/>
        <v>0.190357142857143</v>
      </c>
      <c r="Z20" s="13">
        <f t="shared" si="57"/>
        <v>0.190357142857143</v>
      </c>
      <c r="AA20" s="13">
        <f t="shared" si="57"/>
        <v>0.190357142857143</v>
      </c>
      <c r="AB20" s="13">
        <f t="shared" si="57"/>
        <v>0.190357142857143</v>
      </c>
      <c r="AC20" s="13">
        <f t="shared" si="57"/>
        <v>0.190357142857143</v>
      </c>
      <c r="AD20" s="13">
        <f t="shared" si="57"/>
        <v>0.190357142857143</v>
      </c>
      <c r="AE20" s="13">
        <f t="shared" si="57"/>
        <v>0.190357142857143</v>
      </c>
      <c r="AF20" s="13">
        <f t="shared" si="57"/>
        <v>0.190357142857143</v>
      </c>
    </row>
    <row r="21" spans="3:32">
      <c r="C21" s="6" t="s">
        <v>26</v>
      </c>
      <c r="D21" s="7">
        <v>35000000</v>
      </c>
      <c r="E21" s="6">
        <f t="shared" si="0"/>
        <v>35</v>
      </c>
      <c r="H21" s="6" t="s">
        <v>26</v>
      </c>
      <c r="I21" s="7">
        <v>200000000</v>
      </c>
      <c r="J21" s="6">
        <f t="shared" si="4"/>
        <v>200</v>
      </c>
      <c r="K21" s="6"/>
      <c r="O21" s="7">
        <f t="shared" si="53"/>
        <v>50000</v>
      </c>
      <c r="P21" s="7">
        <f t="shared" si="54"/>
        <v>350000</v>
      </c>
      <c r="Q21" s="13">
        <f t="shared" si="51"/>
        <v>0.0817142857142857</v>
      </c>
      <c r="R21" s="13">
        <f t="shared" ref="R21:AF21" si="58">IF($AX7=0,0,$AX7/$M$2/($AZ7*$R6))*CB$1/$CA$1</f>
        <v>0.102142857142857</v>
      </c>
      <c r="S21" s="13">
        <f t="shared" si="58"/>
        <v>0.122571428571429</v>
      </c>
      <c r="T21" s="13">
        <f t="shared" si="58"/>
        <v>0.143</v>
      </c>
      <c r="U21" s="13">
        <f t="shared" si="58"/>
        <v>0.163428571428571</v>
      </c>
      <c r="V21" s="13">
        <f t="shared" si="58"/>
        <v>0.183857142857143</v>
      </c>
      <c r="W21" s="13">
        <f t="shared" si="58"/>
        <v>0.204285714285714</v>
      </c>
      <c r="X21" s="13">
        <f t="shared" si="58"/>
        <v>0.204285714285714</v>
      </c>
      <c r="Y21" s="13">
        <f t="shared" si="58"/>
        <v>0.204285714285714</v>
      </c>
      <c r="Z21" s="13">
        <f t="shared" si="58"/>
        <v>0.204285714285714</v>
      </c>
      <c r="AA21" s="13">
        <f t="shared" si="58"/>
        <v>0.204285714285714</v>
      </c>
      <c r="AB21" s="13">
        <f t="shared" si="58"/>
        <v>0.204285714285714</v>
      </c>
      <c r="AC21" s="13">
        <f t="shared" si="58"/>
        <v>0.204285714285714</v>
      </c>
      <c r="AD21" s="13">
        <f t="shared" si="58"/>
        <v>0.204285714285714</v>
      </c>
      <c r="AE21" s="13">
        <f t="shared" si="58"/>
        <v>0.204285714285714</v>
      </c>
      <c r="AF21" s="13">
        <f t="shared" si="58"/>
        <v>0.204285714285714</v>
      </c>
    </row>
    <row r="22" spans="3:32">
      <c r="C22" s="6" t="s">
        <v>27</v>
      </c>
      <c r="D22" s="7">
        <f>SUM(D2:D21)</f>
        <v>140050000</v>
      </c>
      <c r="E22" s="6">
        <f>SUM(E2:E21)</f>
        <v>140.05</v>
      </c>
      <c r="H22" s="6" t="s">
        <v>27</v>
      </c>
      <c r="I22" s="7">
        <f>SUM(I2:I21)</f>
        <v>400000000</v>
      </c>
      <c r="J22" s="6">
        <f t="shared" si="4"/>
        <v>400</v>
      </c>
      <c r="K22" s="6"/>
      <c r="O22" s="7">
        <f t="shared" si="53"/>
        <v>100000</v>
      </c>
      <c r="P22" s="7">
        <f t="shared" si="54"/>
        <v>700000</v>
      </c>
      <c r="Q22" s="13">
        <f t="shared" si="51"/>
        <v>0.0568285714285716</v>
      </c>
      <c r="R22" s="13">
        <f t="shared" ref="R22:AF22" si="59">IF($AX8=0,0,$AX8/$M$2/($AZ8*$R7))*CB$1/$CA$1</f>
        <v>0.0710357142857145</v>
      </c>
      <c r="S22" s="13">
        <f t="shared" si="59"/>
        <v>0.0852428571428574</v>
      </c>
      <c r="T22" s="13">
        <f t="shared" si="59"/>
        <v>0.0994500000000003</v>
      </c>
      <c r="U22" s="13">
        <f t="shared" si="59"/>
        <v>0.113657142857143</v>
      </c>
      <c r="V22" s="13">
        <f t="shared" si="59"/>
        <v>0.127864285714286</v>
      </c>
      <c r="W22" s="13">
        <f t="shared" si="59"/>
        <v>0.142071428571429</v>
      </c>
      <c r="X22" s="13">
        <f t="shared" si="59"/>
        <v>0.142071428571429</v>
      </c>
      <c r="Y22" s="13">
        <f t="shared" si="59"/>
        <v>0.142071428571429</v>
      </c>
      <c r="Z22" s="13">
        <f t="shared" si="59"/>
        <v>0.142071428571429</v>
      </c>
      <c r="AA22" s="13">
        <f t="shared" si="59"/>
        <v>0.142071428571429</v>
      </c>
      <c r="AB22" s="13">
        <f t="shared" si="59"/>
        <v>0.142071428571429</v>
      </c>
      <c r="AC22" s="13">
        <f t="shared" si="59"/>
        <v>0.142071428571429</v>
      </c>
      <c r="AD22" s="13">
        <f t="shared" si="59"/>
        <v>0.142071428571429</v>
      </c>
      <c r="AE22" s="13">
        <f t="shared" si="59"/>
        <v>0.142071428571429</v>
      </c>
      <c r="AF22" s="13">
        <f t="shared" si="59"/>
        <v>0.142071428571429</v>
      </c>
    </row>
    <row r="23" spans="3:32">
      <c r="O23" s="7">
        <f t="shared" si="53"/>
        <v>200000</v>
      </c>
      <c r="P23" s="7">
        <f t="shared" si="54"/>
        <v>1400000</v>
      </c>
      <c r="Q23" s="13">
        <f t="shared" si="51"/>
        <v>0.0417857142857143</v>
      </c>
      <c r="R23" s="13">
        <f t="shared" ref="R23:AF23" si="60">IF($AX9=0,0,$AX9/$M$2/($AZ9*$R8))*CB$1/$CA$1</f>
        <v>0.0522321428571428</v>
      </c>
      <c r="S23" s="13">
        <f t="shared" si="60"/>
        <v>0.0626785714285714</v>
      </c>
      <c r="T23" s="13">
        <f t="shared" si="60"/>
        <v>0.073125</v>
      </c>
      <c r="U23" s="13">
        <f t="shared" si="60"/>
        <v>0.0835714285714286</v>
      </c>
      <c r="V23" s="13">
        <f t="shared" si="60"/>
        <v>0.0940178571428571</v>
      </c>
      <c r="W23" s="13">
        <f t="shared" si="60"/>
        <v>0.104464285714286</v>
      </c>
      <c r="X23" s="13">
        <f t="shared" si="60"/>
        <v>0.104464285714286</v>
      </c>
      <c r="Y23" s="13">
        <f t="shared" si="60"/>
        <v>0.104464285714286</v>
      </c>
      <c r="Z23" s="13">
        <f t="shared" si="60"/>
        <v>0.104464285714286</v>
      </c>
      <c r="AA23" s="13">
        <f t="shared" si="60"/>
        <v>0.104464285714286</v>
      </c>
      <c r="AB23" s="13">
        <f t="shared" si="60"/>
        <v>0.104464285714286</v>
      </c>
      <c r="AC23" s="13">
        <f t="shared" si="60"/>
        <v>0.104464285714286</v>
      </c>
      <c r="AD23" s="13">
        <f t="shared" si="60"/>
        <v>0.104464285714286</v>
      </c>
      <c r="AE23" s="13">
        <f t="shared" si="60"/>
        <v>0.104464285714286</v>
      </c>
      <c r="AF23" s="13">
        <f t="shared" si="60"/>
        <v>0.104464285714286</v>
      </c>
    </row>
    <row r="24" spans="3:32">
      <c r="O24" s="7">
        <f t="shared" si="53"/>
        <v>500000</v>
      </c>
      <c r="P24" s="7">
        <f t="shared" si="54"/>
        <v>3500000</v>
      </c>
      <c r="Q24" s="13">
        <f t="shared" si="51"/>
        <v>0.0389999999999999</v>
      </c>
      <c r="R24" s="13">
        <f t="shared" ref="R24:AF24" si="61">IF($AX10=0,0,$AX10/$M$2/($AZ10*$R9))*CB$1/$CA$1</f>
        <v>0.0487499999999998</v>
      </c>
      <c r="S24" s="13">
        <f t="shared" si="61"/>
        <v>0.0584999999999998</v>
      </c>
      <c r="T24" s="13">
        <f t="shared" si="61"/>
        <v>0.0682499999999998</v>
      </c>
      <c r="U24" s="13">
        <f t="shared" si="61"/>
        <v>0.0779999999999997</v>
      </c>
      <c r="V24" s="13">
        <f t="shared" si="61"/>
        <v>0.0877499999999997</v>
      </c>
      <c r="W24" s="13">
        <f t="shared" si="61"/>
        <v>0.0974999999999997</v>
      </c>
      <c r="X24" s="13">
        <f t="shared" si="61"/>
        <v>0.0974999999999997</v>
      </c>
      <c r="Y24" s="13">
        <f t="shared" si="61"/>
        <v>0.0974999999999997</v>
      </c>
      <c r="Z24" s="13">
        <f t="shared" si="61"/>
        <v>0.0974999999999997</v>
      </c>
      <c r="AA24" s="13">
        <f t="shared" si="61"/>
        <v>0.0974999999999997</v>
      </c>
      <c r="AB24" s="13">
        <f t="shared" si="61"/>
        <v>0.0974999999999997</v>
      </c>
      <c r="AC24" s="13">
        <f t="shared" si="61"/>
        <v>0.0974999999999997</v>
      </c>
      <c r="AD24" s="13">
        <f t="shared" si="61"/>
        <v>0.0974999999999997</v>
      </c>
      <c r="AE24" s="13">
        <f t="shared" si="61"/>
        <v>0.0974999999999997</v>
      </c>
      <c r="AF24" s="13">
        <f t="shared" si="61"/>
        <v>0.0974999999999997</v>
      </c>
    </row>
    <row r="25" spans="3:32">
      <c r="H25" s="6" t="s">
        <v>34</v>
      </c>
      <c r="I25" s="6" t="s">
        <v>30</v>
      </c>
      <c r="J25" s="6" t="s">
        <v>35</v>
      </c>
      <c r="O25" s="7">
        <f t="shared" si="53"/>
        <v>1000000</v>
      </c>
      <c r="P25" s="7">
        <f t="shared" si="54"/>
        <v>7000000</v>
      </c>
      <c r="Q25" s="13">
        <f t="shared" si="51"/>
        <v>0.0417857142857143</v>
      </c>
      <c r="R25" s="13">
        <f t="shared" ref="R25:AF25" si="62">IF($AX11=0,0,$AX11/$M$2/($AZ11*$R10))*CB$1/$CA$1</f>
        <v>0.0522321428571428</v>
      </c>
      <c r="S25" s="13">
        <f t="shared" si="62"/>
        <v>0.0626785714285714</v>
      </c>
      <c r="T25" s="13">
        <f t="shared" si="62"/>
        <v>0.073125</v>
      </c>
      <c r="U25" s="13">
        <f t="shared" si="62"/>
        <v>0.0835714285714285</v>
      </c>
      <c r="V25" s="13">
        <f t="shared" si="62"/>
        <v>0.0940178571428571</v>
      </c>
      <c r="W25" s="13">
        <f t="shared" si="62"/>
        <v>0.104464285714286</v>
      </c>
      <c r="X25" s="13">
        <f t="shared" si="62"/>
        <v>0.104464285714286</v>
      </c>
      <c r="Y25" s="13">
        <f t="shared" si="62"/>
        <v>0.104464285714286</v>
      </c>
      <c r="Z25" s="13">
        <f t="shared" si="62"/>
        <v>0.104464285714286</v>
      </c>
      <c r="AA25" s="13">
        <f t="shared" si="62"/>
        <v>0.104464285714286</v>
      </c>
      <c r="AB25" s="13">
        <f t="shared" si="62"/>
        <v>0.104464285714286</v>
      </c>
      <c r="AC25" s="13">
        <f t="shared" si="62"/>
        <v>0.104464285714286</v>
      </c>
      <c r="AD25" s="13">
        <f t="shared" si="62"/>
        <v>0.104464285714286</v>
      </c>
      <c r="AE25" s="13">
        <f t="shared" si="62"/>
        <v>0.104464285714286</v>
      </c>
      <c r="AF25" s="13">
        <f t="shared" si="62"/>
        <v>0.104464285714286</v>
      </c>
    </row>
    <row r="26" spans="3:32">
      <c r="E26" s="4">
        <f>25000/200</f>
        <v>125</v>
      </c>
      <c r="H26" s="6">
        <v>1</v>
      </c>
      <c r="I26" s="6">
        <v>25</v>
      </c>
      <c r="J26" s="11">
        <f t="shared" ref="J26:J30" si="63">SUMIF($K$2:$K$21,"&lt;="&amp;H26,$I$2:$I$22)/I26/$M$2</f>
        <v>0.008</v>
      </c>
      <c r="O26" s="7">
        <f t="shared" si="53"/>
        <v>2000000</v>
      </c>
      <c r="P26" s="7">
        <f t="shared" si="54"/>
        <v>14000000</v>
      </c>
      <c r="Q26" s="13">
        <f t="shared" si="51"/>
        <v>0.0320357142857143</v>
      </c>
      <c r="R26" s="13">
        <f t="shared" ref="R26:AF26" si="64">IF($AX12=0,0,$AX12/$M$2/($AZ12*$R11))*CB$1/$CA$1</f>
        <v>0.0400446428571429</v>
      </c>
      <c r="S26" s="13">
        <f t="shared" si="64"/>
        <v>0.0480535714285715</v>
      </c>
      <c r="T26" s="13">
        <f t="shared" si="64"/>
        <v>0.0560625</v>
      </c>
      <c r="U26" s="13">
        <f t="shared" si="64"/>
        <v>0.0640714285714286</v>
      </c>
      <c r="V26" s="13">
        <f t="shared" si="64"/>
        <v>0.0720803571428572</v>
      </c>
      <c r="W26" s="13">
        <f t="shared" si="64"/>
        <v>0.0800892857142858</v>
      </c>
      <c r="X26" s="13">
        <f t="shared" si="64"/>
        <v>0.0800892857142858</v>
      </c>
      <c r="Y26" s="13">
        <f t="shared" si="64"/>
        <v>0.0800892857142858</v>
      </c>
      <c r="Z26" s="13">
        <f t="shared" si="64"/>
        <v>0.0800892857142858</v>
      </c>
      <c r="AA26" s="13">
        <f t="shared" si="64"/>
        <v>0.0800892857142858</v>
      </c>
      <c r="AB26" s="13">
        <f t="shared" si="64"/>
        <v>0.0800892857142858</v>
      </c>
      <c r="AC26" s="13">
        <f t="shared" si="64"/>
        <v>0.0800892857142858</v>
      </c>
      <c r="AD26" s="13">
        <f t="shared" si="64"/>
        <v>0.0800892857142858</v>
      </c>
      <c r="AE26" s="13">
        <f t="shared" si="64"/>
        <v>0.0800892857142858</v>
      </c>
      <c r="AF26" s="13">
        <f t="shared" si="64"/>
        <v>0.0800892857142858</v>
      </c>
    </row>
    <row r="27" spans="3:32">
      <c r="H27" s="6">
        <v>2</v>
      </c>
      <c r="I27" s="6">
        <v>50</v>
      </c>
      <c r="J27" s="11">
        <f t="shared" si="63"/>
        <v>0.082</v>
      </c>
      <c r="O27" s="7">
        <f t="shared" si="53"/>
        <v>5000000</v>
      </c>
      <c r="P27" s="7">
        <f t="shared" si="54"/>
        <v>35000000</v>
      </c>
      <c r="Q27" s="13">
        <f t="shared" si="51"/>
        <v>0.0172714285714285</v>
      </c>
      <c r="R27" s="13">
        <f t="shared" ref="R27:AF27" si="65">IF($AX13=0,0,$AX13/$M$2/($AZ13*$R12))*CB$1/$CA$1</f>
        <v>0.0215892857142857</v>
      </c>
      <c r="S27" s="13">
        <f t="shared" si="65"/>
        <v>0.0259071428571428</v>
      </c>
      <c r="T27" s="13">
        <f t="shared" si="65"/>
        <v>0.030225</v>
      </c>
      <c r="U27" s="13">
        <f t="shared" si="65"/>
        <v>0.0345428571428571</v>
      </c>
      <c r="V27" s="13">
        <f t="shared" si="65"/>
        <v>0.0388607142857142</v>
      </c>
      <c r="W27" s="13">
        <f t="shared" si="65"/>
        <v>0.0431785714285714</v>
      </c>
      <c r="X27" s="13">
        <f t="shared" si="65"/>
        <v>0.0431785714285714</v>
      </c>
      <c r="Y27" s="13">
        <f t="shared" si="65"/>
        <v>0.0431785714285714</v>
      </c>
      <c r="Z27" s="13">
        <f t="shared" si="65"/>
        <v>0.0431785714285714</v>
      </c>
      <c r="AA27" s="13">
        <f t="shared" si="65"/>
        <v>0.0431785714285714</v>
      </c>
      <c r="AB27" s="13">
        <f t="shared" si="65"/>
        <v>0.0431785714285714</v>
      </c>
      <c r="AC27" s="13">
        <f t="shared" si="65"/>
        <v>0.0431785714285714</v>
      </c>
      <c r="AD27" s="13">
        <f t="shared" si="65"/>
        <v>0.0431785714285714</v>
      </c>
      <c r="AE27" s="13">
        <f t="shared" si="65"/>
        <v>0.0431785714285714</v>
      </c>
      <c r="AF27" s="13">
        <f t="shared" si="65"/>
        <v>0.0431785714285714</v>
      </c>
    </row>
    <row r="28" spans="3:32">
      <c r="H28" s="6">
        <v>3</v>
      </c>
      <c r="I28" s="6">
        <v>50</v>
      </c>
      <c r="J28" s="11">
        <f t="shared" si="63"/>
        <v>0.26</v>
      </c>
      <c r="O28" s="7">
        <f t="shared" si="53"/>
        <v>10000000</v>
      </c>
      <c r="P28" s="7">
        <f t="shared" si="54"/>
        <v>70000000</v>
      </c>
      <c r="Q28" s="13">
        <f t="shared" si="51"/>
        <v>0.0108642857142857</v>
      </c>
      <c r="R28" s="13">
        <f t="shared" ref="R28:AF28" si="66">IF($AX14=0,0,$AX14/$M$2/($AZ14*$R13))*CB$1/$CA$1</f>
        <v>0.0135803571428571</v>
      </c>
      <c r="S28" s="13">
        <f t="shared" si="66"/>
        <v>0.0162964285714286</v>
      </c>
      <c r="T28" s="13">
        <f t="shared" si="66"/>
        <v>0.0190125</v>
      </c>
      <c r="U28" s="13">
        <f t="shared" si="66"/>
        <v>0.0217285714285714</v>
      </c>
      <c r="V28" s="13">
        <f t="shared" si="66"/>
        <v>0.0244446428571428</v>
      </c>
      <c r="W28" s="13">
        <f t="shared" si="66"/>
        <v>0.0271607142857143</v>
      </c>
      <c r="X28" s="13">
        <f t="shared" si="66"/>
        <v>0.0271607142857143</v>
      </c>
      <c r="Y28" s="13">
        <f t="shared" si="66"/>
        <v>0.0271607142857143</v>
      </c>
      <c r="Z28" s="13">
        <f t="shared" si="66"/>
        <v>0.0271607142857143</v>
      </c>
      <c r="AA28" s="13">
        <f t="shared" si="66"/>
        <v>0.0271607142857143</v>
      </c>
      <c r="AB28" s="13">
        <f t="shared" si="66"/>
        <v>0.0271607142857143</v>
      </c>
      <c r="AC28" s="13">
        <f t="shared" si="66"/>
        <v>0.0271607142857143</v>
      </c>
      <c r="AD28" s="13">
        <f t="shared" si="66"/>
        <v>0.0271607142857143</v>
      </c>
      <c r="AE28" s="13">
        <f t="shared" si="66"/>
        <v>0.0271607142857143</v>
      </c>
      <c r="AF28" s="13">
        <f t="shared" si="66"/>
        <v>0.0271607142857143</v>
      </c>
    </row>
    <row r="29" spans="3:32">
      <c r="H29" s="6">
        <v>4</v>
      </c>
      <c r="I29" s="6">
        <v>50</v>
      </c>
      <c r="J29" s="11">
        <f t="shared" si="63"/>
        <v>0.44</v>
      </c>
    </row>
    <row r="30" spans="3:32">
      <c r="H30" s="6">
        <v>5</v>
      </c>
      <c r="I30" s="6">
        <v>50</v>
      </c>
      <c r="J30" s="11">
        <f t="shared" si="63"/>
        <v>0.9</v>
      </c>
    </row>
    <row r="31" spans="3:32">
      <c r="H31" s="6">
        <v>6</v>
      </c>
      <c r="I31" s="6">
        <v>40</v>
      </c>
      <c r="J31" s="11">
        <f>SUMIF($K$2:$K$21,"="&amp;H31,$I$2:$I$22)/I31/$M$2</f>
        <v>3.875</v>
      </c>
      <c r="M31" s="4" t="s">
        <v>40</v>
      </c>
      <c r="O31" s="7"/>
      <c r="P31" s="7"/>
      <c r="Q31" s="7">
        <v>1000000</v>
      </c>
      <c r="R31" s="7">
        <v>1250000</v>
      </c>
      <c r="S31" s="7">
        <v>1500000</v>
      </c>
      <c r="T31" s="7">
        <v>1750000</v>
      </c>
      <c r="U31" s="7">
        <v>2000000</v>
      </c>
      <c r="V31" s="7">
        <v>2250000</v>
      </c>
      <c r="W31" s="7">
        <v>2500000</v>
      </c>
      <c r="X31" s="7">
        <v>2500000</v>
      </c>
      <c r="Y31" s="7">
        <v>2500000</v>
      </c>
      <c r="Z31" s="7">
        <v>2500000</v>
      </c>
      <c r="AA31" s="7">
        <v>2500000</v>
      </c>
      <c r="AB31" s="7">
        <v>2500000</v>
      </c>
      <c r="AC31" s="7">
        <v>2500000</v>
      </c>
      <c r="AD31" s="7">
        <v>2500000</v>
      </c>
      <c r="AE31" s="7">
        <v>2500000</v>
      </c>
      <c r="AF31" s="7">
        <v>2500000</v>
      </c>
    </row>
    <row r="32" spans="3:32">
      <c r="O32" s="7" t="s">
        <v>5</v>
      </c>
      <c r="P32" s="7" t="s">
        <v>37</v>
      </c>
      <c r="Q32" s="7">
        <v>0</v>
      </c>
      <c r="R32" s="6">
        <v>1</v>
      </c>
      <c r="S32" s="6">
        <v>2</v>
      </c>
      <c r="T32" s="6">
        <v>3</v>
      </c>
      <c r="U32" s="6">
        <v>4</v>
      </c>
      <c r="V32" s="6">
        <v>5</v>
      </c>
      <c r="W32" s="6">
        <v>6</v>
      </c>
      <c r="X32" s="6">
        <v>7</v>
      </c>
      <c r="Y32" s="6">
        <v>8</v>
      </c>
      <c r="Z32" s="6">
        <v>9</v>
      </c>
      <c r="AA32" s="6">
        <v>10</v>
      </c>
      <c r="AB32" s="6">
        <v>11</v>
      </c>
      <c r="AC32" s="6">
        <v>12</v>
      </c>
      <c r="AD32" s="6">
        <v>13</v>
      </c>
      <c r="AE32" s="6">
        <v>14</v>
      </c>
      <c r="AF32" s="6">
        <v>15</v>
      </c>
    </row>
    <row r="33" spans="1:32">
      <c r="O33" s="7">
        <f>O17</f>
        <v>1000</v>
      </c>
      <c r="P33" s="7">
        <v>70000</v>
      </c>
      <c r="Q33" s="14">
        <f ca="1">IF($AX3=0,0,$AZ3*BF3)*$M$6</f>
        <v>0</v>
      </c>
      <c r="R33" s="14">
        <f ca="1" t="shared" ref="R33:AF33" si="67">IF($AX3=0,0,$AZ3*BG3)*$M$6</f>
        <v>0</v>
      </c>
      <c r="S33" s="14">
        <f ca="1" t="shared" si="67"/>
        <v>0</v>
      </c>
      <c r="T33" s="14">
        <f ca="1" t="shared" si="67"/>
        <v>0</v>
      </c>
      <c r="U33" s="14">
        <f ca="1" t="shared" si="67"/>
        <v>0</v>
      </c>
      <c r="V33" s="14">
        <f ca="1" t="shared" si="67"/>
        <v>0</v>
      </c>
      <c r="W33" s="14">
        <f ca="1" t="shared" si="67"/>
        <v>0</v>
      </c>
      <c r="X33" s="14">
        <f ca="1" t="shared" si="67"/>
        <v>0</v>
      </c>
      <c r="Y33" s="14">
        <f ca="1" t="shared" si="67"/>
        <v>0</v>
      </c>
      <c r="Z33" s="14">
        <f ca="1" t="shared" si="67"/>
        <v>0</v>
      </c>
      <c r="AA33" s="14">
        <f ca="1" t="shared" si="67"/>
        <v>0</v>
      </c>
      <c r="AB33" s="14">
        <f ca="1" t="shared" si="67"/>
        <v>0</v>
      </c>
      <c r="AC33" s="14">
        <f ca="1" t="shared" si="67"/>
        <v>0</v>
      </c>
      <c r="AD33" s="14">
        <f ca="1" t="shared" si="67"/>
        <v>0</v>
      </c>
      <c r="AE33" s="14">
        <f ca="1" t="shared" si="67"/>
        <v>0</v>
      </c>
      <c r="AF33" s="14">
        <f ca="1" t="shared" si="67"/>
        <v>0</v>
      </c>
    </row>
    <row r="34" spans="1:32">
      <c r="A34" s="8" t="s">
        <v>16</v>
      </c>
      <c r="B34" s="8">
        <v>1</v>
      </c>
      <c r="C34" s="8">
        <v>2</v>
      </c>
      <c r="D34" s="8">
        <v>3</v>
      </c>
      <c r="E34" s="8">
        <v>4</v>
      </c>
      <c r="F34" s="8">
        <v>5</v>
      </c>
      <c r="G34" s="8">
        <v>6</v>
      </c>
      <c r="H34" s="8" t="s">
        <v>17</v>
      </c>
      <c r="I34" s="8" t="s">
        <v>18</v>
      </c>
      <c r="J34" s="8" t="s">
        <v>19</v>
      </c>
      <c r="K34" s="8" t="s">
        <v>20</v>
      </c>
      <c r="O34" s="7">
        <f t="shared" ref="O34:O44" si="68">O18</f>
        <v>3000</v>
      </c>
      <c r="P34" s="7">
        <v>210000</v>
      </c>
      <c r="Q34" s="14">
        <f t="shared" ref="Q34:Q44" si="69">IF($AX4=0,0,$AZ4*BF4)*$M$6</f>
        <v>0</v>
      </c>
      <c r="R34" s="14">
        <f t="shared" ref="R34:R44" si="70">IF($AX4=0,0,$AZ4*BG4)*$M$6</f>
        <v>0</v>
      </c>
      <c r="S34" s="14">
        <f t="shared" ref="S34:S44" si="71">IF($AX4=0,0,$AZ4*BH4)*$M$6</f>
        <v>0</v>
      </c>
      <c r="T34" s="14">
        <f t="shared" ref="T34:T44" si="72">IF($AX4=0,0,$AZ4*BI4)*$M$6</f>
        <v>0</v>
      </c>
      <c r="U34" s="14">
        <f t="shared" ref="U34:U44" si="73">IF($AX4=0,0,$AZ4*BJ4)*$M$6</f>
        <v>0</v>
      </c>
      <c r="V34" s="14">
        <f t="shared" ref="V34:V44" si="74">IF($AX4=0,0,$AZ4*BK4)*$M$6</f>
        <v>0</v>
      </c>
      <c r="W34" s="14">
        <f t="shared" ref="W34:W44" si="75">IF($AX4=0,0,$AZ4*BL4)*$M$6</f>
        <v>0</v>
      </c>
      <c r="X34" s="14">
        <f t="shared" ref="X34:X44" si="76">IF($AX4=0,0,$AZ4*BM4)*$M$6</f>
        <v>0</v>
      </c>
      <c r="Y34" s="14">
        <f t="shared" ref="Y34:Y44" si="77">IF($AX4=0,0,$AZ4*BN4)*$M$6</f>
        <v>0</v>
      </c>
      <c r="Z34" s="14">
        <f t="shared" ref="Z34:Z44" si="78">IF($AX4=0,0,$AZ4*BO4)*$M$6</f>
        <v>0</v>
      </c>
      <c r="AA34" s="14">
        <f t="shared" ref="AA34:AA44" si="79">IF($AX4=0,0,$AZ4*BP4)*$M$6</f>
        <v>0</v>
      </c>
      <c r="AB34" s="14">
        <f t="shared" ref="AB34:AB44" si="80">IF($AX4=0,0,$AZ4*BQ4)*$M$6</f>
        <v>0</v>
      </c>
      <c r="AC34" s="14">
        <f t="shared" ref="AC34:AC44" si="81">IF($AX4=0,0,$AZ4*BR4)*$M$6</f>
        <v>0</v>
      </c>
      <c r="AD34" s="14">
        <f t="shared" ref="AD34:AD44" si="82">IF($AX4=0,0,$AZ4*BS4)*$M$6</f>
        <v>0</v>
      </c>
      <c r="AE34" s="14">
        <f t="shared" ref="AE34:AE44" si="83">IF($AX4=0,0,$AZ4*BT4)*$M$6</f>
        <v>0</v>
      </c>
      <c r="AF34" s="14">
        <f t="shared" ref="AF34:AF44" si="84">IF($AX4=0,0,$AZ4*BU4)*$M$6</f>
        <v>0</v>
      </c>
    </row>
    <row r="35" spans="1:32">
      <c r="A35" s="8">
        <v>1</v>
      </c>
      <c r="B35" s="15">
        <v>8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8</v>
      </c>
      <c r="L35" s="15">
        <f>SUM($K$35:K35)</f>
        <v>8</v>
      </c>
      <c r="O35" s="7">
        <f t="shared" si="68"/>
        <v>10000</v>
      </c>
      <c r="P35" s="7">
        <v>700000</v>
      </c>
      <c r="Q35" s="14">
        <f t="shared" si="69"/>
        <v>1.79487179487179</v>
      </c>
      <c r="R35" s="14">
        <f t="shared" si="70"/>
        <v>1.43589743589743</v>
      </c>
      <c r="S35" s="14">
        <f t="shared" si="71"/>
        <v>1.1965811965812</v>
      </c>
      <c r="T35" s="14">
        <f t="shared" si="72"/>
        <v>1.02564102564102</v>
      </c>
      <c r="U35" s="14">
        <f t="shared" si="73"/>
        <v>0.897435897435896</v>
      </c>
      <c r="V35" s="14">
        <f t="shared" si="74"/>
        <v>0.797720797720796</v>
      </c>
      <c r="W35" s="14">
        <f t="shared" si="75"/>
        <v>0.717948717948717</v>
      </c>
      <c r="X35" s="14">
        <f t="shared" si="76"/>
        <v>0.717948717948717</v>
      </c>
      <c r="Y35" s="14">
        <f t="shared" si="77"/>
        <v>0.717948717948717</v>
      </c>
      <c r="Z35" s="14">
        <f t="shared" si="78"/>
        <v>0.717948717948717</v>
      </c>
      <c r="AA35" s="14">
        <f t="shared" si="79"/>
        <v>0.717948717948717</v>
      </c>
      <c r="AB35" s="14">
        <f t="shared" si="80"/>
        <v>0.717948717948717</v>
      </c>
      <c r="AC35" s="14">
        <f t="shared" si="81"/>
        <v>0.717948717948717</v>
      </c>
      <c r="AD35" s="14">
        <f t="shared" si="82"/>
        <v>0.717948717948717</v>
      </c>
      <c r="AE35" s="14">
        <f t="shared" si="83"/>
        <v>0.717948717948717</v>
      </c>
      <c r="AF35" s="14">
        <f t="shared" si="84"/>
        <v>0.717948717948717</v>
      </c>
    </row>
    <row r="36" spans="1:32">
      <c r="A36" s="8">
        <v>2</v>
      </c>
      <c r="B36" s="16">
        <v>7</v>
      </c>
      <c r="C36" s="16">
        <v>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8</v>
      </c>
      <c r="L36" s="16">
        <f>SUM($K$35:K36)</f>
        <v>16</v>
      </c>
      <c r="O36" s="7">
        <f t="shared" si="68"/>
        <v>20000</v>
      </c>
      <c r="P36" s="7">
        <v>1400000</v>
      </c>
      <c r="Q36" s="14">
        <f t="shared" si="69"/>
        <v>53.8461538461539</v>
      </c>
      <c r="R36" s="14">
        <f t="shared" si="70"/>
        <v>43.0769230769231</v>
      </c>
      <c r="S36" s="14">
        <f t="shared" si="71"/>
        <v>35.8974358974359</v>
      </c>
      <c r="T36" s="14">
        <f t="shared" si="72"/>
        <v>30.7692307692308</v>
      </c>
      <c r="U36" s="14">
        <f t="shared" si="73"/>
        <v>26.9230769230769</v>
      </c>
      <c r="V36" s="14">
        <f t="shared" si="74"/>
        <v>23.9316239316239</v>
      </c>
      <c r="W36" s="14">
        <f t="shared" si="75"/>
        <v>21.5384615384616</v>
      </c>
      <c r="X36" s="14">
        <f t="shared" si="76"/>
        <v>21.5384615384616</v>
      </c>
      <c r="Y36" s="14">
        <f t="shared" si="77"/>
        <v>21.5384615384616</v>
      </c>
      <c r="Z36" s="14">
        <f t="shared" si="78"/>
        <v>21.5384615384616</v>
      </c>
      <c r="AA36" s="14">
        <f t="shared" si="79"/>
        <v>21.5384615384616</v>
      </c>
      <c r="AB36" s="14">
        <f t="shared" si="80"/>
        <v>21.5384615384616</v>
      </c>
      <c r="AC36" s="14">
        <f t="shared" si="81"/>
        <v>21.5384615384616</v>
      </c>
      <c r="AD36" s="14">
        <f t="shared" si="82"/>
        <v>21.5384615384616</v>
      </c>
      <c r="AE36" s="14">
        <f t="shared" si="83"/>
        <v>21.5384615384616</v>
      </c>
      <c r="AF36" s="14">
        <f t="shared" si="84"/>
        <v>21.5384615384616</v>
      </c>
    </row>
    <row r="37" spans="1:32">
      <c r="A37" s="8">
        <v>3</v>
      </c>
      <c r="B37" s="16">
        <v>6</v>
      </c>
      <c r="C37" s="16">
        <v>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8</v>
      </c>
      <c r="L37" s="16">
        <f>SUM($K$35:K37)</f>
        <v>24</v>
      </c>
      <c r="O37" s="7">
        <f t="shared" si="68"/>
        <v>50000</v>
      </c>
      <c r="P37" s="7">
        <v>3500000</v>
      </c>
      <c r="Q37" s="14">
        <f t="shared" si="69"/>
        <v>251.861042183623</v>
      </c>
      <c r="R37" s="14">
        <f t="shared" si="70"/>
        <v>208.205128205128</v>
      </c>
      <c r="S37" s="14">
        <f t="shared" si="71"/>
        <v>173.504273504274</v>
      </c>
      <c r="T37" s="14">
        <f t="shared" si="72"/>
        <v>148.717948717948</v>
      </c>
      <c r="U37" s="14">
        <f t="shared" si="73"/>
        <v>134.615384615385</v>
      </c>
      <c r="V37" s="14">
        <f t="shared" si="74"/>
        <v>119.65811965812</v>
      </c>
      <c r="W37" s="14">
        <f t="shared" si="75"/>
        <v>107.692307692308</v>
      </c>
      <c r="X37" s="14">
        <f t="shared" si="76"/>
        <v>107.692307692308</v>
      </c>
      <c r="Y37" s="14">
        <f t="shared" si="77"/>
        <v>107.692307692308</v>
      </c>
      <c r="Z37" s="14">
        <f t="shared" si="78"/>
        <v>107.692307692308</v>
      </c>
      <c r="AA37" s="14">
        <f t="shared" si="79"/>
        <v>107.692307692308</v>
      </c>
      <c r="AB37" s="14">
        <f t="shared" si="80"/>
        <v>107.692307692308</v>
      </c>
      <c r="AC37" s="14">
        <f t="shared" si="81"/>
        <v>107.692307692308</v>
      </c>
      <c r="AD37" s="14">
        <f t="shared" si="82"/>
        <v>107.692307692308</v>
      </c>
      <c r="AE37" s="14">
        <f t="shared" si="83"/>
        <v>107.692307692308</v>
      </c>
      <c r="AF37" s="14">
        <f t="shared" si="84"/>
        <v>107.692307692308</v>
      </c>
    </row>
    <row r="38" spans="1:32">
      <c r="A38" s="8">
        <v>4</v>
      </c>
      <c r="B38" s="16">
        <v>4</v>
      </c>
      <c r="C38" s="16">
        <v>4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8</v>
      </c>
      <c r="L38" s="16">
        <f>SUM($K$35:K38)</f>
        <v>32</v>
      </c>
      <c r="O38" s="7">
        <f t="shared" si="68"/>
        <v>100000</v>
      </c>
      <c r="P38" s="7">
        <v>7000000</v>
      </c>
      <c r="Q38" s="14">
        <f t="shared" si="69"/>
        <v>656.108597285066</v>
      </c>
      <c r="R38" s="14">
        <f t="shared" si="70"/>
        <v>556.698203757025</v>
      </c>
      <c r="S38" s="14">
        <f t="shared" si="71"/>
        <v>478.412518853694</v>
      </c>
      <c r="T38" s="14">
        <f t="shared" si="72"/>
        <v>410.067873303166</v>
      </c>
      <c r="U38" s="14">
        <f t="shared" si="73"/>
        <v>370.38388556415</v>
      </c>
      <c r="V38" s="14">
        <f t="shared" si="74"/>
        <v>329.230120501466</v>
      </c>
      <c r="W38" s="14">
        <f t="shared" si="75"/>
        <v>306.184012066364</v>
      </c>
      <c r="X38" s="14">
        <f t="shared" si="76"/>
        <v>306.184012066364</v>
      </c>
      <c r="Y38" s="14">
        <f t="shared" si="77"/>
        <v>306.184012066364</v>
      </c>
      <c r="Z38" s="14">
        <f t="shared" si="78"/>
        <v>306.184012066364</v>
      </c>
      <c r="AA38" s="14">
        <f t="shared" si="79"/>
        <v>306.184012066364</v>
      </c>
      <c r="AB38" s="14">
        <f t="shared" si="80"/>
        <v>306.184012066364</v>
      </c>
      <c r="AC38" s="14">
        <f t="shared" si="81"/>
        <v>306.184012066364</v>
      </c>
      <c r="AD38" s="14">
        <f t="shared" si="82"/>
        <v>306.184012066364</v>
      </c>
      <c r="AE38" s="14">
        <f t="shared" si="83"/>
        <v>306.184012066364</v>
      </c>
      <c r="AF38" s="14">
        <f t="shared" si="84"/>
        <v>306.184012066364</v>
      </c>
    </row>
    <row r="39" spans="1:32">
      <c r="A39" s="8">
        <v>5</v>
      </c>
      <c r="B39" s="16">
        <v>3</v>
      </c>
      <c r="C39" s="16">
        <v>5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8</v>
      </c>
      <c r="L39" s="16">
        <f>SUM($K$35:K39)</f>
        <v>40</v>
      </c>
      <c r="O39" s="7">
        <f t="shared" si="68"/>
        <v>200000</v>
      </c>
      <c r="P39" s="7">
        <v>14000000</v>
      </c>
      <c r="Q39" s="14">
        <f t="shared" si="69"/>
        <v>3304.8433048433</v>
      </c>
      <c r="R39" s="14">
        <f t="shared" si="70"/>
        <v>2847.24961648038</v>
      </c>
      <c r="S39" s="14">
        <f t="shared" si="71"/>
        <v>2500.9625009625</v>
      </c>
      <c r="T39" s="14">
        <f t="shared" si="72"/>
        <v>2203.22886989554</v>
      </c>
      <c r="U39" s="14">
        <f t="shared" si="73"/>
        <v>1982.90598290598</v>
      </c>
      <c r="V39" s="14">
        <f t="shared" si="74"/>
        <v>1814.42377520809</v>
      </c>
      <c r="W39" s="14">
        <f t="shared" si="75"/>
        <v>1682.46568246568</v>
      </c>
      <c r="X39" s="14">
        <f t="shared" si="76"/>
        <v>1682.46568246568</v>
      </c>
      <c r="Y39" s="14">
        <f t="shared" si="77"/>
        <v>1682.46568246568</v>
      </c>
      <c r="Z39" s="14">
        <f t="shared" si="78"/>
        <v>1682.46568246568</v>
      </c>
      <c r="AA39" s="14">
        <f t="shared" si="79"/>
        <v>1682.46568246568</v>
      </c>
      <c r="AB39" s="14">
        <f t="shared" si="80"/>
        <v>1682.46568246568</v>
      </c>
      <c r="AC39" s="14">
        <f t="shared" si="81"/>
        <v>1682.46568246568</v>
      </c>
      <c r="AD39" s="14">
        <f t="shared" si="82"/>
        <v>1682.46568246568</v>
      </c>
      <c r="AE39" s="14">
        <f t="shared" si="83"/>
        <v>1682.46568246568</v>
      </c>
      <c r="AF39" s="14">
        <f t="shared" si="84"/>
        <v>1682.46568246568</v>
      </c>
    </row>
    <row r="40" spans="1:32">
      <c r="A40" s="8">
        <v>6</v>
      </c>
      <c r="B40" s="15">
        <v>2</v>
      </c>
      <c r="C40" s="15">
        <v>5</v>
      </c>
      <c r="D40" s="15">
        <v>1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8</v>
      </c>
      <c r="L40" s="15">
        <f>SUM($K$35:K40)</f>
        <v>48</v>
      </c>
      <c r="O40" s="7">
        <f t="shared" si="68"/>
        <v>500000</v>
      </c>
      <c r="P40" s="7">
        <v>35000000</v>
      </c>
      <c r="Q40" s="14">
        <f t="shared" si="69"/>
        <v>3098.2905982906</v>
      </c>
      <c r="R40" s="14">
        <f t="shared" si="70"/>
        <v>2586.39910813825</v>
      </c>
      <c r="S40" s="14">
        <f t="shared" si="71"/>
        <v>2203.22886989554</v>
      </c>
      <c r="T40" s="14">
        <f t="shared" si="72"/>
        <v>1888.4818884819</v>
      </c>
      <c r="U40" s="14">
        <f t="shared" si="73"/>
        <v>1729.27847346452</v>
      </c>
      <c r="V40" s="14">
        <f t="shared" si="74"/>
        <v>1537.13642085735</v>
      </c>
      <c r="W40" s="14">
        <f t="shared" si="75"/>
        <v>1416.36141636142</v>
      </c>
      <c r="X40" s="14">
        <f t="shared" si="76"/>
        <v>1416.36141636142</v>
      </c>
      <c r="Y40" s="14">
        <f t="shared" si="77"/>
        <v>1416.36141636142</v>
      </c>
      <c r="Z40" s="14">
        <f t="shared" si="78"/>
        <v>1416.36141636142</v>
      </c>
      <c r="AA40" s="14">
        <f t="shared" si="79"/>
        <v>1416.36141636142</v>
      </c>
      <c r="AB40" s="14">
        <f t="shared" si="80"/>
        <v>1416.36141636142</v>
      </c>
      <c r="AC40" s="14">
        <f t="shared" si="81"/>
        <v>1416.36141636142</v>
      </c>
      <c r="AD40" s="14">
        <f t="shared" si="82"/>
        <v>1416.36141636142</v>
      </c>
      <c r="AE40" s="14">
        <f t="shared" si="83"/>
        <v>1416.36141636142</v>
      </c>
      <c r="AF40" s="14">
        <f t="shared" si="84"/>
        <v>1416.36141636142</v>
      </c>
    </row>
    <row r="41" spans="1:32">
      <c r="A41" s="8">
        <v>7</v>
      </c>
      <c r="B41" s="15">
        <v>1</v>
      </c>
      <c r="C41" s="15">
        <v>4</v>
      </c>
      <c r="D41" s="15">
        <v>3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8</v>
      </c>
      <c r="L41" s="15">
        <f>SUM($K$35:K41)</f>
        <v>56</v>
      </c>
      <c r="O41" s="7">
        <f t="shared" si="68"/>
        <v>1000000</v>
      </c>
      <c r="P41" s="7">
        <v>70000000</v>
      </c>
      <c r="Q41" s="14">
        <f t="shared" si="69"/>
        <v>2570.43368154479</v>
      </c>
      <c r="R41" s="14">
        <f t="shared" si="70"/>
        <v>2135.43721236029</v>
      </c>
      <c r="S41" s="14">
        <f t="shared" si="71"/>
        <v>1850.71225071225</v>
      </c>
      <c r="T41" s="14">
        <f t="shared" si="72"/>
        <v>1618.6987615559</v>
      </c>
      <c r="U41" s="14">
        <f t="shared" si="73"/>
        <v>1445.86894586894</v>
      </c>
      <c r="V41" s="14">
        <f t="shared" si="74"/>
        <v>1312.56187993776</v>
      </c>
      <c r="W41" s="14">
        <f t="shared" si="75"/>
        <v>1206.98625046451</v>
      </c>
      <c r="X41" s="14">
        <f t="shared" si="76"/>
        <v>1206.98625046451</v>
      </c>
      <c r="Y41" s="14">
        <f t="shared" si="77"/>
        <v>1206.98625046451</v>
      </c>
      <c r="Z41" s="14">
        <f t="shared" si="78"/>
        <v>1206.98625046451</v>
      </c>
      <c r="AA41" s="14">
        <f t="shared" si="79"/>
        <v>1206.98625046451</v>
      </c>
      <c r="AB41" s="14">
        <f t="shared" si="80"/>
        <v>1206.98625046451</v>
      </c>
      <c r="AC41" s="14">
        <f t="shared" si="81"/>
        <v>1206.98625046451</v>
      </c>
      <c r="AD41" s="14">
        <f t="shared" si="82"/>
        <v>1206.98625046451</v>
      </c>
      <c r="AE41" s="14">
        <f t="shared" si="83"/>
        <v>1206.98625046451</v>
      </c>
      <c r="AF41" s="14">
        <f t="shared" si="84"/>
        <v>1206.98625046451</v>
      </c>
    </row>
    <row r="42" spans="1:32">
      <c r="A42" s="8">
        <v>8</v>
      </c>
      <c r="B42" s="15">
        <v>0</v>
      </c>
      <c r="C42" s="15">
        <v>4</v>
      </c>
      <c r="D42" s="15">
        <v>4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8</v>
      </c>
      <c r="L42" s="15">
        <f>SUM($K$35:K42)</f>
        <v>64</v>
      </c>
      <c r="O42" s="7">
        <f t="shared" si="68"/>
        <v>2000000</v>
      </c>
      <c r="P42" s="7">
        <v>95666666.6666667</v>
      </c>
      <c r="Q42" s="14">
        <f t="shared" si="69"/>
        <v>2409.78157644824</v>
      </c>
      <c r="R42" s="14">
        <f t="shared" si="70"/>
        <v>1998.18793973221</v>
      </c>
      <c r="S42" s="14">
        <f t="shared" si="71"/>
        <v>1743.42458400429</v>
      </c>
      <c r="T42" s="14">
        <f t="shared" si="72"/>
        <v>1536.59085336104</v>
      </c>
      <c r="U42" s="14">
        <f t="shared" si="73"/>
        <v>1359.6138722529</v>
      </c>
      <c r="V42" s="14">
        <f t="shared" si="74"/>
        <v>1244.21310661441</v>
      </c>
      <c r="W42" s="14">
        <f t="shared" si="75"/>
        <v>1143.26337388719</v>
      </c>
      <c r="X42" s="14">
        <f t="shared" si="76"/>
        <v>1143.26337388719</v>
      </c>
      <c r="Y42" s="14">
        <f t="shared" si="77"/>
        <v>1143.26337388719</v>
      </c>
      <c r="Z42" s="14">
        <f t="shared" si="78"/>
        <v>1143.26337388719</v>
      </c>
      <c r="AA42" s="14">
        <f t="shared" si="79"/>
        <v>1143.26337388719</v>
      </c>
      <c r="AB42" s="14">
        <f t="shared" si="80"/>
        <v>1143.26337388719</v>
      </c>
      <c r="AC42" s="14">
        <f t="shared" si="81"/>
        <v>1143.26337388719</v>
      </c>
      <c r="AD42" s="14">
        <f t="shared" si="82"/>
        <v>1143.26337388719</v>
      </c>
      <c r="AE42" s="14">
        <f t="shared" si="83"/>
        <v>1143.26337388719</v>
      </c>
      <c r="AF42" s="14">
        <f t="shared" si="84"/>
        <v>1143.26337388719</v>
      </c>
    </row>
    <row r="43" spans="1:32">
      <c r="A43" s="8">
        <v>9</v>
      </c>
      <c r="B43" s="16">
        <v>0</v>
      </c>
      <c r="C43" s="16">
        <v>3</v>
      </c>
      <c r="D43" s="16">
        <v>4</v>
      </c>
      <c r="E43" s="16">
        <v>1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8</v>
      </c>
      <c r="L43" s="16">
        <f>SUM($K$35:K43)</f>
        <v>72</v>
      </c>
      <c r="O43" s="7">
        <f t="shared" si="68"/>
        <v>5000000</v>
      </c>
      <c r="P43" s="7">
        <v>123666666.666667</v>
      </c>
      <c r="Q43" s="14">
        <f t="shared" si="69"/>
        <v>2332.0466868854</v>
      </c>
      <c r="R43" s="14">
        <f t="shared" si="70"/>
        <v>1931.77700136379</v>
      </c>
      <c r="S43" s="14">
        <f t="shared" si="71"/>
        <v>1691.51119688754</v>
      </c>
      <c r="T43" s="14">
        <f t="shared" si="72"/>
        <v>1496.86122036353</v>
      </c>
      <c r="U43" s="14">
        <f t="shared" si="73"/>
        <v>1317.87754630966</v>
      </c>
      <c r="V43" s="14">
        <f t="shared" si="74"/>
        <v>1211.14111952247</v>
      </c>
      <c r="W43" s="14">
        <f t="shared" si="75"/>
        <v>1112.42972393043</v>
      </c>
      <c r="X43" s="14">
        <f t="shared" si="76"/>
        <v>1112.42972393043</v>
      </c>
      <c r="Y43" s="14">
        <f t="shared" si="77"/>
        <v>1112.42972393043</v>
      </c>
      <c r="Z43" s="14">
        <f t="shared" si="78"/>
        <v>1112.42972393043</v>
      </c>
      <c r="AA43" s="14">
        <f t="shared" si="79"/>
        <v>1112.42972393043</v>
      </c>
      <c r="AB43" s="14">
        <f t="shared" si="80"/>
        <v>1112.42972393043</v>
      </c>
      <c r="AC43" s="14">
        <f t="shared" si="81"/>
        <v>1112.42972393043</v>
      </c>
      <c r="AD43" s="14">
        <f t="shared" si="82"/>
        <v>1112.42972393043</v>
      </c>
      <c r="AE43" s="14">
        <f t="shared" si="83"/>
        <v>1112.42972393043</v>
      </c>
      <c r="AF43" s="14">
        <f t="shared" si="84"/>
        <v>1112.42972393043</v>
      </c>
    </row>
    <row r="44" spans="1:32">
      <c r="A44" s="8">
        <v>10</v>
      </c>
      <c r="B44" s="16">
        <v>0</v>
      </c>
      <c r="C44" s="16">
        <v>3</v>
      </c>
      <c r="D44" s="16">
        <v>3</v>
      </c>
      <c r="E44" s="16">
        <v>2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8</v>
      </c>
      <c r="L44" s="16">
        <f>SUM($K$35:K44)</f>
        <v>80</v>
      </c>
      <c r="O44" s="7">
        <f t="shared" si="68"/>
        <v>10000000</v>
      </c>
      <c r="P44" s="7">
        <v>151666666.666667</v>
      </c>
      <c r="Q44" s="14">
        <f t="shared" si="69"/>
        <v>2286.20303406629</v>
      </c>
      <c r="R44" s="14">
        <f t="shared" si="70"/>
        <v>1892.61157617216</v>
      </c>
      <c r="S44" s="14">
        <f t="shared" si="71"/>
        <v>1660.89560961356</v>
      </c>
      <c r="T44" s="14">
        <f t="shared" si="72"/>
        <v>1473.43092398038</v>
      </c>
      <c r="U44" s="14">
        <f t="shared" si="73"/>
        <v>1293.26381562518</v>
      </c>
      <c r="V44" s="14">
        <f t="shared" si="74"/>
        <v>1191.63712713491</v>
      </c>
      <c r="W44" s="14">
        <f t="shared" si="75"/>
        <v>1094.24577652003</v>
      </c>
      <c r="X44" s="14">
        <f t="shared" si="76"/>
        <v>1094.24577652003</v>
      </c>
      <c r="Y44" s="14">
        <f t="shared" si="77"/>
        <v>1094.24577652003</v>
      </c>
      <c r="Z44" s="14">
        <f t="shared" si="78"/>
        <v>1094.24577652003</v>
      </c>
      <c r="AA44" s="14">
        <f t="shared" si="79"/>
        <v>1094.24577652003</v>
      </c>
      <c r="AB44" s="14">
        <f t="shared" si="80"/>
        <v>1094.24577652003</v>
      </c>
      <c r="AC44" s="14">
        <f t="shared" si="81"/>
        <v>1094.24577652003</v>
      </c>
      <c r="AD44" s="14">
        <f t="shared" si="82"/>
        <v>1094.24577652003</v>
      </c>
      <c r="AE44" s="14">
        <f t="shared" si="83"/>
        <v>1094.24577652003</v>
      </c>
      <c r="AF44" s="14">
        <f t="shared" si="84"/>
        <v>1094.24577652003</v>
      </c>
    </row>
    <row r="45" spans="1:32">
      <c r="A45" s="8">
        <v>11</v>
      </c>
      <c r="B45" s="15">
        <v>0</v>
      </c>
      <c r="C45" s="15">
        <v>1</v>
      </c>
      <c r="D45" s="15">
        <v>4</v>
      </c>
      <c r="E45" s="15">
        <v>2</v>
      </c>
      <c r="F45" s="15">
        <v>0</v>
      </c>
      <c r="G45" s="15">
        <v>0</v>
      </c>
      <c r="H45" s="15">
        <v>1</v>
      </c>
      <c r="I45" s="15">
        <v>0</v>
      </c>
      <c r="J45" s="15">
        <v>0</v>
      </c>
      <c r="K45" s="15">
        <v>8</v>
      </c>
      <c r="L45" s="15">
        <f>SUM($K$35:K45)</f>
        <v>88</v>
      </c>
    </row>
    <row r="46" spans="1:32">
      <c r="A46" s="8">
        <v>12</v>
      </c>
      <c r="B46" s="15">
        <v>0</v>
      </c>
      <c r="C46" s="15">
        <v>1</v>
      </c>
      <c r="D46" s="15">
        <v>3</v>
      </c>
      <c r="E46" s="15">
        <v>2</v>
      </c>
      <c r="F46" s="15">
        <v>1</v>
      </c>
      <c r="G46" s="15">
        <v>0</v>
      </c>
      <c r="H46" s="15">
        <v>1</v>
      </c>
      <c r="I46" s="15">
        <v>0</v>
      </c>
      <c r="J46" s="15">
        <v>0</v>
      </c>
      <c r="K46" s="15">
        <v>8</v>
      </c>
      <c r="L46" s="15">
        <f>SUM($K$35:K46)</f>
        <v>96</v>
      </c>
    </row>
    <row r="47" spans="1:32">
      <c r="A47" s="8">
        <v>13</v>
      </c>
      <c r="B47" s="15">
        <v>0</v>
      </c>
      <c r="C47" s="15">
        <v>1</v>
      </c>
      <c r="D47" s="15">
        <v>2</v>
      </c>
      <c r="E47" s="15">
        <v>2</v>
      </c>
      <c r="F47" s="15">
        <v>1</v>
      </c>
      <c r="G47" s="15">
        <v>0</v>
      </c>
      <c r="H47" s="15">
        <v>1</v>
      </c>
      <c r="I47" s="15">
        <v>1</v>
      </c>
      <c r="J47" s="15">
        <v>0</v>
      </c>
      <c r="K47" s="15">
        <v>8</v>
      </c>
      <c r="L47" s="15">
        <f>SUM($K$35:K47)</f>
        <v>104</v>
      </c>
    </row>
    <row r="48" spans="1:32">
      <c r="A48" s="8">
        <v>14</v>
      </c>
      <c r="B48" s="16">
        <v>0</v>
      </c>
      <c r="C48" s="16">
        <v>0</v>
      </c>
      <c r="D48" s="16">
        <v>2</v>
      </c>
      <c r="E48" s="16">
        <v>2</v>
      </c>
      <c r="F48" s="16">
        <v>1</v>
      </c>
      <c r="G48" s="16">
        <v>1</v>
      </c>
      <c r="H48" s="16">
        <v>1</v>
      </c>
      <c r="I48" s="16">
        <v>1</v>
      </c>
      <c r="J48" s="16">
        <v>0</v>
      </c>
      <c r="K48" s="16">
        <v>8</v>
      </c>
      <c r="L48" s="16">
        <f>SUM($K$35:K48)</f>
        <v>112</v>
      </c>
    </row>
    <row r="49" spans="1:12">
      <c r="A49" s="8">
        <v>15</v>
      </c>
      <c r="B49" s="16">
        <v>0</v>
      </c>
      <c r="C49" s="16">
        <v>0</v>
      </c>
      <c r="D49" s="16">
        <v>1</v>
      </c>
      <c r="E49" s="16">
        <v>3</v>
      </c>
      <c r="F49" s="16">
        <v>1</v>
      </c>
      <c r="G49" s="16">
        <v>1</v>
      </c>
      <c r="H49" s="16">
        <v>1</v>
      </c>
      <c r="I49" s="16">
        <v>1</v>
      </c>
      <c r="J49" s="16">
        <v>0</v>
      </c>
      <c r="K49" s="16">
        <v>8</v>
      </c>
      <c r="L49" s="16">
        <f>SUM($K$35:K49)</f>
        <v>120</v>
      </c>
    </row>
    <row r="50" spans="1:12">
      <c r="A50" s="8">
        <v>16</v>
      </c>
      <c r="B50" s="16">
        <v>0</v>
      </c>
      <c r="C50" s="16">
        <v>0</v>
      </c>
      <c r="D50" s="16">
        <v>1</v>
      </c>
      <c r="E50" s="16">
        <v>2</v>
      </c>
      <c r="F50" s="16">
        <v>1</v>
      </c>
      <c r="G50" s="16">
        <v>1</v>
      </c>
      <c r="H50" s="16">
        <v>2</v>
      </c>
      <c r="I50" s="16">
        <v>1</v>
      </c>
      <c r="J50" s="16">
        <v>0</v>
      </c>
      <c r="K50" s="16">
        <v>8</v>
      </c>
      <c r="L50" s="16">
        <f>SUM($K$35:K50)</f>
        <v>128</v>
      </c>
    </row>
    <row r="51" spans="1:12">
      <c r="A51" s="8">
        <v>17</v>
      </c>
      <c r="B51" s="16">
        <v>0</v>
      </c>
      <c r="C51" s="16">
        <v>0</v>
      </c>
      <c r="D51" s="16">
        <v>1</v>
      </c>
      <c r="E51" s="16">
        <v>1</v>
      </c>
      <c r="F51" s="16">
        <v>2</v>
      </c>
      <c r="G51" s="16">
        <v>1</v>
      </c>
      <c r="H51" s="16">
        <v>2</v>
      </c>
      <c r="I51" s="16">
        <v>1</v>
      </c>
      <c r="J51" s="16">
        <v>0</v>
      </c>
      <c r="K51" s="16">
        <v>8</v>
      </c>
      <c r="L51" s="16">
        <f>SUM($K$35:K51)</f>
        <v>136</v>
      </c>
    </row>
    <row r="52" spans="1:12">
      <c r="A52" s="8">
        <v>18</v>
      </c>
      <c r="B52" s="16">
        <v>0</v>
      </c>
      <c r="C52" s="16">
        <v>0</v>
      </c>
      <c r="D52" s="16">
        <v>1</v>
      </c>
      <c r="E52" s="16">
        <v>1</v>
      </c>
      <c r="F52" s="16">
        <v>2</v>
      </c>
      <c r="G52" s="16">
        <v>0</v>
      </c>
      <c r="H52" s="16">
        <v>1</v>
      </c>
      <c r="I52" s="16">
        <v>2</v>
      </c>
      <c r="J52" s="16">
        <v>1</v>
      </c>
      <c r="K52" s="16">
        <v>8</v>
      </c>
      <c r="L52" s="16">
        <f>SUM($K$35:K52)</f>
        <v>144</v>
      </c>
    </row>
    <row r="53" spans="1:12">
      <c r="A53" s="8">
        <v>19</v>
      </c>
      <c r="B53" s="16">
        <v>0</v>
      </c>
      <c r="C53" s="16">
        <v>0</v>
      </c>
      <c r="D53" s="16">
        <v>0</v>
      </c>
      <c r="E53" s="16">
        <v>1</v>
      </c>
      <c r="F53" s="16">
        <v>2</v>
      </c>
      <c r="G53" s="16">
        <v>0</v>
      </c>
      <c r="H53" s="16">
        <v>2</v>
      </c>
      <c r="I53" s="16">
        <v>2</v>
      </c>
      <c r="J53" s="16">
        <v>1</v>
      </c>
      <c r="K53" s="16">
        <v>8</v>
      </c>
      <c r="L53" s="16">
        <f>SUM($K$35:K53)</f>
        <v>152</v>
      </c>
    </row>
    <row r="54" spans="1:12">
      <c r="A54" s="8" t="s">
        <v>20</v>
      </c>
      <c r="B54" s="8">
        <v>31</v>
      </c>
      <c r="C54" s="8">
        <v>34</v>
      </c>
      <c r="D54" s="8">
        <v>30</v>
      </c>
      <c r="E54" s="8">
        <v>19</v>
      </c>
      <c r="F54" s="8">
        <v>11</v>
      </c>
      <c r="G54" s="8">
        <v>4</v>
      </c>
      <c r="H54" s="8">
        <v>12</v>
      </c>
      <c r="I54" s="8">
        <v>9</v>
      </c>
      <c r="J54" s="8">
        <v>2</v>
      </c>
      <c r="K54" s="8">
        <v>152</v>
      </c>
    </row>
    <row r="56" spans="1:12">
      <c r="A56" s="6" t="s">
        <v>16</v>
      </c>
      <c r="B56" s="6">
        <v>1</v>
      </c>
      <c r="C56" s="6">
        <v>2</v>
      </c>
      <c r="D56" s="6">
        <v>3</v>
      </c>
      <c r="E56" s="6">
        <v>4</v>
      </c>
      <c r="F56" s="6">
        <v>5</v>
      </c>
      <c r="G56" s="6" t="s">
        <v>41</v>
      </c>
      <c r="H56" s="6" t="s">
        <v>17</v>
      </c>
      <c r="I56" s="6" t="s">
        <v>18</v>
      </c>
    </row>
    <row r="57" spans="1:12">
      <c r="A57" s="6">
        <v>1</v>
      </c>
      <c r="B57" s="6">
        <v>8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</row>
    <row r="58" spans="1:12">
      <c r="A58" s="6">
        <v>2</v>
      </c>
      <c r="B58" s="6">
        <v>7</v>
      </c>
      <c r="C58" s="6">
        <v>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</row>
    <row r="59" spans="1:12">
      <c r="A59" s="6">
        <v>3</v>
      </c>
      <c r="B59" s="6">
        <v>6</v>
      </c>
      <c r="C59" s="6">
        <v>2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</row>
    <row r="60" spans="1:12">
      <c r="A60" s="6">
        <v>4</v>
      </c>
      <c r="B60" s="6">
        <v>4</v>
      </c>
      <c r="C60" s="6">
        <v>4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</row>
    <row r="61" spans="1:12">
      <c r="A61" s="6">
        <v>5</v>
      </c>
      <c r="B61" s="6">
        <v>3</v>
      </c>
      <c r="C61" s="6">
        <v>5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</row>
    <row r="62" spans="1:12">
      <c r="A62" s="6">
        <v>6</v>
      </c>
      <c r="B62" s="6">
        <v>2</v>
      </c>
      <c r="C62" s="6">
        <v>5</v>
      </c>
      <c r="D62" s="6">
        <v>1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</row>
    <row r="63" spans="1:12">
      <c r="A63" s="6">
        <v>7</v>
      </c>
      <c r="B63" s="6">
        <v>1</v>
      </c>
      <c r="C63" s="6">
        <v>4</v>
      </c>
      <c r="D63" s="6">
        <v>3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12">
      <c r="A64" s="6">
        <v>8</v>
      </c>
      <c r="B64" s="6">
        <v>0</v>
      </c>
      <c r="C64" s="6">
        <v>4</v>
      </c>
      <c r="D64" s="6">
        <v>4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</row>
    <row r="65" spans="1:9">
      <c r="A65" s="6">
        <v>9</v>
      </c>
      <c r="B65" s="6">
        <v>0</v>
      </c>
      <c r="C65" s="6">
        <v>3</v>
      </c>
      <c r="D65" s="6">
        <v>4</v>
      </c>
      <c r="E65" s="6">
        <v>1</v>
      </c>
      <c r="F65" s="6">
        <v>0</v>
      </c>
      <c r="G65" s="6">
        <v>0</v>
      </c>
      <c r="H65" s="6">
        <v>0</v>
      </c>
      <c r="I65" s="6">
        <v>0</v>
      </c>
    </row>
    <row r="66" spans="1:9">
      <c r="A66" s="6">
        <v>10</v>
      </c>
      <c r="B66" s="6">
        <v>0</v>
      </c>
      <c r="C66" s="6">
        <v>3</v>
      </c>
      <c r="D66" s="6">
        <v>3</v>
      </c>
      <c r="E66" s="6">
        <v>2</v>
      </c>
      <c r="F66" s="6">
        <v>0</v>
      </c>
      <c r="G66" s="6">
        <v>0</v>
      </c>
      <c r="H66" s="6">
        <v>0</v>
      </c>
      <c r="I66" s="6">
        <v>0</v>
      </c>
    </row>
    <row r="67" spans="1:9">
      <c r="A67" s="6">
        <v>11</v>
      </c>
      <c r="B67" s="6">
        <v>0</v>
      </c>
      <c r="C67" s="6">
        <v>1</v>
      </c>
      <c r="D67" s="6">
        <v>4</v>
      </c>
      <c r="E67" s="6">
        <v>2</v>
      </c>
      <c r="F67" s="6">
        <v>0</v>
      </c>
      <c r="G67" s="6">
        <v>1</v>
      </c>
      <c r="H67" s="6">
        <v>0</v>
      </c>
      <c r="I67" s="6">
        <v>0</v>
      </c>
    </row>
    <row r="68" spans="1:9">
      <c r="A68" s="6">
        <v>12</v>
      </c>
      <c r="B68" s="6">
        <v>0</v>
      </c>
      <c r="C68" s="6">
        <v>1</v>
      </c>
      <c r="D68" s="6">
        <v>3</v>
      </c>
      <c r="E68" s="6">
        <v>2</v>
      </c>
      <c r="F68" s="6">
        <v>1</v>
      </c>
      <c r="G68" s="6">
        <v>1</v>
      </c>
      <c r="H68" s="6">
        <v>0</v>
      </c>
      <c r="I68" s="6">
        <v>0</v>
      </c>
    </row>
    <row r="69" spans="1:9">
      <c r="A69" s="6">
        <v>13</v>
      </c>
      <c r="B69" s="6">
        <v>0</v>
      </c>
      <c r="C69" s="6">
        <v>1</v>
      </c>
      <c r="D69" s="6">
        <v>2</v>
      </c>
      <c r="E69" s="6">
        <v>2</v>
      </c>
      <c r="F69" s="6">
        <v>1</v>
      </c>
      <c r="G69" s="6">
        <v>1</v>
      </c>
      <c r="H69" s="6">
        <v>1</v>
      </c>
      <c r="I69" s="6">
        <v>0</v>
      </c>
    </row>
    <row r="70" spans="1:9">
      <c r="A70" s="6">
        <v>14</v>
      </c>
      <c r="B70" s="6">
        <v>0</v>
      </c>
      <c r="C70" s="6">
        <v>0</v>
      </c>
      <c r="D70" s="6">
        <v>2</v>
      </c>
      <c r="E70" s="6">
        <v>2</v>
      </c>
      <c r="F70" s="6">
        <v>2</v>
      </c>
      <c r="G70" s="6">
        <v>1</v>
      </c>
      <c r="H70" s="6">
        <v>1</v>
      </c>
      <c r="I70" s="6">
        <v>0</v>
      </c>
    </row>
    <row r="71" spans="1:9">
      <c r="A71" s="6">
        <v>15</v>
      </c>
      <c r="B71" s="6">
        <v>0</v>
      </c>
      <c r="C71" s="6">
        <v>0</v>
      </c>
      <c r="D71" s="6">
        <v>1</v>
      </c>
      <c r="E71" s="6">
        <v>3</v>
      </c>
      <c r="F71" s="6">
        <v>2</v>
      </c>
      <c r="G71" s="6">
        <v>1</v>
      </c>
      <c r="H71" s="6">
        <v>1</v>
      </c>
      <c r="I71" s="6">
        <v>0</v>
      </c>
    </row>
    <row r="72" spans="1:9">
      <c r="A72" s="6">
        <v>16</v>
      </c>
      <c r="B72" s="6">
        <v>0</v>
      </c>
      <c r="C72" s="6">
        <v>0</v>
      </c>
      <c r="D72" s="6">
        <v>1</v>
      </c>
      <c r="E72" s="6">
        <v>2</v>
      </c>
      <c r="F72" s="6">
        <v>2</v>
      </c>
      <c r="G72" s="6">
        <v>2</v>
      </c>
      <c r="H72" s="6">
        <v>1</v>
      </c>
      <c r="I72" s="6">
        <v>0</v>
      </c>
    </row>
    <row r="73" spans="1:9">
      <c r="A73" s="6">
        <v>17</v>
      </c>
      <c r="B73" s="6">
        <v>0</v>
      </c>
      <c r="C73" s="6">
        <v>0</v>
      </c>
      <c r="D73" s="6">
        <v>1</v>
      </c>
      <c r="E73" s="6">
        <v>1</v>
      </c>
      <c r="F73" s="6">
        <v>3</v>
      </c>
      <c r="G73" s="6">
        <v>2</v>
      </c>
      <c r="H73" s="6">
        <v>1</v>
      </c>
      <c r="I73" s="6">
        <v>0</v>
      </c>
    </row>
    <row r="74" spans="1:9">
      <c r="A74" s="6">
        <v>18</v>
      </c>
      <c r="B74" s="6">
        <v>0</v>
      </c>
      <c r="C74" s="6">
        <v>0</v>
      </c>
      <c r="D74" s="6">
        <v>1</v>
      </c>
      <c r="E74" s="6">
        <v>1</v>
      </c>
      <c r="F74" s="6">
        <v>2</v>
      </c>
      <c r="G74" s="6">
        <v>1</v>
      </c>
      <c r="H74" s="6">
        <v>2</v>
      </c>
      <c r="I74" s="6">
        <v>1</v>
      </c>
    </row>
    <row r="75" spans="1:9">
      <c r="A75" s="6">
        <v>19</v>
      </c>
      <c r="B75" s="6">
        <v>0</v>
      </c>
      <c r="C75" s="6">
        <v>0</v>
      </c>
      <c r="D75" s="6">
        <v>0</v>
      </c>
      <c r="E75" s="6">
        <v>1</v>
      </c>
      <c r="F75" s="6">
        <v>2</v>
      </c>
      <c r="G75" s="6">
        <v>2</v>
      </c>
      <c r="H75" s="6">
        <v>2</v>
      </c>
      <c r="I75" s="6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5"/>
  <sheetViews>
    <sheetView zoomScale="115" zoomScaleNormal="115" topLeftCell="B1" workbookViewId="0">
      <selection activeCell="I15" sqref="I15"/>
    </sheetView>
  </sheetViews>
  <sheetFormatPr defaultColWidth="9" defaultRowHeight="13.5"/>
  <cols>
    <col min="1" max="1" width="9" style="4"/>
    <col min="2" max="2" width="17.125" style="5"/>
    <col min="3" max="4" width="12.625" style="4"/>
    <col min="5" max="5" width="9" style="4"/>
    <col min="6" max="6" width="14" style="4" customWidth="1"/>
    <col min="7" max="7" width="2.825" style="4" customWidth="1"/>
    <col min="8" max="10" width="13.7583333333333" style="5" customWidth="1"/>
    <col min="11" max="11" width="12.625" style="5" customWidth="1"/>
    <col min="12" max="12" width="16" style="4"/>
    <col min="13" max="13" width="12.625" style="4" customWidth="1"/>
    <col min="14" max="14" width="16" style="4"/>
    <col min="15" max="15" width="18.2583333333333" style="4"/>
    <col min="16" max="16" width="12.625" style="4" customWidth="1"/>
    <col min="17" max="18" width="16" style="4"/>
    <col min="19" max="19" width="12.625" style="4" customWidth="1"/>
    <col min="20" max="22" width="16" style="4"/>
    <col min="23" max="25" width="12.625" style="4" customWidth="1"/>
    <col min="26" max="35" width="9" style="4"/>
    <col min="36" max="37" width="12.625" style="4"/>
    <col min="38" max="38" width="12.875" style="4" customWidth="1"/>
    <col min="39" max="39" width="9" style="4"/>
    <col min="40" max="42" width="12.625" style="4"/>
    <col min="43" max="16382" width="9" style="4"/>
  </cols>
  <sheetData>
    <row r="1" spans="1:38 16383:16384">
      <c r="A1" s="6" t="s">
        <v>1</v>
      </c>
      <c r="B1" s="7" t="s">
        <v>2</v>
      </c>
      <c r="C1" s="6" t="s">
        <v>3</v>
      </c>
      <c r="D1" s="6" t="s">
        <v>4</v>
      </c>
      <c r="F1" s="6" t="s">
        <v>0</v>
      </c>
      <c r="H1" s="7" t="s">
        <v>5</v>
      </c>
      <c r="I1" s="7" t="s">
        <v>7</v>
      </c>
      <c r="J1" s="7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10</v>
      </c>
      <c r="P1" s="6"/>
      <c r="Q1" s="6" t="s">
        <v>13</v>
      </c>
      <c r="R1" s="6" t="s">
        <v>10</v>
      </c>
      <c r="S1" s="6"/>
      <c r="T1" s="6" t="s">
        <v>14</v>
      </c>
      <c r="U1" s="6" t="s">
        <v>15</v>
      </c>
      <c r="W1" s="8" t="s">
        <v>16</v>
      </c>
      <c r="X1" s="8">
        <v>1</v>
      </c>
      <c r="Y1" s="8">
        <v>2</v>
      </c>
      <c r="Z1" s="8">
        <v>3</v>
      </c>
      <c r="AA1" s="8">
        <v>4</v>
      </c>
      <c r="AB1" s="8">
        <v>5</v>
      </c>
      <c r="AC1" s="8">
        <v>6</v>
      </c>
      <c r="AD1" s="8" t="s">
        <v>17</v>
      </c>
      <c r="AE1" s="8" t="s">
        <v>18</v>
      </c>
      <c r="AF1" s="8" t="s">
        <v>19</v>
      </c>
      <c r="AG1" s="8" t="s">
        <v>20</v>
      </c>
      <c r="AI1" s="4">
        <f>L2+O2+R2</f>
        <v>1000</v>
      </c>
      <c r="AJ1" s="4">
        <f>L2*1000/(L2+O2+R2)</f>
        <v>1000</v>
      </c>
      <c r="AK1" s="4">
        <f>O2*1000/(L2+O2+R2)</f>
        <v>0</v>
      </c>
      <c r="AL1" s="4">
        <f>R2*1000/(L2+O2+R2)</f>
        <v>0</v>
      </c>
      <c r="XFC1" s="4"/>
      <c r="XFD1" s="4"/>
    </row>
    <row r="2" spans="1:38 16383:16384">
      <c r="A2" s="6">
        <v>1</v>
      </c>
      <c r="B2" s="7">
        <v>100000</v>
      </c>
      <c r="C2" s="6">
        <v>2.5</v>
      </c>
      <c r="D2" s="6">
        <v>1</v>
      </c>
      <c r="F2" s="7">
        <v>1000000</v>
      </c>
      <c r="H2" s="7">
        <v>1000</v>
      </c>
      <c r="I2" s="7">
        <f t="shared" ref="I2:I12" si="0">H2*$F$4*$F$6</f>
        <v>50</v>
      </c>
      <c r="J2" s="9">
        <f t="shared" ref="J2:J12" si="1">I2/$F$2</f>
        <v>5e-5</v>
      </c>
      <c r="K2" s="6">
        <v>1</v>
      </c>
      <c r="L2" s="6">
        <v>1000</v>
      </c>
      <c r="M2" s="6">
        <f>L2*$U2/10000</f>
        <v>0.1</v>
      </c>
      <c r="N2" s="6"/>
      <c r="O2" s="6"/>
      <c r="P2" s="10"/>
      <c r="Q2" s="6"/>
      <c r="R2" s="6"/>
      <c r="S2" s="6"/>
      <c r="T2" s="6">
        <v>1</v>
      </c>
      <c r="U2" s="6">
        <v>1</v>
      </c>
      <c r="W2" s="8">
        <v>1</v>
      </c>
      <c r="X2" s="8">
        <v>8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8</v>
      </c>
      <c r="AI2" s="4">
        <f t="shared" ref="AI2:AI11" si="2">L3+O3+R3</f>
        <v>1000</v>
      </c>
      <c r="AJ2" s="4">
        <f t="shared" ref="AJ2:AJ11" si="3">L3*1000/(L3+O3+R3)</f>
        <v>1000</v>
      </c>
      <c r="AK2" s="4">
        <f t="shared" ref="AK2:AK11" si="4">O3*1000/(L3+O3+R3)</f>
        <v>0</v>
      </c>
      <c r="AL2" s="4">
        <f t="shared" ref="AL2:AL11" si="5">R3*1000/(L3+O3+R3)</f>
        <v>0</v>
      </c>
      <c r="XFC2" s="4"/>
      <c r="XFD2" s="4"/>
    </row>
    <row r="3" spans="1:38 16383:16384">
      <c r="A3" s="6">
        <v>2</v>
      </c>
      <c r="B3" s="7">
        <v>150000</v>
      </c>
      <c r="C3" s="6">
        <v>2.7</v>
      </c>
      <c r="D3" s="6">
        <v>2</v>
      </c>
      <c r="F3" s="6" t="s">
        <v>22</v>
      </c>
      <c r="H3" s="7">
        <v>5000</v>
      </c>
      <c r="I3" s="7">
        <f t="shared" si="0"/>
        <v>250</v>
      </c>
      <c r="J3" s="9">
        <f t="shared" si="1"/>
        <v>0.00025</v>
      </c>
      <c r="K3" s="6">
        <v>1</v>
      </c>
      <c r="L3" s="6">
        <v>1000</v>
      </c>
      <c r="M3" s="6">
        <f>L3*$U3/10000</f>
        <v>0.1</v>
      </c>
      <c r="N3" s="6"/>
      <c r="O3" s="6"/>
      <c r="P3" s="6"/>
      <c r="Q3" s="6"/>
      <c r="R3" s="6"/>
      <c r="S3" s="6"/>
      <c r="T3" s="6">
        <v>1</v>
      </c>
      <c r="U3" s="6">
        <v>1</v>
      </c>
      <c r="W3" s="8">
        <v>2</v>
      </c>
      <c r="X3" s="8">
        <v>7</v>
      </c>
      <c r="Y3" s="8">
        <v>1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8</v>
      </c>
      <c r="AI3" s="4">
        <f t="shared" si="2"/>
        <v>1000</v>
      </c>
      <c r="AJ3" s="4">
        <f t="shared" si="3"/>
        <v>91</v>
      </c>
      <c r="AK3" s="4">
        <f t="shared" si="4"/>
        <v>909</v>
      </c>
      <c r="AL3" s="4">
        <f t="shared" si="5"/>
        <v>0</v>
      </c>
      <c r="XFC3" s="4"/>
      <c r="XFD3" s="4"/>
    </row>
    <row r="4" spans="1:38 16383:16384">
      <c r="A4" s="6">
        <v>3</v>
      </c>
      <c r="B4" s="7">
        <v>300000</v>
      </c>
      <c r="C4" s="6">
        <v>3</v>
      </c>
      <c r="D4" s="6">
        <v>2</v>
      </c>
      <c r="F4" s="6">
        <v>1</v>
      </c>
      <c r="H4" s="7">
        <v>20000</v>
      </c>
      <c r="I4" s="7">
        <f t="shared" si="0"/>
        <v>1000</v>
      </c>
      <c r="J4" s="9">
        <f t="shared" si="1"/>
        <v>0.001</v>
      </c>
      <c r="K4" s="6">
        <v>1</v>
      </c>
      <c r="L4" s="6">
        <v>91</v>
      </c>
      <c r="M4" s="6">
        <f t="shared" ref="M4:M12" si="6">L4*$U4/10000</f>
        <v>0.0091</v>
      </c>
      <c r="N4" s="6">
        <v>2</v>
      </c>
      <c r="O4" s="6">
        <v>909</v>
      </c>
      <c r="P4" s="6">
        <f>O4*$U4/10000</f>
        <v>0.0909</v>
      </c>
      <c r="Q4" s="6"/>
      <c r="R4" s="6"/>
      <c r="S4" s="6"/>
      <c r="T4" s="6">
        <v>1</v>
      </c>
      <c r="U4" s="6">
        <v>1</v>
      </c>
      <c r="W4" s="8">
        <v>3</v>
      </c>
      <c r="X4" s="8">
        <v>6</v>
      </c>
      <c r="Y4" s="8">
        <v>2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8</v>
      </c>
      <c r="AI4" s="4">
        <f t="shared" si="2"/>
        <v>1000</v>
      </c>
      <c r="AJ4" s="4">
        <f t="shared" si="3"/>
        <v>182</v>
      </c>
      <c r="AK4" s="4">
        <f t="shared" si="4"/>
        <v>727</v>
      </c>
      <c r="AL4" s="4">
        <f t="shared" si="5"/>
        <v>91</v>
      </c>
      <c r="XFC4" s="4"/>
      <c r="XFD4" s="4"/>
    </row>
    <row r="5" spans="1:38 16383:16384">
      <c r="A5" s="6">
        <v>4</v>
      </c>
      <c r="B5" s="7">
        <v>500000</v>
      </c>
      <c r="C5" s="6">
        <v>3.2</v>
      </c>
      <c r="D5" s="6">
        <v>2</v>
      </c>
      <c r="F5" s="6" t="s">
        <v>23</v>
      </c>
      <c r="H5" s="7">
        <v>50000</v>
      </c>
      <c r="I5" s="7">
        <f t="shared" si="0"/>
        <v>2500</v>
      </c>
      <c r="J5" s="9">
        <f t="shared" si="1"/>
        <v>0.0025</v>
      </c>
      <c r="K5" s="6">
        <v>2</v>
      </c>
      <c r="L5" s="6">
        <v>182</v>
      </c>
      <c r="M5" s="6">
        <f t="shared" si="6"/>
        <v>0.0182</v>
      </c>
      <c r="N5" s="6">
        <v>3</v>
      </c>
      <c r="O5" s="6">
        <v>727</v>
      </c>
      <c r="P5" s="6">
        <f t="shared" ref="P5:P12" si="7">O5*$U5/10000</f>
        <v>0.0727</v>
      </c>
      <c r="Q5" s="6">
        <v>4</v>
      </c>
      <c r="R5" s="6">
        <v>91</v>
      </c>
      <c r="S5" s="6">
        <f>R5*$U5/10000</f>
        <v>0.0091</v>
      </c>
      <c r="T5" s="6">
        <v>1</v>
      </c>
      <c r="U5" s="6">
        <v>1</v>
      </c>
      <c r="W5" s="8">
        <v>4</v>
      </c>
      <c r="X5" s="8">
        <v>4</v>
      </c>
      <c r="Y5" s="8">
        <v>4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8</v>
      </c>
      <c r="AI5" s="4">
        <f t="shared" si="2"/>
        <v>1000</v>
      </c>
      <c r="AJ5" s="4">
        <f t="shared" si="3"/>
        <v>491</v>
      </c>
      <c r="AK5" s="4">
        <f t="shared" si="4"/>
        <v>491</v>
      </c>
      <c r="AL5" s="4">
        <f t="shared" si="5"/>
        <v>18</v>
      </c>
      <c r="XFC5" s="4"/>
      <c r="XFD5" s="4"/>
    </row>
    <row r="6" spans="1:38 16383:16384">
      <c r="A6" s="6">
        <v>5</v>
      </c>
      <c r="B6" s="7">
        <v>1000000</v>
      </c>
      <c r="C6" s="6">
        <v>3.4</v>
      </c>
      <c r="D6" s="6">
        <v>2</v>
      </c>
      <c r="F6" s="6">
        <v>0.05</v>
      </c>
      <c r="H6" s="7">
        <v>100000</v>
      </c>
      <c r="I6" s="7">
        <f t="shared" si="0"/>
        <v>5000</v>
      </c>
      <c r="J6" s="9">
        <f t="shared" si="1"/>
        <v>0.005</v>
      </c>
      <c r="K6" s="6">
        <v>3</v>
      </c>
      <c r="L6" s="6">
        <v>491</v>
      </c>
      <c r="M6" s="6">
        <f t="shared" si="6"/>
        <v>0.0491</v>
      </c>
      <c r="N6" s="6">
        <v>4</v>
      </c>
      <c r="O6" s="6">
        <v>491</v>
      </c>
      <c r="P6" s="6">
        <f t="shared" si="7"/>
        <v>0.0491</v>
      </c>
      <c r="Q6" s="6">
        <v>5</v>
      </c>
      <c r="R6" s="6">
        <v>18</v>
      </c>
      <c r="S6" s="6">
        <f t="shared" ref="S6:S12" si="8">R6*$U6/10000</f>
        <v>0.0018</v>
      </c>
      <c r="T6" s="6">
        <v>1</v>
      </c>
      <c r="U6" s="6">
        <v>1</v>
      </c>
      <c r="W6" s="8">
        <v>5</v>
      </c>
      <c r="X6" s="8">
        <v>3</v>
      </c>
      <c r="Y6" s="8">
        <v>5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8</v>
      </c>
      <c r="AI6" s="4">
        <f t="shared" si="2"/>
        <v>1000</v>
      </c>
      <c r="AJ6" s="4">
        <f t="shared" si="3"/>
        <v>607</v>
      </c>
      <c r="AK6" s="4">
        <f t="shared" si="4"/>
        <v>374</v>
      </c>
      <c r="AL6" s="4">
        <f t="shared" si="5"/>
        <v>19</v>
      </c>
      <c r="XFC6" s="4"/>
      <c r="XFD6" s="4"/>
    </row>
    <row r="7" spans="1:38 16383:16384">
      <c r="A7" s="6">
        <v>6</v>
      </c>
      <c r="B7" s="7">
        <v>1200000</v>
      </c>
      <c r="C7" s="6">
        <v>3.5</v>
      </c>
      <c r="D7" s="6">
        <v>3</v>
      </c>
      <c r="H7" s="7">
        <v>200000</v>
      </c>
      <c r="I7" s="7">
        <f t="shared" si="0"/>
        <v>10000</v>
      </c>
      <c r="J7" s="9">
        <f t="shared" si="1"/>
        <v>0.01</v>
      </c>
      <c r="K7" s="6">
        <v>4</v>
      </c>
      <c r="L7" s="6">
        <v>607</v>
      </c>
      <c r="M7" s="6">
        <f t="shared" si="6"/>
        <v>0.0607</v>
      </c>
      <c r="N7" s="6">
        <v>5</v>
      </c>
      <c r="O7" s="6">
        <v>374</v>
      </c>
      <c r="P7" s="6">
        <f t="shared" si="7"/>
        <v>0.0374</v>
      </c>
      <c r="Q7" s="6">
        <v>6</v>
      </c>
      <c r="R7" s="6">
        <v>19</v>
      </c>
      <c r="S7" s="6">
        <f t="shared" si="8"/>
        <v>0.0019</v>
      </c>
      <c r="T7" s="6">
        <v>1</v>
      </c>
      <c r="U7" s="6">
        <v>1</v>
      </c>
      <c r="W7" s="8">
        <v>6</v>
      </c>
      <c r="X7" s="8">
        <v>2</v>
      </c>
      <c r="Y7" s="8">
        <v>5</v>
      </c>
      <c r="Z7" s="8">
        <v>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8</v>
      </c>
      <c r="AI7" s="4">
        <f t="shared" si="2"/>
        <v>1000</v>
      </c>
      <c r="AJ7" s="4">
        <f t="shared" si="3"/>
        <v>571</v>
      </c>
      <c r="AK7" s="4">
        <f t="shared" si="4"/>
        <v>393</v>
      </c>
      <c r="AL7" s="4">
        <f t="shared" si="5"/>
        <v>36</v>
      </c>
      <c r="XFC7" s="4"/>
      <c r="XFD7" s="4"/>
    </row>
    <row r="8" spans="1:38 16383:16384">
      <c r="A8" s="6">
        <v>7</v>
      </c>
      <c r="B8" s="7">
        <v>1500000</v>
      </c>
      <c r="C8" s="6">
        <v>3.6</v>
      </c>
      <c r="D8" s="6">
        <v>3</v>
      </c>
      <c r="H8" s="7">
        <v>500000</v>
      </c>
      <c r="I8" s="7">
        <f t="shared" si="0"/>
        <v>25000</v>
      </c>
      <c r="J8" s="9">
        <f t="shared" si="1"/>
        <v>0.025</v>
      </c>
      <c r="K8" s="6">
        <v>4</v>
      </c>
      <c r="L8" s="6">
        <v>571</v>
      </c>
      <c r="M8" s="6">
        <f t="shared" si="6"/>
        <v>0.0571</v>
      </c>
      <c r="N8" s="6">
        <v>5</v>
      </c>
      <c r="O8" s="6">
        <v>393</v>
      </c>
      <c r="P8" s="6">
        <f t="shared" si="7"/>
        <v>0.0393</v>
      </c>
      <c r="Q8" s="6">
        <v>6</v>
      </c>
      <c r="R8" s="6">
        <v>36</v>
      </c>
      <c r="S8" s="6">
        <f t="shared" si="8"/>
        <v>0.0036</v>
      </c>
      <c r="T8" s="6">
        <v>1</v>
      </c>
      <c r="U8" s="6">
        <v>1</v>
      </c>
      <c r="W8" s="8">
        <v>7</v>
      </c>
      <c r="X8" s="8">
        <v>1</v>
      </c>
      <c r="Y8" s="8">
        <v>4</v>
      </c>
      <c r="Z8" s="8">
        <v>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8</v>
      </c>
      <c r="AI8" s="4">
        <f t="shared" si="2"/>
        <v>1000</v>
      </c>
      <c r="AJ8" s="4">
        <f t="shared" si="3"/>
        <v>588</v>
      </c>
      <c r="AK8" s="4">
        <f t="shared" si="4"/>
        <v>353</v>
      </c>
      <c r="AL8" s="4">
        <f t="shared" si="5"/>
        <v>59</v>
      </c>
      <c r="XFC8" s="4"/>
      <c r="XFD8" s="4"/>
    </row>
    <row r="9" spans="1:38 16383:16384">
      <c r="A9" s="6">
        <v>8</v>
      </c>
      <c r="B9" s="7">
        <v>1800000</v>
      </c>
      <c r="C9" s="6">
        <v>3.7</v>
      </c>
      <c r="D9" s="6">
        <v>3</v>
      </c>
      <c r="H9" s="7">
        <v>2000000</v>
      </c>
      <c r="I9" s="7">
        <f t="shared" si="0"/>
        <v>100000</v>
      </c>
      <c r="J9" s="9">
        <f t="shared" si="1"/>
        <v>0.1</v>
      </c>
      <c r="K9" s="6">
        <v>4</v>
      </c>
      <c r="L9" s="6">
        <v>588</v>
      </c>
      <c r="M9" s="6">
        <f t="shared" si="6"/>
        <v>0.0588</v>
      </c>
      <c r="N9" s="6">
        <v>5</v>
      </c>
      <c r="O9" s="6">
        <v>353</v>
      </c>
      <c r="P9" s="6">
        <f t="shared" si="7"/>
        <v>0.0353</v>
      </c>
      <c r="Q9" s="6">
        <v>6</v>
      </c>
      <c r="R9" s="6">
        <v>59</v>
      </c>
      <c r="S9" s="6">
        <f t="shared" si="8"/>
        <v>0.0059</v>
      </c>
      <c r="T9" s="6">
        <v>1</v>
      </c>
      <c r="U9" s="6">
        <v>1</v>
      </c>
      <c r="W9" s="8">
        <v>8</v>
      </c>
      <c r="X9" s="8">
        <v>0</v>
      </c>
      <c r="Y9" s="8">
        <v>4</v>
      </c>
      <c r="Z9" s="8">
        <v>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8</v>
      </c>
      <c r="AI9" s="4">
        <f t="shared" si="2"/>
        <v>1000</v>
      </c>
      <c r="AJ9" s="4">
        <f t="shared" si="3"/>
        <v>550</v>
      </c>
      <c r="AK9" s="4">
        <f t="shared" si="4"/>
        <v>367</v>
      </c>
      <c r="AL9" s="4">
        <f t="shared" si="5"/>
        <v>83</v>
      </c>
      <c r="XFC9" s="4"/>
      <c r="XFD9" s="4"/>
    </row>
    <row r="10" spans="1:38 16383:16384">
      <c r="A10" s="6">
        <v>9</v>
      </c>
      <c r="B10" s="7">
        <v>2000000</v>
      </c>
      <c r="C10" s="6">
        <v>20</v>
      </c>
      <c r="D10" s="6">
        <v>4</v>
      </c>
      <c r="H10" s="7">
        <v>5000000</v>
      </c>
      <c r="I10" s="7">
        <f t="shared" si="0"/>
        <v>250000</v>
      </c>
      <c r="J10" s="9">
        <f t="shared" si="1"/>
        <v>0.25</v>
      </c>
      <c r="K10" s="6">
        <v>4</v>
      </c>
      <c r="L10" s="6">
        <v>550</v>
      </c>
      <c r="M10" s="6">
        <f t="shared" si="6"/>
        <v>0.055</v>
      </c>
      <c r="N10" s="6">
        <v>5</v>
      </c>
      <c r="O10" s="6">
        <v>367</v>
      </c>
      <c r="P10" s="6">
        <f t="shared" si="7"/>
        <v>0.0367</v>
      </c>
      <c r="Q10" s="6">
        <v>6</v>
      </c>
      <c r="R10" s="6">
        <v>83</v>
      </c>
      <c r="S10" s="6">
        <f t="shared" si="8"/>
        <v>0.0083</v>
      </c>
      <c r="T10" s="6">
        <v>1</v>
      </c>
      <c r="U10" s="6">
        <v>1</v>
      </c>
      <c r="W10" s="8">
        <v>9</v>
      </c>
      <c r="X10" s="8">
        <v>0</v>
      </c>
      <c r="Y10" s="8">
        <v>3</v>
      </c>
      <c r="Z10" s="8">
        <v>4</v>
      </c>
      <c r="AA10" s="8">
        <v>1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8</v>
      </c>
      <c r="AI10" s="4">
        <f t="shared" si="2"/>
        <v>1000</v>
      </c>
      <c r="AJ10" s="4">
        <f t="shared" si="3"/>
        <v>526</v>
      </c>
      <c r="AK10" s="4">
        <f t="shared" si="4"/>
        <v>342</v>
      </c>
      <c r="AL10" s="4">
        <f t="shared" si="5"/>
        <v>132</v>
      </c>
      <c r="XFC10" s="4"/>
      <c r="XFD10" s="4"/>
    </row>
    <row r="11" spans="1:38 16383:16384">
      <c r="A11" s="6">
        <v>10</v>
      </c>
      <c r="B11" s="7">
        <v>2500000</v>
      </c>
      <c r="C11" s="6">
        <v>25</v>
      </c>
      <c r="D11" s="6">
        <v>4</v>
      </c>
      <c r="H11" s="7">
        <v>10000000</v>
      </c>
      <c r="I11" s="7">
        <f t="shared" si="0"/>
        <v>500000</v>
      </c>
      <c r="J11" s="9">
        <f t="shared" si="1"/>
        <v>0.5</v>
      </c>
      <c r="K11" s="6">
        <v>4</v>
      </c>
      <c r="L11" s="6">
        <v>526</v>
      </c>
      <c r="M11" s="6">
        <f t="shared" si="6"/>
        <v>0.0526</v>
      </c>
      <c r="N11" s="6">
        <v>5</v>
      </c>
      <c r="O11" s="6">
        <v>342</v>
      </c>
      <c r="P11" s="6">
        <f t="shared" si="7"/>
        <v>0.0342</v>
      </c>
      <c r="Q11" s="6">
        <v>6</v>
      </c>
      <c r="R11" s="6">
        <v>132</v>
      </c>
      <c r="S11" s="6">
        <f t="shared" si="8"/>
        <v>0.0132</v>
      </c>
      <c r="T11" s="6">
        <v>1</v>
      </c>
      <c r="U11" s="6">
        <v>1</v>
      </c>
      <c r="W11" s="8">
        <v>10</v>
      </c>
      <c r="X11" s="8">
        <v>0</v>
      </c>
      <c r="Y11" s="8">
        <v>3</v>
      </c>
      <c r="Z11" s="8">
        <v>3</v>
      </c>
      <c r="AA11" s="8">
        <v>2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8</v>
      </c>
      <c r="AI11" s="4">
        <f t="shared" si="2"/>
        <v>1000</v>
      </c>
      <c r="AJ11" s="4">
        <f t="shared" si="3"/>
        <v>400</v>
      </c>
      <c r="AK11" s="4">
        <f t="shared" si="4"/>
        <v>400</v>
      </c>
      <c r="AL11" s="4">
        <f t="shared" si="5"/>
        <v>200</v>
      </c>
      <c r="XFC11" s="4"/>
      <c r="XFD11" s="4"/>
    </row>
    <row r="12" spans="1:38 16383:16384">
      <c r="A12" s="6">
        <v>11</v>
      </c>
      <c r="B12" s="7">
        <v>3000000</v>
      </c>
      <c r="C12" s="6">
        <v>27</v>
      </c>
      <c r="D12" s="6">
        <v>5</v>
      </c>
      <c r="H12" s="7">
        <v>20000000</v>
      </c>
      <c r="I12" s="7">
        <f t="shared" si="0"/>
        <v>1000000</v>
      </c>
      <c r="J12" s="9">
        <f t="shared" si="1"/>
        <v>1</v>
      </c>
      <c r="K12" s="6">
        <v>4</v>
      </c>
      <c r="L12" s="6">
        <v>400</v>
      </c>
      <c r="M12" s="6">
        <f t="shared" si="6"/>
        <v>0.04</v>
      </c>
      <c r="N12" s="6">
        <v>5</v>
      </c>
      <c r="O12" s="6">
        <v>400</v>
      </c>
      <c r="P12" s="6">
        <f t="shared" si="7"/>
        <v>0.04</v>
      </c>
      <c r="Q12" s="6">
        <v>6</v>
      </c>
      <c r="R12" s="6">
        <v>200</v>
      </c>
      <c r="S12" s="6">
        <f t="shared" si="8"/>
        <v>0.02</v>
      </c>
      <c r="T12" s="6">
        <v>1</v>
      </c>
      <c r="U12" s="6">
        <v>1</v>
      </c>
      <c r="W12" s="8">
        <v>11</v>
      </c>
      <c r="X12" s="8">
        <v>0</v>
      </c>
      <c r="Y12" s="8">
        <v>1</v>
      </c>
      <c r="Z12" s="8">
        <v>4</v>
      </c>
      <c r="AA12" s="8">
        <v>2</v>
      </c>
      <c r="AB12" s="8">
        <v>0</v>
      </c>
      <c r="AC12" s="8">
        <v>0</v>
      </c>
      <c r="AD12" s="8">
        <v>1</v>
      </c>
      <c r="AE12" s="8">
        <v>0</v>
      </c>
      <c r="AF12" s="8">
        <v>0</v>
      </c>
      <c r="AG12" s="8">
        <v>8</v>
      </c>
      <c r="XFC12" s="4"/>
      <c r="XFD12" s="4"/>
    </row>
    <row r="13" spans="1:38 16383:16384">
      <c r="A13" s="6">
        <v>12</v>
      </c>
      <c r="B13" s="7">
        <v>3500000</v>
      </c>
      <c r="C13" s="6">
        <v>29</v>
      </c>
      <c r="D13" s="6">
        <v>5</v>
      </c>
      <c r="W13" s="8">
        <v>12</v>
      </c>
      <c r="X13" s="8">
        <v>0</v>
      </c>
      <c r="Y13" s="8">
        <v>1</v>
      </c>
      <c r="Z13" s="8">
        <v>3</v>
      </c>
      <c r="AA13" s="8">
        <v>2</v>
      </c>
      <c r="AB13" s="8">
        <v>1</v>
      </c>
      <c r="AC13" s="8">
        <v>0</v>
      </c>
      <c r="AD13" s="8">
        <v>1</v>
      </c>
      <c r="AE13" s="8">
        <v>0</v>
      </c>
      <c r="AF13" s="8">
        <v>0</v>
      </c>
      <c r="AG13" s="8">
        <v>8</v>
      </c>
      <c r="AJ13" s="4">
        <f>ROUND(AJ1,0)</f>
        <v>1000</v>
      </c>
      <c r="AK13" s="4">
        <f t="shared" ref="AK13:AK23" si="9">ROUND(AK1,0)</f>
        <v>0</v>
      </c>
      <c r="AL13" s="4">
        <f t="shared" ref="AL13:AL23" si="10">ROUND(AL1,0)</f>
        <v>0</v>
      </c>
      <c r="XFC13" s="4"/>
      <c r="XFD13" s="4"/>
    </row>
    <row r="14" spans="1:38 16383:16384">
      <c r="A14" s="6">
        <v>13</v>
      </c>
      <c r="B14" s="7">
        <v>5000000</v>
      </c>
      <c r="C14" s="6">
        <v>31</v>
      </c>
      <c r="D14" s="6">
        <v>5</v>
      </c>
      <c r="F14" s="4" t="s">
        <v>24</v>
      </c>
      <c r="H14" s="7" t="s">
        <v>25</v>
      </c>
      <c r="I14" s="7">
        <v>1</v>
      </c>
      <c r="J14" s="7">
        <v>2</v>
      </c>
      <c r="K14" s="7">
        <v>3</v>
      </c>
      <c r="L14" s="7">
        <v>4</v>
      </c>
      <c r="M14" s="7">
        <v>5</v>
      </c>
      <c r="N14" s="7">
        <v>6</v>
      </c>
      <c r="W14" s="8">
        <v>13</v>
      </c>
      <c r="X14" s="8">
        <v>0</v>
      </c>
      <c r="Y14" s="8">
        <v>1</v>
      </c>
      <c r="Z14" s="8">
        <v>2</v>
      </c>
      <c r="AA14" s="8">
        <v>2</v>
      </c>
      <c r="AB14" s="8">
        <v>1</v>
      </c>
      <c r="AC14" s="8">
        <v>0</v>
      </c>
      <c r="AD14" s="8">
        <v>1</v>
      </c>
      <c r="AE14" s="8">
        <v>1</v>
      </c>
      <c r="AF14" s="8">
        <v>0</v>
      </c>
      <c r="AG14" s="8">
        <v>8</v>
      </c>
      <c r="AJ14" s="4">
        <f t="shared" ref="AJ14:AJ23" si="11">ROUND(AJ2,0)</f>
        <v>1000</v>
      </c>
      <c r="AK14" s="4">
        <f t="shared" si="9"/>
        <v>0</v>
      </c>
      <c r="AL14" s="4">
        <f t="shared" si="10"/>
        <v>0</v>
      </c>
      <c r="XFC14" s="4"/>
      <c r="XFD14" s="4"/>
    </row>
    <row r="15" spans="1:38 16383:16384">
      <c r="A15" s="6">
        <v>14</v>
      </c>
      <c r="B15" s="7">
        <v>7500000</v>
      </c>
      <c r="C15" s="6">
        <v>35</v>
      </c>
      <c r="D15" s="6">
        <v>5</v>
      </c>
      <c r="H15" s="7">
        <f>H2</f>
        <v>1000</v>
      </c>
      <c r="I15" s="11">
        <f t="shared" ref="I15:N15" si="12">IF($K2=I$14,$M2,0)+IF($N2=I$14,$P2,0)+IF($Q2=I$14,$S2,0)</f>
        <v>0.1</v>
      </c>
      <c r="J15" s="11">
        <f t="shared" si="12"/>
        <v>0</v>
      </c>
      <c r="K15" s="11">
        <f t="shared" si="12"/>
        <v>0</v>
      </c>
      <c r="L15" s="11">
        <f t="shared" si="12"/>
        <v>0</v>
      </c>
      <c r="M15" s="11">
        <f t="shared" si="12"/>
        <v>0</v>
      </c>
      <c r="N15" s="11">
        <f t="shared" si="12"/>
        <v>0</v>
      </c>
      <c r="W15" s="8">
        <v>14</v>
      </c>
      <c r="X15" s="8">
        <v>0</v>
      </c>
      <c r="Y15" s="8">
        <v>0</v>
      </c>
      <c r="Z15" s="8">
        <v>2</v>
      </c>
      <c r="AA15" s="8">
        <v>2</v>
      </c>
      <c r="AB15" s="8">
        <v>1</v>
      </c>
      <c r="AC15" s="8">
        <v>1</v>
      </c>
      <c r="AD15" s="8">
        <v>1</v>
      </c>
      <c r="AE15" s="8">
        <v>1</v>
      </c>
      <c r="AF15" s="8">
        <v>0</v>
      </c>
      <c r="AG15" s="8">
        <v>8</v>
      </c>
      <c r="AJ15" s="4">
        <f t="shared" si="11"/>
        <v>91</v>
      </c>
      <c r="AK15" s="4">
        <f t="shared" si="9"/>
        <v>909</v>
      </c>
      <c r="AL15" s="4">
        <f t="shared" si="10"/>
        <v>0</v>
      </c>
      <c r="XFC15" s="4"/>
      <c r="XFD15" s="4"/>
    </row>
    <row r="16" spans="1:38 16383:16384">
      <c r="A16" s="6">
        <v>15</v>
      </c>
      <c r="B16" s="7">
        <v>10000000</v>
      </c>
      <c r="C16" s="6">
        <v>40</v>
      </c>
      <c r="D16" s="6">
        <v>6</v>
      </c>
      <c r="H16" s="7">
        <f t="shared" ref="H16:H25" si="13">H3</f>
        <v>5000</v>
      </c>
      <c r="I16" s="11">
        <f t="shared" ref="I16:N16" si="14">IF($K3=I$14,$M3,0)+IF($N3=I$14,$P3,0)+IF($Q3=I$14,$S3,0)</f>
        <v>0.1</v>
      </c>
      <c r="J16" s="11">
        <f t="shared" si="14"/>
        <v>0</v>
      </c>
      <c r="K16" s="11">
        <f t="shared" si="14"/>
        <v>0</v>
      </c>
      <c r="L16" s="11">
        <f t="shared" si="14"/>
        <v>0</v>
      </c>
      <c r="M16" s="11">
        <f t="shared" si="14"/>
        <v>0</v>
      </c>
      <c r="N16" s="11">
        <f t="shared" si="14"/>
        <v>0</v>
      </c>
      <c r="W16" s="8">
        <v>15</v>
      </c>
      <c r="X16" s="8">
        <v>0</v>
      </c>
      <c r="Y16" s="8">
        <v>0</v>
      </c>
      <c r="Z16" s="8">
        <v>1</v>
      </c>
      <c r="AA16" s="8">
        <v>3</v>
      </c>
      <c r="AB16" s="8">
        <v>1</v>
      </c>
      <c r="AC16" s="8">
        <v>1</v>
      </c>
      <c r="AD16" s="8">
        <v>1</v>
      </c>
      <c r="AE16" s="8">
        <v>1</v>
      </c>
      <c r="AF16" s="8">
        <v>0</v>
      </c>
      <c r="AG16" s="8">
        <v>8</v>
      </c>
      <c r="AJ16" s="4">
        <f t="shared" si="11"/>
        <v>182</v>
      </c>
      <c r="AK16" s="4">
        <f t="shared" si="9"/>
        <v>727</v>
      </c>
      <c r="AL16" s="4">
        <f t="shared" si="10"/>
        <v>91</v>
      </c>
      <c r="XFC16" s="4"/>
      <c r="XFD16" s="4"/>
    </row>
    <row r="17" spans="1:38 16383:16384">
      <c r="A17" s="6">
        <v>16</v>
      </c>
      <c r="B17" s="7">
        <v>12500000</v>
      </c>
      <c r="C17" s="6">
        <v>42.5</v>
      </c>
      <c r="D17" s="6">
        <v>6</v>
      </c>
      <c r="H17" s="7">
        <f t="shared" si="13"/>
        <v>20000</v>
      </c>
      <c r="I17" s="11">
        <f>IF($K4=I$14,$M4,0)+IF($N4=I$14,$P4,0)+IF($Q4=I$14,$S4,0)</f>
        <v>0.0091</v>
      </c>
      <c r="J17" s="11">
        <f t="shared" ref="I17:N17" si="15">IF($K4=J$14,$M4,0)+IF($N4=J$14,$P4,0)+IF($Q4=J$14,$S4,0)</f>
        <v>0.0909</v>
      </c>
      <c r="K17" s="11">
        <f t="shared" si="15"/>
        <v>0</v>
      </c>
      <c r="L17" s="11">
        <f t="shared" si="15"/>
        <v>0</v>
      </c>
      <c r="M17" s="11">
        <f t="shared" si="15"/>
        <v>0</v>
      </c>
      <c r="N17" s="11">
        <f t="shared" si="15"/>
        <v>0</v>
      </c>
      <c r="W17" s="8">
        <v>16</v>
      </c>
      <c r="X17" s="8">
        <v>0</v>
      </c>
      <c r="Y17" s="8">
        <v>0</v>
      </c>
      <c r="Z17" s="8">
        <v>1</v>
      </c>
      <c r="AA17" s="8">
        <v>2</v>
      </c>
      <c r="AB17" s="8">
        <v>1</v>
      </c>
      <c r="AC17" s="8">
        <v>1</v>
      </c>
      <c r="AD17" s="8">
        <v>2</v>
      </c>
      <c r="AE17" s="8">
        <v>1</v>
      </c>
      <c r="AF17" s="8">
        <v>0</v>
      </c>
      <c r="AG17" s="8">
        <v>8</v>
      </c>
      <c r="AJ17" s="4">
        <f t="shared" si="11"/>
        <v>491</v>
      </c>
      <c r="AK17" s="4">
        <f t="shared" si="9"/>
        <v>491</v>
      </c>
      <c r="AL17" s="4">
        <f t="shared" si="10"/>
        <v>18</v>
      </c>
      <c r="XFC17" s="4"/>
      <c r="XFD17" s="4"/>
    </row>
    <row r="18" spans="1:38 16383:16384">
      <c r="A18" s="6">
        <v>17</v>
      </c>
      <c r="B18" s="7">
        <v>15000000</v>
      </c>
      <c r="C18" s="6">
        <v>45</v>
      </c>
      <c r="D18" s="6">
        <v>6</v>
      </c>
      <c r="H18" s="7">
        <f t="shared" si="13"/>
        <v>50000</v>
      </c>
      <c r="I18" s="11">
        <f t="shared" ref="I18:N18" si="16">IF($K5=I$14,$M5,0)+IF($N5=I$14,$P5,0)+IF($Q5=I$14,$S5,0)</f>
        <v>0</v>
      </c>
      <c r="J18" s="11">
        <f t="shared" si="16"/>
        <v>0.0182</v>
      </c>
      <c r="K18" s="11">
        <f t="shared" si="16"/>
        <v>0.0727</v>
      </c>
      <c r="L18" s="11">
        <f t="shared" si="16"/>
        <v>0.0091</v>
      </c>
      <c r="M18" s="11">
        <f t="shared" si="16"/>
        <v>0</v>
      </c>
      <c r="N18" s="11">
        <f t="shared" si="16"/>
        <v>0</v>
      </c>
      <c r="W18" s="8">
        <v>17</v>
      </c>
      <c r="X18" s="8">
        <v>0</v>
      </c>
      <c r="Y18" s="8">
        <v>0</v>
      </c>
      <c r="Z18" s="8">
        <v>1</v>
      </c>
      <c r="AA18" s="8">
        <v>1</v>
      </c>
      <c r="AB18" s="8">
        <v>2</v>
      </c>
      <c r="AC18" s="8">
        <v>1</v>
      </c>
      <c r="AD18" s="8">
        <v>2</v>
      </c>
      <c r="AE18" s="8">
        <v>1</v>
      </c>
      <c r="AF18" s="8">
        <v>0</v>
      </c>
      <c r="AG18" s="8">
        <v>8</v>
      </c>
      <c r="AJ18" s="4">
        <f t="shared" si="11"/>
        <v>607</v>
      </c>
      <c r="AK18" s="4">
        <f t="shared" si="9"/>
        <v>374</v>
      </c>
      <c r="AL18" s="4">
        <f t="shared" si="10"/>
        <v>19</v>
      </c>
      <c r="XFC18" s="4"/>
      <c r="XFD18" s="4"/>
    </row>
    <row r="19" spans="1:38 16383:16384">
      <c r="A19" s="6">
        <v>18</v>
      </c>
      <c r="B19" s="7">
        <v>17500000</v>
      </c>
      <c r="C19" s="6">
        <v>50</v>
      </c>
      <c r="D19" s="6">
        <v>6</v>
      </c>
      <c r="H19" s="7">
        <f t="shared" si="13"/>
        <v>100000</v>
      </c>
      <c r="I19" s="11">
        <f t="shared" ref="I19:N19" si="17">IF($K6=I$14,$M6,0)+IF($N6=I$14,$P6,0)+IF($Q6=I$14,$S6,0)</f>
        <v>0</v>
      </c>
      <c r="J19" s="11">
        <f t="shared" si="17"/>
        <v>0</v>
      </c>
      <c r="K19" s="11">
        <f t="shared" si="17"/>
        <v>0.0491</v>
      </c>
      <c r="L19" s="11">
        <f t="shared" si="17"/>
        <v>0.0491</v>
      </c>
      <c r="M19" s="11">
        <f t="shared" si="17"/>
        <v>0.0018</v>
      </c>
      <c r="N19" s="11">
        <f t="shared" si="17"/>
        <v>0</v>
      </c>
      <c r="W19" s="8">
        <v>18</v>
      </c>
      <c r="X19" s="8">
        <v>0</v>
      </c>
      <c r="Y19" s="8">
        <v>0</v>
      </c>
      <c r="Z19" s="8">
        <v>1</v>
      </c>
      <c r="AA19" s="8">
        <v>1</v>
      </c>
      <c r="AB19" s="8">
        <v>2</v>
      </c>
      <c r="AC19" s="8">
        <v>0</v>
      </c>
      <c r="AD19" s="8">
        <v>1</v>
      </c>
      <c r="AE19" s="8">
        <v>2</v>
      </c>
      <c r="AF19" s="8">
        <v>1</v>
      </c>
      <c r="AG19" s="8">
        <v>8</v>
      </c>
      <c r="AJ19" s="4">
        <f t="shared" si="11"/>
        <v>571</v>
      </c>
      <c r="AK19" s="4">
        <f t="shared" si="9"/>
        <v>393</v>
      </c>
      <c r="AL19" s="4">
        <f t="shared" si="10"/>
        <v>36</v>
      </c>
      <c r="XFC19" s="4"/>
      <c r="XFD19" s="4"/>
    </row>
    <row r="20" spans="1:38 16383:16384">
      <c r="A20" s="6">
        <v>19</v>
      </c>
      <c r="B20" s="7">
        <v>20000000</v>
      </c>
      <c r="C20" s="6">
        <v>55</v>
      </c>
      <c r="D20" s="6">
        <v>6</v>
      </c>
      <c r="H20" s="7">
        <f t="shared" si="13"/>
        <v>200000</v>
      </c>
      <c r="I20" s="11">
        <f t="shared" ref="I20:N20" si="18">IF($K7=I$14,$M7,0)+IF($N7=I$14,$P7,0)+IF($Q7=I$14,$S7,0)</f>
        <v>0</v>
      </c>
      <c r="J20" s="11">
        <f t="shared" si="18"/>
        <v>0</v>
      </c>
      <c r="K20" s="11">
        <f t="shared" si="18"/>
        <v>0</v>
      </c>
      <c r="L20" s="11">
        <f t="shared" si="18"/>
        <v>0.0607</v>
      </c>
      <c r="M20" s="11">
        <f t="shared" si="18"/>
        <v>0.0374</v>
      </c>
      <c r="N20" s="11">
        <f t="shared" si="18"/>
        <v>0.0019</v>
      </c>
      <c r="W20" s="8">
        <v>19</v>
      </c>
      <c r="X20" s="8">
        <v>0</v>
      </c>
      <c r="Y20" s="8">
        <v>0</v>
      </c>
      <c r="Z20" s="8">
        <v>0</v>
      </c>
      <c r="AA20" s="8">
        <v>1</v>
      </c>
      <c r="AB20" s="8">
        <v>2</v>
      </c>
      <c r="AC20" s="8">
        <v>0</v>
      </c>
      <c r="AD20" s="8">
        <v>2</v>
      </c>
      <c r="AE20" s="8">
        <v>2</v>
      </c>
      <c r="AF20" s="8">
        <v>1</v>
      </c>
      <c r="AG20" s="8">
        <v>8</v>
      </c>
      <c r="AJ20" s="4">
        <f t="shared" si="11"/>
        <v>588</v>
      </c>
      <c r="AK20" s="4">
        <f t="shared" si="9"/>
        <v>353</v>
      </c>
      <c r="AL20" s="4">
        <f t="shared" si="10"/>
        <v>59</v>
      </c>
      <c r="XFC20" s="4"/>
      <c r="XFD20" s="4"/>
    </row>
    <row r="21" spans="1:38 16383:16384">
      <c r="A21" s="6" t="s">
        <v>26</v>
      </c>
      <c r="B21" s="7">
        <v>35000000</v>
      </c>
      <c r="C21" s="6">
        <v>100</v>
      </c>
      <c r="D21" s="6"/>
      <c r="H21" s="7">
        <f t="shared" si="13"/>
        <v>500000</v>
      </c>
      <c r="I21" s="11">
        <f t="shared" ref="I21:N21" si="19">IF($K8=I$14,$M8,0)+IF($N8=I$14,$P8,0)+IF($Q8=I$14,$S8,0)</f>
        <v>0</v>
      </c>
      <c r="J21" s="11">
        <f t="shared" si="19"/>
        <v>0</v>
      </c>
      <c r="K21" s="11">
        <f t="shared" si="19"/>
        <v>0</v>
      </c>
      <c r="L21" s="11">
        <f t="shared" si="19"/>
        <v>0.0571</v>
      </c>
      <c r="M21" s="11">
        <f t="shared" si="19"/>
        <v>0.0393</v>
      </c>
      <c r="N21" s="11">
        <f t="shared" si="19"/>
        <v>0.0036</v>
      </c>
      <c r="W21" s="8" t="s">
        <v>20</v>
      </c>
      <c r="X21" s="8">
        <v>31</v>
      </c>
      <c r="Y21" s="8">
        <v>34</v>
      </c>
      <c r="Z21" s="8">
        <v>30</v>
      </c>
      <c r="AA21" s="8">
        <v>19</v>
      </c>
      <c r="AB21" s="8">
        <v>11</v>
      </c>
      <c r="AC21" s="8">
        <v>4</v>
      </c>
      <c r="AD21" s="8">
        <v>12</v>
      </c>
      <c r="AE21" s="8">
        <v>9</v>
      </c>
      <c r="AF21" s="8">
        <v>2</v>
      </c>
      <c r="AG21" s="8">
        <v>152</v>
      </c>
      <c r="AJ21" s="4">
        <f t="shared" si="11"/>
        <v>550</v>
      </c>
      <c r="AK21" s="4">
        <f t="shared" si="9"/>
        <v>367</v>
      </c>
      <c r="AL21" s="4">
        <f t="shared" si="10"/>
        <v>83</v>
      </c>
      <c r="XFC21" s="4"/>
      <c r="XFD21" s="4"/>
    </row>
    <row r="22" spans="1:38 16383:16384">
      <c r="A22" s="6" t="s">
        <v>27</v>
      </c>
      <c r="B22" s="7">
        <v>140050000</v>
      </c>
      <c r="C22" s="6">
        <f>SUM(C2:C21)</f>
        <v>525.1</v>
      </c>
      <c r="D22" s="6"/>
      <c r="H22" s="7">
        <f t="shared" si="13"/>
        <v>2000000</v>
      </c>
      <c r="I22" s="11">
        <f t="shared" ref="I22:N22" si="20">IF($K9=I$14,$M9,0)+IF($N9=I$14,$P9,0)+IF($Q9=I$14,$S9,0)</f>
        <v>0</v>
      </c>
      <c r="J22" s="11">
        <f t="shared" si="20"/>
        <v>0</v>
      </c>
      <c r="K22" s="11">
        <f t="shared" si="20"/>
        <v>0</v>
      </c>
      <c r="L22" s="11">
        <f t="shared" si="20"/>
        <v>0.0588</v>
      </c>
      <c r="M22" s="11">
        <f t="shared" si="20"/>
        <v>0.0353</v>
      </c>
      <c r="N22" s="11">
        <f t="shared" si="20"/>
        <v>0.0059</v>
      </c>
      <c r="AJ22" s="4">
        <f t="shared" si="11"/>
        <v>526</v>
      </c>
      <c r="AK22" s="4">
        <f t="shared" si="9"/>
        <v>342</v>
      </c>
      <c r="AL22" s="4">
        <f t="shared" si="10"/>
        <v>132</v>
      </c>
    </row>
    <row r="23" spans="1:38 16383:16384">
      <c r="H23" s="7">
        <f t="shared" si="13"/>
        <v>5000000</v>
      </c>
      <c r="I23" s="11">
        <f t="shared" ref="I23:N23" si="21">IF($K10=I$14,$M10,0)+IF($N10=I$14,$P10,0)+IF($Q10=I$14,$S10,0)</f>
        <v>0</v>
      </c>
      <c r="J23" s="11">
        <f t="shared" si="21"/>
        <v>0</v>
      </c>
      <c r="K23" s="11">
        <f t="shared" si="21"/>
        <v>0</v>
      </c>
      <c r="L23" s="11">
        <f t="shared" si="21"/>
        <v>0.055</v>
      </c>
      <c r="M23" s="11">
        <f t="shared" si="21"/>
        <v>0.0367</v>
      </c>
      <c r="N23" s="11">
        <f t="shared" si="21"/>
        <v>0.0083</v>
      </c>
      <c r="AJ23" s="4">
        <f t="shared" si="11"/>
        <v>400</v>
      </c>
      <c r="AK23" s="4">
        <f t="shared" si="9"/>
        <v>400</v>
      </c>
      <c r="AL23" s="4">
        <f t="shared" si="10"/>
        <v>200</v>
      </c>
    </row>
    <row r="24" spans="1:38 16383:16384">
      <c r="H24" s="7">
        <f t="shared" si="13"/>
        <v>10000000</v>
      </c>
      <c r="I24" s="11">
        <f t="shared" ref="I24:N24" si="22">IF($K11=I$14,$M11,0)+IF($N11=I$14,$P11,0)+IF($Q11=I$14,$S11,0)</f>
        <v>0</v>
      </c>
      <c r="J24" s="11">
        <f t="shared" si="22"/>
        <v>0</v>
      </c>
      <c r="K24" s="11">
        <f t="shared" si="22"/>
        <v>0</v>
      </c>
      <c r="L24" s="11">
        <f t="shared" si="22"/>
        <v>0.0526</v>
      </c>
      <c r="M24" s="11">
        <f t="shared" si="22"/>
        <v>0.0342</v>
      </c>
      <c r="N24" s="11">
        <f t="shared" si="22"/>
        <v>0.0132</v>
      </c>
    </row>
    <row r="25" spans="1:38 16383:16384">
      <c r="A25" s="6" t="s">
        <v>34</v>
      </c>
      <c r="B25" s="6" t="s">
        <v>30</v>
      </c>
      <c r="C25" s="6" t="s">
        <v>35</v>
      </c>
      <c r="H25" s="7">
        <f t="shared" si="13"/>
        <v>20000000</v>
      </c>
      <c r="I25" s="11">
        <f t="shared" ref="I25:N25" si="23">IF($K12=I$14,$M12,0)+IF($N12=I$14,$P12,0)+IF($Q12=I$14,$S12,0)</f>
        <v>0</v>
      </c>
      <c r="J25" s="11">
        <f t="shared" si="23"/>
        <v>0</v>
      </c>
      <c r="K25" s="11">
        <f t="shared" si="23"/>
        <v>0</v>
      </c>
      <c r="L25" s="11">
        <f t="shared" si="23"/>
        <v>0.04</v>
      </c>
      <c r="M25" s="11">
        <f t="shared" si="23"/>
        <v>0.04</v>
      </c>
      <c r="N25" s="11">
        <f t="shared" si="23"/>
        <v>0.02</v>
      </c>
    </row>
    <row r="26" spans="1:38 16383:16384">
      <c r="A26" s="6">
        <v>1</v>
      </c>
      <c r="B26" s="6">
        <v>25</v>
      </c>
      <c r="C26" s="11">
        <f t="shared" ref="C26:C30" si="24">SUMIF($D$2:$D$21,"&lt;="&amp;A26,$B$2:$B$22)/B26/$F$2</f>
        <v>0.004</v>
      </c>
    </row>
    <row r="27" spans="1:38 16383:16384">
      <c r="A27" s="6">
        <v>2</v>
      </c>
      <c r="B27" s="6">
        <v>50</v>
      </c>
      <c r="C27" s="11">
        <f t="shared" si="24"/>
        <v>0.041</v>
      </c>
      <c r="F27" s="4" t="s">
        <v>28</v>
      </c>
      <c r="H27" s="7" t="s">
        <v>29</v>
      </c>
      <c r="I27" s="6">
        <v>1</v>
      </c>
      <c r="J27" s="6">
        <v>2</v>
      </c>
      <c r="K27" s="6">
        <v>3</v>
      </c>
      <c r="L27" s="6">
        <v>4</v>
      </c>
      <c r="M27" s="6">
        <v>5</v>
      </c>
      <c r="N27" s="6">
        <v>6</v>
      </c>
      <c r="O27" s="7"/>
      <c r="P27" s="7"/>
      <c r="Q27" s="6"/>
    </row>
    <row r="28" spans="1:38 16383:16384">
      <c r="A28" s="6">
        <v>3</v>
      </c>
      <c r="B28" s="6">
        <v>50</v>
      </c>
      <c r="C28" s="11">
        <f t="shared" si="24"/>
        <v>0.131</v>
      </c>
      <c r="H28" s="6" t="s">
        <v>42</v>
      </c>
      <c r="I28" s="6">
        <v>25</v>
      </c>
      <c r="J28" s="6">
        <v>50</v>
      </c>
      <c r="K28" s="6">
        <v>50</v>
      </c>
      <c r="L28" s="6">
        <v>50</v>
      </c>
      <c r="M28" s="6">
        <v>50</v>
      </c>
      <c r="N28" s="6">
        <v>40</v>
      </c>
      <c r="O28" s="7" t="s">
        <v>31</v>
      </c>
      <c r="P28" s="7" t="s">
        <v>32</v>
      </c>
      <c r="Q28" s="6" t="s">
        <v>43</v>
      </c>
    </row>
    <row r="29" spans="1:38 16383:16384">
      <c r="A29" s="6">
        <v>4</v>
      </c>
      <c r="B29" s="6">
        <v>50</v>
      </c>
      <c r="C29" s="11">
        <f t="shared" si="24"/>
        <v>0.221</v>
      </c>
      <c r="H29" s="7">
        <f>H15</f>
        <v>1000</v>
      </c>
      <c r="I29" s="12">
        <f t="shared" ref="I29:N29" si="25">IF(I15=0,0,I$28/I15)</f>
        <v>250</v>
      </c>
      <c r="J29" s="12">
        <f t="shared" si="25"/>
        <v>0</v>
      </c>
      <c r="K29" s="12">
        <f t="shared" si="25"/>
        <v>0</v>
      </c>
      <c r="L29" s="12">
        <f t="shared" si="25"/>
        <v>0</v>
      </c>
      <c r="M29" s="12">
        <f t="shared" si="25"/>
        <v>0</v>
      </c>
      <c r="N29" s="12">
        <f t="shared" si="25"/>
        <v>0</v>
      </c>
      <c r="O29" s="7">
        <f ca="1">IF(N29&gt;0,SUMIF($D$2:$D$21,"&lt;="&amp;$N$27,$B$2:B20),IF(M29&gt;0,SUMIF($D$2:$D$21,"&lt;="&amp;$M$27,$B$2:B20),IF(L29&gt;0,SUMIF($D$2:$D$21,"&lt;="&amp;$L$27,$B$2:B20),IF(K29&gt;0,SUMIF($D$2:$D$21,"&lt;="&amp;$K$27,$B$2:B20),IF(J29&gt;0,SUMIF($D$2:$D$21,"&lt;="&amp;$J$27,$B$2:B20),IF(I29&gt;0,SUMIF($D$2:$D$21,"&lt;="&amp;$I$27,$B$2:B20),0))))))</f>
        <v>100000</v>
      </c>
      <c r="P29" s="12">
        <f ca="1" t="shared" ref="P29:P39" si="26">O29/$F$2</f>
        <v>0.1</v>
      </c>
      <c r="Q29" s="7">
        <f t="shared" ref="Q29:Q39" si="27">IF(N29&gt;0,N29,IF(M29&gt;0,M29,IF(L29&gt;0,L29,IF(K29&gt;0,K29,IF(J29&gt;0,J29,I29)))))</f>
        <v>250</v>
      </c>
    </row>
    <row r="30" spans="1:38 16383:16384">
      <c r="A30" s="6">
        <v>5</v>
      </c>
      <c r="B30" s="6">
        <v>50</v>
      </c>
      <c r="C30" s="11">
        <f t="shared" si="24"/>
        <v>0.601</v>
      </c>
      <c r="H30" s="7">
        <f t="shared" ref="H30:H39" si="28">H16</f>
        <v>5000</v>
      </c>
      <c r="I30" s="12">
        <f t="shared" ref="I30:N30" si="29">IF(I16=0,0,I$28/I16)</f>
        <v>250</v>
      </c>
      <c r="J30" s="12">
        <f t="shared" si="29"/>
        <v>0</v>
      </c>
      <c r="K30" s="12">
        <f t="shared" si="29"/>
        <v>0</v>
      </c>
      <c r="L30" s="12">
        <f t="shared" si="29"/>
        <v>0</v>
      </c>
      <c r="M30" s="12">
        <f t="shared" si="29"/>
        <v>0</v>
      </c>
      <c r="N30" s="12">
        <f t="shared" si="29"/>
        <v>0</v>
      </c>
      <c r="O30" s="7">
        <f>IF(N30&gt;0,SUMIF($D$2:$D$21,"&lt;="&amp;$N$27,$B$2:B21),IF(M30&gt;0,SUMIF($D$2:$D$21,"&lt;="&amp;$M$27,$B$2:B21),IF(L30&gt;0,SUMIF($D$2:$D$21,"&lt;="&amp;$L$27,$B$2:B21),IF(K30&gt;0,SUMIF($D$2:$D$21,"&lt;="&amp;$K$27,$B$2:B21),IF(J30&gt;0,SUMIF($D$2:$D$21,"&lt;="&amp;$J$27,$B$2:B21),IF(I30&gt;0,SUMIF($D$2:$D$21,"&lt;="&amp;$I$27,$B$2:B21),0))))))</f>
        <v>100000</v>
      </c>
      <c r="P30" s="12">
        <f t="shared" si="26"/>
        <v>0.1</v>
      </c>
      <c r="Q30" s="7">
        <f t="shared" si="27"/>
        <v>250</v>
      </c>
    </row>
    <row r="31" spans="1:38 16383:16384">
      <c r="A31" s="6">
        <v>6</v>
      </c>
      <c r="B31" s="6">
        <v>40</v>
      </c>
      <c r="C31" s="11">
        <f>SUMIF($D$2:$D$21,"="&amp;A31,$B$2:$B$22)/B31/$F$2</f>
        <v>1.875</v>
      </c>
      <c r="H31" s="7">
        <f t="shared" si="28"/>
        <v>20000</v>
      </c>
      <c r="I31" s="12">
        <f>IF(I17=0,0,I$28/I17)</f>
        <v>2747.25274725275</v>
      </c>
      <c r="J31" s="12">
        <f t="shared" ref="I31:N31" si="30">IF(J17=0,0,J$28/J17)</f>
        <v>550.05500550055</v>
      </c>
      <c r="K31" s="12">
        <f t="shared" si="30"/>
        <v>0</v>
      </c>
      <c r="L31" s="12">
        <f t="shared" si="30"/>
        <v>0</v>
      </c>
      <c r="M31" s="12">
        <f t="shared" si="30"/>
        <v>0</v>
      </c>
      <c r="N31" s="12">
        <f t="shared" si="30"/>
        <v>0</v>
      </c>
      <c r="O31" s="7">
        <f>IF(N31&gt;0,SUMIF($D$2:$D$21,"&lt;="&amp;$N$27,$B$2:B22),IF(M31&gt;0,SUMIF($D$2:$D$21,"&lt;="&amp;$M$27,$B$2:B22),IF(L31&gt;0,SUMIF($D$2:$D$21,"&lt;="&amp;$L$27,$B$2:B22),IF(K31&gt;0,SUMIF($D$2:$D$21,"&lt;="&amp;$K$27,$B$2:B22),IF(J31&gt;0,SUMIF($D$2:$D$21,"&lt;="&amp;$J$27,$B$2:B22),IF(I31&gt;0,SUMIF($D$2:$D$21,"&lt;="&amp;$I$27,$B$2:B22),0))))))</f>
        <v>2050000</v>
      </c>
      <c r="P31" s="12">
        <f t="shared" si="26"/>
        <v>2.05</v>
      </c>
      <c r="Q31" s="7">
        <f t="shared" si="27"/>
        <v>550.05500550055</v>
      </c>
    </row>
    <row r="32" spans="1:38 16383:16384">
      <c r="H32" s="7">
        <f t="shared" si="28"/>
        <v>50000</v>
      </c>
      <c r="I32" s="12">
        <f t="shared" ref="I32:N32" si="31">IF(I18=0,0,I$28/I18)</f>
        <v>0</v>
      </c>
      <c r="J32" s="12">
        <f t="shared" si="31"/>
        <v>2747.25274725275</v>
      </c>
      <c r="K32" s="12">
        <f t="shared" si="31"/>
        <v>687.757909215956</v>
      </c>
      <c r="L32" s="12">
        <f t="shared" si="31"/>
        <v>5494.50549450549</v>
      </c>
      <c r="M32" s="12">
        <f t="shared" si="31"/>
        <v>0</v>
      </c>
      <c r="N32" s="12">
        <f t="shared" si="31"/>
        <v>0</v>
      </c>
      <c r="O32" s="7">
        <f>IF(N32&gt;0,SUMIF($D$2:$D$21,"&lt;="&amp;$N$27,$B$2:B23),IF(M32&gt;0,SUMIF($D$2:$D$21,"&lt;="&amp;$M$27,$B$2:B23),IF(L32&gt;0,SUMIF($D$2:$D$21,"&lt;="&amp;$L$27,$B$2:B23),IF(K32&gt;0,SUMIF($D$2:$D$21,"&lt;="&amp;$K$27,$B$2:B23),IF(J32&gt;0,SUMIF($D$2:$D$21,"&lt;="&amp;$J$27,$B$2:B23),IF(I32&gt;0,SUMIF($D$2:$D$21,"&lt;="&amp;$I$27,$B$2:B23),0))))))</f>
        <v>11050000</v>
      </c>
      <c r="P32" s="12">
        <f t="shared" si="26"/>
        <v>11.05</v>
      </c>
      <c r="Q32" s="7">
        <f t="shared" si="27"/>
        <v>5494.50549450549</v>
      </c>
    </row>
    <row r="33" spans="6:25">
      <c r="H33" s="7">
        <f t="shared" si="28"/>
        <v>100000</v>
      </c>
      <c r="I33" s="12">
        <f t="shared" ref="I33:N33" si="32">IF(I19=0,0,I$28/I19)</f>
        <v>0</v>
      </c>
      <c r="J33" s="12">
        <f t="shared" si="32"/>
        <v>0</v>
      </c>
      <c r="K33" s="12">
        <f t="shared" si="32"/>
        <v>1018.3299389002</v>
      </c>
      <c r="L33" s="12">
        <f t="shared" si="32"/>
        <v>1018.3299389002</v>
      </c>
      <c r="M33" s="12">
        <f t="shared" si="32"/>
        <v>27777.7777777778</v>
      </c>
      <c r="N33" s="12">
        <f t="shared" si="32"/>
        <v>0</v>
      </c>
      <c r="O33" s="7">
        <f>IF(N33&gt;0,SUMIF($D$2:$D$21,"&lt;="&amp;$N$27,$B$2:B24),IF(M33&gt;0,SUMIF($D$2:$D$21,"&lt;="&amp;$M$27,$B$2:B24),IF(L33&gt;0,SUMIF($D$2:$D$21,"&lt;="&amp;$L$27,$B$2:B24),IF(K33&gt;0,SUMIF($D$2:$D$21,"&lt;="&amp;$K$27,$B$2:B24),IF(J33&gt;0,SUMIF($D$2:$D$21,"&lt;="&amp;$J$27,$B$2:B24),IF(I33&gt;0,SUMIF($D$2:$D$21,"&lt;="&amp;$I$27,$B$2:B24),0))))))</f>
        <v>30050000</v>
      </c>
      <c r="P33" s="12">
        <f t="shared" si="26"/>
        <v>30.05</v>
      </c>
      <c r="Q33" s="7">
        <f t="shared" si="27"/>
        <v>27777.7777777778</v>
      </c>
    </row>
    <row r="34" spans="6:25">
      <c r="H34" s="7">
        <f t="shared" si="28"/>
        <v>200000</v>
      </c>
      <c r="I34" s="12">
        <f t="shared" ref="I34:N34" si="33">IF(I20=0,0,I$28/I20)</f>
        <v>0</v>
      </c>
      <c r="J34" s="12">
        <f t="shared" si="33"/>
        <v>0</v>
      </c>
      <c r="K34" s="12">
        <f t="shared" si="33"/>
        <v>0</v>
      </c>
      <c r="L34" s="12">
        <f t="shared" si="33"/>
        <v>823.723228995058</v>
      </c>
      <c r="M34" s="12">
        <f t="shared" si="33"/>
        <v>1336.89839572192</v>
      </c>
      <c r="N34" s="12">
        <f t="shared" si="33"/>
        <v>21052.6315789474</v>
      </c>
      <c r="O34" s="7">
        <f>IF(N34&gt;0,SUMIF($D$2:$D$21,"&lt;="&amp;$N$27,$B$2:B25),IF(M34&gt;0,SUMIF($D$2:$D$21,"&lt;="&amp;$M$27,$B$2:B25),IF(L34&gt;0,SUMIF($D$2:$D$21,"&lt;="&amp;$L$27,$B$2:B25),IF(K34&gt;0,SUMIF($D$2:$D$21,"&lt;="&amp;$K$27,$B$2:B25),IF(J34&gt;0,SUMIF($D$2:$D$21,"&lt;="&amp;$J$27,$B$2:B25),IF(I34&gt;0,SUMIF($D$2:$D$21,"&lt;="&amp;$I$27,$B$2:B25),0))))))</f>
        <v>105050000</v>
      </c>
      <c r="P34" s="12">
        <f t="shared" si="26"/>
        <v>105.05</v>
      </c>
      <c r="Q34" s="7">
        <f t="shared" si="27"/>
        <v>21052.6315789474</v>
      </c>
    </row>
    <row r="35" spans="6:25">
      <c r="H35" s="7">
        <f t="shared" si="28"/>
        <v>500000</v>
      </c>
      <c r="I35" s="12">
        <f t="shared" ref="I35:N35" si="34">IF(I21=0,0,I$28/I21)</f>
        <v>0</v>
      </c>
      <c r="J35" s="12">
        <f t="shared" si="34"/>
        <v>0</v>
      </c>
      <c r="K35" s="12">
        <f t="shared" si="34"/>
        <v>0</v>
      </c>
      <c r="L35" s="12">
        <f t="shared" si="34"/>
        <v>875.656742556918</v>
      </c>
      <c r="M35" s="12">
        <f t="shared" si="34"/>
        <v>1272.26463104326</v>
      </c>
      <c r="N35" s="12">
        <f t="shared" si="34"/>
        <v>11111.1111111111</v>
      </c>
      <c r="O35" s="7">
        <f>IF(N35&gt;0,SUMIF($D$2:$D$21,"&lt;="&amp;$N$27,$B$2:B26),IF(M35&gt;0,SUMIF($D$2:$D$21,"&lt;="&amp;$M$27,$B$2:B26),IF(L35&gt;0,SUMIF($D$2:$D$21,"&lt;="&amp;$L$27,$B$2:B26),IF(K35&gt;0,SUMIF($D$2:$D$21,"&lt;="&amp;$K$27,$B$2:B26),IF(J35&gt;0,SUMIF($D$2:$D$21,"&lt;="&amp;$J$27,$B$2:B26),IF(I35&gt;0,SUMIF($D$2:$D$21,"&lt;="&amp;$I$27,$B$2:B26),0))))))</f>
        <v>105050000</v>
      </c>
      <c r="P35" s="12">
        <f t="shared" si="26"/>
        <v>105.05</v>
      </c>
      <c r="Q35" s="7">
        <f t="shared" si="27"/>
        <v>11111.1111111111</v>
      </c>
    </row>
    <row r="36" spans="6:25">
      <c r="H36" s="7">
        <f t="shared" si="28"/>
        <v>2000000</v>
      </c>
      <c r="I36" s="12">
        <f t="shared" ref="I36:N36" si="35">IF(I22=0,0,I$28/I22)</f>
        <v>0</v>
      </c>
      <c r="J36" s="12">
        <f t="shared" si="35"/>
        <v>0</v>
      </c>
      <c r="K36" s="12">
        <f t="shared" si="35"/>
        <v>0</v>
      </c>
      <c r="L36" s="12">
        <f t="shared" si="35"/>
        <v>850.340136054422</v>
      </c>
      <c r="M36" s="12">
        <f t="shared" si="35"/>
        <v>1416.43059490085</v>
      </c>
      <c r="N36" s="12">
        <f t="shared" si="35"/>
        <v>6779.66101694915</v>
      </c>
      <c r="O36" s="7">
        <f>IF(N36&gt;0,SUMIF($D$2:$D$21,"&lt;="&amp;$N$27,$B$2:B27),IF(M36&gt;0,SUMIF($D$2:$D$21,"&lt;="&amp;$M$27,$B$2:B27),IF(L36&gt;0,SUMIF($D$2:$D$21,"&lt;="&amp;$L$27,$B$2:B27),IF(K36&gt;0,SUMIF($D$2:$D$21,"&lt;="&amp;$K$27,$B$2:B27),IF(J36&gt;0,SUMIF($D$2:$D$21,"&lt;="&amp;$J$27,$B$2:B27),IF(I36&gt;0,SUMIF($D$2:$D$21,"&lt;="&amp;$I$27,$B$2:B27),0))))))</f>
        <v>105050000</v>
      </c>
      <c r="P36" s="12">
        <f t="shared" si="26"/>
        <v>105.05</v>
      </c>
      <c r="Q36" s="7">
        <f t="shared" si="27"/>
        <v>6779.66101694915</v>
      </c>
    </row>
    <row r="37" spans="6:25">
      <c r="H37" s="7">
        <f t="shared" si="28"/>
        <v>5000000</v>
      </c>
      <c r="I37" s="12">
        <f t="shared" ref="I37:N37" si="36">IF(I23=0,0,I$28/I23)</f>
        <v>0</v>
      </c>
      <c r="J37" s="12">
        <f t="shared" si="36"/>
        <v>0</v>
      </c>
      <c r="K37" s="12">
        <f t="shared" si="36"/>
        <v>0</v>
      </c>
      <c r="L37" s="12">
        <f t="shared" si="36"/>
        <v>909.090909090909</v>
      </c>
      <c r="M37" s="12">
        <f t="shared" si="36"/>
        <v>1362.39782016349</v>
      </c>
      <c r="N37" s="12">
        <f t="shared" si="36"/>
        <v>4819.27710843373</v>
      </c>
      <c r="O37" s="7">
        <f>IF(N37&gt;0,SUMIF($D$2:$D$21,"&lt;="&amp;$N$27,$B$2:B28),IF(M37&gt;0,SUMIF($D$2:$D$21,"&lt;="&amp;$M$27,$B$2:B28),IF(L37&gt;0,SUMIF($D$2:$D$21,"&lt;="&amp;$L$27,$B$2:B28),IF(K37&gt;0,SUMIF($D$2:$D$21,"&lt;="&amp;$K$27,$B$2:B28),IF(J37&gt;0,SUMIF($D$2:$D$21,"&lt;="&amp;$J$27,$B$2:B28),IF(I37&gt;0,SUMIF($D$2:$D$21,"&lt;="&amp;$I$27,$B$2:B28),0))))))</f>
        <v>105050000</v>
      </c>
      <c r="P37" s="12">
        <f t="shared" si="26"/>
        <v>105.05</v>
      </c>
      <c r="Q37" s="7">
        <f t="shared" si="27"/>
        <v>4819.27710843373</v>
      </c>
    </row>
    <row r="38" spans="6:25">
      <c r="H38" s="7">
        <f t="shared" si="28"/>
        <v>10000000</v>
      </c>
      <c r="I38" s="12">
        <f t="shared" ref="I38:N38" si="37">IF(I24=0,0,I$28/I24)</f>
        <v>0</v>
      </c>
      <c r="J38" s="12">
        <f t="shared" si="37"/>
        <v>0</v>
      </c>
      <c r="K38" s="12">
        <f t="shared" si="37"/>
        <v>0</v>
      </c>
      <c r="L38" s="12">
        <f t="shared" si="37"/>
        <v>950.570342205323</v>
      </c>
      <c r="M38" s="12">
        <f t="shared" si="37"/>
        <v>1461.98830409357</v>
      </c>
      <c r="N38" s="12">
        <f t="shared" si="37"/>
        <v>3030.30303030303</v>
      </c>
      <c r="O38" s="7">
        <f>IF(N38&gt;0,SUMIF($D$2:$D$21,"&lt;="&amp;$N$27,$B$2:B29),IF(M38&gt;0,SUMIF($D$2:$D$21,"&lt;="&amp;$M$27,$B$2:B29),IF(L38&gt;0,SUMIF($D$2:$D$21,"&lt;="&amp;$L$27,$B$2:B29),IF(K38&gt;0,SUMIF($D$2:$D$21,"&lt;="&amp;$K$27,$B$2:B29),IF(J38&gt;0,SUMIF($D$2:$D$21,"&lt;="&amp;$J$27,$B$2:B29),IF(I38&gt;0,SUMIF($D$2:$D$21,"&lt;="&amp;$I$27,$B$2:B29),0))))))</f>
        <v>105050000</v>
      </c>
      <c r="P38" s="12">
        <f t="shared" si="26"/>
        <v>105.05</v>
      </c>
      <c r="Q38" s="7">
        <f t="shared" si="27"/>
        <v>3030.30303030303</v>
      </c>
    </row>
    <row r="39" spans="6:25">
      <c r="H39" s="7">
        <f t="shared" si="28"/>
        <v>20000000</v>
      </c>
      <c r="I39" s="12">
        <f t="shared" ref="I39:N39" si="38">IF(I25=0,0,I$28/I25)</f>
        <v>0</v>
      </c>
      <c r="J39" s="12">
        <f t="shared" si="38"/>
        <v>0</v>
      </c>
      <c r="K39" s="12">
        <f t="shared" si="38"/>
        <v>0</v>
      </c>
      <c r="L39" s="12">
        <f t="shared" si="38"/>
        <v>1250</v>
      </c>
      <c r="M39" s="12">
        <f t="shared" si="38"/>
        <v>1250</v>
      </c>
      <c r="N39" s="12">
        <f t="shared" si="38"/>
        <v>2000</v>
      </c>
      <c r="O39" s="7">
        <f>IF(N39&gt;0,SUMIF($D$2:$D$21,"&lt;="&amp;$N$27,$B$2:B30),IF(M39&gt;0,SUMIF($D$2:$D$21,"&lt;="&amp;$M$27,$B$2:B30),IF(L39&gt;0,SUMIF($D$2:$D$21,"&lt;="&amp;$L$27,$B$2:B30),IF(K39&gt;0,SUMIF($D$2:$D$21,"&lt;="&amp;$K$27,$B$2:B30),IF(J39&gt;0,SUMIF($D$2:$D$21,"&lt;="&amp;$J$27,$B$2:B30),IF(I39&gt;0,SUMIF($D$2:$D$21,"&lt;="&amp;$I$27,$B$2:B30),0))))))</f>
        <v>105050000</v>
      </c>
      <c r="P39" s="12">
        <f t="shared" si="26"/>
        <v>105.05</v>
      </c>
      <c r="Q39" s="7">
        <f t="shared" si="27"/>
        <v>2000</v>
      </c>
    </row>
    <row r="41" spans="6:25">
      <c r="F41" s="4" t="s">
        <v>36</v>
      </c>
      <c r="H41" s="7"/>
      <c r="I41" s="7"/>
      <c r="J41" s="7">
        <v>250000</v>
      </c>
      <c r="K41" s="7">
        <v>375000</v>
      </c>
      <c r="L41" s="7">
        <v>500000</v>
      </c>
      <c r="M41" s="7">
        <v>600000</v>
      </c>
      <c r="N41" s="7">
        <v>675000</v>
      </c>
      <c r="O41" s="7">
        <v>750000</v>
      </c>
      <c r="P41" s="7">
        <v>800000</v>
      </c>
      <c r="Q41" s="7">
        <v>850000</v>
      </c>
      <c r="R41" s="7">
        <v>900000</v>
      </c>
      <c r="S41" s="7">
        <v>950000</v>
      </c>
      <c r="T41" s="7">
        <v>1000000</v>
      </c>
      <c r="U41" s="7">
        <v>1050000</v>
      </c>
      <c r="V41" s="7">
        <v>1100000</v>
      </c>
      <c r="W41" s="7">
        <v>1150000</v>
      </c>
      <c r="X41" s="7">
        <v>1200000</v>
      </c>
      <c r="Y41" s="7">
        <v>1250000</v>
      </c>
    </row>
    <row r="42" spans="6:25">
      <c r="H42" s="7" t="s">
        <v>5</v>
      </c>
      <c r="I42" s="7" t="s">
        <v>7</v>
      </c>
      <c r="J42" s="7">
        <v>0</v>
      </c>
      <c r="K42" s="6">
        <v>1</v>
      </c>
      <c r="L42" s="6">
        <v>2</v>
      </c>
      <c r="M42" s="6">
        <v>3</v>
      </c>
      <c r="N42" s="6">
        <v>4</v>
      </c>
      <c r="O42" s="6">
        <v>5</v>
      </c>
      <c r="P42" s="6">
        <v>6</v>
      </c>
      <c r="Q42" s="6">
        <v>7</v>
      </c>
      <c r="R42" s="6">
        <v>8</v>
      </c>
      <c r="S42" s="6">
        <v>9</v>
      </c>
      <c r="T42" s="6">
        <v>10</v>
      </c>
      <c r="U42" s="6">
        <v>11</v>
      </c>
      <c r="V42" s="6">
        <v>12</v>
      </c>
      <c r="W42" s="6">
        <v>13</v>
      </c>
      <c r="X42" s="6">
        <v>14</v>
      </c>
      <c r="Y42" s="6">
        <v>15</v>
      </c>
    </row>
    <row r="43" spans="6:25">
      <c r="H43" s="7">
        <f t="shared" ref="H43:H53" si="39">H29</f>
        <v>1000</v>
      </c>
      <c r="I43" s="7">
        <f>I2</f>
        <v>50</v>
      </c>
      <c r="J43" s="10">
        <f t="shared" ref="J43:J53" si="40">$I43*$J$41/$F$2/J$41</f>
        <v>5e-5</v>
      </c>
      <c r="K43" s="10">
        <f t="shared" ref="K43:Y43" si="41">$I43*$J$41/$F$2/K$41</f>
        <v>3.33333333333333e-5</v>
      </c>
      <c r="L43" s="10">
        <f t="shared" si="41"/>
        <v>2.5e-5</v>
      </c>
      <c r="M43" s="10">
        <f t="shared" si="41"/>
        <v>2.08333333333333e-5</v>
      </c>
      <c r="N43" s="10">
        <f t="shared" si="41"/>
        <v>1.85185185185185e-5</v>
      </c>
      <c r="O43" s="10">
        <f t="shared" si="41"/>
        <v>1.66666666666667e-5</v>
      </c>
      <c r="P43" s="10">
        <f t="shared" si="41"/>
        <v>1.5625e-5</v>
      </c>
      <c r="Q43" s="10">
        <f t="shared" si="41"/>
        <v>1.47058823529412e-5</v>
      </c>
      <c r="R43" s="10">
        <f t="shared" si="41"/>
        <v>1.38888888888889e-5</v>
      </c>
      <c r="S43" s="10">
        <f t="shared" si="41"/>
        <v>1.31578947368421e-5</v>
      </c>
      <c r="T43" s="10">
        <f t="shared" si="41"/>
        <v>1.25e-5</v>
      </c>
      <c r="U43" s="10">
        <f t="shared" si="41"/>
        <v>1.19047619047619e-5</v>
      </c>
      <c r="V43" s="10">
        <f t="shared" si="41"/>
        <v>1.13636363636364e-5</v>
      </c>
      <c r="W43" s="10">
        <f t="shared" si="41"/>
        <v>1.08695652173913e-5</v>
      </c>
      <c r="X43" s="10">
        <f t="shared" si="41"/>
        <v>1.04166666666667e-5</v>
      </c>
      <c r="Y43" s="10">
        <f t="shared" si="41"/>
        <v>1e-5</v>
      </c>
    </row>
    <row r="44" spans="6:25">
      <c r="H44" s="7">
        <f t="shared" si="39"/>
        <v>5000</v>
      </c>
      <c r="I44" s="7">
        <f t="shared" ref="I44:I53" si="42">I3</f>
        <v>250</v>
      </c>
      <c r="J44" s="10">
        <f t="shared" si="40"/>
        <v>0.00025</v>
      </c>
      <c r="K44" s="10">
        <f t="shared" ref="K44:Y44" si="43">$I44*$J$41/$F$2/K$41</f>
        <v>0.000166666666666667</v>
      </c>
      <c r="L44" s="10">
        <f t="shared" si="43"/>
        <v>0.000125</v>
      </c>
      <c r="M44" s="10">
        <f t="shared" si="43"/>
        <v>0.000104166666666667</v>
      </c>
      <c r="N44" s="10">
        <f t="shared" si="43"/>
        <v>9.25925925925926e-5</v>
      </c>
      <c r="O44" s="10">
        <f t="shared" si="43"/>
        <v>8.33333333333333e-5</v>
      </c>
      <c r="P44" s="10">
        <f t="shared" si="43"/>
        <v>7.8125e-5</v>
      </c>
      <c r="Q44" s="10">
        <f t="shared" si="43"/>
        <v>7.35294117647059e-5</v>
      </c>
      <c r="R44" s="10">
        <f t="shared" si="43"/>
        <v>6.94444444444444e-5</v>
      </c>
      <c r="S44" s="10">
        <f t="shared" si="43"/>
        <v>6.57894736842105e-5</v>
      </c>
      <c r="T44" s="10">
        <f t="shared" si="43"/>
        <v>6.25e-5</v>
      </c>
      <c r="U44" s="10">
        <f t="shared" si="43"/>
        <v>5.95238095238095e-5</v>
      </c>
      <c r="V44" s="10">
        <f t="shared" si="43"/>
        <v>5.68181818181818e-5</v>
      </c>
      <c r="W44" s="10">
        <f t="shared" si="43"/>
        <v>5.43478260869565e-5</v>
      </c>
      <c r="X44" s="10">
        <f t="shared" si="43"/>
        <v>5.20833333333333e-5</v>
      </c>
      <c r="Y44" s="10">
        <f t="shared" si="43"/>
        <v>5e-5</v>
      </c>
    </row>
    <row r="45" spans="6:25">
      <c r="H45" s="7">
        <f t="shared" si="39"/>
        <v>20000</v>
      </c>
      <c r="I45" s="7">
        <f t="shared" si="42"/>
        <v>1000</v>
      </c>
      <c r="J45" s="10">
        <f t="shared" si="40"/>
        <v>0.001</v>
      </c>
      <c r="K45" s="10">
        <f t="shared" ref="K45:Y45" si="44">$I45*$J$41/$F$2/K$41</f>
        <v>0.000666666666666667</v>
      </c>
      <c r="L45" s="10">
        <f t="shared" si="44"/>
        <v>0.0005</v>
      </c>
      <c r="M45" s="10">
        <f t="shared" si="44"/>
        <v>0.000416666666666667</v>
      </c>
      <c r="N45" s="10">
        <f t="shared" si="44"/>
        <v>0.00037037037037037</v>
      </c>
      <c r="O45" s="10">
        <f t="shared" si="44"/>
        <v>0.000333333333333333</v>
      </c>
      <c r="P45" s="10">
        <f t="shared" si="44"/>
        <v>0.0003125</v>
      </c>
      <c r="Q45" s="10">
        <f t="shared" si="44"/>
        <v>0.000294117647058824</v>
      </c>
      <c r="R45" s="10">
        <f t="shared" si="44"/>
        <v>0.000277777777777778</v>
      </c>
      <c r="S45" s="10">
        <f t="shared" si="44"/>
        <v>0.000263157894736842</v>
      </c>
      <c r="T45" s="10">
        <f t="shared" si="44"/>
        <v>0.00025</v>
      </c>
      <c r="U45" s="10">
        <f t="shared" si="44"/>
        <v>0.000238095238095238</v>
      </c>
      <c r="V45" s="10">
        <f t="shared" si="44"/>
        <v>0.000227272727272727</v>
      </c>
      <c r="W45" s="10">
        <f t="shared" si="44"/>
        <v>0.000217391304347826</v>
      </c>
      <c r="X45" s="10">
        <f t="shared" si="44"/>
        <v>0.000208333333333333</v>
      </c>
      <c r="Y45" s="10">
        <f t="shared" si="44"/>
        <v>0.0002</v>
      </c>
    </row>
    <row r="46" spans="6:25">
      <c r="H46" s="7">
        <f t="shared" si="39"/>
        <v>50000</v>
      </c>
      <c r="I46" s="7">
        <f t="shared" si="42"/>
        <v>2500</v>
      </c>
      <c r="J46" s="10">
        <f t="shared" si="40"/>
        <v>0.0025</v>
      </c>
      <c r="K46" s="10">
        <f t="shared" ref="K46:Y46" si="45">$I46*$J$41/$F$2/K$41</f>
        <v>0.00166666666666667</v>
      </c>
      <c r="L46" s="10">
        <f t="shared" si="45"/>
        <v>0.00125</v>
      </c>
      <c r="M46" s="10">
        <f t="shared" si="45"/>
        <v>0.00104166666666667</v>
      </c>
      <c r="N46" s="10">
        <f t="shared" si="45"/>
        <v>0.000925925925925926</v>
      </c>
      <c r="O46" s="10">
        <f t="shared" si="45"/>
        <v>0.000833333333333333</v>
      </c>
      <c r="P46" s="10">
        <f t="shared" si="45"/>
        <v>0.00078125</v>
      </c>
      <c r="Q46" s="10">
        <f t="shared" si="45"/>
        <v>0.000735294117647059</v>
      </c>
      <c r="R46" s="10">
        <f t="shared" si="45"/>
        <v>0.000694444444444444</v>
      </c>
      <c r="S46" s="10">
        <f t="shared" si="45"/>
        <v>0.000657894736842105</v>
      </c>
      <c r="T46" s="10">
        <f t="shared" si="45"/>
        <v>0.000625</v>
      </c>
      <c r="U46" s="10">
        <f t="shared" si="45"/>
        <v>0.000595238095238095</v>
      </c>
      <c r="V46" s="10">
        <f t="shared" si="45"/>
        <v>0.000568181818181818</v>
      </c>
      <c r="W46" s="10">
        <f t="shared" si="45"/>
        <v>0.000543478260869565</v>
      </c>
      <c r="X46" s="10">
        <f t="shared" si="45"/>
        <v>0.000520833333333333</v>
      </c>
      <c r="Y46" s="10">
        <f t="shared" si="45"/>
        <v>0.0005</v>
      </c>
    </row>
    <row r="47" spans="6:25">
      <c r="H47" s="7">
        <f t="shared" si="39"/>
        <v>100000</v>
      </c>
      <c r="I47" s="7">
        <f t="shared" si="42"/>
        <v>5000</v>
      </c>
      <c r="J47" s="10">
        <f t="shared" si="40"/>
        <v>0.005</v>
      </c>
      <c r="K47" s="10">
        <f t="shared" ref="K47:Y47" si="46">$I47*$J$41/$F$2/K$41</f>
        <v>0.00333333333333333</v>
      </c>
      <c r="L47" s="10">
        <f t="shared" si="46"/>
        <v>0.0025</v>
      </c>
      <c r="M47" s="10">
        <f t="shared" si="46"/>
        <v>0.00208333333333333</v>
      </c>
      <c r="N47" s="10">
        <f t="shared" si="46"/>
        <v>0.00185185185185185</v>
      </c>
      <c r="O47" s="10">
        <f t="shared" si="46"/>
        <v>0.00166666666666667</v>
      </c>
      <c r="P47" s="10">
        <f t="shared" si="46"/>
        <v>0.0015625</v>
      </c>
      <c r="Q47" s="10">
        <f t="shared" si="46"/>
        <v>0.00147058823529412</v>
      </c>
      <c r="R47" s="10">
        <f t="shared" si="46"/>
        <v>0.00138888888888889</v>
      </c>
      <c r="S47" s="10">
        <f t="shared" si="46"/>
        <v>0.00131578947368421</v>
      </c>
      <c r="T47" s="10">
        <f t="shared" si="46"/>
        <v>0.00125</v>
      </c>
      <c r="U47" s="10">
        <f t="shared" si="46"/>
        <v>0.00119047619047619</v>
      </c>
      <c r="V47" s="10">
        <f t="shared" si="46"/>
        <v>0.00113636363636364</v>
      </c>
      <c r="W47" s="10">
        <f t="shared" si="46"/>
        <v>0.00108695652173913</v>
      </c>
      <c r="X47" s="10">
        <f t="shared" si="46"/>
        <v>0.00104166666666667</v>
      </c>
      <c r="Y47" s="10">
        <f t="shared" si="46"/>
        <v>0.001</v>
      </c>
    </row>
    <row r="48" spans="6:25">
      <c r="H48" s="7">
        <f t="shared" si="39"/>
        <v>200000</v>
      </c>
      <c r="I48" s="7">
        <f t="shared" si="42"/>
        <v>10000</v>
      </c>
      <c r="J48" s="10">
        <f t="shared" si="40"/>
        <v>0.01</v>
      </c>
      <c r="K48" s="10">
        <f t="shared" ref="K48:Y48" si="47">$I48*$J$41/$F$2/K$41</f>
        <v>0.00666666666666667</v>
      </c>
      <c r="L48" s="10">
        <f t="shared" si="47"/>
        <v>0.005</v>
      </c>
      <c r="M48" s="10">
        <f t="shared" si="47"/>
        <v>0.00416666666666667</v>
      </c>
      <c r="N48" s="10">
        <f t="shared" si="47"/>
        <v>0.0037037037037037</v>
      </c>
      <c r="O48" s="10">
        <f t="shared" si="47"/>
        <v>0.00333333333333333</v>
      </c>
      <c r="P48" s="10">
        <f t="shared" si="47"/>
        <v>0.003125</v>
      </c>
      <c r="Q48" s="10">
        <f t="shared" si="47"/>
        <v>0.00294117647058824</v>
      </c>
      <c r="R48" s="10">
        <f t="shared" si="47"/>
        <v>0.00277777777777778</v>
      </c>
      <c r="S48" s="10">
        <f t="shared" si="47"/>
        <v>0.00263157894736842</v>
      </c>
      <c r="T48" s="10">
        <f t="shared" si="47"/>
        <v>0.0025</v>
      </c>
      <c r="U48" s="10">
        <f t="shared" si="47"/>
        <v>0.00238095238095238</v>
      </c>
      <c r="V48" s="10">
        <f t="shared" si="47"/>
        <v>0.00227272727272727</v>
      </c>
      <c r="W48" s="10">
        <f t="shared" si="47"/>
        <v>0.00217391304347826</v>
      </c>
      <c r="X48" s="10">
        <f t="shared" si="47"/>
        <v>0.00208333333333333</v>
      </c>
      <c r="Y48" s="10">
        <f t="shared" si="47"/>
        <v>0.002</v>
      </c>
    </row>
    <row r="49" spans="6:25">
      <c r="H49" s="7">
        <f t="shared" si="39"/>
        <v>500000</v>
      </c>
      <c r="I49" s="7">
        <f t="shared" si="42"/>
        <v>25000</v>
      </c>
      <c r="J49" s="10">
        <f t="shared" si="40"/>
        <v>0.025</v>
      </c>
      <c r="K49" s="10">
        <f t="shared" ref="K49:Y49" si="48">$I49*$J$41/$F$2/K$41</f>
        <v>0.0166666666666667</v>
      </c>
      <c r="L49" s="10">
        <f t="shared" si="48"/>
        <v>0.0125</v>
      </c>
      <c r="M49" s="10">
        <f t="shared" si="48"/>
        <v>0.0104166666666667</v>
      </c>
      <c r="N49" s="10">
        <f t="shared" si="48"/>
        <v>0.00925925925925926</v>
      </c>
      <c r="O49" s="10">
        <f t="shared" si="48"/>
        <v>0.00833333333333333</v>
      </c>
      <c r="P49" s="10">
        <f t="shared" si="48"/>
        <v>0.0078125</v>
      </c>
      <c r="Q49" s="10">
        <f t="shared" si="48"/>
        <v>0.00735294117647059</v>
      </c>
      <c r="R49" s="10">
        <f t="shared" si="48"/>
        <v>0.00694444444444444</v>
      </c>
      <c r="S49" s="10">
        <f t="shared" si="48"/>
        <v>0.00657894736842105</v>
      </c>
      <c r="T49" s="10">
        <f t="shared" si="48"/>
        <v>0.00625</v>
      </c>
      <c r="U49" s="10">
        <f t="shared" si="48"/>
        <v>0.00595238095238095</v>
      </c>
      <c r="V49" s="10">
        <f t="shared" si="48"/>
        <v>0.00568181818181818</v>
      </c>
      <c r="W49" s="10">
        <f t="shared" si="48"/>
        <v>0.00543478260869565</v>
      </c>
      <c r="X49" s="10">
        <f t="shared" si="48"/>
        <v>0.00520833333333333</v>
      </c>
      <c r="Y49" s="10">
        <f t="shared" si="48"/>
        <v>0.005</v>
      </c>
    </row>
    <row r="50" spans="6:25">
      <c r="H50" s="7">
        <f t="shared" si="39"/>
        <v>2000000</v>
      </c>
      <c r="I50" s="7">
        <f t="shared" si="42"/>
        <v>100000</v>
      </c>
      <c r="J50" s="10">
        <f t="shared" si="40"/>
        <v>0.1</v>
      </c>
      <c r="K50" s="10">
        <f t="shared" ref="K50:Y50" si="49">$I50*$J$41/$F$2/K$41</f>
        <v>0.0666666666666667</v>
      </c>
      <c r="L50" s="10">
        <f t="shared" si="49"/>
        <v>0.05</v>
      </c>
      <c r="M50" s="10">
        <f t="shared" si="49"/>
        <v>0.0416666666666667</v>
      </c>
      <c r="N50" s="10">
        <f t="shared" si="49"/>
        <v>0.037037037037037</v>
      </c>
      <c r="O50" s="10">
        <f t="shared" si="49"/>
        <v>0.0333333333333333</v>
      </c>
      <c r="P50" s="10">
        <f t="shared" si="49"/>
        <v>0.03125</v>
      </c>
      <c r="Q50" s="10">
        <f t="shared" si="49"/>
        <v>0.0294117647058824</v>
      </c>
      <c r="R50" s="10">
        <f t="shared" si="49"/>
        <v>0.0277777777777778</v>
      </c>
      <c r="S50" s="10">
        <f t="shared" si="49"/>
        <v>0.0263157894736842</v>
      </c>
      <c r="T50" s="10">
        <f t="shared" si="49"/>
        <v>0.025</v>
      </c>
      <c r="U50" s="10">
        <f t="shared" si="49"/>
        <v>0.0238095238095238</v>
      </c>
      <c r="V50" s="10">
        <f t="shared" si="49"/>
        <v>0.0227272727272727</v>
      </c>
      <c r="W50" s="10">
        <f t="shared" si="49"/>
        <v>0.0217391304347826</v>
      </c>
      <c r="X50" s="10">
        <f t="shared" si="49"/>
        <v>0.0208333333333333</v>
      </c>
      <c r="Y50" s="10">
        <f t="shared" si="49"/>
        <v>0.02</v>
      </c>
    </row>
    <row r="51" spans="6:25">
      <c r="H51" s="7">
        <f t="shared" si="39"/>
        <v>5000000</v>
      </c>
      <c r="I51" s="7">
        <f t="shared" si="42"/>
        <v>250000</v>
      </c>
      <c r="J51" s="10">
        <f t="shared" si="40"/>
        <v>0.25</v>
      </c>
      <c r="K51" s="10">
        <f t="shared" ref="K51:Y51" si="50">$I51*$J$41/$F$2/K$41</f>
        <v>0.166666666666667</v>
      </c>
      <c r="L51" s="10">
        <f t="shared" si="50"/>
        <v>0.125</v>
      </c>
      <c r="M51" s="10">
        <f t="shared" si="50"/>
        <v>0.104166666666667</v>
      </c>
      <c r="N51" s="10">
        <f t="shared" si="50"/>
        <v>0.0925925925925926</v>
      </c>
      <c r="O51" s="10">
        <f t="shared" si="50"/>
        <v>0.0833333333333333</v>
      </c>
      <c r="P51" s="10">
        <f t="shared" si="50"/>
        <v>0.078125</v>
      </c>
      <c r="Q51" s="10">
        <f t="shared" si="50"/>
        <v>0.0735294117647059</v>
      </c>
      <c r="R51" s="10">
        <f t="shared" si="50"/>
        <v>0.0694444444444444</v>
      </c>
      <c r="S51" s="10">
        <f t="shared" si="50"/>
        <v>0.0657894736842105</v>
      </c>
      <c r="T51" s="10">
        <f t="shared" si="50"/>
        <v>0.0625</v>
      </c>
      <c r="U51" s="10">
        <f t="shared" si="50"/>
        <v>0.0595238095238095</v>
      </c>
      <c r="V51" s="10">
        <f t="shared" si="50"/>
        <v>0.0568181818181818</v>
      </c>
      <c r="W51" s="10">
        <f t="shared" si="50"/>
        <v>0.0543478260869565</v>
      </c>
      <c r="X51" s="10">
        <f t="shared" si="50"/>
        <v>0.0520833333333333</v>
      </c>
      <c r="Y51" s="10">
        <f t="shared" si="50"/>
        <v>0.05</v>
      </c>
    </row>
    <row r="52" spans="6:25">
      <c r="H52" s="7">
        <f t="shared" si="39"/>
        <v>10000000</v>
      </c>
      <c r="I52" s="7">
        <f t="shared" si="42"/>
        <v>500000</v>
      </c>
      <c r="J52" s="10">
        <f t="shared" si="40"/>
        <v>0.5</v>
      </c>
      <c r="K52" s="10">
        <f t="shared" ref="K52:Y52" si="51">$I52*$J$41/$F$2/K$41</f>
        <v>0.333333333333333</v>
      </c>
      <c r="L52" s="10">
        <f t="shared" si="51"/>
        <v>0.25</v>
      </c>
      <c r="M52" s="10">
        <f t="shared" si="51"/>
        <v>0.208333333333333</v>
      </c>
      <c r="N52" s="10">
        <f t="shared" si="51"/>
        <v>0.185185185185185</v>
      </c>
      <c r="O52" s="10">
        <f t="shared" si="51"/>
        <v>0.166666666666667</v>
      </c>
      <c r="P52" s="10">
        <f t="shared" si="51"/>
        <v>0.15625</v>
      </c>
      <c r="Q52" s="10">
        <f t="shared" si="51"/>
        <v>0.147058823529412</v>
      </c>
      <c r="R52" s="10">
        <f t="shared" si="51"/>
        <v>0.138888888888889</v>
      </c>
      <c r="S52" s="10">
        <f t="shared" si="51"/>
        <v>0.131578947368421</v>
      </c>
      <c r="T52" s="10">
        <f t="shared" si="51"/>
        <v>0.125</v>
      </c>
      <c r="U52" s="10">
        <f t="shared" si="51"/>
        <v>0.119047619047619</v>
      </c>
      <c r="V52" s="10">
        <f t="shared" si="51"/>
        <v>0.113636363636364</v>
      </c>
      <c r="W52" s="10">
        <f t="shared" si="51"/>
        <v>0.108695652173913</v>
      </c>
      <c r="X52" s="10">
        <f t="shared" si="51"/>
        <v>0.104166666666667</v>
      </c>
      <c r="Y52" s="10">
        <f t="shared" si="51"/>
        <v>0.1</v>
      </c>
    </row>
    <row r="53" spans="6:25">
      <c r="H53" s="7">
        <f t="shared" si="39"/>
        <v>20000000</v>
      </c>
      <c r="I53" s="7">
        <f t="shared" si="42"/>
        <v>1000000</v>
      </c>
      <c r="J53" s="10">
        <f t="shared" si="40"/>
        <v>1</v>
      </c>
      <c r="K53" s="10">
        <f t="shared" ref="K53:Y53" si="52">$I53*$J$41/$F$2/K$41</f>
        <v>0.666666666666667</v>
      </c>
      <c r="L53" s="10">
        <f t="shared" si="52"/>
        <v>0.5</v>
      </c>
      <c r="M53" s="10">
        <f t="shared" si="52"/>
        <v>0.416666666666667</v>
      </c>
      <c r="N53" s="10">
        <f t="shared" si="52"/>
        <v>0.37037037037037</v>
      </c>
      <c r="O53" s="10">
        <f t="shared" si="52"/>
        <v>0.333333333333333</v>
      </c>
      <c r="P53" s="10">
        <f t="shared" si="52"/>
        <v>0.3125</v>
      </c>
      <c r="Q53" s="10">
        <f t="shared" si="52"/>
        <v>0.294117647058824</v>
      </c>
      <c r="R53" s="10">
        <f t="shared" si="52"/>
        <v>0.277777777777778</v>
      </c>
      <c r="S53" s="10">
        <f t="shared" si="52"/>
        <v>0.263157894736842</v>
      </c>
      <c r="T53" s="10">
        <f t="shared" si="52"/>
        <v>0.25</v>
      </c>
      <c r="U53" s="10">
        <f t="shared" si="52"/>
        <v>0.238095238095238</v>
      </c>
      <c r="V53" s="10">
        <f t="shared" si="52"/>
        <v>0.227272727272727</v>
      </c>
      <c r="W53" s="10">
        <f t="shared" si="52"/>
        <v>0.217391304347826</v>
      </c>
      <c r="X53" s="10">
        <f t="shared" si="52"/>
        <v>0.208333333333333</v>
      </c>
      <c r="Y53" s="10">
        <f t="shared" si="52"/>
        <v>0.2</v>
      </c>
    </row>
    <row r="55" spans="6:25">
      <c r="F55" s="4" t="s">
        <v>38</v>
      </c>
      <c r="H55" s="7"/>
      <c r="I55" s="7"/>
      <c r="J55" s="7">
        <v>250000</v>
      </c>
      <c r="K55" s="7">
        <v>375000</v>
      </c>
      <c r="L55" s="7">
        <v>500000</v>
      </c>
      <c r="M55" s="7">
        <v>600000</v>
      </c>
      <c r="N55" s="7">
        <v>675000</v>
      </c>
      <c r="O55" s="7">
        <v>750000</v>
      </c>
      <c r="P55" s="7">
        <v>800000</v>
      </c>
      <c r="Q55" s="7">
        <v>850000</v>
      </c>
      <c r="R55" s="7">
        <v>900000</v>
      </c>
      <c r="S55" s="7">
        <v>950000</v>
      </c>
      <c r="T55" s="7">
        <v>1000000</v>
      </c>
      <c r="U55" s="7">
        <v>1050000</v>
      </c>
      <c r="V55" s="7">
        <v>1100000</v>
      </c>
      <c r="W55" s="7">
        <v>1150000</v>
      </c>
      <c r="X55" s="7">
        <v>1200000</v>
      </c>
      <c r="Y55" s="7">
        <v>1250000</v>
      </c>
    </row>
    <row r="56" spans="6:25">
      <c r="H56" s="7" t="s">
        <v>5</v>
      </c>
      <c r="I56" s="7" t="s">
        <v>7</v>
      </c>
      <c r="J56" s="7">
        <v>0</v>
      </c>
      <c r="K56" s="6">
        <v>1</v>
      </c>
      <c r="L56" s="6">
        <v>2</v>
      </c>
      <c r="M56" s="6">
        <v>3</v>
      </c>
      <c r="N56" s="6">
        <v>4</v>
      </c>
      <c r="O56" s="6">
        <v>5</v>
      </c>
      <c r="P56" s="6">
        <v>6</v>
      </c>
      <c r="Q56" s="6">
        <v>7</v>
      </c>
      <c r="R56" s="6">
        <v>8</v>
      </c>
      <c r="S56" s="6">
        <v>9</v>
      </c>
      <c r="T56" s="6">
        <v>10</v>
      </c>
      <c r="U56" s="6">
        <v>11</v>
      </c>
      <c r="V56" s="6">
        <v>12</v>
      </c>
      <c r="W56" s="6">
        <v>13</v>
      </c>
      <c r="X56" s="6">
        <v>14</v>
      </c>
      <c r="Y56" s="6">
        <v>15</v>
      </c>
    </row>
    <row r="57" spans="6:25">
      <c r="H57" s="7">
        <f t="shared" ref="H57:H67" si="53">H43</f>
        <v>1000</v>
      </c>
      <c r="I57" s="7">
        <f>I43</f>
        <v>50</v>
      </c>
      <c r="J57" s="13">
        <f ca="1" t="shared" ref="J57:Y57" si="54">IF($O29=0,0,$O29/$F$2/($Q29*J43))</f>
        <v>8</v>
      </c>
      <c r="K57" s="13">
        <f ca="1" t="shared" si="54"/>
        <v>12</v>
      </c>
      <c r="L57" s="13">
        <f ca="1" t="shared" si="54"/>
        <v>16</v>
      </c>
      <c r="M57" s="13">
        <f ca="1" t="shared" si="54"/>
        <v>19.2</v>
      </c>
      <c r="N57" s="13">
        <f ca="1" t="shared" si="54"/>
        <v>21.6</v>
      </c>
      <c r="O57" s="13">
        <f ca="1" t="shared" si="54"/>
        <v>24</v>
      </c>
      <c r="P57" s="13">
        <f ca="1" t="shared" si="54"/>
        <v>25.6</v>
      </c>
      <c r="Q57" s="13">
        <f ca="1" t="shared" si="54"/>
        <v>27.2</v>
      </c>
      <c r="R57" s="13">
        <f ca="1" t="shared" si="54"/>
        <v>28.8</v>
      </c>
      <c r="S57" s="13">
        <f ca="1" t="shared" si="54"/>
        <v>30.4</v>
      </c>
      <c r="T57" s="13">
        <f ca="1" t="shared" si="54"/>
        <v>32</v>
      </c>
      <c r="U57" s="13">
        <f ca="1" t="shared" si="54"/>
        <v>33.6</v>
      </c>
      <c r="V57" s="13">
        <f ca="1" t="shared" si="54"/>
        <v>35.1999999999999</v>
      </c>
      <c r="W57" s="13">
        <f ca="1" t="shared" si="54"/>
        <v>36.8</v>
      </c>
      <c r="X57" s="13">
        <f ca="1" t="shared" si="54"/>
        <v>38.3999999999999</v>
      </c>
      <c r="Y57" s="13">
        <f ca="1" t="shared" si="54"/>
        <v>40</v>
      </c>
    </row>
    <row r="58" spans="6:25">
      <c r="H58" s="7">
        <f t="shared" si="53"/>
        <v>5000</v>
      </c>
      <c r="I58" s="7">
        <f t="shared" ref="I58:I67" si="55">I44</f>
        <v>250</v>
      </c>
      <c r="J58" s="13">
        <f t="shared" ref="J58:Y58" si="56">IF($O30=0,0,$O30/$F$2/($Q30*J44))</f>
        <v>1.6</v>
      </c>
      <c r="K58" s="13">
        <f t="shared" si="56"/>
        <v>2.4</v>
      </c>
      <c r="L58" s="13">
        <f t="shared" si="56"/>
        <v>3.2</v>
      </c>
      <c r="M58" s="13">
        <f t="shared" si="56"/>
        <v>3.84</v>
      </c>
      <c r="N58" s="13">
        <f t="shared" si="56"/>
        <v>4.32</v>
      </c>
      <c r="O58" s="13">
        <f t="shared" si="56"/>
        <v>4.8</v>
      </c>
      <c r="P58" s="13">
        <f t="shared" si="56"/>
        <v>5.12</v>
      </c>
      <c r="Q58" s="13">
        <f t="shared" si="56"/>
        <v>5.44</v>
      </c>
      <c r="R58" s="13">
        <f t="shared" si="56"/>
        <v>5.76</v>
      </c>
      <c r="S58" s="13">
        <f t="shared" si="56"/>
        <v>6.08</v>
      </c>
      <c r="T58" s="13">
        <f t="shared" si="56"/>
        <v>6.4</v>
      </c>
      <c r="U58" s="13">
        <f t="shared" si="56"/>
        <v>6.72</v>
      </c>
      <c r="V58" s="13">
        <f t="shared" si="56"/>
        <v>7.04</v>
      </c>
      <c r="W58" s="13">
        <f t="shared" si="56"/>
        <v>7.36</v>
      </c>
      <c r="X58" s="13">
        <f t="shared" si="56"/>
        <v>7.68</v>
      </c>
      <c r="Y58" s="13">
        <f t="shared" si="56"/>
        <v>8</v>
      </c>
    </row>
    <row r="59" spans="6:25">
      <c r="H59" s="7">
        <f t="shared" si="53"/>
        <v>20000</v>
      </c>
      <c r="I59" s="7">
        <f t="shared" si="55"/>
        <v>1000</v>
      </c>
      <c r="J59" s="13">
        <f t="shared" ref="J59:Y59" si="57">IF($O31=0,0,$O31/$F$2/($Q31*J45))</f>
        <v>3.7269</v>
      </c>
      <c r="K59" s="13">
        <f t="shared" si="57"/>
        <v>5.59035</v>
      </c>
      <c r="L59" s="13">
        <f t="shared" si="57"/>
        <v>7.4538</v>
      </c>
      <c r="M59" s="13">
        <f t="shared" si="57"/>
        <v>8.94456</v>
      </c>
      <c r="N59" s="13">
        <f t="shared" si="57"/>
        <v>10.06263</v>
      </c>
      <c r="O59" s="13">
        <f t="shared" si="57"/>
        <v>11.1807</v>
      </c>
      <c r="P59" s="13">
        <f t="shared" si="57"/>
        <v>11.92608</v>
      </c>
      <c r="Q59" s="13">
        <f t="shared" si="57"/>
        <v>12.67146</v>
      </c>
      <c r="R59" s="13">
        <f t="shared" si="57"/>
        <v>13.41684</v>
      </c>
      <c r="S59" s="13">
        <f t="shared" si="57"/>
        <v>14.16222</v>
      </c>
      <c r="T59" s="13">
        <f t="shared" si="57"/>
        <v>14.9076</v>
      </c>
      <c r="U59" s="13">
        <f t="shared" si="57"/>
        <v>15.65298</v>
      </c>
      <c r="V59" s="13">
        <f t="shared" si="57"/>
        <v>16.39836</v>
      </c>
      <c r="W59" s="13">
        <f t="shared" si="57"/>
        <v>17.14374</v>
      </c>
      <c r="X59" s="13">
        <f t="shared" si="57"/>
        <v>17.88912</v>
      </c>
      <c r="Y59" s="13">
        <f t="shared" si="57"/>
        <v>18.6345</v>
      </c>
    </row>
    <row r="60" spans="6:25">
      <c r="H60" s="7">
        <f t="shared" si="53"/>
        <v>50000</v>
      </c>
      <c r="I60" s="7">
        <f t="shared" si="55"/>
        <v>2500</v>
      </c>
      <c r="J60" s="13">
        <f t="shared" ref="J60:Y60" si="58">IF($O32=0,0,$O32/$F$2/($Q32*J46))</f>
        <v>0.80444</v>
      </c>
      <c r="K60" s="13">
        <f t="shared" si="58"/>
        <v>1.20666</v>
      </c>
      <c r="L60" s="13">
        <f t="shared" si="58"/>
        <v>1.60888</v>
      </c>
      <c r="M60" s="13">
        <f t="shared" si="58"/>
        <v>1.930656</v>
      </c>
      <c r="N60" s="13">
        <f t="shared" si="58"/>
        <v>2.171988</v>
      </c>
      <c r="O60" s="13">
        <f t="shared" si="58"/>
        <v>2.41332</v>
      </c>
      <c r="P60" s="13">
        <f t="shared" si="58"/>
        <v>2.574208</v>
      </c>
      <c r="Q60" s="13">
        <f t="shared" si="58"/>
        <v>2.735096</v>
      </c>
      <c r="R60" s="13">
        <f t="shared" si="58"/>
        <v>2.895984</v>
      </c>
      <c r="S60" s="13">
        <f t="shared" si="58"/>
        <v>3.056872</v>
      </c>
      <c r="T60" s="13">
        <f t="shared" si="58"/>
        <v>3.21776</v>
      </c>
      <c r="U60" s="13">
        <f t="shared" si="58"/>
        <v>3.378648</v>
      </c>
      <c r="V60" s="13">
        <f t="shared" si="58"/>
        <v>3.539536</v>
      </c>
      <c r="W60" s="13">
        <f t="shared" si="58"/>
        <v>3.700424</v>
      </c>
      <c r="X60" s="13">
        <f t="shared" si="58"/>
        <v>3.861312</v>
      </c>
      <c r="Y60" s="13">
        <f t="shared" si="58"/>
        <v>4.0222</v>
      </c>
    </row>
    <row r="61" spans="6:25">
      <c r="H61" s="7">
        <f t="shared" si="53"/>
        <v>100000</v>
      </c>
      <c r="I61" s="7">
        <f t="shared" si="55"/>
        <v>5000</v>
      </c>
      <c r="J61" s="13">
        <f t="shared" ref="J61:Y61" si="59">IF($O33=0,0,$O33/$F$2/($Q33*J47))</f>
        <v>0.21636</v>
      </c>
      <c r="K61" s="13">
        <f t="shared" si="59"/>
        <v>0.32454</v>
      </c>
      <c r="L61" s="13">
        <f t="shared" si="59"/>
        <v>0.43272</v>
      </c>
      <c r="M61" s="13">
        <f t="shared" si="59"/>
        <v>0.519264</v>
      </c>
      <c r="N61" s="13">
        <f t="shared" si="59"/>
        <v>0.584172</v>
      </c>
      <c r="O61" s="13">
        <f t="shared" si="59"/>
        <v>0.64908</v>
      </c>
      <c r="P61" s="13">
        <f t="shared" si="59"/>
        <v>0.692352</v>
      </c>
      <c r="Q61" s="13">
        <f t="shared" si="59"/>
        <v>0.735624</v>
      </c>
      <c r="R61" s="13">
        <f t="shared" si="59"/>
        <v>0.778896</v>
      </c>
      <c r="S61" s="13">
        <f t="shared" si="59"/>
        <v>0.822168</v>
      </c>
      <c r="T61" s="13">
        <f t="shared" si="59"/>
        <v>0.86544</v>
      </c>
      <c r="U61" s="13">
        <f t="shared" si="59"/>
        <v>0.908712</v>
      </c>
      <c r="V61" s="13">
        <f t="shared" si="59"/>
        <v>0.951984</v>
      </c>
      <c r="W61" s="13">
        <f t="shared" si="59"/>
        <v>0.995256</v>
      </c>
      <c r="X61" s="13">
        <f t="shared" si="59"/>
        <v>1.038528</v>
      </c>
      <c r="Y61" s="13">
        <f t="shared" si="59"/>
        <v>1.0818</v>
      </c>
    </row>
    <row r="62" spans="6:25">
      <c r="H62" s="7">
        <f t="shared" si="53"/>
        <v>200000</v>
      </c>
      <c r="I62" s="7">
        <f t="shared" si="55"/>
        <v>10000</v>
      </c>
      <c r="J62" s="13">
        <f t="shared" ref="J62:Y62" si="60">IF($O34=0,0,$O34/$F$2/($Q34*J48))</f>
        <v>0.4989875</v>
      </c>
      <c r="K62" s="13">
        <f t="shared" si="60"/>
        <v>0.74848125</v>
      </c>
      <c r="L62" s="13">
        <f t="shared" si="60"/>
        <v>0.997975</v>
      </c>
      <c r="M62" s="13">
        <f t="shared" si="60"/>
        <v>1.19757</v>
      </c>
      <c r="N62" s="13">
        <f t="shared" si="60"/>
        <v>1.34726625</v>
      </c>
      <c r="O62" s="13">
        <f t="shared" si="60"/>
        <v>1.4969625</v>
      </c>
      <c r="P62" s="13">
        <f t="shared" si="60"/>
        <v>1.59676</v>
      </c>
      <c r="Q62" s="13">
        <f t="shared" si="60"/>
        <v>1.6965575</v>
      </c>
      <c r="R62" s="13">
        <f t="shared" si="60"/>
        <v>1.796355</v>
      </c>
      <c r="S62" s="13">
        <f t="shared" si="60"/>
        <v>1.8961525</v>
      </c>
      <c r="T62" s="13">
        <f t="shared" si="60"/>
        <v>1.99595</v>
      </c>
      <c r="U62" s="13">
        <f t="shared" si="60"/>
        <v>2.0957475</v>
      </c>
      <c r="V62" s="13">
        <f t="shared" si="60"/>
        <v>2.195545</v>
      </c>
      <c r="W62" s="13">
        <f t="shared" si="60"/>
        <v>2.2953425</v>
      </c>
      <c r="X62" s="13">
        <f t="shared" si="60"/>
        <v>2.39514</v>
      </c>
      <c r="Y62" s="13">
        <f t="shared" si="60"/>
        <v>2.4949375</v>
      </c>
    </row>
    <row r="63" spans="6:25">
      <c r="H63" s="7">
        <f t="shared" si="53"/>
        <v>500000</v>
      </c>
      <c r="I63" s="7">
        <f t="shared" si="55"/>
        <v>25000</v>
      </c>
      <c r="J63" s="13">
        <f>IF($O35=0,0,$O35/$F$2/($Q35*J49))</f>
        <v>0.37818</v>
      </c>
      <c r="K63" s="13">
        <f t="shared" ref="J63:Y63" si="61">IF($O35=0,0,$O35/$F$2/($Q35*K49))</f>
        <v>0.56727</v>
      </c>
      <c r="L63" s="13">
        <f t="shared" si="61"/>
        <v>0.75636</v>
      </c>
      <c r="M63" s="13">
        <f t="shared" si="61"/>
        <v>0.907632</v>
      </c>
      <c r="N63" s="13">
        <f t="shared" si="61"/>
        <v>1.021086</v>
      </c>
      <c r="O63" s="13">
        <f t="shared" si="61"/>
        <v>1.13454</v>
      </c>
      <c r="P63" s="13">
        <f t="shared" si="61"/>
        <v>1.210176</v>
      </c>
      <c r="Q63" s="13">
        <f t="shared" si="61"/>
        <v>1.285812</v>
      </c>
      <c r="R63" s="13">
        <f t="shared" si="61"/>
        <v>1.361448</v>
      </c>
      <c r="S63" s="13">
        <f t="shared" si="61"/>
        <v>1.437084</v>
      </c>
      <c r="T63" s="13">
        <f t="shared" si="61"/>
        <v>1.51272</v>
      </c>
      <c r="U63" s="13">
        <f t="shared" si="61"/>
        <v>1.588356</v>
      </c>
      <c r="V63" s="13">
        <f t="shared" si="61"/>
        <v>1.663992</v>
      </c>
      <c r="W63" s="13">
        <f t="shared" si="61"/>
        <v>1.739628</v>
      </c>
      <c r="X63" s="13">
        <f t="shared" si="61"/>
        <v>1.815264</v>
      </c>
      <c r="Y63" s="13">
        <f t="shared" si="61"/>
        <v>1.8909</v>
      </c>
    </row>
    <row r="64" spans="6:25">
      <c r="H64" s="7">
        <f t="shared" si="53"/>
        <v>2000000</v>
      </c>
      <c r="I64" s="7">
        <f t="shared" si="55"/>
        <v>100000</v>
      </c>
      <c r="J64" s="13">
        <f t="shared" ref="J64:Y64" si="62">IF($O36=0,0,$O36/$F$2/($Q36*J50))</f>
        <v>0.15494875</v>
      </c>
      <c r="K64" s="13">
        <f t="shared" si="62"/>
        <v>0.232423125</v>
      </c>
      <c r="L64" s="13">
        <f t="shared" si="62"/>
        <v>0.3098975</v>
      </c>
      <c r="M64" s="13">
        <f t="shared" si="62"/>
        <v>0.371877</v>
      </c>
      <c r="N64" s="13">
        <f t="shared" si="62"/>
        <v>0.418361625</v>
      </c>
      <c r="O64" s="13">
        <f t="shared" si="62"/>
        <v>0.46484625</v>
      </c>
      <c r="P64" s="13">
        <f t="shared" si="62"/>
        <v>0.495836</v>
      </c>
      <c r="Q64" s="13">
        <f t="shared" si="62"/>
        <v>0.52682575</v>
      </c>
      <c r="R64" s="13">
        <f t="shared" si="62"/>
        <v>0.5578155</v>
      </c>
      <c r="S64" s="13">
        <f t="shared" si="62"/>
        <v>0.58880525</v>
      </c>
      <c r="T64" s="13">
        <f t="shared" si="62"/>
        <v>0.619795</v>
      </c>
      <c r="U64" s="13">
        <f t="shared" si="62"/>
        <v>0.65078475</v>
      </c>
      <c r="V64" s="13">
        <f t="shared" si="62"/>
        <v>0.6817745</v>
      </c>
      <c r="W64" s="13">
        <f t="shared" si="62"/>
        <v>0.71276425</v>
      </c>
      <c r="X64" s="13">
        <f t="shared" si="62"/>
        <v>0.743754</v>
      </c>
      <c r="Y64" s="13">
        <f t="shared" si="62"/>
        <v>0.77474375</v>
      </c>
    </row>
    <row r="65" spans="6:25">
      <c r="H65" s="7">
        <f t="shared" si="53"/>
        <v>5000000</v>
      </c>
      <c r="I65" s="7">
        <f t="shared" si="55"/>
        <v>250000</v>
      </c>
      <c r="J65" s="13">
        <f t="shared" ref="J65:Y65" si="63">IF($O37=0,0,$O37/$F$2/($Q37*J51))</f>
        <v>0.0871915</v>
      </c>
      <c r="K65" s="13">
        <f t="shared" si="63"/>
        <v>0.13078725</v>
      </c>
      <c r="L65" s="13">
        <f t="shared" si="63"/>
        <v>0.174383</v>
      </c>
      <c r="M65" s="13">
        <f t="shared" si="63"/>
        <v>0.2092596</v>
      </c>
      <c r="N65" s="13">
        <f t="shared" si="63"/>
        <v>0.23541705</v>
      </c>
      <c r="O65" s="13">
        <f t="shared" si="63"/>
        <v>0.2615745</v>
      </c>
      <c r="P65" s="13">
        <f t="shared" si="63"/>
        <v>0.2790128</v>
      </c>
      <c r="Q65" s="13">
        <f t="shared" si="63"/>
        <v>0.2964511</v>
      </c>
      <c r="R65" s="13">
        <f t="shared" si="63"/>
        <v>0.3138894</v>
      </c>
      <c r="S65" s="13">
        <f t="shared" si="63"/>
        <v>0.3313277</v>
      </c>
      <c r="T65" s="13">
        <f t="shared" si="63"/>
        <v>0.348766</v>
      </c>
      <c r="U65" s="13">
        <f t="shared" si="63"/>
        <v>0.3662043</v>
      </c>
      <c r="V65" s="13">
        <f t="shared" si="63"/>
        <v>0.3836426</v>
      </c>
      <c r="W65" s="13">
        <f t="shared" si="63"/>
        <v>0.4010809</v>
      </c>
      <c r="X65" s="13">
        <f t="shared" si="63"/>
        <v>0.4185192</v>
      </c>
      <c r="Y65" s="13">
        <f t="shared" si="63"/>
        <v>0.4359575</v>
      </c>
    </row>
    <row r="66" spans="6:25">
      <c r="H66" s="7">
        <f t="shared" si="53"/>
        <v>10000000</v>
      </c>
      <c r="I66" s="7">
        <f t="shared" si="55"/>
        <v>500000</v>
      </c>
      <c r="J66" s="13">
        <f t="shared" ref="J66:Y66" si="64">IF($O38=0,0,$O38/$F$2/($Q38*J52))</f>
        <v>0.069333</v>
      </c>
      <c r="K66" s="13">
        <f t="shared" si="64"/>
        <v>0.1039995</v>
      </c>
      <c r="L66" s="13">
        <f t="shared" si="64"/>
        <v>0.138666</v>
      </c>
      <c r="M66" s="13">
        <f t="shared" si="64"/>
        <v>0.1663992</v>
      </c>
      <c r="N66" s="13">
        <f t="shared" si="64"/>
        <v>0.1871991</v>
      </c>
      <c r="O66" s="13">
        <f t="shared" si="64"/>
        <v>0.207999</v>
      </c>
      <c r="P66" s="13">
        <f t="shared" si="64"/>
        <v>0.2218656</v>
      </c>
      <c r="Q66" s="13">
        <f t="shared" si="64"/>
        <v>0.2357322</v>
      </c>
      <c r="R66" s="13">
        <f t="shared" si="64"/>
        <v>0.2495988</v>
      </c>
      <c r="S66" s="13">
        <f t="shared" si="64"/>
        <v>0.2634654</v>
      </c>
      <c r="T66" s="13">
        <f t="shared" si="64"/>
        <v>0.277332</v>
      </c>
      <c r="U66" s="13">
        <f t="shared" si="64"/>
        <v>0.2911986</v>
      </c>
      <c r="V66" s="13">
        <f t="shared" si="64"/>
        <v>0.3050652</v>
      </c>
      <c r="W66" s="13">
        <f t="shared" si="64"/>
        <v>0.3189318</v>
      </c>
      <c r="X66" s="13">
        <f t="shared" si="64"/>
        <v>0.3327984</v>
      </c>
      <c r="Y66" s="13">
        <f t="shared" si="64"/>
        <v>0.346665</v>
      </c>
    </row>
    <row r="67" spans="6:25">
      <c r="H67" s="7">
        <f t="shared" si="53"/>
        <v>20000000</v>
      </c>
      <c r="I67" s="7">
        <f t="shared" si="55"/>
        <v>1000000</v>
      </c>
      <c r="J67" s="13">
        <f t="shared" ref="J67:Y67" si="65">IF($O39=0,0,$O39/$F$2/($Q39*J53))</f>
        <v>0.052525</v>
      </c>
      <c r="K67" s="13">
        <f t="shared" si="65"/>
        <v>0.0787875</v>
      </c>
      <c r="L67" s="13">
        <f t="shared" si="65"/>
        <v>0.10505</v>
      </c>
      <c r="M67" s="13">
        <f t="shared" si="65"/>
        <v>0.12606</v>
      </c>
      <c r="N67" s="13">
        <f t="shared" si="65"/>
        <v>0.1418175</v>
      </c>
      <c r="O67" s="13">
        <f t="shared" si="65"/>
        <v>0.157575</v>
      </c>
      <c r="P67" s="13">
        <f t="shared" si="65"/>
        <v>0.16808</v>
      </c>
      <c r="Q67" s="13">
        <f t="shared" si="65"/>
        <v>0.178585</v>
      </c>
      <c r="R67" s="13">
        <f t="shared" si="65"/>
        <v>0.18909</v>
      </c>
      <c r="S67" s="13">
        <f t="shared" si="65"/>
        <v>0.199595</v>
      </c>
      <c r="T67" s="13">
        <f t="shared" si="65"/>
        <v>0.2101</v>
      </c>
      <c r="U67" s="13">
        <f t="shared" si="65"/>
        <v>0.220605</v>
      </c>
      <c r="V67" s="13">
        <f t="shared" si="65"/>
        <v>0.23111</v>
      </c>
      <c r="W67" s="13">
        <f t="shared" si="65"/>
        <v>0.241615</v>
      </c>
      <c r="X67" s="13">
        <f t="shared" si="65"/>
        <v>0.25212</v>
      </c>
      <c r="Y67" s="13">
        <f t="shared" si="65"/>
        <v>0.262625</v>
      </c>
    </row>
    <row r="69" spans="6:25">
      <c r="F69" s="4" t="s">
        <v>39</v>
      </c>
      <c r="H69" s="7"/>
      <c r="I69" s="7"/>
      <c r="J69" s="7">
        <v>250000</v>
      </c>
      <c r="K69" s="7">
        <v>375000</v>
      </c>
      <c r="L69" s="7">
        <v>500000</v>
      </c>
      <c r="M69" s="7">
        <v>600000</v>
      </c>
      <c r="N69" s="7">
        <v>675000</v>
      </c>
      <c r="O69" s="7">
        <v>750000</v>
      </c>
      <c r="P69" s="7">
        <v>800000</v>
      </c>
      <c r="Q69" s="7">
        <v>850000</v>
      </c>
      <c r="R69" s="7">
        <v>900000</v>
      </c>
      <c r="S69" s="7">
        <v>950000</v>
      </c>
      <c r="T69" s="7">
        <v>1000000</v>
      </c>
      <c r="U69" s="7">
        <v>1050000</v>
      </c>
      <c r="V69" s="7">
        <v>1100000</v>
      </c>
      <c r="W69" s="7">
        <v>1150000</v>
      </c>
      <c r="X69" s="7">
        <v>1200000</v>
      </c>
      <c r="Y69" s="7">
        <v>1250000</v>
      </c>
    </row>
    <row r="70" spans="6:25">
      <c r="H70" s="7" t="s">
        <v>5</v>
      </c>
      <c r="I70" s="7" t="s">
        <v>7</v>
      </c>
      <c r="J70" s="7">
        <v>0</v>
      </c>
      <c r="K70" s="6">
        <v>1</v>
      </c>
      <c r="L70" s="6">
        <v>2</v>
      </c>
      <c r="M70" s="6">
        <v>3</v>
      </c>
      <c r="N70" s="6">
        <v>4</v>
      </c>
      <c r="O70" s="6">
        <v>5</v>
      </c>
      <c r="P70" s="6">
        <v>6</v>
      </c>
      <c r="Q70" s="6">
        <v>7</v>
      </c>
      <c r="R70" s="6">
        <v>8</v>
      </c>
      <c r="S70" s="6">
        <v>9</v>
      </c>
      <c r="T70" s="6">
        <v>10</v>
      </c>
      <c r="U70" s="6">
        <v>11</v>
      </c>
      <c r="V70" s="6">
        <v>12</v>
      </c>
      <c r="W70" s="6">
        <v>13</v>
      </c>
      <c r="X70" s="6">
        <v>14</v>
      </c>
      <c r="Y70" s="6">
        <v>15</v>
      </c>
    </row>
    <row r="71" spans="6:25">
      <c r="H71" s="7">
        <f t="shared" ref="H71:H81" si="66">H57</f>
        <v>1000</v>
      </c>
      <c r="I71" s="7">
        <f t="shared" ref="I71:I81" si="67">I57</f>
        <v>50</v>
      </c>
      <c r="J71" s="13">
        <f ca="1" t="shared" ref="J71:J81" si="68">IF($O29=0,0,$O29/$F$2/($Q29*$J2))*J$69/$J$69</f>
        <v>8</v>
      </c>
      <c r="K71" s="13">
        <f ca="1" t="shared" ref="K71:Y71" si="69">IF($O29=0,0,$O29/$F$2/($Q29*$J2))*K$69/$J$69</f>
        <v>12</v>
      </c>
      <c r="L71" s="13">
        <f ca="1" t="shared" si="69"/>
        <v>16</v>
      </c>
      <c r="M71" s="13">
        <f ca="1" t="shared" si="69"/>
        <v>19.2</v>
      </c>
      <c r="N71" s="13">
        <f ca="1" t="shared" si="69"/>
        <v>21.6</v>
      </c>
      <c r="O71" s="13">
        <f ca="1" t="shared" si="69"/>
        <v>24</v>
      </c>
      <c r="P71" s="13">
        <f ca="1" t="shared" si="69"/>
        <v>25.6</v>
      </c>
      <c r="Q71" s="13">
        <f ca="1" t="shared" si="69"/>
        <v>27.2</v>
      </c>
      <c r="R71" s="13">
        <f ca="1" t="shared" si="69"/>
        <v>28.8</v>
      </c>
      <c r="S71" s="13">
        <f ca="1" t="shared" si="69"/>
        <v>30.4</v>
      </c>
      <c r="T71" s="13">
        <f ca="1" t="shared" si="69"/>
        <v>32</v>
      </c>
      <c r="U71" s="13">
        <f ca="1" t="shared" si="69"/>
        <v>33.6</v>
      </c>
      <c r="V71" s="13">
        <f ca="1" t="shared" si="69"/>
        <v>35.2</v>
      </c>
      <c r="W71" s="13">
        <f ca="1" t="shared" si="69"/>
        <v>36.8</v>
      </c>
      <c r="X71" s="13">
        <f ca="1" t="shared" si="69"/>
        <v>38.4</v>
      </c>
      <c r="Y71" s="13">
        <f ca="1" t="shared" si="69"/>
        <v>40</v>
      </c>
    </row>
    <row r="72" spans="6:25">
      <c r="H72" s="7">
        <f t="shared" si="66"/>
        <v>5000</v>
      </c>
      <c r="I72" s="7">
        <f t="shared" si="67"/>
        <v>250</v>
      </c>
      <c r="J72" s="13">
        <f t="shared" si="68"/>
        <v>1.6</v>
      </c>
      <c r="K72" s="13">
        <f t="shared" ref="K72:Y72" si="70">IF($O30=0,0,$O30/$F$2/($Q30*$J3))*K$69/$J$69</f>
        <v>2.4</v>
      </c>
      <c r="L72" s="13">
        <f t="shared" si="70"/>
        <v>3.2</v>
      </c>
      <c r="M72" s="13">
        <f t="shared" si="70"/>
        <v>3.84</v>
      </c>
      <c r="N72" s="13">
        <f t="shared" si="70"/>
        <v>4.32</v>
      </c>
      <c r="O72" s="13">
        <f t="shared" si="70"/>
        <v>4.8</v>
      </c>
      <c r="P72" s="13">
        <f t="shared" si="70"/>
        <v>5.12</v>
      </c>
      <c r="Q72" s="13">
        <f t="shared" si="70"/>
        <v>5.44</v>
      </c>
      <c r="R72" s="13">
        <f t="shared" si="70"/>
        <v>5.76</v>
      </c>
      <c r="S72" s="13">
        <f t="shared" si="70"/>
        <v>6.08</v>
      </c>
      <c r="T72" s="13">
        <f t="shared" si="70"/>
        <v>6.4</v>
      </c>
      <c r="U72" s="13">
        <f t="shared" si="70"/>
        <v>6.72</v>
      </c>
      <c r="V72" s="13">
        <f t="shared" si="70"/>
        <v>7.04</v>
      </c>
      <c r="W72" s="13">
        <f t="shared" si="70"/>
        <v>7.36</v>
      </c>
      <c r="X72" s="13">
        <f t="shared" si="70"/>
        <v>7.68</v>
      </c>
      <c r="Y72" s="13">
        <f t="shared" si="70"/>
        <v>8</v>
      </c>
    </row>
    <row r="73" spans="6:25">
      <c r="H73" s="7">
        <f t="shared" si="66"/>
        <v>20000</v>
      </c>
      <c r="I73" s="7">
        <f t="shared" si="67"/>
        <v>1000</v>
      </c>
      <c r="J73" s="13">
        <f t="shared" si="68"/>
        <v>3.7269</v>
      </c>
      <c r="K73" s="13">
        <f t="shared" ref="K73:Y73" si="71">IF($O31=0,0,$O31/$F$2/($Q31*$J4))*K$69/$J$69</f>
        <v>5.59035</v>
      </c>
      <c r="L73" s="13">
        <f t="shared" si="71"/>
        <v>7.4538</v>
      </c>
      <c r="M73" s="13">
        <f t="shared" si="71"/>
        <v>8.94456</v>
      </c>
      <c r="N73" s="13">
        <f t="shared" si="71"/>
        <v>10.06263</v>
      </c>
      <c r="O73" s="13">
        <f t="shared" si="71"/>
        <v>11.1807</v>
      </c>
      <c r="P73" s="13">
        <f t="shared" si="71"/>
        <v>11.92608</v>
      </c>
      <c r="Q73" s="13">
        <f t="shared" si="71"/>
        <v>12.67146</v>
      </c>
      <c r="R73" s="13">
        <f t="shared" si="71"/>
        <v>13.41684</v>
      </c>
      <c r="S73" s="13">
        <f t="shared" si="71"/>
        <v>14.16222</v>
      </c>
      <c r="T73" s="13">
        <f t="shared" si="71"/>
        <v>14.9076</v>
      </c>
      <c r="U73" s="13">
        <f t="shared" si="71"/>
        <v>15.65298</v>
      </c>
      <c r="V73" s="13">
        <f t="shared" si="71"/>
        <v>16.39836</v>
      </c>
      <c r="W73" s="13">
        <f t="shared" si="71"/>
        <v>17.14374</v>
      </c>
      <c r="X73" s="13">
        <f t="shared" si="71"/>
        <v>17.88912</v>
      </c>
      <c r="Y73" s="13">
        <f t="shared" si="71"/>
        <v>18.6345</v>
      </c>
    </row>
    <row r="74" spans="6:25">
      <c r="H74" s="7">
        <f t="shared" si="66"/>
        <v>50000</v>
      </c>
      <c r="I74" s="7">
        <f t="shared" si="67"/>
        <v>2500</v>
      </c>
      <c r="J74" s="13">
        <f t="shared" si="68"/>
        <v>0.80444</v>
      </c>
      <c r="K74" s="13">
        <f t="shared" ref="K74:Y74" si="72">IF($O32=0,0,$O32/$F$2/($Q32*$J5))*K$69/$J$69</f>
        <v>1.20666</v>
      </c>
      <c r="L74" s="13">
        <f t="shared" si="72"/>
        <v>1.60888</v>
      </c>
      <c r="M74" s="13">
        <f t="shared" si="72"/>
        <v>1.930656</v>
      </c>
      <c r="N74" s="13">
        <f t="shared" si="72"/>
        <v>2.171988</v>
      </c>
      <c r="O74" s="13">
        <f t="shared" si="72"/>
        <v>2.41332</v>
      </c>
      <c r="P74" s="13">
        <f t="shared" si="72"/>
        <v>2.574208</v>
      </c>
      <c r="Q74" s="13">
        <f t="shared" si="72"/>
        <v>2.735096</v>
      </c>
      <c r="R74" s="13">
        <f t="shared" si="72"/>
        <v>2.895984</v>
      </c>
      <c r="S74" s="13">
        <f t="shared" si="72"/>
        <v>3.056872</v>
      </c>
      <c r="T74" s="13">
        <f t="shared" si="72"/>
        <v>3.21776</v>
      </c>
      <c r="U74" s="13">
        <f t="shared" si="72"/>
        <v>3.378648</v>
      </c>
      <c r="V74" s="13">
        <f t="shared" si="72"/>
        <v>3.539536</v>
      </c>
      <c r="W74" s="13">
        <f t="shared" si="72"/>
        <v>3.700424</v>
      </c>
      <c r="X74" s="13">
        <f t="shared" si="72"/>
        <v>3.861312</v>
      </c>
      <c r="Y74" s="13">
        <f t="shared" si="72"/>
        <v>4.0222</v>
      </c>
    </row>
    <row r="75" spans="6:25">
      <c r="H75" s="7">
        <f t="shared" si="66"/>
        <v>100000</v>
      </c>
      <c r="I75" s="7">
        <f t="shared" si="67"/>
        <v>5000</v>
      </c>
      <c r="J75" s="13">
        <f t="shared" si="68"/>
        <v>0.21636</v>
      </c>
      <c r="K75" s="13">
        <f t="shared" ref="K75:Y75" si="73">IF($O33=0,0,$O33/$F$2/($Q33*$J6))*K$69/$J$69</f>
        <v>0.32454</v>
      </c>
      <c r="L75" s="13">
        <f t="shared" si="73"/>
        <v>0.43272</v>
      </c>
      <c r="M75" s="13">
        <f t="shared" si="73"/>
        <v>0.519264</v>
      </c>
      <c r="N75" s="13">
        <f t="shared" si="73"/>
        <v>0.584172</v>
      </c>
      <c r="O75" s="13">
        <f t="shared" si="73"/>
        <v>0.64908</v>
      </c>
      <c r="P75" s="13">
        <f t="shared" si="73"/>
        <v>0.692352</v>
      </c>
      <c r="Q75" s="13">
        <f t="shared" si="73"/>
        <v>0.735624</v>
      </c>
      <c r="R75" s="13">
        <f t="shared" si="73"/>
        <v>0.778896</v>
      </c>
      <c r="S75" s="13">
        <f t="shared" si="73"/>
        <v>0.822168</v>
      </c>
      <c r="T75" s="13">
        <f t="shared" si="73"/>
        <v>0.86544</v>
      </c>
      <c r="U75" s="13">
        <f t="shared" si="73"/>
        <v>0.908712</v>
      </c>
      <c r="V75" s="13">
        <f t="shared" si="73"/>
        <v>0.951984</v>
      </c>
      <c r="W75" s="13">
        <f t="shared" si="73"/>
        <v>0.995256</v>
      </c>
      <c r="X75" s="13">
        <f t="shared" si="73"/>
        <v>1.038528</v>
      </c>
      <c r="Y75" s="13">
        <f t="shared" si="73"/>
        <v>1.0818</v>
      </c>
    </row>
    <row r="76" spans="6:25">
      <c r="H76" s="7">
        <f t="shared" si="66"/>
        <v>200000</v>
      </c>
      <c r="I76" s="7">
        <f t="shared" si="67"/>
        <v>10000</v>
      </c>
      <c r="J76" s="13">
        <f t="shared" si="68"/>
        <v>0.4989875</v>
      </c>
      <c r="K76" s="13">
        <f t="shared" ref="K76:Y76" si="74">IF($O34=0,0,$O34/$F$2/($Q34*$J7))*K$69/$J$69</f>
        <v>0.74848125</v>
      </c>
      <c r="L76" s="13">
        <f t="shared" si="74"/>
        <v>0.997975</v>
      </c>
      <c r="M76" s="13">
        <f t="shared" si="74"/>
        <v>1.19757</v>
      </c>
      <c r="N76" s="13">
        <f t="shared" si="74"/>
        <v>1.34726625</v>
      </c>
      <c r="O76" s="13">
        <f t="shared" si="74"/>
        <v>1.4969625</v>
      </c>
      <c r="P76" s="13">
        <f t="shared" si="74"/>
        <v>1.59676</v>
      </c>
      <c r="Q76" s="13">
        <f t="shared" si="74"/>
        <v>1.6965575</v>
      </c>
      <c r="R76" s="13">
        <f t="shared" si="74"/>
        <v>1.796355</v>
      </c>
      <c r="S76" s="13">
        <f t="shared" si="74"/>
        <v>1.8961525</v>
      </c>
      <c r="T76" s="13">
        <f t="shared" si="74"/>
        <v>1.99595</v>
      </c>
      <c r="U76" s="13">
        <f t="shared" si="74"/>
        <v>2.0957475</v>
      </c>
      <c r="V76" s="13">
        <f t="shared" si="74"/>
        <v>2.195545</v>
      </c>
      <c r="W76" s="13">
        <f t="shared" si="74"/>
        <v>2.2953425</v>
      </c>
      <c r="X76" s="13">
        <f t="shared" si="74"/>
        <v>2.39514</v>
      </c>
      <c r="Y76" s="13">
        <f t="shared" si="74"/>
        <v>2.4949375</v>
      </c>
    </row>
    <row r="77" spans="6:25">
      <c r="H77" s="7">
        <f t="shared" si="66"/>
        <v>500000</v>
      </c>
      <c r="I77" s="7">
        <f t="shared" si="67"/>
        <v>25000</v>
      </c>
      <c r="J77" s="13">
        <f t="shared" si="68"/>
        <v>0.37818</v>
      </c>
      <c r="K77" s="13">
        <f t="shared" ref="K77:Y77" si="75">IF($O35=0,0,$O35/$F$2/($Q35*$J8))*K$69/$J$69</f>
        <v>0.56727</v>
      </c>
      <c r="L77" s="13">
        <f t="shared" si="75"/>
        <v>0.75636</v>
      </c>
      <c r="M77" s="13">
        <f t="shared" si="75"/>
        <v>0.907632</v>
      </c>
      <c r="N77" s="13">
        <f t="shared" si="75"/>
        <v>1.021086</v>
      </c>
      <c r="O77" s="13">
        <f t="shared" si="75"/>
        <v>1.13454</v>
      </c>
      <c r="P77" s="13">
        <f t="shared" si="75"/>
        <v>1.210176</v>
      </c>
      <c r="Q77" s="13">
        <f t="shared" si="75"/>
        <v>1.285812</v>
      </c>
      <c r="R77" s="13">
        <f t="shared" si="75"/>
        <v>1.361448</v>
      </c>
      <c r="S77" s="13">
        <f t="shared" si="75"/>
        <v>1.437084</v>
      </c>
      <c r="T77" s="13">
        <f t="shared" si="75"/>
        <v>1.51272</v>
      </c>
      <c r="U77" s="13">
        <f t="shared" si="75"/>
        <v>1.588356</v>
      </c>
      <c r="V77" s="13">
        <f t="shared" si="75"/>
        <v>1.663992</v>
      </c>
      <c r="W77" s="13">
        <f t="shared" si="75"/>
        <v>1.739628</v>
      </c>
      <c r="X77" s="13">
        <f t="shared" si="75"/>
        <v>1.815264</v>
      </c>
      <c r="Y77" s="13">
        <f t="shared" si="75"/>
        <v>1.8909</v>
      </c>
    </row>
    <row r="78" spans="6:25">
      <c r="H78" s="7">
        <f t="shared" si="66"/>
        <v>2000000</v>
      </c>
      <c r="I78" s="7">
        <f t="shared" si="67"/>
        <v>100000</v>
      </c>
      <c r="J78" s="13">
        <f t="shared" si="68"/>
        <v>0.15494875</v>
      </c>
      <c r="K78" s="13">
        <f t="shared" ref="K78:Y78" si="76">IF($O36=0,0,$O36/$F$2/($Q36*$J9))*K$69/$J$69</f>
        <v>0.232423125</v>
      </c>
      <c r="L78" s="13">
        <f t="shared" si="76"/>
        <v>0.3098975</v>
      </c>
      <c r="M78" s="13">
        <f t="shared" si="76"/>
        <v>0.371877</v>
      </c>
      <c r="N78" s="13">
        <f t="shared" si="76"/>
        <v>0.418361625</v>
      </c>
      <c r="O78" s="13">
        <f t="shared" si="76"/>
        <v>0.46484625</v>
      </c>
      <c r="P78" s="13">
        <f t="shared" si="76"/>
        <v>0.495836</v>
      </c>
      <c r="Q78" s="13">
        <f t="shared" si="76"/>
        <v>0.52682575</v>
      </c>
      <c r="R78" s="13">
        <f t="shared" si="76"/>
        <v>0.5578155</v>
      </c>
      <c r="S78" s="13">
        <f t="shared" si="76"/>
        <v>0.58880525</v>
      </c>
      <c r="T78" s="13">
        <f t="shared" si="76"/>
        <v>0.619795</v>
      </c>
      <c r="U78" s="13">
        <f t="shared" si="76"/>
        <v>0.65078475</v>
      </c>
      <c r="V78" s="13">
        <f t="shared" si="76"/>
        <v>0.6817745</v>
      </c>
      <c r="W78" s="13">
        <f t="shared" si="76"/>
        <v>0.71276425</v>
      </c>
      <c r="X78" s="13">
        <f t="shared" si="76"/>
        <v>0.743754</v>
      </c>
      <c r="Y78" s="13">
        <f t="shared" si="76"/>
        <v>0.77474375</v>
      </c>
    </row>
    <row r="79" spans="6:25">
      <c r="H79" s="7">
        <f t="shared" si="66"/>
        <v>5000000</v>
      </c>
      <c r="I79" s="7">
        <f t="shared" si="67"/>
        <v>250000</v>
      </c>
      <c r="J79" s="13">
        <f t="shared" si="68"/>
        <v>0.0871915</v>
      </c>
      <c r="K79" s="13">
        <f t="shared" ref="K79:Y79" si="77">IF($O37=0,0,$O37/$F$2/($Q37*$J10))*K$69/$J$69</f>
        <v>0.13078725</v>
      </c>
      <c r="L79" s="13">
        <f t="shared" si="77"/>
        <v>0.174383</v>
      </c>
      <c r="M79" s="13">
        <f t="shared" si="77"/>
        <v>0.2092596</v>
      </c>
      <c r="N79" s="13">
        <f t="shared" si="77"/>
        <v>0.23541705</v>
      </c>
      <c r="O79" s="13">
        <f t="shared" si="77"/>
        <v>0.2615745</v>
      </c>
      <c r="P79" s="13">
        <f t="shared" si="77"/>
        <v>0.2790128</v>
      </c>
      <c r="Q79" s="13">
        <f t="shared" si="77"/>
        <v>0.2964511</v>
      </c>
      <c r="R79" s="13">
        <f t="shared" si="77"/>
        <v>0.3138894</v>
      </c>
      <c r="S79" s="13">
        <f t="shared" si="77"/>
        <v>0.3313277</v>
      </c>
      <c r="T79" s="13">
        <f t="shared" si="77"/>
        <v>0.348766</v>
      </c>
      <c r="U79" s="13">
        <f t="shared" si="77"/>
        <v>0.3662043</v>
      </c>
      <c r="V79" s="13">
        <f t="shared" si="77"/>
        <v>0.3836426</v>
      </c>
      <c r="W79" s="13">
        <f t="shared" si="77"/>
        <v>0.4010809</v>
      </c>
      <c r="X79" s="13">
        <f t="shared" si="77"/>
        <v>0.4185192</v>
      </c>
      <c r="Y79" s="13">
        <f t="shared" si="77"/>
        <v>0.4359575</v>
      </c>
    </row>
    <row r="80" spans="6:25">
      <c r="H80" s="7">
        <f t="shared" si="66"/>
        <v>10000000</v>
      </c>
      <c r="I80" s="7">
        <f t="shared" si="67"/>
        <v>500000</v>
      </c>
      <c r="J80" s="13">
        <f t="shared" si="68"/>
        <v>0.069333</v>
      </c>
      <c r="K80" s="13">
        <f t="shared" ref="K80:Y80" si="78">IF($O38=0,0,$O38/$F$2/($Q38*$J11))*K$69/$J$69</f>
        <v>0.1039995</v>
      </c>
      <c r="L80" s="13">
        <f t="shared" si="78"/>
        <v>0.138666</v>
      </c>
      <c r="M80" s="13">
        <f t="shared" si="78"/>
        <v>0.1663992</v>
      </c>
      <c r="N80" s="13">
        <f t="shared" si="78"/>
        <v>0.1871991</v>
      </c>
      <c r="O80" s="13">
        <f t="shared" si="78"/>
        <v>0.207999</v>
      </c>
      <c r="P80" s="13">
        <f t="shared" si="78"/>
        <v>0.2218656</v>
      </c>
      <c r="Q80" s="13">
        <f t="shared" si="78"/>
        <v>0.2357322</v>
      </c>
      <c r="R80" s="13">
        <f t="shared" si="78"/>
        <v>0.2495988</v>
      </c>
      <c r="S80" s="13">
        <f t="shared" si="78"/>
        <v>0.2634654</v>
      </c>
      <c r="T80" s="13">
        <f t="shared" si="78"/>
        <v>0.277332</v>
      </c>
      <c r="U80" s="13">
        <f t="shared" si="78"/>
        <v>0.2911986</v>
      </c>
      <c r="V80" s="13">
        <f t="shared" si="78"/>
        <v>0.3050652</v>
      </c>
      <c r="W80" s="13">
        <f t="shared" si="78"/>
        <v>0.3189318</v>
      </c>
      <c r="X80" s="13">
        <f t="shared" si="78"/>
        <v>0.3327984</v>
      </c>
      <c r="Y80" s="13">
        <f t="shared" si="78"/>
        <v>0.346665</v>
      </c>
    </row>
    <row r="81" spans="6:25">
      <c r="H81" s="7">
        <f t="shared" si="66"/>
        <v>20000000</v>
      </c>
      <c r="I81" s="7">
        <f t="shared" si="67"/>
        <v>1000000</v>
      </c>
      <c r="J81" s="13">
        <f t="shared" si="68"/>
        <v>0.052525</v>
      </c>
      <c r="K81" s="13">
        <f t="shared" ref="K81:Y81" si="79">IF($O39=0,0,$O39/$F$2/($Q39*$J12))*K$69/$J$69</f>
        <v>0.0787875</v>
      </c>
      <c r="L81" s="13">
        <f t="shared" si="79"/>
        <v>0.10505</v>
      </c>
      <c r="M81" s="13">
        <f t="shared" si="79"/>
        <v>0.12606</v>
      </c>
      <c r="N81" s="13">
        <f t="shared" si="79"/>
        <v>0.1418175</v>
      </c>
      <c r="O81" s="13">
        <f t="shared" si="79"/>
        <v>0.157575</v>
      </c>
      <c r="P81" s="13">
        <f t="shared" si="79"/>
        <v>0.16808</v>
      </c>
      <c r="Q81" s="13">
        <f t="shared" si="79"/>
        <v>0.178585</v>
      </c>
      <c r="R81" s="13">
        <f t="shared" si="79"/>
        <v>0.18909</v>
      </c>
      <c r="S81" s="13">
        <f t="shared" si="79"/>
        <v>0.199595</v>
      </c>
      <c r="T81" s="13">
        <f t="shared" si="79"/>
        <v>0.2101</v>
      </c>
      <c r="U81" s="13">
        <f t="shared" si="79"/>
        <v>0.220605</v>
      </c>
      <c r="V81" s="13">
        <f t="shared" si="79"/>
        <v>0.23111</v>
      </c>
      <c r="W81" s="13">
        <f t="shared" si="79"/>
        <v>0.241615</v>
      </c>
      <c r="X81" s="13">
        <f t="shared" si="79"/>
        <v>0.25212</v>
      </c>
      <c r="Y81" s="13">
        <f t="shared" si="79"/>
        <v>0.262625</v>
      </c>
    </row>
    <row r="83" spans="6:25">
      <c r="F83" s="4" t="s">
        <v>40</v>
      </c>
      <c r="H83" s="7"/>
      <c r="I83" s="7"/>
      <c r="J83" s="7">
        <v>250000</v>
      </c>
      <c r="K83" s="7">
        <v>375000</v>
      </c>
      <c r="L83" s="7">
        <v>500000</v>
      </c>
      <c r="M83" s="7">
        <v>600000</v>
      </c>
      <c r="N83" s="7">
        <v>675000</v>
      </c>
      <c r="O83" s="7">
        <v>750000</v>
      </c>
      <c r="P83" s="7">
        <v>800000</v>
      </c>
      <c r="Q83" s="7">
        <v>850000</v>
      </c>
      <c r="R83" s="7">
        <v>900000</v>
      </c>
      <c r="S83" s="7">
        <v>950000</v>
      </c>
      <c r="T83" s="7">
        <v>1000000</v>
      </c>
      <c r="U83" s="7">
        <v>1050000</v>
      </c>
      <c r="V83" s="7">
        <v>1100000</v>
      </c>
      <c r="W83" s="7">
        <v>1150000</v>
      </c>
      <c r="X83" s="7">
        <v>1200000</v>
      </c>
      <c r="Y83" s="7">
        <v>1250000</v>
      </c>
    </row>
    <row r="84" spans="6:25">
      <c r="H84" s="7" t="s">
        <v>5</v>
      </c>
      <c r="I84" s="7" t="s">
        <v>7</v>
      </c>
      <c r="J84" s="7">
        <v>0</v>
      </c>
      <c r="K84" s="6">
        <v>1</v>
      </c>
      <c r="L84" s="6">
        <v>2</v>
      </c>
      <c r="M84" s="6">
        <v>3</v>
      </c>
      <c r="N84" s="6">
        <v>4</v>
      </c>
      <c r="O84" s="6">
        <v>5</v>
      </c>
      <c r="P84" s="6">
        <v>6</v>
      </c>
      <c r="Q84" s="6">
        <v>7</v>
      </c>
      <c r="R84" s="6">
        <v>8</v>
      </c>
      <c r="S84" s="6">
        <v>9</v>
      </c>
      <c r="T84" s="6">
        <v>10</v>
      </c>
      <c r="U84" s="6">
        <v>11</v>
      </c>
      <c r="V84" s="6">
        <v>12</v>
      </c>
      <c r="W84" s="6">
        <v>13</v>
      </c>
      <c r="X84" s="6">
        <v>14</v>
      </c>
      <c r="Y84" s="6">
        <v>15</v>
      </c>
    </row>
    <row r="85" spans="6:25">
      <c r="H85" s="7">
        <f t="shared" ref="H85:H95" si="80">H71</f>
        <v>1000</v>
      </c>
      <c r="I85" s="7">
        <f t="shared" ref="I85:I95" si="81">I71</f>
        <v>50</v>
      </c>
      <c r="J85" s="14">
        <f ca="1" t="shared" ref="J85:Y85" si="82">IF($O29=0,0,$Q29*J43)</f>
        <v>0.0125</v>
      </c>
      <c r="K85" s="14">
        <f ca="1" t="shared" si="82"/>
        <v>0.00833333333333332</v>
      </c>
      <c r="L85" s="14">
        <f ca="1" t="shared" si="82"/>
        <v>0.00625</v>
      </c>
      <c r="M85" s="14">
        <f ca="1" t="shared" si="82"/>
        <v>0.00520833333333332</v>
      </c>
      <c r="N85" s="14">
        <f ca="1" t="shared" si="82"/>
        <v>0.00462962962962963</v>
      </c>
      <c r="O85" s="14">
        <f ca="1" t="shared" si="82"/>
        <v>0.00416666666666668</v>
      </c>
      <c r="P85" s="14">
        <f ca="1" t="shared" si="82"/>
        <v>0.00390625</v>
      </c>
      <c r="Q85" s="14">
        <f ca="1" t="shared" si="82"/>
        <v>0.0036764705882353</v>
      </c>
      <c r="R85" s="14">
        <f ca="1" t="shared" si="82"/>
        <v>0.00347222222222223</v>
      </c>
      <c r="S85" s="14">
        <f ca="1" t="shared" si="82"/>
        <v>0.00328947368421052</v>
      </c>
      <c r="T85" s="14">
        <f ca="1" t="shared" si="82"/>
        <v>0.003125</v>
      </c>
      <c r="U85" s="14">
        <f ca="1" t="shared" si="82"/>
        <v>0.00297619047619048</v>
      </c>
      <c r="V85" s="14">
        <f ca="1" t="shared" si="82"/>
        <v>0.0028409090909091</v>
      </c>
      <c r="W85" s="14">
        <f ca="1" t="shared" si="82"/>
        <v>0.00271739130434783</v>
      </c>
      <c r="X85" s="14">
        <f ca="1" t="shared" si="82"/>
        <v>0.00260416666666668</v>
      </c>
      <c r="Y85" s="14">
        <f ca="1" t="shared" si="82"/>
        <v>0.0025</v>
      </c>
    </row>
    <row r="86" spans="6:25">
      <c r="H86" s="7">
        <f t="shared" si="80"/>
        <v>5000</v>
      </c>
      <c r="I86" s="7">
        <f t="shared" si="81"/>
        <v>250</v>
      </c>
      <c r="J86" s="14">
        <f t="shared" ref="J86:Y86" si="83">IF($O30=0,0,$Q30*J44)</f>
        <v>0.0625</v>
      </c>
      <c r="K86" s="14">
        <f t="shared" si="83"/>
        <v>0.0416666666666667</v>
      </c>
      <c r="L86" s="14">
        <f t="shared" si="83"/>
        <v>0.03125</v>
      </c>
      <c r="M86" s="14">
        <f t="shared" si="83"/>
        <v>0.0260416666666667</v>
      </c>
      <c r="N86" s="14">
        <f t="shared" si="83"/>
        <v>0.0231481481481481</v>
      </c>
      <c r="O86" s="14">
        <f t="shared" si="83"/>
        <v>0.0208333333333333</v>
      </c>
      <c r="P86" s="14">
        <f t="shared" si="83"/>
        <v>0.01953125</v>
      </c>
      <c r="Q86" s="14">
        <f t="shared" si="83"/>
        <v>0.0183823529411765</v>
      </c>
      <c r="R86" s="14">
        <f t="shared" si="83"/>
        <v>0.0173611111111111</v>
      </c>
      <c r="S86" s="14">
        <f t="shared" si="83"/>
        <v>0.0164473684210526</v>
      </c>
      <c r="T86" s="14">
        <f t="shared" si="83"/>
        <v>0.015625</v>
      </c>
      <c r="U86" s="14">
        <f t="shared" si="83"/>
        <v>0.0148809523809524</v>
      </c>
      <c r="V86" s="14">
        <f t="shared" si="83"/>
        <v>0.0142045454545455</v>
      </c>
      <c r="W86" s="14">
        <f t="shared" si="83"/>
        <v>0.0135869565217391</v>
      </c>
      <c r="X86" s="14">
        <f t="shared" si="83"/>
        <v>0.0130208333333333</v>
      </c>
      <c r="Y86" s="14">
        <f t="shared" si="83"/>
        <v>0.0125</v>
      </c>
    </row>
    <row r="87" spans="6:25">
      <c r="H87" s="7">
        <f t="shared" si="80"/>
        <v>20000</v>
      </c>
      <c r="I87" s="7">
        <f t="shared" si="81"/>
        <v>1000</v>
      </c>
      <c r="J87" s="14">
        <f t="shared" ref="J87:Y87" si="84">IF($O31=0,0,$Q31*J45)</f>
        <v>0.55005500550055</v>
      </c>
      <c r="K87" s="14">
        <f t="shared" si="84"/>
        <v>0.366703337000367</v>
      </c>
      <c r="L87" s="14">
        <f t="shared" si="84"/>
        <v>0.275027502750275</v>
      </c>
      <c r="M87" s="14">
        <f t="shared" si="84"/>
        <v>0.229189585625229</v>
      </c>
      <c r="N87" s="14">
        <f t="shared" si="84"/>
        <v>0.203724076111315</v>
      </c>
      <c r="O87" s="14">
        <f t="shared" si="84"/>
        <v>0.183351668500183</v>
      </c>
      <c r="P87" s="14">
        <f t="shared" si="84"/>
        <v>0.171892189218922</v>
      </c>
      <c r="Q87" s="14">
        <f t="shared" si="84"/>
        <v>0.16178088397075</v>
      </c>
      <c r="R87" s="14">
        <f t="shared" si="84"/>
        <v>0.152793057083486</v>
      </c>
      <c r="S87" s="14">
        <f t="shared" si="84"/>
        <v>0.144751317236987</v>
      </c>
      <c r="T87" s="14">
        <f t="shared" si="84"/>
        <v>0.137513751375138</v>
      </c>
      <c r="U87" s="14">
        <f t="shared" si="84"/>
        <v>0.130965477500131</v>
      </c>
      <c r="V87" s="14">
        <f t="shared" si="84"/>
        <v>0.125012501250125</v>
      </c>
      <c r="W87" s="14">
        <f t="shared" si="84"/>
        <v>0.119577175108815</v>
      </c>
      <c r="X87" s="14">
        <f t="shared" si="84"/>
        <v>0.114594792812615</v>
      </c>
      <c r="Y87" s="14">
        <f t="shared" si="84"/>
        <v>0.11001100110011</v>
      </c>
    </row>
    <row r="88" spans="6:25">
      <c r="H88" s="7">
        <f t="shared" si="80"/>
        <v>50000</v>
      </c>
      <c r="I88" s="7">
        <f t="shared" si="81"/>
        <v>2500</v>
      </c>
      <c r="J88" s="14">
        <f>IF($O32=0,0,$Q32*J46)</f>
        <v>13.7362637362637</v>
      </c>
      <c r="K88" s="14">
        <f t="shared" ref="J88:Y88" si="85">IF($O32=0,0,$Q32*K46)</f>
        <v>9.15750915750916</v>
      </c>
      <c r="L88" s="14">
        <f t="shared" si="85"/>
        <v>6.86813186813187</v>
      </c>
      <c r="M88" s="14">
        <f t="shared" si="85"/>
        <v>5.72344322344322</v>
      </c>
      <c r="N88" s="14">
        <f t="shared" si="85"/>
        <v>5.08750508750509</v>
      </c>
      <c r="O88" s="14">
        <f t="shared" si="85"/>
        <v>4.57875457875458</v>
      </c>
      <c r="P88" s="14">
        <f t="shared" si="85"/>
        <v>4.29258241758242</v>
      </c>
      <c r="Q88" s="14">
        <f t="shared" si="85"/>
        <v>4.04007756948933</v>
      </c>
      <c r="R88" s="14">
        <f t="shared" si="85"/>
        <v>3.81562881562882</v>
      </c>
      <c r="S88" s="14">
        <f t="shared" si="85"/>
        <v>3.61480624638519</v>
      </c>
      <c r="T88" s="14">
        <f t="shared" si="85"/>
        <v>3.43406593406593</v>
      </c>
      <c r="U88" s="14">
        <f t="shared" si="85"/>
        <v>3.2705389848247</v>
      </c>
      <c r="V88" s="14">
        <f t="shared" si="85"/>
        <v>3.12187812187812</v>
      </c>
      <c r="W88" s="14">
        <f t="shared" si="85"/>
        <v>2.98614429049212</v>
      </c>
      <c r="X88" s="14">
        <f t="shared" si="85"/>
        <v>2.86172161172161</v>
      </c>
      <c r="Y88" s="14">
        <f t="shared" si="85"/>
        <v>2.74725274725275</v>
      </c>
    </row>
    <row r="89" spans="6:25">
      <c r="H89" s="7">
        <f t="shared" si="80"/>
        <v>100000</v>
      </c>
      <c r="I89" s="7">
        <f t="shared" si="81"/>
        <v>5000</v>
      </c>
      <c r="J89" s="14">
        <f t="shared" ref="J89:Y89" si="86">IF($O33=0,0,$Q33*J47)</f>
        <v>138.888888888889</v>
      </c>
      <c r="K89" s="14">
        <f t="shared" si="86"/>
        <v>92.5925925925926</v>
      </c>
      <c r="L89" s="14">
        <f t="shared" si="86"/>
        <v>69.4444444444444</v>
      </c>
      <c r="M89" s="14">
        <f t="shared" si="86"/>
        <v>57.8703703703704</v>
      </c>
      <c r="N89" s="14">
        <f t="shared" si="86"/>
        <v>51.440329218107</v>
      </c>
      <c r="O89" s="14">
        <f t="shared" si="86"/>
        <v>46.2962962962963</v>
      </c>
      <c r="P89" s="14">
        <f t="shared" si="86"/>
        <v>43.4027777777778</v>
      </c>
      <c r="Q89" s="14">
        <f t="shared" si="86"/>
        <v>40.8496732026144</v>
      </c>
      <c r="R89" s="14">
        <f t="shared" si="86"/>
        <v>38.5802469135802</v>
      </c>
      <c r="S89" s="14">
        <f t="shared" si="86"/>
        <v>36.5497076023392</v>
      </c>
      <c r="T89" s="14">
        <f t="shared" si="86"/>
        <v>34.7222222222222</v>
      </c>
      <c r="U89" s="14">
        <f t="shared" si="86"/>
        <v>33.0687830687831</v>
      </c>
      <c r="V89" s="14">
        <f t="shared" si="86"/>
        <v>31.5656565656566</v>
      </c>
      <c r="W89" s="14">
        <f t="shared" si="86"/>
        <v>30.1932367149758</v>
      </c>
      <c r="X89" s="14">
        <f t="shared" si="86"/>
        <v>28.9351851851852</v>
      </c>
      <c r="Y89" s="14">
        <f t="shared" si="86"/>
        <v>27.7777777777778</v>
      </c>
    </row>
    <row r="90" spans="6:25">
      <c r="H90" s="7">
        <f t="shared" si="80"/>
        <v>200000</v>
      </c>
      <c r="I90" s="7">
        <f t="shared" si="81"/>
        <v>10000</v>
      </c>
      <c r="J90" s="14">
        <f t="shared" ref="J90:Y90" si="87">IF($O34=0,0,$Q34*J48)</f>
        <v>210.526315789474</v>
      </c>
      <c r="K90" s="14">
        <f t="shared" si="87"/>
        <v>140.350877192982</v>
      </c>
      <c r="L90" s="14">
        <f t="shared" si="87"/>
        <v>105.263157894737</v>
      </c>
      <c r="M90" s="14">
        <f t="shared" si="87"/>
        <v>87.719298245614</v>
      </c>
      <c r="N90" s="14">
        <f t="shared" si="87"/>
        <v>77.9727095516569</v>
      </c>
      <c r="O90" s="14">
        <f t="shared" si="87"/>
        <v>70.1754385964912</v>
      </c>
      <c r="P90" s="14">
        <f t="shared" si="87"/>
        <v>65.7894736842105</v>
      </c>
      <c r="Q90" s="14">
        <f t="shared" si="87"/>
        <v>61.9195046439629</v>
      </c>
      <c r="R90" s="14">
        <f t="shared" si="87"/>
        <v>58.4795321637427</v>
      </c>
      <c r="S90" s="14">
        <f t="shared" si="87"/>
        <v>55.4016620498615</v>
      </c>
      <c r="T90" s="14">
        <f t="shared" si="87"/>
        <v>52.6315789473684</v>
      </c>
      <c r="U90" s="14">
        <f t="shared" si="87"/>
        <v>50.125313283208</v>
      </c>
      <c r="V90" s="14">
        <f t="shared" si="87"/>
        <v>47.8468899521531</v>
      </c>
      <c r="W90" s="14">
        <f t="shared" si="87"/>
        <v>45.766590389016</v>
      </c>
      <c r="X90" s="14">
        <f t="shared" si="87"/>
        <v>43.859649122807</v>
      </c>
      <c r="Y90" s="14">
        <f t="shared" si="87"/>
        <v>42.1052631578947</v>
      </c>
    </row>
    <row r="91" spans="6:25">
      <c r="H91" s="7">
        <f t="shared" si="80"/>
        <v>500000</v>
      </c>
      <c r="I91" s="7">
        <f t="shared" si="81"/>
        <v>25000</v>
      </c>
      <c r="J91" s="14">
        <f t="shared" ref="J91:Y91" si="88">IF($O35=0,0,$Q35*J49)</f>
        <v>277.777777777778</v>
      </c>
      <c r="K91" s="14">
        <f t="shared" si="88"/>
        <v>185.185185185185</v>
      </c>
      <c r="L91" s="14">
        <f t="shared" si="88"/>
        <v>138.888888888889</v>
      </c>
      <c r="M91" s="14">
        <f t="shared" si="88"/>
        <v>115.740740740741</v>
      </c>
      <c r="N91" s="14">
        <f t="shared" si="88"/>
        <v>102.880658436214</v>
      </c>
      <c r="O91" s="14">
        <f t="shared" si="88"/>
        <v>92.5925925925926</v>
      </c>
      <c r="P91" s="14">
        <f t="shared" si="88"/>
        <v>86.8055555555556</v>
      </c>
      <c r="Q91" s="14">
        <f t="shared" si="88"/>
        <v>81.6993464052288</v>
      </c>
      <c r="R91" s="14">
        <f t="shared" si="88"/>
        <v>77.1604938271605</v>
      </c>
      <c r="S91" s="14">
        <f t="shared" si="88"/>
        <v>73.0994152046784</v>
      </c>
      <c r="T91" s="14">
        <f t="shared" si="88"/>
        <v>69.4444444444444</v>
      </c>
      <c r="U91" s="14">
        <f t="shared" si="88"/>
        <v>66.1375661375661</v>
      </c>
      <c r="V91" s="14">
        <f t="shared" si="88"/>
        <v>63.1313131313131</v>
      </c>
      <c r="W91" s="14">
        <f t="shared" si="88"/>
        <v>60.3864734299517</v>
      </c>
      <c r="X91" s="14">
        <f t="shared" si="88"/>
        <v>57.8703703703704</v>
      </c>
      <c r="Y91" s="14">
        <f t="shared" si="88"/>
        <v>55.5555555555556</v>
      </c>
    </row>
    <row r="92" spans="6:25">
      <c r="H92" s="7">
        <f t="shared" si="80"/>
        <v>2000000</v>
      </c>
      <c r="I92" s="7">
        <f t="shared" si="81"/>
        <v>100000</v>
      </c>
      <c r="J92" s="14">
        <f t="shared" ref="J92:Y92" si="89">IF($O36=0,0,$Q36*J50)</f>
        <v>677.966101694915</v>
      </c>
      <c r="K92" s="14">
        <f t="shared" si="89"/>
        <v>451.977401129943</v>
      </c>
      <c r="L92" s="14">
        <f t="shared" si="89"/>
        <v>338.983050847458</v>
      </c>
      <c r="M92" s="14">
        <f t="shared" si="89"/>
        <v>282.485875706215</v>
      </c>
      <c r="N92" s="14">
        <f t="shared" si="89"/>
        <v>251.098556183302</v>
      </c>
      <c r="O92" s="14">
        <f t="shared" si="89"/>
        <v>225.988700564972</v>
      </c>
      <c r="P92" s="14">
        <f t="shared" si="89"/>
        <v>211.864406779661</v>
      </c>
      <c r="Q92" s="14">
        <f t="shared" si="89"/>
        <v>199.401794616152</v>
      </c>
      <c r="R92" s="14">
        <f t="shared" si="89"/>
        <v>188.323917137476</v>
      </c>
      <c r="S92" s="14">
        <f t="shared" si="89"/>
        <v>178.412132024978</v>
      </c>
      <c r="T92" s="14">
        <f t="shared" si="89"/>
        <v>169.491525423729</v>
      </c>
      <c r="U92" s="14">
        <f t="shared" si="89"/>
        <v>161.420500403551</v>
      </c>
      <c r="V92" s="14">
        <f t="shared" si="89"/>
        <v>154.083204930663</v>
      </c>
      <c r="W92" s="14">
        <f t="shared" si="89"/>
        <v>147.383935151069</v>
      </c>
      <c r="X92" s="14">
        <f t="shared" si="89"/>
        <v>141.242937853107</v>
      </c>
      <c r="Y92" s="14">
        <f t="shared" si="89"/>
        <v>135.593220338983</v>
      </c>
    </row>
    <row r="93" spans="6:25">
      <c r="H93" s="7">
        <f t="shared" si="80"/>
        <v>5000000</v>
      </c>
      <c r="I93" s="7">
        <f t="shared" si="81"/>
        <v>250000</v>
      </c>
      <c r="J93" s="14">
        <f t="shared" ref="J93:Y93" si="90">IF($O37=0,0,$Q37*J51)</f>
        <v>1204.81927710843</v>
      </c>
      <c r="K93" s="14">
        <f t="shared" si="90"/>
        <v>803.212851405622</v>
      </c>
      <c r="L93" s="14">
        <f t="shared" si="90"/>
        <v>602.409638554217</v>
      </c>
      <c r="M93" s="14">
        <f t="shared" si="90"/>
        <v>502.008032128514</v>
      </c>
      <c r="N93" s="14">
        <f t="shared" si="90"/>
        <v>446.229361892012</v>
      </c>
      <c r="O93" s="14">
        <f t="shared" si="90"/>
        <v>401.606425702811</v>
      </c>
      <c r="P93" s="14">
        <f t="shared" si="90"/>
        <v>376.506024096386</v>
      </c>
      <c r="Q93" s="14">
        <f t="shared" si="90"/>
        <v>354.358610914245</v>
      </c>
      <c r="R93" s="14">
        <f t="shared" si="90"/>
        <v>334.672021419009</v>
      </c>
      <c r="S93" s="14">
        <f t="shared" si="90"/>
        <v>317.057704502219</v>
      </c>
      <c r="T93" s="14">
        <f t="shared" si="90"/>
        <v>301.204819277108</v>
      </c>
      <c r="U93" s="14">
        <f t="shared" si="90"/>
        <v>286.861732644865</v>
      </c>
      <c r="V93" s="14">
        <f t="shared" si="90"/>
        <v>273.822562979189</v>
      </c>
      <c r="W93" s="14">
        <f t="shared" si="90"/>
        <v>261.917234154007</v>
      </c>
      <c r="X93" s="14">
        <f t="shared" si="90"/>
        <v>251.004016064257</v>
      </c>
      <c r="Y93" s="14">
        <f t="shared" si="90"/>
        <v>240.963855421687</v>
      </c>
    </row>
    <row r="94" spans="6:25">
      <c r="H94" s="7">
        <f t="shared" si="80"/>
        <v>10000000</v>
      </c>
      <c r="I94" s="7">
        <f t="shared" si="81"/>
        <v>500000</v>
      </c>
      <c r="J94" s="14">
        <f t="shared" ref="J94:Y94" si="91">IF($O38=0,0,$Q38*J52)</f>
        <v>1515.15151515152</v>
      </c>
      <c r="K94" s="14">
        <f t="shared" si="91"/>
        <v>1010.10101010101</v>
      </c>
      <c r="L94" s="14">
        <f t="shared" si="91"/>
        <v>757.575757575758</v>
      </c>
      <c r="M94" s="14">
        <f t="shared" si="91"/>
        <v>631.313131313131</v>
      </c>
      <c r="N94" s="14">
        <f t="shared" si="91"/>
        <v>561.167227833894</v>
      </c>
      <c r="O94" s="14">
        <f t="shared" si="91"/>
        <v>505.050505050505</v>
      </c>
      <c r="P94" s="14">
        <f t="shared" si="91"/>
        <v>473.484848484848</v>
      </c>
      <c r="Q94" s="14">
        <f t="shared" si="91"/>
        <v>445.632798573975</v>
      </c>
      <c r="R94" s="14">
        <f t="shared" si="91"/>
        <v>420.875420875421</v>
      </c>
      <c r="S94" s="14">
        <f t="shared" si="91"/>
        <v>398.724082934609</v>
      </c>
      <c r="T94" s="14">
        <f t="shared" si="91"/>
        <v>378.787878787879</v>
      </c>
      <c r="U94" s="14">
        <f t="shared" si="91"/>
        <v>360.750360750361</v>
      </c>
      <c r="V94" s="14">
        <f t="shared" si="91"/>
        <v>344.35261707989</v>
      </c>
      <c r="W94" s="14">
        <f t="shared" si="91"/>
        <v>329.380764163373</v>
      </c>
      <c r="X94" s="14">
        <f t="shared" si="91"/>
        <v>315.656565656566</v>
      </c>
      <c r="Y94" s="14">
        <f t="shared" si="91"/>
        <v>303.030303030303</v>
      </c>
    </row>
    <row r="95" spans="6:25">
      <c r="H95" s="7">
        <f t="shared" si="80"/>
        <v>20000000</v>
      </c>
      <c r="I95" s="7">
        <f t="shared" si="81"/>
        <v>1000000</v>
      </c>
      <c r="J95" s="14">
        <f t="shared" ref="J95:Y95" si="92">IF($O39=0,0,$Q39*J53)</f>
        <v>2000</v>
      </c>
      <c r="K95" s="14">
        <f t="shared" si="92"/>
        <v>1333.33333333333</v>
      </c>
      <c r="L95" s="14">
        <f t="shared" si="92"/>
        <v>1000</v>
      </c>
      <c r="M95" s="14">
        <f t="shared" si="92"/>
        <v>833.333333333333</v>
      </c>
      <c r="N95" s="14">
        <f t="shared" si="92"/>
        <v>740.740740740741</v>
      </c>
      <c r="O95" s="14">
        <f t="shared" si="92"/>
        <v>666.666666666667</v>
      </c>
      <c r="P95" s="14">
        <f t="shared" si="92"/>
        <v>625</v>
      </c>
      <c r="Q95" s="14">
        <f t="shared" si="92"/>
        <v>588.235294117647</v>
      </c>
      <c r="R95" s="14">
        <f t="shared" si="92"/>
        <v>555.555555555556</v>
      </c>
      <c r="S95" s="14">
        <f t="shared" si="92"/>
        <v>526.315789473684</v>
      </c>
      <c r="T95" s="14">
        <f t="shared" si="92"/>
        <v>500</v>
      </c>
      <c r="U95" s="14">
        <f t="shared" si="92"/>
        <v>476.190476190476</v>
      </c>
      <c r="V95" s="14">
        <f t="shared" si="92"/>
        <v>454.545454545455</v>
      </c>
      <c r="W95" s="14">
        <f t="shared" si="92"/>
        <v>434.782608695652</v>
      </c>
      <c r="X95" s="14">
        <f t="shared" si="92"/>
        <v>416.666666666667</v>
      </c>
      <c r="Y95" s="14">
        <f t="shared" si="92"/>
        <v>400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5"/>
  <sheetViews>
    <sheetView tabSelected="1" zoomScale="115" zoomScaleNormal="115" workbookViewId="0">
      <selection activeCell="L8" sqref="L8"/>
    </sheetView>
  </sheetViews>
  <sheetFormatPr defaultColWidth="9" defaultRowHeight="13.5"/>
  <cols>
    <col min="1" max="1" width="9" style="4"/>
    <col min="2" max="2" width="17.125" style="5"/>
    <col min="3" max="4" width="12.625" style="4"/>
    <col min="5" max="5" width="9" style="4"/>
    <col min="6" max="6" width="14" style="4" customWidth="1"/>
    <col min="7" max="7" width="2.825" style="4" customWidth="1"/>
    <col min="8" max="10" width="13.7583333333333" style="5" customWidth="1"/>
    <col min="11" max="11" width="12.625" style="5" customWidth="1"/>
    <col min="12" max="12" width="16" style="4"/>
    <col min="13" max="13" width="12.625" style="4" customWidth="1"/>
    <col min="14" max="14" width="16" style="4"/>
    <col min="15" max="15" width="18.2583333333333" style="4"/>
    <col min="16" max="16" width="12.625" style="4" customWidth="1"/>
    <col min="17" max="18" width="16" style="4"/>
    <col min="19" max="19" width="12.625" style="4" customWidth="1"/>
    <col min="20" max="22" width="16" style="4"/>
    <col min="23" max="25" width="12.625" style="4" customWidth="1"/>
    <col min="26" max="35" width="9" style="4"/>
    <col min="36" max="37" width="12.625" style="4"/>
    <col min="38" max="38" width="12.875" style="4" customWidth="1"/>
    <col min="39" max="39" width="9" style="4"/>
    <col min="40" max="42" width="12.625" style="4"/>
    <col min="43" max="16382" width="9" style="4"/>
  </cols>
  <sheetData>
    <row r="1" spans="1:38 16383:16384">
      <c r="A1" s="6" t="s">
        <v>1</v>
      </c>
      <c r="B1" s="7" t="s">
        <v>2</v>
      </c>
      <c r="C1" s="6" t="s">
        <v>3</v>
      </c>
      <c r="D1" s="6" t="s">
        <v>4</v>
      </c>
      <c r="F1" s="6" t="s">
        <v>0</v>
      </c>
      <c r="H1" s="7" t="s">
        <v>5</v>
      </c>
      <c r="I1" s="7" t="s">
        <v>7</v>
      </c>
      <c r="J1" s="7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10</v>
      </c>
      <c r="P1" s="6"/>
      <c r="Q1" s="6" t="s">
        <v>13</v>
      </c>
      <c r="R1" s="6" t="s">
        <v>10</v>
      </c>
      <c r="S1" s="6"/>
      <c r="T1" s="6" t="s">
        <v>14</v>
      </c>
      <c r="U1" s="6" t="s">
        <v>15</v>
      </c>
      <c r="W1" s="8" t="s">
        <v>16</v>
      </c>
      <c r="X1" s="8">
        <v>1</v>
      </c>
      <c r="Y1" s="8">
        <v>2</v>
      </c>
      <c r="Z1" s="8">
        <v>3</v>
      </c>
      <c r="AA1" s="8">
        <v>4</v>
      </c>
      <c r="AB1" s="8">
        <v>5</v>
      </c>
      <c r="AC1" s="8">
        <v>6</v>
      </c>
      <c r="AD1" s="8" t="s">
        <v>17</v>
      </c>
      <c r="AE1" s="8" t="s">
        <v>18</v>
      </c>
      <c r="AF1" s="8" t="s">
        <v>19</v>
      </c>
      <c r="AG1" s="8" t="s">
        <v>20</v>
      </c>
      <c r="AI1" s="4">
        <f t="shared" ref="AI1:AI11" si="0">L2+O2+R2</f>
        <v>1000</v>
      </c>
      <c r="AJ1" s="4">
        <f t="shared" ref="AJ1:AJ11" si="1">L2*1000/(L2+O2+R2)</f>
        <v>1000</v>
      </c>
      <c r="AK1" s="4">
        <f t="shared" ref="AK1:AK11" si="2">O2*1000/(L2+O2+R2)</f>
        <v>0</v>
      </c>
      <c r="AL1" s="4">
        <f t="shared" ref="AL1:AL11" si="3">R2*1000/(L2+O2+R2)</f>
        <v>0</v>
      </c>
      <c r="XFC1" s="4"/>
      <c r="XFD1" s="4"/>
    </row>
    <row r="2" spans="1:38 16383:16384">
      <c r="A2" s="6">
        <v>1</v>
      </c>
      <c r="B2" s="7">
        <v>200000</v>
      </c>
      <c r="C2" s="6">
        <v>2.5</v>
      </c>
      <c r="D2" s="6">
        <v>1</v>
      </c>
      <c r="F2" s="7">
        <v>1000000</v>
      </c>
      <c r="H2" s="7">
        <v>1000</v>
      </c>
      <c r="I2" s="7">
        <f t="shared" ref="I2:I12" si="4">H2*$F$4*$F$6</f>
        <v>50</v>
      </c>
      <c r="J2" s="9">
        <f t="shared" ref="J2:J12" si="5">I2/$F$2</f>
        <v>5e-5</v>
      </c>
      <c r="K2" s="6">
        <v>1</v>
      </c>
      <c r="L2" s="6">
        <v>1000</v>
      </c>
      <c r="M2" s="6">
        <f t="shared" ref="M2:M12" si="6">L2*$U2/10000</f>
        <v>0.1</v>
      </c>
      <c r="N2" s="6"/>
      <c r="O2" s="6"/>
      <c r="P2" s="10"/>
      <c r="Q2" s="6"/>
      <c r="R2" s="6"/>
      <c r="S2" s="6"/>
      <c r="T2" s="6">
        <v>1</v>
      </c>
      <c r="U2" s="6">
        <v>1</v>
      </c>
      <c r="V2" s="4">
        <f>SUM(L2+O2+R2)</f>
        <v>1000</v>
      </c>
      <c r="W2" s="8">
        <v>1</v>
      </c>
      <c r="X2" s="8">
        <v>8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8</v>
      </c>
      <c r="AI2" s="4">
        <f t="shared" si="0"/>
        <v>1000</v>
      </c>
      <c r="AJ2" s="4">
        <f t="shared" si="1"/>
        <v>1000</v>
      </c>
      <c r="AK2" s="4">
        <f t="shared" si="2"/>
        <v>0</v>
      </c>
      <c r="AL2" s="4">
        <f t="shared" si="3"/>
        <v>0</v>
      </c>
      <c r="XFC2" s="4"/>
      <c r="XFD2" s="4"/>
    </row>
    <row r="3" spans="1:38 16383:16384">
      <c r="A3" s="6">
        <v>2</v>
      </c>
      <c r="B3" s="7">
        <v>300000</v>
      </c>
      <c r="C3" s="6">
        <v>2.7</v>
      </c>
      <c r="D3" s="6">
        <v>2</v>
      </c>
      <c r="F3" s="6" t="s">
        <v>22</v>
      </c>
      <c r="H3" s="7">
        <v>5000</v>
      </c>
      <c r="I3" s="7">
        <f t="shared" si="4"/>
        <v>250</v>
      </c>
      <c r="J3" s="9">
        <f t="shared" si="5"/>
        <v>0.00025</v>
      </c>
      <c r="K3" s="6">
        <v>1</v>
      </c>
      <c r="L3" s="6">
        <v>1000</v>
      </c>
      <c r="M3" s="6">
        <f t="shared" si="6"/>
        <v>0.1</v>
      </c>
      <c r="N3" s="6"/>
      <c r="O3" s="6"/>
      <c r="P3" s="6"/>
      <c r="Q3" s="6"/>
      <c r="R3" s="6"/>
      <c r="S3" s="6"/>
      <c r="T3" s="6">
        <v>1</v>
      </c>
      <c r="U3" s="6">
        <v>1</v>
      </c>
      <c r="V3" s="4">
        <f>SUM(L3+O3+R3)</f>
        <v>1000</v>
      </c>
      <c r="W3" s="8">
        <v>2</v>
      </c>
      <c r="X3" s="8">
        <v>7</v>
      </c>
      <c r="Y3" s="8">
        <v>1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8</v>
      </c>
      <c r="AI3" s="4">
        <f t="shared" si="0"/>
        <v>1000</v>
      </c>
      <c r="AJ3" s="4">
        <f t="shared" si="1"/>
        <v>91</v>
      </c>
      <c r="AK3" s="4">
        <f t="shared" si="2"/>
        <v>909</v>
      </c>
      <c r="AL3" s="4">
        <f t="shared" si="3"/>
        <v>0</v>
      </c>
      <c r="XFC3" s="4"/>
      <c r="XFD3" s="4"/>
    </row>
    <row r="4" spans="1:38 16383:16384">
      <c r="A4" s="6">
        <v>3</v>
      </c>
      <c r="B4" s="7">
        <v>600000</v>
      </c>
      <c r="C4" s="6">
        <v>3</v>
      </c>
      <c r="D4" s="6">
        <v>2</v>
      </c>
      <c r="F4" s="6">
        <v>1</v>
      </c>
      <c r="H4" s="7">
        <v>20000</v>
      </c>
      <c r="I4" s="7">
        <f t="shared" si="4"/>
        <v>1000</v>
      </c>
      <c r="J4" s="9">
        <f t="shared" si="5"/>
        <v>0.001</v>
      </c>
      <c r="K4" s="6">
        <v>1</v>
      </c>
      <c r="L4" s="6">
        <v>91</v>
      </c>
      <c r="M4" s="6">
        <f t="shared" si="6"/>
        <v>0.0091</v>
      </c>
      <c r="N4" s="6">
        <v>2</v>
      </c>
      <c r="O4" s="6">
        <v>909</v>
      </c>
      <c r="P4" s="6">
        <f>O4*$U4/10000</f>
        <v>0.0909</v>
      </c>
      <c r="Q4" s="6"/>
      <c r="R4" s="6"/>
      <c r="S4" s="6"/>
      <c r="T4" s="6">
        <v>1</v>
      </c>
      <c r="U4" s="6">
        <v>1</v>
      </c>
      <c r="V4" s="4">
        <f>SUM(L4+O4+R4)</f>
        <v>1000</v>
      </c>
      <c r="W4" s="8">
        <v>3</v>
      </c>
      <c r="X4" s="8">
        <v>6</v>
      </c>
      <c r="Y4" s="8">
        <v>2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8</v>
      </c>
      <c r="AI4" s="4">
        <f t="shared" si="0"/>
        <v>1000</v>
      </c>
      <c r="AJ4" s="4">
        <f t="shared" si="1"/>
        <v>182</v>
      </c>
      <c r="AK4" s="4">
        <f t="shared" si="2"/>
        <v>727</v>
      </c>
      <c r="AL4" s="4">
        <f t="shared" si="3"/>
        <v>91</v>
      </c>
      <c r="XFC4" s="4"/>
      <c r="XFD4" s="4"/>
    </row>
    <row r="5" spans="1:38 16383:16384">
      <c r="A5" s="6">
        <v>4</v>
      </c>
      <c r="B5" s="7">
        <v>1000000</v>
      </c>
      <c r="C5" s="6">
        <v>3.2</v>
      </c>
      <c r="D5" s="6">
        <v>2</v>
      </c>
      <c r="F5" s="6" t="s">
        <v>23</v>
      </c>
      <c r="H5" s="7">
        <v>50000</v>
      </c>
      <c r="I5" s="7">
        <f t="shared" si="4"/>
        <v>2500</v>
      </c>
      <c r="J5" s="9">
        <f t="shared" si="5"/>
        <v>0.0025</v>
      </c>
      <c r="K5" s="6">
        <v>2</v>
      </c>
      <c r="L5" s="6">
        <v>182</v>
      </c>
      <c r="M5" s="6">
        <f t="shared" si="6"/>
        <v>0.0182</v>
      </c>
      <c r="N5" s="6">
        <v>3</v>
      </c>
      <c r="O5" s="6">
        <v>727</v>
      </c>
      <c r="P5" s="6">
        <f t="shared" ref="P4:P12" si="7">O5*$U5/10000</f>
        <v>0.0727</v>
      </c>
      <c r="Q5" s="6">
        <v>4</v>
      </c>
      <c r="R5" s="6">
        <v>91</v>
      </c>
      <c r="S5" s="6">
        <f t="shared" ref="S5:S12" si="8">R5*$U5/10000</f>
        <v>0.0091</v>
      </c>
      <c r="T5" s="6">
        <v>1</v>
      </c>
      <c r="U5" s="6">
        <v>1</v>
      </c>
      <c r="V5" s="4">
        <f t="shared" ref="V3:V12" si="9">SUM(L5+O5+R5)</f>
        <v>1000</v>
      </c>
      <c r="W5" s="8">
        <v>4</v>
      </c>
      <c r="X5" s="8">
        <v>4</v>
      </c>
      <c r="Y5" s="8">
        <v>4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8</v>
      </c>
      <c r="AI5" s="4">
        <f t="shared" si="0"/>
        <v>1000</v>
      </c>
      <c r="AJ5" s="4">
        <f t="shared" si="1"/>
        <v>491</v>
      </c>
      <c r="AK5" s="4">
        <f t="shared" si="2"/>
        <v>491</v>
      </c>
      <c r="AL5" s="4">
        <f t="shared" si="3"/>
        <v>18</v>
      </c>
      <c r="XFC5" s="4"/>
      <c r="XFD5" s="4"/>
    </row>
    <row r="6" spans="1:38 16383:16384">
      <c r="A6" s="6">
        <v>5</v>
      </c>
      <c r="B6" s="7">
        <v>2000000</v>
      </c>
      <c r="C6" s="6">
        <v>3.4</v>
      </c>
      <c r="D6" s="6">
        <v>2</v>
      </c>
      <c r="F6" s="6">
        <v>0.05</v>
      </c>
      <c r="H6" s="7">
        <v>100000</v>
      </c>
      <c r="I6" s="7">
        <f t="shared" si="4"/>
        <v>5000</v>
      </c>
      <c r="J6" s="9">
        <f t="shared" si="5"/>
        <v>0.005</v>
      </c>
      <c r="K6" s="6">
        <v>3</v>
      </c>
      <c r="L6" s="6">
        <v>491</v>
      </c>
      <c r="M6" s="6">
        <f t="shared" si="6"/>
        <v>0.0491</v>
      </c>
      <c r="N6" s="6">
        <v>4</v>
      </c>
      <c r="O6" s="6">
        <v>491</v>
      </c>
      <c r="P6" s="6">
        <f t="shared" si="7"/>
        <v>0.0491</v>
      </c>
      <c r="Q6" s="6">
        <v>5</v>
      </c>
      <c r="R6" s="6">
        <v>18</v>
      </c>
      <c r="S6" s="6">
        <f t="shared" si="8"/>
        <v>0.0018</v>
      </c>
      <c r="T6" s="6">
        <v>1</v>
      </c>
      <c r="U6" s="6">
        <v>1</v>
      </c>
      <c r="V6" s="4">
        <f t="shared" si="9"/>
        <v>1000</v>
      </c>
      <c r="W6" s="8">
        <v>5</v>
      </c>
      <c r="X6" s="8">
        <v>3</v>
      </c>
      <c r="Y6" s="8">
        <v>5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8</v>
      </c>
      <c r="AI6" s="4">
        <f t="shared" si="0"/>
        <v>1000</v>
      </c>
      <c r="AJ6" s="4">
        <f t="shared" si="1"/>
        <v>607</v>
      </c>
      <c r="AK6" s="4">
        <f t="shared" si="2"/>
        <v>374</v>
      </c>
      <c r="AL6" s="4">
        <f t="shared" si="3"/>
        <v>19</v>
      </c>
      <c r="XFC6" s="4"/>
      <c r="XFD6" s="4"/>
    </row>
    <row r="7" spans="1:38 16383:16384">
      <c r="A7" s="6">
        <v>6</v>
      </c>
      <c r="B7" s="7">
        <v>2400000</v>
      </c>
      <c r="C7" s="6">
        <v>3.5</v>
      </c>
      <c r="D7" s="6">
        <v>3</v>
      </c>
      <c r="H7" s="7">
        <v>200000</v>
      </c>
      <c r="I7" s="7">
        <f t="shared" si="4"/>
        <v>10000</v>
      </c>
      <c r="J7" s="9">
        <f t="shared" si="5"/>
        <v>0.01</v>
      </c>
      <c r="K7" s="6">
        <v>4</v>
      </c>
      <c r="L7" s="6">
        <v>607</v>
      </c>
      <c r="M7" s="6">
        <f t="shared" si="6"/>
        <v>0.0607</v>
      </c>
      <c r="N7" s="6">
        <v>5</v>
      </c>
      <c r="O7" s="6">
        <v>374</v>
      </c>
      <c r="P7" s="6">
        <f t="shared" si="7"/>
        <v>0.0374</v>
      </c>
      <c r="Q7" s="6">
        <v>6</v>
      </c>
      <c r="R7" s="6">
        <v>19</v>
      </c>
      <c r="S7" s="6">
        <f t="shared" si="8"/>
        <v>0.0019</v>
      </c>
      <c r="T7" s="6">
        <v>1</v>
      </c>
      <c r="U7" s="6">
        <v>1</v>
      </c>
      <c r="V7" s="4">
        <f t="shared" si="9"/>
        <v>1000</v>
      </c>
      <c r="W7" s="8">
        <v>6</v>
      </c>
      <c r="X7" s="8">
        <v>2</v>
      </c>
      <c r="Y7" s="8">
        <v>5</v>
      </c>
      <c r="Z7" s="8">
        <v>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8</v>
      </c>
      <c r="AI7" s="4">
        <f t="shared" si="0"/>
        <v>1000</v>
      </c>
      <c r="AJ7" s="4">
        <f t="shared" si="1"/>
        <v>571</v>
      </c>
      <c r="AK7" s="4">
        <f t="shared" si="2"/>
        <v>393</v>
      </c>
      <c r="AL7" s="4">
        <f t="shared" si="3"/>
        <v>36</v>
      </c>
      <c r="XFC7" s="4"/>
      <c r="XFD7" s="4"/>
    </row>
    <row r="8" spans="1:38 16383:16384">
      <c r="A8" s="6">
        <v>7</v>
      </c>
      <c r="B8" s="7">
        <v>3000000</v>
      </c>
      <c r="C8" s="6">
        <v>3.6</v>
      </c>
      <c r="D8" s="6">
        <v>3</v>
      </c>
      <c r="H8" s="7">
        <v>500000</v>
      </c>
      <c r="I8" s="7">
        <f t="shared" si="4"/>
        <v>25000</v>
      </c>
      <c r="J8" s="9">
        <f t="shared" si="5"/>
        <v>0.025</v>
      </c>
      <c r="K8" s="6">
        <v>4</v>
      </c>
      <c r="L8" s="6">
        <v>571</v>
      </c>
      <c r="M8" s="6">
        <f t="shared" si="6"/>
        <v>0.0571</v>
      </c>
      <c r="N8" s="6">
        <v>5</v>
      </c>
      <c r="O8" s="6">
        <v>393</v>
      </c>
      <c r="P8" s="6">
        <f t="shared" si="7"/>
        <v>0.0393</v>
      </c>
      <c r="Q8" s="6">
        <v>6</v>
      </c>
      <c r="R8" s="6">
        <v>36</v>
      </c>
      <c r="S8" s="6">
        <f t="shared" si="8"/>
        <v>0.0036</v>
      </c>
      <c r="T8" s="6">
        <v>1</v>
      </c>
      <c r="U8" s="6">
        <v>1</v>
      </c>
      <c r="V8" s="4">
        <f t="shared" si="9"/>
        <v>1000</v>
      </c>
      <c r="W8" s="8">
        <v>7</v>
      </c>
      <c r="X8" s="8">
        <v>1</v>
      </c>
      <c r="Y8" s="8">
        <v>4</v>
      </c>
      <c r="Z8" s="8">
        <v>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8</v>
      </c>
      <c r="AI8" s="4">
        <f t="shared" si="0"/>
        <v>1000</v>
      </c>
      <c r="AJ8" s="4">
        <f t="shared" si="1"/>
        <v>588</v>
      </c>
      <c r="AK8" s="4">
        <f t="shared" si="2"/>
        <v>353</v>
      </c>
      <c r="AL8" s="4">
        <f t="shared" si="3"/>
        <v>59</v>
      </c>
      <c r="XFC8" s="4"/>
      <c r="XFD8" s="4"/>
    </row>
    <row r="9" spans="1:38 16383:16384">
      <c r="A9" s="6">
        <v>8</v>
      </c>
      <c r="B9" s="7">
        <v>3500000</v>
      </c>
      <c r="C9" s="6">
        <v>3.7</v>
      </c>
      <c r="D9" s="6">
        <v>3</v>
      </c>
      <c r="H9" s="7">
        <v>2000000</v>
      </c>
      <c r="I9" s="7">
        <f t="shared" si="4"/>
        <v>100000</v>
      </c>
      <c r="J9" s="9">
        <f t="shared" si="5"/>
        <v>0.1</v>
      </c>
      <c r="K9" s="6">
        <v>4</v>
      </c>
      <c r="L9" s="6">
        <v>588</v>
      </c>
      <c r="M9" s="6">
        <f t="shared" si="6"/>
        <v>0.0588</v>
      </c>
      <c r="N9" s="6">
        <v>5</v>
      </c>
      <c r="O9" s="6">
        <v>353</v>
      </c>
      <c r="P9" s="6">
        <f t="shared" si="7"/>
        <v>0.0353</v>
      </c>
      <c r="Q9" s="6">
        <v>6</v>
      </c>
      <c r="R9" s="6">
        <v>59</v>
      </c>
      <c r="S9" s="6">
        <f t="shared" si="8"/>
        <v>0.0059</v>
      </c>
      <c r="T9" s="6">
        <v>1</v>
      </c>
      <c r="U9" s="6">
        <v>1</v>
      </c>
      <c r="V9" s="4">
        <f t="shared" si="9"/>
        <v>1000</v>
      </c>
      <c r="W9" s="8">
        <v>8</v>
      </c>
      <c r="X9" s="8">
        <v>0</v>
      </c>
      <c r="Y9" s="8">
        <v>4</v>
      </c>
      <c r="Z9" s="8">
        <v>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8</v>
      </c>
      <c r="AI9" s="4">
        <f t="shared" si="0"/>
        <v>1000</v>
      </c>
      <c r="AJ9" s="4">
        <f t="shared" si="1"/>
        <v>550</v>
      </c>
      <c r="AK9" s="4">
        <f t="shared" si="2"/>
        <v>367</v>
      </c>
      <c r="AL9" s="4">
        <f t="shared" si="3"/>
        <v>83</v>
      </c>
      <c r="XFC9" s="4"/>
      <c r="XFD9" s="4"/>
    </row>
    <row r="10" spans="1:38 16383:16384">
      <c r="A10" s="6">
        <v>9</v>
      </c>
      <c r="B10" s="7">
        <v>4000000</v>
      </c>
      <c r="C10" s="6">
        <v>20</v>
      </c>
      <c r="D10" s="6">
        <v>4</v>
      </c>
      <c r="H10" s="7">
        <v>5000000</v>
      </c>
      <c r="I10" s="7">
        <f t="shared" si="4"/>
        <v>250000</v>
      </c>
      <c r="J10" s="9">
        <f t="shared" si="5"/>
        <v>0.25</v>
      </c>
      <c r="K10" s="6">
        <v>4</v>
      </c>
      <c r="L10" s="6">
        <v>550</v>
      </c>
      <c r="M10" s="6">
        <f t="shared" si="6"/>
        <v>0.055</v>
      </c>
      <c r="N10" s="6">
        <v>5</v>
      </c>
      <c r="O10" s="6">
        <v>367</v>
      </c>
      <c r="P10" s="6">
        <f t="shared" si="7"/>
        <v>0.0367</v>
      </c>
      <c r="Q10" s="6">
        <v>6</v>
      </c>
      <c r="R10" s="6">
        <v>83</v>
      </c>
      <c r="S10" s="6">
        <f t="shared" si="8"/>
        <v>0.0083</v>
      </c>
      <c r="T10" s="6">
        <v>1</v>
      </c>
      <c r="U10" s="6">
        <v>1</v>
      </c>
      <c r="V10" s="4">
        <f t="shared" si="9"/>
        <v>1000</v>
      </c>
      <c r="W10" s="8">
        <v>9</v>
      </c>
      <c r="X10" s="8">
        <v>0</v>
      </c>
      <c r="Y10" s="8">
        <v>3</v>
      </c>
      <c r="Z10" s="8">
        <v>4</v>
      </c>
      <c r="AA10" s="8">
        <v>1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8</v>
      </c>
      <c r="AI10" s="4">
        <f t="shared" si="0"/>
        <v>1000</v>
      </c>
      <c r="AJ10" s="4">
        <f t="shared" si="1"/>
        <v>526</v>
      </c>
      <c r="AK10" s="4">
        <f t="shared" si="2"/>
        <v>342</v>
      </c>
      <c r="AL10" s="4">
        <f t="shared" si="3"/>
        <v>132</v>
      </c>
      <c r="XFC10" s="4"/>
      <c r="XFD10" s="4"/>
    </row>
    <row r="11" spans="1:38 16383:16384">
      <c r="A11" s="6">
        <v>10</v>
      </c>
      <c r="B11" s="7">
        <v>5000000</v>
      </c>
      <c r="C11" s="6">
        <v>25</v>
      </c>
      <c r="D11" s="6">
        <v>4</v>
      </c>
      <c r="H11" s="7">
        <v>10000000</v>
      </c>
      <c r="I11" s="7">
        <f t="shared" si="4"/>
        <v>500000</v>
      </c>
      <c r="J11" s="9">
        <f t="shared" si="5"/>
        <v>0.5</v>
      </c>
      <c r="K11" s="6">
        <v>4</v>
      </c>
      <c r="L11" s="6">
        <v>526</v>
      </c>
      <c r="M11" s="6">
        <f t="shared" si="6"/>
        <v>0.0526</v>
      </c>
      <c r="N11" s="6">
        <v>5</v>
      </c>
      <c r="O11" s="6">
        <v>342</v>
      </c>
      <c r="P11" s="6">
        <f t="shared" si="7"/>
        <v>0.0342</v>
      </c>
      <c r="Q11" s="6">
        <v>6</v>
      </c>
      <c r="R11" s="6">
        <v>132</v>
      </c>
      <c r="S11" s="6">
        <f t="shared" si="8"/>
        <v>0.0132</v>
      </c>
      <c r="T11" s="6">
        <v>1</v>
      </c>
      <c r="U11" s="6">
        <v>1</v>
      </c>
      <c r="V11" s="4">
        <f t="shared" si="9"/>
        <v>1000</v>
      </c>
      <c r="W11" s="8">
        <v>10</v>
      </c>
      <c r="X11" s="8">
        <v>0</v>
      </c>
      <c r="Y11" s="8">
        <v>3</v>
      </c>
      <c r="Z11" s="8">
        <v>3</v>
      </c>
      <c r="AA11" s="8">
        <v>2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8</v>
      </c>
      <c r="AI11" s="4">
        <f t="shared" si="0"/>
        <v>1000</v>
      </c>
      <c r="AJ11" s="4">
        <f t="shared" si="1"/>
        <v>400</v>
      </c>
      <c r="AK11" s="4">
        <f t="shared" si="2"/>
        <v>400</v>
      </c>
      <c r="AL11" s="4">
        <f t="shared" si="3"/>
        <v>200</v>
      </c>
      <c r="XFC11" s="4"/>
      <c r="XFD11" s="4"/>
    </row>
    <row r="12" spans="1:38 16383:16384">
      <c r="A12" s="6">
        <v>11</v>
      </c>
      <c r="B12" s="7">
        <v>6000000</v>
      </c>
      <c r="C12" s="6">
        <v>27</v>
      </c>
      <c r="D12" s="6">
        <v>5</v>
      </c>
      <c r="H12" s="7">
        <v>20000000</v>
      </c>
      <c r="I12" s="7">
        <f t="shared" si="4"/>
        <v>1000000</v>
      </c>
      <c r="J12" s="9">
        <f t="shared" si="5"/>
        <v>1</v>
      </c>
      <c r="K12" s="6">
        <v>4</v>
      </c>
      <c r="L12" s="6">
        <v>400</v>
      </c>
      <c r="M12" s="6">
        <f t="shared" si="6"/>
        <v>0.04</v>
      </c>
      <c r="N12" s="6">
        <v>5</v>
      </c>
      <c r="O12" s="6">
        <v>400</v>
      </c>
      <c r="P12" s="6">
        <f t="shared" si="7"/>
        <v>0.04</v>
      </c>
      <c r="Q12" s="6">
        <v>6</v>
      </c>
      <c r="R12" s="6">
        <v>200</v>
      </c>
      <c r="S12" s="6">
        <f t="shared" si="8"/>
        <v>0.02</v>
      </c>
      <c r="T12" s="6">
        <v>1</v>
      </c>
      <c r="U12" s="6">
        <v>1</v>
      </c>
      <c r="V12" s="4">
        <f t="shared" si="9"/>
        <v>1000</v>
      </c>
      <c r="W12" s="8">
        <v>11</v>
      </c>
      <c r="X12" s="8">
        <v>0</v>
      </c>
      <c r="Y12" s="8">
        <v>1</v>
      </c>
      <c r="Z12" s="8">
        <v>4</v>
      </c>
      <c r="AA12" s="8">
        <v>2</v>
      </c>
      <c r="AB12" s="8">
        <v>0</v>
      </c>
      <c r="AC12" s="8">
        <v>0</v>
      </c>
      <c r="AD12" s="8">
        <v>1</v>
      </c>
      <c r="AE12" s="8">
        <v>0</v>
      </c>
      <c r="AF12" s="8">
        <v>0</v>
      </c>
      <c r="AG12" s="8">
        <v>8</v>
      </c>
      <c r="XFC12" s="4"/>
      <c r="XFD12" s="4"/>
    </row>
    <row r="13" spans="1:38 16383:16384">
      <c r="A13" s="6">
        <v>12</v>
      </c>
      <c r="B13" s="7">
        <v>7000000</v>
      </c>
      <c r="C13" s="6">
        <v>29</v>
      </c>
      <c r="D13" s="6">
        <v>5</v>
      </c>
      <c r="W13" s="8">
        <v>12</v>
      </c>
      <c r="X13" s="8">
        <v>0</v>
      </c>
      <c r="Y13" s="8">
        <v>1</v>
      </c>
      <c r="Z13" s="8">
        <v>3</v>
      </c>
      <c r="AA13" s="8">
        <v>2</v>
      </c>
      <c r="AB13" s="8">
        <v>1</v>
      </c>
      <c r="AC13" s="8">
        <v>0</v>
      </c>
      <c r="AD13" s="8">
        <v>1</v>
      </c>
      <c r="AE13" s="8">
        <v>0</v>
      </c>
      <c r="AF13" s="8">
        <v>0</v>
      </c>
      <c r="AG13" s="8">
        <v>8</v>
      </c>
      <c r="AJ13" s="4">
        <f t="shared" ref="AJ13:AL13" si="10">ROUND(AJ1,0)</f>
        <v>1000</v>
      </c>
      <c r="AK13" s="4">
        <f t="shared" si="10"/>
        <v>0</v>
      </c>
      <c r="AL13" s="4">
        <f t="shared" si="10"/>
        <v>0</v>
      </c>
      <c r="XFC13" s="4"/>
      <c r="XFD13" s="4"/>
    </row>
    <row r="14" spans="1:38 16383:16384">
      <c r="A14" s="6">
        <v>13</v>
      </c>
      <c r="B14" s="7">
        <v>10000000</v>
      </c>
      <c r="C14" s="6">
        <v>31</v>
      </c>
      <c r="D14" s="6">
        <v>5</v>
      </c>
      <c r="F14" s="4" t="s">
        <v>24</v>
      </c>
      <c r="H14" s="7" t="s">
        <v>25</v>
      </c>
      <c r="I14" s="7">
        <v>1</v>
      </c>
      <c r="J14" s="7">
        <v>2</v>
      </c>
      <c r="K14" s="7">
        <v>3</v>
      </c>
      <c r="L14" s="7">
        <v>4</v>
      </c>
      <c r="M14" s="7">
        <v>5</v>
      </c>
      <c r="N14" s="7">
        <v>6</v>
      </c>
      <c r="W14" s="8">
        <v>13</v>
      </c>
      <c r="X14" s="8">
        <v>0</v>
      </c>
      <c r="Y14" s="8">
        <v>1</v>
      </c>
      <c r="Z14" s="8">
        <v>2</v>
      </c>
      <c r="AA14" s="8">
        <v>2</v>
      </c>
      <c r="AB14" s="8">
        <v>1</v>
      </c>
      <c r="AC14" s="8">
        <v>0</v>
      </c>
      <c r="AD14" s="8">
        <v>1</v>
      </c>
      <c r="AE14" s="8">
        <v>1</v>
      </c>
      <c r="AF14" s="8">
        <v>0</v>
      </c>
      <c r="AG14" s="8">
        <v>8</v>
      </c>
      <c r="AJ14" s="4">
        <f t="shared" ref="AJ14:AL14" si="11">ROUND(AJ2,0)</f>
        <v>1000</v>
      </c>
      <c r="AK14" s="4">
        <f t="shared" si="11"/>
        <v>0</v>
      </c>
      <c r="AL14" s="4">
        <f t="shared" si="11"/>
        <v>0</v>
      </c>
      <c r="XFC14" s="4"/>
      <c r="XFD14" s="4"/>
    </row>
    <row r="15" spans="1:38 16383:16384">
      <c r="A15" s="6">
        <v>14</v>
      </c>
      <c r="B15" s="7">
        <v>15000000</v>
      </c>
      <c r="C15" s="6">
        <v>35</v>
      </c>
      <c r="D15" s="6">
        <v>5</v>
      </c>
      <c r="H15" s="7">
        <f t="shared" ref="H15:H25" si="12">H2</f>
        <v>1000</v>
      </c>
      <c r="I15" s="11">
        <f t="shared" ref="I15:N15" si="13">IF($K2=I$14,$M2,0)+IF($N2=I$14,$P2,0)+IF($Q2=I$14,$S2,0)</f>
        <v>0.1</v>
      </c>
      <c r="J15" s="11">
        <f t="shared" si="13"/>
        <v>0</v>
      </c>
      <c r="K15" s="11">
        <f t="shared" si="13"/>
        <v>0</v>
      </c>
      <c r="L15" s="11">
        <f t="shared" si="13"/>
        <v>0</v>
      </c>
      <c r="M15" s="11">
        <f t="shared" si="13"/>
        <v>0</v>
      </c>
      <c r="N15" s="11">
        <f t="shared" si="13"/>
        <v>0</v>
      </c>
      <c r="W15" s="8">
        <v>14</v>
      </c>
      <c r="X15" s="8">
        <v>0</v>
      </c>
      <c r="Y15" s="8">
        <v>0</v>
      </c>
      <c r="Z15" s="8">
        <v>2</v>
      </c>
      <c r="AA15" s="8">
        <v>2</v>
      </c>
      <c r="AB15" s="8">
        <v>1</v>
      </c>
      <c r="AC15" s="8">
        <v>1</v>
      </c>
      <c r="AD15" s="8">
        <v>1</v>
      </c>
      <c r="AE15" s="8">
        <v>1</v>
      </c>
      <c r="AF15" s="8">
        <v>0</v>
      </c>
      <c r="AG15" s="8">
        <v>8</v>
      </c>
      <c r="AJ15" s="4">
        <f t="shared" ref="AJ15:AL15" si="14">ROUND(AJ3,0)</f>
        <v>91</v>
      </c>
      <c r="AK15" s="4">
        <f t="shared" si="14"/>
        <v>909</v>
      </c>
      <c r="AL15" s="4">
        <f t="shared" si="14"/>
        <v>0</v>
      </c>
      <c r="XFC15" s="4"/>
      <c r="XFD15" s="4"/>
    </row>
    <row r="16" spans="1:38 16383:16384">
      <c r="A16" s="6">
        <v>15</v>
      </c>
      <c r="B16" s="7">
        <v>20000000</v>
      </c>
      <c r="C16" s="6">
        <v>40</v>
      </c>
      <c r="D16" s="6">
        <v>6</v>
      </c>
      <c r="H16" s="7">
        <f t="shared" si="12"/>
        <v>5000</v>
      </c>
      <c r="I16" s="11">
        <f t="shared" ref="I16:N16" si="15">IF($K3=I$14,$M3,0)+IF($N3=I$14,$P3,0)+IF($Q3=I$14,$S3,0)</f>
        <v>0.1</v>
      </c>
      <c r="J16" s="11">
        <f t="shared" si="15"/>
        <v>0</v>
      </c>
      <c r="K16" s="11">
        <f t="shared" si="15"/>
        <v>0</v>
      </c>
      <c r="L16" s="11">
        <f t="shared" si="15"/>
        <v>0</v>
      </c>
      <c r="M16" s="11">
        <f t="shared" si="15"/>
        <v>0</v>
      </c>
      <c r="N16" s="11">
        <f t="shared" si="15"/>
        <v>0</v>
      </c>
      <c r="W16" s="8">
        <v>15</v>
      </c>
      <c r="X16" s="8">
        <v>0</v>
      </c>
      <c r="Y16" s="8">
        <v>0</v>
      </c>
      <c r="Z16" s="8">
        <v>1</v>
      </c>
      <c r="AA16" s="8">
        <v>3</v>
      </c>
      <c r="AB16" s="8">
        <v>1</v>
      </c>
      <c r="AC16" s="8">
        <v>1</v>
      </c>
      <c r="AD16" s="8">
        <v>1</v>
      </c>
      <c r="AE16" s="8">
        <v>1</v>
      </c>
      <c r="AF16" s="8">
        <v>0</v>
      </c>
      <c r="AG16" s="8">
        <v>8</v>
      </c>
      <c r="AJ16" s="4">
        <f t="shared" ref="AJ16:AL16" si="16">ROUND(AJ4,0)</f>
        <v>182</v>
      </c>
      <c r="AK16" s="4">
        <f t="shared" si="16"/>
        <v>727</v>
      </c>
      <c r="AL16" s="4">
        <f t="shared" si="16"/>
        <v>91</v>
      </c>
      <c r="XFC16" s="4"/>
      <c r="XFD16" s="4"/>
    </row>
    <row r="17" spans="1:38 16383:16384">
      <c r="A17" s="6">
        <v>16</v>
      </c>
      <c r="B17" s="7">
        <v>22000000</v>
      </c>
      <c r="C17" s="6">
        <v>42.5</v>
      </c>
      <c r="D17" s="6">
        <v>6</v>
      </c>
      <c r="H17" s="7">
        <f t="shared" si="12"/>
        <v>20000</v>
      </c>
      <c r="I17" s="11">
        <f t="shared" ref="I17:N17" si="17">IF($K4=I$14,$M4,0)+IF($N4=I$14,$P4,0)+IF($Q4=I$14,$S4,0)</f>
        <v>0.0091</v>
      </c>
      <c r="J17" s="11">
        <f t="shared" si="17"/>
        <v>0.0909</v>
      </c>
      <c r="K17" s="11">
        <f t="shared" si="17"/>
        <v>0</v>
      </c>
      <c r="L17" s="11">
        <f t="shared" si="17"/>
        <v>0</v>
      </c>
      <c r="M17" s="11">
        <f t="shared" si="17"/>
        <v>0</v>
      </c>
      <c r="N17" s="11">
        <f t="shared" si="17"/>
        <v>0</v>
      </c>
      <c r="W17" s="8">
        <v>16</v>
      </c>
      <c r="X17" s="8">
        <v>0</v>
      </c>
      <c r="Y17" s="8">
        <v>0</v>
      </c>
      <c r="Z17" s="8">
        <v>1</v>
      </c>
      <c r="AA17" s="8">
        <v>2</v>
      </c>
      <c r="AB17" s="8">
        <v>1</v>
      </c>
      <c r="AC17" s="8">
        <v>1</v>
      </c>
      <c r="AD17" s="8">
        <v>2</v>
      </c>
      <c r="AE17" s="8">
        <v>1</v>
      </c>
      <c r="AF17" s="8">
        <v>0</v>
      </c>
      <c r="AG17" s="8">
        <v>8</v>
      </c>
      <c r="AJ17" s="4">
        <f t="shared" ref="AJ17:AL17" si="18">ROUND(AJ5,0)</f>
        <v>491</v>
      </c>
      <c r="AK17" s="4">
        <f t="shared" si="18"/>
        <v>491</v>
      </c>
      <c r="AL17" s="4">
        <f t="shared" si="18"/>
        <v>18</v>
      </c>
      <c r="XFC17" s="4"/>
      <c r="XFD17" s="4"/>
    </row>
    <row r="18" spans="1:38 16383:16384">
      <c r="A18" s="6">
        <v>17</v>
      </c>
      <c r="B18" s="7">
        <v>28000000</v>
      </c>
      <c r="C18" s="6">
        <v>45</v>
      </c>
      <c r="D18" s="6">
        <v>6</v>
      </c>
      <c r="H18" s="7">
        <f t="shared" si="12"/>
        <v>50000</v>
      </c>
      <c r="I18" s="11">
        <f t="shared" ref="I18:N18" si="19">IF($K5=I$14,$M5,0)+IF($N5=I$14,$P5,0)+IF($Q5=I$14,$S5,0)</f>
        <v>0</v>
      </c>
      <c r="J18" s="11">
        <f t="shared" si="19"/>
        <v>0.0182</v>
      </c>
      <c r="K18" s="11">
        <f t="shared" si="19"/>
        <v>0.0727</v>
      </c>
      <c r="L18" s="11">
        <f t="shared" si="19"/>
        <v>0.0091</v>
      </c>
      <c r="M18" s="11">
        <f t="shared" si="19"/>
        <v>0</v>
      </c>
      <c r="N18" s="11">
        <f t="shared" si="19"/>
        <v>0</v>
      </c>
      <c r="W18" s="8">
        <v>17</v>
      </c>
      <c r="X18" s="8">
        <v>0</v>
      </c>
      <c r="Y18" s="8">
        <v>0</v>
      </c>
      <c r="Z18" s="8">
        <v>1</v>
      </c>
      <c r="AA18" s="8">
        <v>1</v>
      </c>
      <c r="AB18" s="8">
        <v>2</v>
      </c>
      <c r="AC18" s="8">
        <v>1</v>
      </c>
      <c r="AD18" s="8">
        <v>2</v>
      </c>
      <c r="AE18" s="8">
        <v>1</v>
      </c>
      <c r="AF18" s="8">
        <v>0</v>
      </c>
      <c r="AG18" s="8">
        <v>8</v>
      </c>
      <c r="AJ18" s="4">
        <f t="shared" ref="AJ18:AL18" si="20">ROUND(AJ6,0)</f>
        <v>607</v>
      </c>
      <c r="AK18" s="4">
        <f t="shared" si="20"/>
        <v>374</v>
      </c>
      <c r="AL18" s="4">
        <f t="shared" si="20"/>
        <v>19</v>
      </c>
      <c r="XFC18" s="4"/>
      <c r="XFD18" s="4"/>
    </row>
    <row r="19" spans="1:38 16383:16384">
      <c r="A19" s="6">
        <v>18</v>
      </c>
      <c r="B19" s="7">
        <v>30000000</v>
      </c>
      <c r="C19" s="6">
        <v>50</v>
      </c>
      <c r="D19" s="6">
        <v>6</v>
      </c>
      <c r="H19" s="7">
        <f t="shared" si="12"/>
        <v>100000</v>
      </c>
      <c r="I19" s="11">
        <f t="shared" ref="I19:N19" si="21">IF($K6=I$14,$M6,0)+IF($N6=I$14,$P6,0)+IF($Q6=I$14,$S6,0)</f>
        <v>0</v>
      </c>
      <c r="J19" s="11">
        <f t="shared" si="21"/>
        <v>0</v>
      </c>
      <c r="K19" s="11">
        <f t="shared" si="21"/>
        <v>0.0491</v>
      </c>
      <c r="L19" s="11">
        <f t="shared" si="21"/>
        <v>0.0491</v>
      </c>
      <c r="M19" s="11">
        <f t="shared" si="21"/>
        <v>0.0018</v>
      </c>
      <c r="N19" s="11">
        <f t="shared" si="21"/>
        <v>0</v>
      </c>
      <c r="W19" s="8">
        <v>18</v>
      </c>
      <c r="X19" s="8">
        <v>0</v>
      </c>
      <c r="Y19" s="8">
        <v>0</v>
      </c>
      <c r="Z19" s="8">
        <v>1</v>
      </c>
      <c r="AA19" s="8">
        <v>1</v>
      </c>
      <c r="AB19" s="8">
        <v>2</v>
      </c>
      <c r="AC19" s="8">
        <v>0</v>
      </c>
      <c r="AD19" s="8">
        <v>1</v>
      </c>
      <c r="AE19" s="8">
        <v>2</v>
      </c>
      <c r="AF19" s="8">
        <v>1</v>
      </c>
      <c r="AG19" s="8">
        <v>8</v>
      </c>
      <c r="AJ19" s="4">
        <f t="shared" ref="AJ19:AL19" si="22">ROUND(AJ7,0)</f>
        <v>571</v>
      </c>
      <c r="AK19" s="4">
        <f t="shared" si="22"/>
        <v>393</v>
      </c>
      <c r="AL19" s="4">
        <f t="shared" si="22"/>
        <v>36</v>
      </c>
      <c r="XFC19" s="4"/>
      <c r="XFD19" s="4"/>
    </row>
    <row r="20" spans="1:38 16383:16384">
      <c r="A20" s="6">
        <v>19</v>
      </c>
      <c r="B20" s="7">
        <v>40000000</v>
      </c>
      <c r="C20" s="6">
        <v>55</v>
      </c>
      <c r="D20" s="6">
        <v>6</v>
      </c>
      <c r="H20" s="7">
        <f t="shared" si="12"/>
        <v>200000</v>
      </c>
      <c r="I20" s="11">
        <f t="shared" ref="I20:N20" si="23">IF($K7=I$14,$M7,0)+IF($N7=I$14,$P7,0)+IF($Q7=I$14,$S7,0)</f>
        <v>0</v>
      </c>
      <c r="J20" s="11">
        <f t="shared" si="23"/>
        <v>0</v>
      </c>
      <c r="K20" s="11">
        <f t="shared" si="23"/>
        <v>0</v>
      </c>
      <c r="L20" s="11">
        <f t="shared" si="23"/>
        <v>0.0607</v>
      </c>
      <c r="M20" s="11">
        <f t="shared" si="23"/>
        <v>0.0374</v>
      </c>
      <c r="N20" s="11">
        <f t="shared" si="23"/>
        <v>0.0019</v>
      </c>
      <c r="W20" s="8">
        <v>19</v>
      </c>
      <c r="X20" s="8">
        <v>0</v>
      </c>
      <c r="Y20" s="8">
        <v>0</v>
      </c>
      <c r="Z20" s="8">
        <v>0</v>
      </c>
      <c r="AA20" s="8">
        <v>1</v>
      </c>
      <c r="AB20" s="8">
        <v>2</v>
      </c>
      <c r="AC20" s="8">
        <v>0</v>
      </c>
      <c r="AD20" s="8">
        <v>2</v>
      </c>
      <c r="AE20" s="8">
        <v>2</v>
      </c>
      <c r="AF20" s="8">
        <v>1</v>
      </c>
      <c r="AG20" s="8">
        <v>8</v>
      </c>
      <c r="AJ20" s="4">
        <f t="shared" ref="AJ20:AL20" si="24">ROUND(AJ8,0)</f>
        <v>588</v>
      </c>
      <c r="AK20" s="4">
        <f t="shared" si="24"/>
        <v>353</v>
      </c>
      <c r="AL20" s="4">
        <f t="shared" si="24"/>
        <v>59</v>
      </c>
      <c r="XFC20" s="4"/>
      <c r="XFD20" s="4"/>
    </row>
    <row r="21" spans="1:38 16383:16384">
      <c r="A21" s="6" t="s">
        <v>26</v>
      </c>
      <c r="B21" s="7">
        <v>50000000</v>
      </c>
      <c r="C21" s="6">
        <v>100</v>
      </c>
      <c r="D21" s="6"/>
      <c r="H21" s="7">
        <f t="shared" si="12"/>
        <v>500000</v>
      </c>
      <c r="I21" s="11">
        <f t="shared" ref="I21:N21" si="25">IF($K8=I$14,$M8,0)+IF($N8=I$14,$P8,0)+IF($Q8=I$14,$S8,0)</f>
        <v>0</v>
      </c>
      <c r="J21" s="11">
        <f t="shared" si="25"/>
        <v>0</v>
      </c>
      <c r="K21" s="11">
        <f t="shared" si="25"/>
        <v>0</v>
      </c>
      <c r="L21" s="11">
        <f t="shared" si="25"/>
        <v>0.0571</v>
      </c>
      <c r="M21" s="11">
        <f t="shared" si="25"/>
        <v>0.0393</v>
      </c>
      <c r="N21" s="11">
        <f t="shared" si="25"/>
        <v>0.0036</v>
      </c>
      <c r="W21" s="8" t="s">
        <v>20</v>
      </c>
      <c r="X21" s="8">
        <v>31</v>
      </c>
      <c r="Y21" s="8">
        <v>34</v>
      </c>
      <c r="Z21" s="8">
        <v>30</v>
      </c>
      <c r="AA21" s="8">
        <v>19</v>
      </c>
      <c r="AB21" s="8">
        <v>11</v>
      </c>
      <c r="AC21" s="8">
        <v>4</v>
      </c>
      <c r="AD21" s="8">
        <v>12</v>
      </c>
      <c r="AE21" s="8">
        <v>9</v>
      </c>
      <c r="AF21" s="8">
        <v>2</v>
      </c>
      <c r="AG21" s="8">
        <v>152</v>
      </c>
      <c r="AJ21" s="4">
        <f t="shared" ref="AJ21:AL21" si="26">ROUND(AJ9,0)</f>
        <v>550</v>
      </c>
      <c r="AK21" s="4">
        <f t="shared" si="26"/>
        <v>367</v>
      </c>
      <c r="AL21" s="4">
        <f t="shared" si="26"/>
        <v>83</v>
      </c>
      <c r="XFC21" s="4"/>
      <c r="XFD21" s="4"/>
    </row>
    <row r="22" spans="1:38 16383:16384">
      <c r="A22" s="6" t="s">
        <v>27</v>
      </c>
      <c r="B22" s="7">
        <v>250000000</v>
      </c>
      <c r="C22" s="6">
        <f>SUM(C2:C21)</f>
        <v>525.1</v>
      </c>
      <c r="D22" s="6"/>
      <c r="H22" s="7">
        <f t="shared" si="12"/>
        <v>2000000</v>
      </c>
      <c r="I22" s="11">
        <f t="shared" ref="I22:N22" si="27">IF($K9=I$14,$M9,0)+IF($N9=I$14,$P9,0)+IF($Q9=I$14,$S9,0)</f>
        <v>0</v>
      </c>
      <c r="J22" s="11">
        <f t="shared" si="27"/>
        <v>0</v>
      </c>
      <c r="K22" s="11">
        <f t="shared" si="27"/>
        <v>0</v>
      </c>
      <c r="L22" s="11">
        <f t="shared" si="27"/>
        <v>0.0588</v>
      </c>
      <c r="M22" s="11">
        <f t="shared" si="27"/>
        <v>0.0353</v>
      </c>
      <c r="N22" s="11">
        <f t="shared" si="27"/>
        <v>0.0059</v>
      </c>
      <c r="AJ22" s="4">
        <f t="shared" ref="AJ22:AL22" si="28">ROUND(AJ10,0)</f>
        <v>526</v>
      </c>
      <c r="AK22" s="4">
        <f t="shared" si="28"/>
        <v>342</v>
      </c>
      <c r="AL22" s="4">
        <f t="shared" si="28"/>
        <v>132</v>
      </c>
    </row>
    <row r="23" spans="1:38 16383:16384">
      <c r="H23" s="7">
        <f t="shared" si="12"/>
        <v>5000000</v>
      </c>
      <c r="I23" s="11">
        <f t="shared" ref="I23:N23" si="29">IF($K10=I$14,$M10,0)+IF($N10=I$14,$P10,0)+IF($Q10=I$14,$S10,0)</f>
        <v>0</v>
      </c>
      <c r="J23" s="11">
        <f t="shared" si="29"/>
        <v>0</v>
      </c>
      <c r="K23" s="11">
        <f t="shared" si="29"/>
        <v>0</v>
      </c>
      <c r="L23" s="11">
        <f t="shared" si="29"/>
        <v>0.055</v>
      </c>
      <c r="M23" s="11">
        <f t="shared" si="29"/>
        <v>0.0367</v>
      </c>
      <c r="N23" s="11">
        <f t="shared" si="29"/>
        <v>0.0083</v>
      </c>
      <c r="AJ23" s="4">
        <f t="shared" ref="AJ23:AL23" si="30">ROUND(AJ11,0)</f>
        <v>400</v>
      </c>
      <c r="AK23" s="4">
        <f t="shared" si="30"/>
        <v>400</v>
      </c>
      <c r="AL23" s="4">
        <f t="shared" si="30"/>
        <v>200</v>
      </c>
    </row>
    <row r="24" spans="1:38 16383:16384">
      <c r="H24" s="7">
        <f t="shared" si="12"/>
        <v>10000000</v>
      </c>
      <c r="I24" s="11">
        <f t="shared" ref="I24:N24" si="31">IF($K11=I$14,$M11,0)+IF($N11=I$14,$P11,0)+IF($Q11=I$14,$S11,0)</f>
        <v>0</v>
      </c>
      <c r="J24" s="11">
        <f t="shared" si="31"/>
        <v>0</v>
      </c>
      <c r="K24" s="11">
        <f t="shared" si="31"/>
        <v>0</v>
      </c>
      <c r="L24" s="11">
        <f t="shared" si="31"/>
        <v>0.0526</v>
      </c>
      <c r="M24" s="11">
        <f t="shared" si="31"/>
        <v>0.0342</v>
      </c>
      <c r="N24" s="11">
        <f t="shared" si="31"/>
        <v>0.0132</v>
      </c>
    </row>
    <row r="25" spans="1:38 16383:16384">
      <c r="A25" s="6" t="s">
        <v>34</v>
      </c>
      <c r="B25" s="6" t="s">
        <v>30</v>
      </c>
      <c r="C25" s="6" t="s">
        <v>35</v>
      </c>
      <c r="H25" s="7">
        <f t="shared" si="12"/>
        <v>20000000</v>
      </c>
      <c r="I25" s="11">
        <f t="shared" ref="I25:N25" si="32">IF($K12=I$14,$M12,0)+IF($N12=I$14,$P12,0)+IF($Q12=I$14,$S12,0)</f>
        <v>0</v>
      </c>
      <c r="J25" s="11">
        <f t="shared" si="32"/>
        <v>0</v>
      </c>
      <c r="K25" s="11">
        <f t="shared" si="32"/>
        <v>0</v>
      </c>
      <c r="L25" s="11">
        <f t="shared" si="32"/>
        <v>0.04</v>
      </c>
      <c r="M25" s="11">
        <f t="shared" si="32"/>
        <v>0.04</v>
      </c>
      <c r="N25" s="11">
        <f t="shared" si="32"/>
        <v>0.02</v>
      </c>
    </row>
    <row r="26" spans="1:38 16383:16384">
      <c r="A26" s="6">
        <v>1</v>
      </c>
      <c r="B26" s="6">
        <v>25</v>
      </c>
      <c r="C26" s="11">
        <f t="shared" ref="C26:C30" si="33">SUMIF($D$2:$D$21,"&lt;="&amp;A26,$B$2:$B$22)/B26/$F$2</f>
        <v>0.008</v>
      </c>
    </row>
    <row r="27" spans="1:38 16383:16384">
      <c r="A27" s="6">
        <v>2</v>
      </c>
      <c r="B27" s="6">
        <v>50</v>
      </c>
      <c r="C27" s="11">
        <f t="shared" si="33"/>
        <v>0.082</v>
      </c>
      <c r="F27" s="4" t="s">
        <v>28</v>
      </c>
      <c r="H27" s="7" t="s">
        <v>29</v>
      </c>
      <c r="I27" s="6">
        <v>1</v>
      </c>
      <c r="J27" s="6">
        <v>2</v>
      </c>
      <c r="K27" s="6">
        <v>3</v>
      </c>
      <c r="L27" s="6">
        <v>4</v>
      </c>
      <c r="M27" s="6">
        <v>5</v>
      </c>
      <c r="N27" s="6">
        <v>6</v>
      </c>
      <c r="O27" s="7"/>
      <c r="P27" s="7"/>
      <c r="Q27" s="6"/>
    </row>
    <row r="28" spans="1:38 16383:16384">
      <c r="A28" s="6">
        <v>3</v>
      </c>
      <c r="B28" s="6">
        <v>50</v>
      </c>
      <c r="C28" s="11">
        <f t="shared" si="33"/>
        <v>0.26</v>
      </c>
      <c r="H28" s="6" t="s">
        <v>42</v>
      </c>
      <c r="I28" s="6">
        <v>25</v>
      </c>
      <c r="J28" s="6">
        <v>50</v>
      </c>
      <c r="K28" s="6">
        <v>50</v>
      </c>
      <c r="L28" s="6">
        <v>50</v>
      </c>
      <c r="M28" s="6">
        <v>50</v>
      </c>
      <c r="N28" s="6">
        <v>40</v>
      </c>
      <c r="O28" s="7" t="s">
        <v>31</v>
      </c>
      <c r="P28" s="7" t="s">
        <v>32</v>
      </c>
      <c r="Q28" s="6" t="s">
        <v>43</v>
      </c>
    </row>
    <row r="29" spans="1:38 16383:16384">
      <c r="A29" s="6">
        <v>4</v>
      </c>
      <c r="B29" s="6">
        <v>50</v>
      </c>
      <c r="C29" s="11">
        <f t="shared" si="33"/>
        <v>0.44</v>
      </c>
      <c r="H29" s="7">
        <f t="shared" ref="H29:H39" si="34">H15</f>
        <v>1000</v>
      </c>
      <c r="I29" s="12">
        <f t="shared" ref="I29:N29" si="35">IF(I15=0,0,I$28/I15)</f>
        <v>250</v>
      </c>
      <c r="J29" s="12">
        <f t="shared" si="35"/>
        <v>0</v>
      </c>
      <c r="K29" s="12">
        <f t="shared" si="35"/>
        <v>0</v>
      </c>
      <c r="L29" s="12">
        <f t="shared" si="35"/>
        <v>0</v>
      </c>
      <c r="M29" s="12">
        <f t="shared" si="35"/>
        <v>0</v>
      </c>
      <c r="N29" s="12">
        <f t="shared" si="35"/>
        <v>0</v>
      </c>
      <c r="O29" s="7">
        <f ca="1">IF(N29&gt;0,SUMIF($D$2:$D$21,"&lt;="&amp;$N$27,$B$2:B20),IF(M29&gt;0,SUMIF($D$2:$D$21,"&lt;="&amp;$M$27,$B$2:B20),IF(L29&gt;0,SUMIF($D$2:$D$21,"&lt;="&amp;$L$27,$B$2:B20),IF(K29&gt;0,SUMIF($D$2:$D$21,"&lt;="&amp;$K$27,$B$2:B20),IF(J29&gt;0,SUMIF($D$2:$D$21,"&lt;="&amp;$J$27,$B$2:B20),IF(I29&gt;0,SUMIF($D$2:$D$21,"&lt;="&amp;$I$27,$B$2:B20),0))))))</f>
        <v>200000</v>
      </c>
      <c r="P29" s="12">
        <f ca="1" t="shared" ref="P29:P39" si="36">O29/$F$2</f>
        <v>0.2</v>
      </c>
      <c r="Q29" s="7">
        <f t="shared" ref="Q29:Q39" si="37">IF(N29&gt;0,N29,IF(M29&gt;0,M29,IF(L29&gt;0,L29,IF(K29&gt;0,K29,IF(J29&gt;0,J29,I29)))))</f>
        <v>250</v>
      </c>
    </row>
    <row r="30" spans="1:38 16383:16384">
      <c r="A30" s="6">
        <v>5</v>
      </c>
      <c r="B30" s="6">
        <v>50</v>
      </c>
      <c r="C30" s="11">
        <f t="shared" si="33"/>
        <v>1.2</v>
      </c>
      <c r="H30" s="7">
        <f t="shared" si="34"/>
        <v>5000</v>
      </c>
      <c r="I30" s="12">
        <f t="shared" ref="I30:N30" si="38">IF(I16=0,0,I$28/I16)</f>
        <v>250</v>
      </c>
      <c r="J30" s="12">
        <f t="shared" si="38"/>
        <v>0</v>
      </c>
      <c r="K30" s="12">
        <f t="shared" si="38"/>
        <v>0</v>
      </c>
      <c r="L30" s="12">
        <f t="shared" si="38"/>
        <v>0</v>
      </c>
      <c r="M30" s="12">
        <f t="shared" si="38"/>
        <v>0</v>
      </c>
      <c r="N30" s="12">
        <f t="shared" si="38"/>
        <v>0</v>
      </c>
      <c r="O30" s="7">
        <f>IF(N30&gt;0,SUMIF($D$2:$D$21,"&lt;="&amp;$N$27,$B$2:B21),IF(M30&gt;0,SUMIF($D$2:$D$21,"&lt;="&amp;$M$27,$B$2:B21),IF(L30&gt;0,SUMIF($D$2:$D$21,"&lt;="&amp;$L$27,$B$2:B21),IF(K30&gt;0,SUMIF($D$2:$D$21,"&lt;="&amp;$K$27,$B$2:B21),IF(J30&gt;0,SUMIF($D$2:$D$21,"&lt;="&amp;$J$27,$B$2:B21),IF(I30&gt;0,SUMIF($D$2:$D$21,"&lt;="&amp;$I$27,$B$2:B21),0))))))</f>
        <v>200000</v>
      </c>
      <c r="P30" s="12">
        <f t="shared" si="36"/>
        <v>0.2</v>
      </c>
      <c r="Q30" s="7">
        <f t="shared" si="37"/>
        <v>250</v>
      </c>
    </row>
    <row r="31" spans="1:38 16383:16384">
      <c r="A31" s="6">
        <v>6</v>
      </c>
      <c r="B31" s="6">
        <v>40</v>
      </c>
      <c r="C31" s="11">
        <f>SUMIF($D$2:$D$21,"="&amp;A31,$B$2:$B$22)/B31/$F$2</f>
        <v>3.5</v>
      </c>
      <c r="H31" s="7">
        <f t="shared" si="34"/>
        <v>20000</v>
      </c>
      <c r="I31" s="12">
        <f t="shared" ref="I31:N31" si="39">IF(I17=0,0,I$28/I17)</f>
        <v>2747.25274725275</v>
      </c>
      <c r="J31" s="12">
        <f t="shared" si="39"/>
        <v>550.05500550055</v>
      </c>
      <c r="K31" s="12">
        <f t="shared" si="39"/>
        <v>0</v>
      </c>
      <c r="L31" s="12">
        <f t="shared" si="39"/>
        <v>0</v>
      </c>
      <c r="M31" s="12">
        <f t="shared" si="39"/>
        <v>0</v>
      </c>
      <c r="N31" s="12">
        <f t="shared" si="39"/>
        <v>0</v>
      </c>
      <c r="O31" s="7">
        <f>IF(N31&gt;0,SUMIF($D$2:$D$21,"&lt;="&amp;$N$27,$B$2:B22),IF(M31&gt;0,SUMIF($D$2:$D$21,"&lt;="&amp;$M$27,$B$2:B22),IF(L31&gt;0,SUMIF($D$2:$D$21,"&lt;="&amp;$L$27,$B$2:B22),IF(K31&gt;0,SUMIF($D$2:$D$21,"&lt;="&amp;$K$27,$B$2:B22),IF(J31&gt;0,SUMIF($D$2:$D$21,"&lt;="&amp;$J$27,$B$2:B22),IF(I31&gt;0,SUMIF($D$2:$D$21,"&lt;="&amp;$I$27,$B$2:B22),0))))))</f>
        <v>4100000</v>
      </c>
      <c r="P31" s="12">
        <f t="shared" si="36"/>
        <v>4.1</v>
      </c>
      <c r="Q31" s="7">
        <f t="shared" si="37"/>
        <v>550.05500550055</v>
      </c>
    </row>
    <row r="32" spans="1:38 16383:16384">
      <c r="H32" s="7">
        <f t="shared" si="34"/>
        <v>50000</v>
      </c>
      <c r="I32" s="12">
        <f t="shared" ref="I32:N32" si="40">IF(I18=0,0,I$28/I18)</f>
        <v>0</v>
      </c>
      <c r="J32" s="12">
        <f t="shared" si="40"/>
        <v>2747.25274725275</v>
      </c>
      <c r="K32" s="12">
        <f t="shared" si="40"/>
        <v>687.757909215956</v>
      </c>
      <c r="L32" s="12">
        <f t="shared" si="40"/>
        <v>5494.50549450549</v>
      </c>
      <c r="M32" s="12">
        <f t="shared" si="40"/>
        <v>0</v>
      </c>
      <c r="N32" s="12">
        <f t="shared" si="40"/>
        <v>0</v>
      </c>
      <c r="O32" s="7">
        <f>IF(N32&gt;0,SUMIF($D$2:$D$21,"&lt;="&amp;$N$27,$B$2:B23),IF(M32&gt;0,SUMIF($D$2:$D$21,"&lt;="&amp;$M$27,$B$2:B23),IF(L32&gt;0,SUMIF($D$2:$D$21,"&lt;="&amp;$L$27,$B$2:B23),IF(K32&gt;0,SUMIF($D$2:$D$21,"&lt;="&amp;$K$27,$B$2:B23),IF(J32&gt;0,SUMIF($D$2:$D$21,"&lt;="&amp;$J$27,$B$2:B23),IF(I32&gt;0,SUMIF($D$2:$D$21,"&lt;="&amp;$I$27,$B$2:B23),0))))))</f>
        <v>22000000</v>
      </c>
      <c r="P32" s="12">
        <f t="shared" si="36"/>
        <v>22</v>
      </c>
      <c r="Q32" s="7">
        <f t="shared" si="37"/>
        <v>5494.50549450549</v>
      </c>
    </row>
    <row r="33" spans="6:25">
      <c r="H33" s="7">
        <f t="shared" si="34"/>
        <v>100000</v>
      </c>
      <c r="I33" s="12">
        <f t="shared" ref="I33:N33" si="41">IF(I19=0,0,I$28/I19)</f>
        <v>0</v>
      </c>
      <c r="J33" s="12">
        <f t="shared" si="41"/>
        <v>0</v>
      </c>
      <c r="K33" s="12">
        <f t="shared" si="41"/>
        <v>1018.3299389002</v>
      </c>
      <c r="L33" s="12">
        <f t="shared" si="41"/>
        <v>1018.3299389002</v>
      </c>
      <c r="M33" s="12">
        <f t="shared" si="41"/>
        <v>27777.7777777778</v>
      </c>
      <c r="N33" s="12">
        <f t="shared" si="41"/>
        <v>0</v>
      </c>
      <c r="O33" s="7">
        <f>IF(N33&gt;0,SUMIF($D$2:$D$21,"&lt;="&amp;$N$27,$B$2:B24),IF(M33&gt;0,SUMIF($D$2:$D$21,"&lt;="&amp;$M$27,$B$2:B24),IF(L33&gt;0,SUMIF($D$2:$D$21,"&lt;="&amp;$L$27,$B$2:B24),IF(K33&gt;0,SUMIF($D$2:$D$21,"&lt;="&amp;$K$27,$B$2:B24),IF(J33&gt;0,SUMIF($D$2:$D$21,"&lt;="&amp;$J$27,$B$2:B24),IF(I33&gt;0,SUMIF($D$2:$D$21,"&lt;="&amp;$I$27,$B$2:B24),0))))))</f>
        <v>60000000</v>
      </c>
      <c r="P33" s="12">
        <f t="shared" si="36"/>
        <v>60</v>
      </c>
      <c r="Q33" s="7">
        <f t="shared" si="37"/>
        <v>27777.7777777778</v>
      </c>
    </row>
    <row r="34" spans="6:25">
      <c r="H34" s="7">
        <f t="shared" si="34"/>
        <v>200000</v>
      </c>
      <c r="I34" s="12">
        <f t="shared" ref="I34:N34" si="42">IF(I20=0,0,I$28/I20)</f>
        <v>0</v>
      </c>
      <c r="J34" s="12">
        <f t="shared" si="42"/>
        <v>0</v>
      </c>
      <c r="K34" s="12">
        <f t="shared" si="42"/>
        <v>0</v>
      </c>
      <c r="L34" s="12">
        <f t="shared" si="42"/>
        <v>823.723228995058</v>
      </c>
      <c r="M34" s="12">
        <f t="shared" si="42"/>
        <v>1336.89839572192</v>
      </c>
      <c r="N34" s="12">
        <f t="shared" si="42"/>
        <v>21052.6315789474</v>
      </c>
      <c r="O34" s="7">
        <f>IF(N34&gt;0,SUMIF($D$2:$D$21,"&lt;="&amp;$N$27,$B$2:B25),IF(M34&gt;0,SUMIF($D$2:$D$21,"&lt;="&amp;$M$27,$B$2:B25),IF(L34&gt;0,SUMIF($D$2:$D$21,"&lt;="&amp;$L$27,$B$2:B25),IF(K34&gt;0,SUMIF($D$2:$D$21,"&lt;="&amp;$K$27,$B$2:B25),IF(J34&gt;0,SUMIF($D$2:$D$21,"&lt;="&amp;$J$27,$B$2:B25),IF(I34&gt;0,SUMIF($D$2:$D$21,"&lt;="&amp;$I$27,$B$2:B25),0))))))</f>
        <v>200000000</v>
      </c>
      <c r="P34" s="12">
        <f t="shared" si="36"/>
        <v>200</v>
      </c>
      <c r="Q34" s="7">
        <f t="shared" si="37"/>
        <v>21052.6315789474</v>
      </c>
    </row>
    <row r="35" spans="6:25">
      <c r="H35" s="7">
        <f t="shared" si="34"/>
        <v>500000</v>
      </c>
      <c r="I35" s="12">
        <f t="shared" ref="I35:N35" si="43">IF(I21=0,0,I$28/I21)</f>
        <v>0</v>
      </c>
      <c r="J35" s="12">
        <f t="shared" si="43"/>
        <v>0</v>
      </c>
      <c r="K35" s="12">
        <f t="shared" si="43"/>
        <v>0</v>
      </c>
      <c r="L35" s="12">
        <f t="shared" si="43"/>
        <v>875.656742556918</v>
      </c>
      <c r="M35" s="12">
        <f t="shared" si="43"/>
        <v>1272.26463104326</v>
      </c>
      <c r="N35" s="12">
        <f t="shared" si="43"/>
        <v>11111.1111111111</v>
      </c>
      <c r="O35" s="7">
        <f>IF(N35&gt;0,SUMIF($D$2:$D$21,"&lt;="&amp;$N$27,$B$2:B26),IF(M35&gt;0,SUMIF($D$2:$D$21,"&lt;="&amp;$M$27,$B$2:B26),IF(L35&gt;0,SUMIF($D$2:$D$21,"&lt;="&amp;$L$27,$B$2:B26),IF(K35&gt;0,SUMIF($D$2:$D$21,"&lt;="&amp;$K$27,$B$2:B26),IF(J35&gt;0,SUMIF($D$2:$D$21,"&lt;="&amp;$J$27,$B$2:B26),IF(I35&gt;0,SUMIF($D$2:$D$21,"&lt;="&amp;$I$27,$B$2:B26),0))))))</f>
        <v>200000000</v>
      </c>
      <c r="P35" s="12">
        <f t="shared" si="36"/>
        <v>200</v>
      </c>
      <c r="Q35" s="7">
        <f t="shared" si="37"/>
        <v>11111.1111111111</v>
      </c>
    </row>
    <row r="36" spans="6:25">
      <c r="H36" s="7">
        <f t="shared" si="34"/>
        <v>2000000</v>
      </c>
      <c r="I36" s="12">
        <f t="shared" ref="I36:N36" si="44">IF(I22=0,0,I$28/I22)</f>
        <v>0</v>
      </c>
      <c r="J36" s="12">
        <f t="shared" si="44"/>
        <v>0</v>
      </c>
      <c r="K36" s="12">
        <f t="shared" si="44"/>
        <v>0</v>
      </c>
      <c r="L36" s="12">
        <f t="shared" si="44"/>
        <v>850.340136054422</v>
      </c>
      <c r="M36" s="12">
        <f t="shared" si="44"/>
        <v>1416.43059490085</v>
      </c>
      <c r="N36" s="12">
        <f t="shared" si="44"/>
        <v>6779.66101694915</v>
      </c>
      <c r="O36" s="7">
        <f>IF(N36&gt;0,SUMIF($D$2:$D$21,"&lt;="&amp;$N$27,$B$2:B27),IF(M36&gt;0,SUMIF($D$2:$D$21,"&lt;="&amp;$M$27,$B$2:B27),IF(L36&gt;0,SUMIF($D$2:$D$21,"&lt;="&amp;$L$27,$B$2:B27),IF(K36&gt;0,SUMIF($D$2:$D$21,"&lt;="&amp;$K$27,$B$2:B27),IF(J36&gt;0,SUMIF($D$2:$D$21,"&lt;="&amp;$J$27,$B$2:B27),IF(I36&gt;0,SUMIF($D$2:$D$21,"&lt;="&amp;$I$27,$B$2:B27),0))))))</f>
        <v>200000000</v>
      </c>
      <c r="P36" s="12">
        <f t="shared" si="36"/>
        <v>200</v>
      </c>
      <c r="Q36" s="7">
        <f t="shared" si="37"/>
        <v>6779.66101694915</v>
      </c>
    </row>
    <row r="37" spans="6:25">
      <c r="H37" s="7">
        <f t="shared" si="34"/>
        <v>5000000</v>
      </c>
      <c r="I37" s="12">
        <f t="shared" ref="I37:N37" si="45">IF(I23=0,0,I$28/I23)</f>
        <v>0</v>
      </c>
      <c r="J37" s="12">
        <f t="shared" si="45"/>
        <v>0</v>
      </c>
      <c r="K37" s="12">
        <f t="shared" si="45"/>
        <v>0</v>
      </c>
      <c r="L37" s="12">
        <f t="shared" si="45"/>
        <v>909.090909090909</v>
      </c>
      <c r="M37" s="12">
        <f t="shared" si="45"/>
        <v>1362.39782016349</v>
      </c>
      <c r="N37" s="12">
        <f t="shared" si="45"/>
        <v>4819.27710843373</v>
      </c>
      <c r="O37" s="7">
        <f>IF(N37&gt;0,SUMIF($D$2:$D$21,"&lt;="&amp;$N$27,$B$2:B28),IF(M37&gt;0,SUMIF($D$2:$D$21,"&lt;="&amp;$M$27,$B$2:B28),IF(L37&gt;0,SUMIF($D$2:$D$21,"&lt;="&amp;$L$27,$B$2:B28),IF(K37&gt;0,SUMIF($D$2:$D$21,"&lt;="&amp;$K$27,$B$2:B28),IF(J37&gt;0,SUMIF($D$2:$D$21,"&lt;="&amp;$J$27,$B$2:B28),IF(I37&gt;0,SUMIF($D$2:$D$21,"&lt;="&amp;$I$27,$B$2:B28),0))))))</f>
        <v>200000000</v>
      </c>
      <c r="P37" s="12">
        <f t="shared" si="36"/>
        <v>200</v>
      </c>
      <c r="Q37" s="7">
        <f t="shared" si="37"/>
        <v>4819.27710843373</v>
      </c>
    </row>
    <row r="38" spans="6:25">
      <c r="H38" s="7">
        <f t="shared" si="34"/>
        <v>10000000</v>
      </c>
      <c r="I38" s="12">
        <f t="shared" ref="I38:N38" si="46">IF(I24=0,0,I$28/I24)</f>
        <v>0</v>
      </c>
      <c r="J38" s="12">
        <f t="shared" si="46"/>
        <v>0</v>
      </c>
      <c r="K38" s="12">
        <f t="shared" si="46"/>
        <v>0</v>
      </c>
      <c r="L38" s="12">
        <f t="shared" si="46"/>
        <v>950.570342205323</v>
      </c>
      <c r="M38" s="12">
        <f t="shared" si="46"/>
        <v>1461.98830409357</v>
      </c>
      <c r="N38" s="12">
        <f t="shared" si="46"/>
        <v>3030.30303030303</v>
      </c>
      <c r="O38" s="7">
        <f>IF(N38&gt;0,SUMIF($D$2:$D$21,"&lt;="&amp;$N$27,$B$2:B29),IF(M38&gt;0,SUMIF($D$2:$D$21,"&lt;="&amp;$M$27,$B$2:B29),IF(L38&gt;0,SUMIF($D$2:$D$21,"&lt;="&amp;$L$27,$B$2:B29),IF(K38&gt;0,SUMIF($D$2:$D$21,"&lt;="&amp;$K$27,$B$2:B29),IF(J38&gt;0,SUMIF($D$2:$D$21,"&lt;="&amp;$J$27,$B$2:B29),IF(I38&gt;0,SUMIF($D$2:$D$21,"&lt;="&amp;$I$27,$B$2:B29),0))))))</f>
        <v>200000000</v>
      </c>
      <c r="P38" s="12">
        <f t="shared" si="36"/>
        <v>200</v>
      </c>
      <c r="Q38" s="7">
        <f t="shared" si="37"/>
        <v>3030.30303030303</v>
      </c>
    </row>
    <row r="39" spans="6:25">
      <c r="H39" s="7">
        <f t="shared" si="34"/>
        <v>20000000</v>
      </c>
      <c r="I39" s="12">
        <f t="shared" ref="I39:N39" si="47">IF(I25=0,0,I$28/I25)</f>
        <v>0</v>
      </c>
      <c r="J39" s="12">
        <f t="shared" si="47"/>
        <v>0</v>
      </c>
      <c r="K39" s="12">
        <f t="shared" si="47"/>
        <v>0</v>
      </c>
      <c r="L39" s="12">
        <f t="shared" si="47"/>
        <v>1250</v>
      </c>
      <c r="M39" s="12">
        <f t="shared" si="47"/>
        <v>1250</v>
      </c>
      <c r="N39" s="12">
        <f t="shared" si="47"/>
        <v>2000</v>
      </c>
      <c r="O39" s="7">
        <f>IF(N39&gt;0,SUMIF($D$2:$D$21,"&lt;="&amp;$N$27,$B$2:B30),IF(M39&gt;0,SUMIF($D$2:$D$21,"&lt;="&amp;$M$27,$B$2:B30),IF(L39&gt;0,SUMIF($D$2:$D$21,"&lt;="&amp;$L$27,$B$2:B30),IF(K39&gt;0,SUMIF($D$2:$D$21,"&lt;="&amp;$K$27,$B$2:B30),IF(J39&gt;0,SUMIF($D$2:$D$21,"&lt;="&amp;$J$27,$B$2:B30),IF(I39&gt;0,SUMIF($D$2:$D$21,"&lt;="&amp;$I$27,$B$2:B30),0))))))</f>
        <v>200000000</v>
      </c>
      <c r="P39" s="12">
        <f t="shared" si="36"/>
        <v>200</v>
      </c>
      <c r="Q39" s="7">
        <f t="shared" si="37"/>
        <v>2000</v>
      </c>
    </row>
    <row r="41" spans="6:25">
      <c r="F41" s="4" t="s">
        <v>36</v>
      </c>
      <c r="H41" s="7"/>
      <c r="I41" s="7"/>
      <c r="J41" s="7">
        <v>1000000</v>
      </c>
      <c r="K41" s="7">
        <v>1250000</v>
      </c>
      <c r="L41" s="7">
        <v>1500000</v>
      </c>
      <c r="M41" s="7">
        <v>1750000</v>
      </c>
      <c r="N41" s="7">
        <v>2000000</v>
      </c>
      <c r="O41" s="7">
        <v>2250000</v>
      </c>
      <c r="P41" s="7">
        <v>2500000</v>
      </c>
      <c r="Q41" s="7">
        <v>2500000</v>
      </c>
      <c r="R41" s="7">
        <v>2500000</v>
      </c>
      <c r="S41" s="7">
        <v>2500000</v>
      </c>
      <c r="T41" s="7">
        <v>2500000</v>
      </c>
      <c r="U41" s="7">
        <v>2500000</v>
      </c>
      <c r="V41" s="7">
        <v>2500000</v>
      </c>
      <c r="W41" s="7">
        <v>2500000</v>
      </c>
      <c r="X41" s="7">
        <v>2500000</v>
      </c>
      <c r="Y41" s="7">
        <v>2500000</v>
      </c>
    </row>
    <row r="42" spans="6:25">
      <c r="H42" s="7" t="s">
        <v>5</v>
      </c>
      <c r="I42" s="7" t="s">
        <v>7</v>
      </c>
      <c r="J42" s="7">
        <v>0</v>
      </c>
      <c r="K42" s="6">
        <v>1</v>
      </c>
      <c r="L42" s="6">
        <v>2</v>
      </c>
      <c r="M42" s="6">
        <v>3</v>
      </c>
      <c r="N42" s="6">
        <v>4</v>
      </c>
      <c r="O42" s="6">
        <v>5</v>
      </c>
      <c r="P42" s="6">
        <v>6</v>
      </c>
      <c r="Q42" s="6">
        <v>7</v>
      </c>
      <c r="R42" s="6">
        <v>8</v>
      </c>
      <c r="S42" s="6">
        <v>9</v>
      </c>
      <c r="T42" s="6">
        <v>10</v>
      </c>
      <c r="U42" s="6">
        <v>11</v>
      </c>
      <c r="V42" s="6">
        <v>12</v>
      </c>
      <c r="W42" s="6">
        <v>13</v>
      </c>
      <c r="X42" s="6">
        <v>14</v>
      </c>
      <c r="Y42" s="6">
        <v>15</v>
      </c>
    </row>
    <row r="43" spans="6:25">
      <c r="H43" s="7">
        <f t="shared" ref="H43:H53" si="48">H29</f>
        <v>1000</v>
      </c>
      <c r="I43" s="7">
        <f t="shared" ref="I43:I53" si="49">I2</f>
        <v>50</v>
      </c>
      <c r="J43" s="10">
        <f t="shared" ref="J43:Y43" si="50">$I43*$J$41/$F$2/J$41</f>
        <v>5e-5</v>
      </c>
      <c r="K43" s="10">
        <f t="shared" si="50"/>
        <v>4e-5</v>
      </c>
      <c r="L43" s="10">
        <f t="shared" si="50"/>
        <v>3.33333333333333e-5</v>
      </c>
      <c r="M43" s="10">
        <f t="shared" si="50"/>
        <v>2.85714285714286e-5</v>
      </c>
      <c r="N43" s="10">
        <f t="shared" si="50"/>
        <v>2.5e-5</v>
      </c>
      <c r="O43" s="10">
        <f t="shared" si="50"/>
        <v>2.22222222222222e-5</v>
      </c>
      <c r="P43" s="10">
        <f t="shared" si="50"/>
        <v>2e-5</v>
      </c>
      <c r="Q43" s="10">
        <f t="shared" si="50"/>
        <v>2e-5</v>
      </c>
      <c r="R43" s="10">
        <f t="shared" si="50"/>
        <v>2e-5</v>
      </c>
      <c r="S43" s="10">
        <f t="shared" si="50"/>
        <v>2e-5</v>
      </c>
      <c r="T43" s="10">
        <f t="shared" si="50"/>
        <v>2e-5</v>
      </c>
      <c r="U43" s="10">
        <f t="shared" si="50"/>
        <v>2e-5</v>
      </c>
      <c r="V43" s="10">
        <f t="shared" si="50"/>
        <v>2e-5</v>
      </c>
      <c r="W43" s="10">
        <f t="shared" si="50"/>
        <v>2e-5</v>
      </c>
      <c r="X43" s="10">
        <f t="shared" si="50"/>
        <v>2e-5</v>
      </c>
      <c r="Y43" s="10">
        <f t="shared" si="50"/>
        <v>2e-5</v>
      </c>
    </row>
    <row r="44" spans="6:25">
      <c r="H44" s="7">
        <f t="shared" si="48"/>
        <v>5000</v>
      </c>
      <c r="I44" s="7">
        <f t="shared" si="49"/>
        <v>250</v>
      </c>
      <c r="J44" s="10">
        <f t="shared" ref="J44:Y44" si="51">$I44*$J$41/$F$2/J$41</f>
        <v>0.00025</v>
      </c>
      <c r="K44" s="10">
        <f t="shared" si="51"/>
        <v>0.0002</v>
      </c>
      <c r="L44" s="10">
        <f t="shared" si="51"/>
        <v>0.000166666666666667</v>
      </c>
      <c r="M44" s="10">
        <f t="shared" si="51"/>
        <v>0.000142857142857143</v>
      </c>
      <c r="N44" s="10">
        <f t="shared" si="51"/>
        <v>0.000125</v>
      </c>
      <c r="O44" s="10">
        <f t="shared" si="51"/>
        <v>0.000111111111111111</v>
      </c>
      <c r="P44" s="10">
        <f t="shared" si="51"/>
        <v>0.0001</v>
      </c>
      <c r="Q44" s="10">
        <f t="shared" si="51"/>
        <v>0.0001</v>
      </c>
      <c r="R44" s="10">
        <f t="shared" si="51"/>
        <v>0.0001</v>
      </c>
      <c r="S44" s="10">
        <f t="shared" si="51"/>
        <v>0.0001</v>
      </c>
      <c r="T44" s="10">
        <f t="shared" si="51"/>
        <v>0.0001</v>
      </c>
      <c r="U44" s="10">
        <f t="shared" si="51"/>
        <v>0.0001</v>
      </c>
      <c r="V44" s="10">
        <f t="shared" si="51"/>
        <v>0.0001</v>
      </c>
      <c r="W44" s="10">
        <f t="shared" si="51"/>
        <v>0.0001</v>
      </c>
      <c r="X44" s="10">
        <f t="shared" si="51"/>
        <v>0.0001</v>
      </c>
      <c r="Y44" s="10">
        <f t="shared" si="51"/>
        <v>0.0001</v>
      </c>
    </row>
    <row r="45" spans="6:25">
      <c r="H45" s="7">
        <f t="shared" si="48"/>
        <v>20000</v>
      </c>
      <c r="I45" s="7">
        <f t="shared" si="49"/>
        <v>1000</v>
      </c>
      <c r="J45" s="10">
        <f t="shared" ref="J45:Y45" si="52">$I45*$J$41/$F$2/J$41</f>
        <v>0.001</v>
      </c>
      <c r="K45" s="10">
        <f t="shared" si="52"/>
        <v>0.0008</v>
      </c>
      <c r="L45" s="10">
        <f t="shared" si="52"/>
        <v>0.000666666666666667</v>
      </c>
      <c r="M45" s="10">
        <f t="shared" si="52"/>
        <v>0.000571428571428571</v>
      </c>
      <c r="N45" s="10">
        <f t="shared" si="52"/>
        <v>0.0005</v>
      </c>
      <c r="O45" s="10">
        <f t="shared" si="52"/>
        <v>0.000444444444444444</v>
      </c>
      <c r="P45" s="10">
        <f t="shared" si="52"/>
        <v>0.0004</v>
      </c>
      <c r="Q45" s="10">
        <f t="shared" si="52"/>
        <v>0.0004</v>
      </c>
      <c r="R45" s="10">
        <f t="shared" si="52"/>
        <v>0.0004</v>
      </c>
      <c r="S45" s="10">
        <f t="shared" si="52"/>
        <v>0.0004</v>
      </c>
      <c r="T45" s="10">
        <f t="shared" si="52"/>
        <v>0.0004</v>
      </c>
      <c r="U45" s="10">
        <f t="shared" si="52"/>
        <v>0.0004</v>
      </c>
      <c r="V45" s="10">
        <f t="shared" si="52"/>
        <v>0.0004</v>
      </c>
      <c r="W45" s="10">
        <f t="shared" si="52"/>
        <v>0.0004</v>
      </c>
      <c r="X45" s="10">
        <f t="shared" si="52"/>
        <v>0.0004</v>
      </c>
      <c r="Y45" s="10">
        <f t="shared" si="52"/>
        <v>0.0004</v>
      </c>
    </row>
    <row r="46" spans="6:25">
      <c r="H46" s="7">
        <f t="shared" si="48"/>
        <v>50000</v>
      </c>
      <c r="I46" s="7">
        <f t="shared" si="49"/>
        <v>2500</v>
      </c>
      <c r="J46" s="10">
        <f t="shared" ref="J46:Y46" si="53">$I46*$J$41/$F$2/J$41</f>
        <v>0.0025</v>
      </c>
      <c r="K46" s="10">
        <f t="shared" si="53"/>
        <v>0.002</v>
      </c>
      <c r="L46" s="10">
        <f t="shared" si="53"/>
        <v>0.00166666666666667</v>
      </c>
      <c r="M46" s="10">
        <f t="shared" si="53"/>
        <v>0.00142857142857143</v>
      </c>
      <c r="N46" s="10">
        <f t="shared" si="53"/>
        <v>0.00125</v>
      </c>
      <c r="O46" s="10">
        <f t="shared" si="53"/>
        <v>0.00111111111111111</v>
      </c>
      <c r="P46" s="10">
        <f t="shared" si="53"/>
        <v>0.001</v>
      </c>
      <c r="Q46" s="10">
        <f t="shared" si="53"/>
        <v>0.001</v>
      </c>
      <c r="R46" s="10">
        <f t="shared" si="53"/>
        <v>0.001</v>
      </c>
      <c r="S46" s="10">
        <f t="shared" si="53"/>
        <v>0.001</v>
      </c>
      <c r="T46" s="10">
        <f t="shared" si="53"/>
        <v>0.001</v>
      </c>
      <c r="U46" s="10">
        <f t="shared" si="53"/>
        <v>0.001</v>
      </c>
      <c r="V46" s="10">
        <f t="shared" si="53"/>
        <v>0.001</v>
      </c>
      <c r="W46" s="10">
        <f t="shared" si="53"/>
        <v>0.001</v>
      </c>
      <c r="X46" s="10">
        <f t="shared" si="53"/>
        <v>0.001</v>
      </c>
      <c r="Y46" s="10">
        <f t="shared" si="53"/>
        <v>0.001</v>
      </c>
    </row>
    <row r="47" spans="6:25">
      <c r="H47" s="7">
        <f t="shared" si="48"/>
        <v>100000</v>
      </c>
      <c r="I47" s="7">
        <f t="shared" si="49"/>
        <v>5000</v>
      </c>
      <c r="J47" s="10">
        <f t="shared" ref="J47:Y47" si="54">$I47*$J$41/$F$2/J$41</f>
        <v>0.005</v>
      </c>
      <c r="K47" s="10">
        <f t="shared" si="54"/>
        <v>0.004</v>
      </c>
      <c r="L47" s="10">
        <f t="shared" si="54"/>
        <v>0.00333333333333333</v>
      </c>
      <c r="M47" s="10">
        <f t="shared" si="54"/>
        <v>0.00285714285714286</v>
      </c>
      <c r="N47" s="10">
        <f t="shared" si="54"/>
        <v>0.0025</v>
      </c>
      <c r="O47" s="10">
        <f t="shared" si="54"/>
        <v>0.00222222222222222</v>
      </c>
      <c r="P47" s="10">
        <f t="shared" si="54"/>
        <v>0.002</v>
      </c>
      <c r="Q47" s="10">
        <f t="shared" si="54"/>
        <v>0.002</v>
      </c>
      <c r="R47" s="10">
        <f t="shared" si="54"/>
        <v>0.002</v>
      </c>
      <c r="S47" s="10">
        <f t="shared" si="54"/>
        <v>0.002</v>
      </c>
      <c r="T47" s="10">
        <f t="shared" si="54"/>
        <v>0.002</v>
      </c>
      <c r="U47" s="10">
        <f t="shared" si="54"/>
        <v>0.002</v>
      </c>
      <c r="V47" s="10">
        <f t="shared" si="54"/>
        <v>0.002</v>
      </c>
      <c r="W47" s="10">
        <f t="shared" si="54"/>
        <v>0.002</v>
      </c>
      <c r="X47" s="10">
        <f t="shared" si="54"/>
        <v>0.002</v>
      </c>
      <c r="Y47" s="10">
        <f t="shared" si="54"/>
        <v>0.002</v>
      </c>
    </row>
    <row r="48" spans="6:25">
      <c r="H48" s="7">
        <f t="shared" si="48"/>
        <v>200000</v>
      </c>
      <c r="I48" s="7">
        <f t="shared" si="49"/>
        <v>10000</v>
      </c>
      <c r="J48" s="10">
        <f t="shared" ref="J48:Y48" si="55">$I48*$J$41/$F$2/J$41</f>
        <v>0.01</v>
      </c>
      <c r="K48" s="10">
        <f t="shared" si="55"/>
        <v>0.008</v>
      </c>
      <c r="L48" s="10">
        <f t="shared" si="55"/>
        <v>0.00666666666666667</v>
      </c>
      <c r="M48" s="10">
        <f t="shared" si="55"/>
        <v>0.00571428571428571</v>
      </c>
      <c r="N48" s="10">
        <f t="shared" si="55"/>
        <v>0.005</v>
      </c>
      <c r="O48" s="10">
        <f t="shared" si="55"/>
        <v>0.00444444444444444</v>
      </c>
      <c r="P48" s="10">
        <f t="shared" si="55"/>
        <v>0.004</v>
      </c>
      <c r="Q48" s="10">
        <f t="shared" si="55"/>
        <v>0.004</v>
      </c>
      <c r="R48" s="10">
        <f t="shared" si="55"/>
        <v>0.004</v>
      </c>
      <c r="S48" s="10">
        <f t="shared" si="55"/>
        <v>0.004</v>
      </c>
      <c r="T48" s="10">
        <f t="shared" si="55"/>
        <v>0.004</v>
      </c>
      <c r="U48" s="10">
        <f t="shared" si="55"/>
        <v>0.004</v>
      </c>
      <c r="V48" s="10">
        <f t="shared" si="55"/>
        <v>0.004</v>
      </c>
      <c r="W48" s="10">
        <f t="shared" si="55"/>
        <v>0.004</v>
      </c>
      <c r="X48" s="10">
        <f t="shared" si="55"/>
        <v>0.004</v>
      </c>
      <c r="Y48" s="10">
        <f t="shared" si="55"/>
        <v>0.004</v>
      </c>
    </row>
    <row r="49" spans="6:25">
      <c r="H49" s="7">
        <f t="shared" si="48"/>
        <v>500000</v>
      </c>
      <c r="I49" s="7">
        <f t="shared" si="49"/>
        <v>25000</v>
      </c>
      <c r="J49" s="10">
        <f t="shared" ref="J49:Y49" si="56">$I49*$J$41/$F$2/J$41</f>
        <v>0.025</v>
      </c>
      <c r="K49" s="10">
        <f t="shared" si="56"/>
        <v>0.02</v>
      </c>
      <c r="L49" s="10">
        <f t="shared" si="56"/>
        <v>0.0166666666666667</v>
      </c>
      <c r="M49" s="10">
        <f t="shared" si="56"/>
        <v>0.0142857142857143</v>
      </c>
      <c r="N49" s="10">
        <f t="shared" si="56"/>
        <v>0.0125</v>
      </c>
      <c r="O49" s="10">
        <f t="shared" si="56"/>
        <v>0.0111111111111111</v>
      </c>
      <c r="P49" s="10">
        <f t="shared" si="56"/>
        <v>0.01</v>
      </c>
      <c r="Q49" s="10">
        <f t="shared" si="56"/>
        <v>0.01</v>
      </c>
      <c r="R49" s="10">
        <f t="shared" si="56"/>
        <v>0.01</v>
      </c>
      <c r="S49" s="10">
        <f t="shared" si="56"/>
        <v>0.01</v>
      </c>
      <c r="T49" s="10">
        <f t="shared" si="56"/>
        <v>0.01</v>
      </c>
      <c r="U49" s="10">
        <f t="shared" si="56"/>
        <v>0.01</v>
      </c>
      <c r="V49" s="10">
        <f t="shared" si="56"/>
        <v>0.01</v>
      </c>
      <c r="W49" s="10">
        <f t="shared" si="56"/>
        <v>0.01</v>
      </c>
      <c r="X49" s="10">
        <f t="shared" si="56"/>
        <v>0.01</v>
      </c>
      <c r="Y49" s="10">
        <f t="shared" si="56"/>
        <v>0.01</v>
      </c>
    </row>
    <row r="50" spans="6:25">
      <c r="H50" s="7">
        <f t="shared" si="48"/>
        <v>2000000</v>
      </c>
      <c r="I50" s="7">
        <f t="shared" si="49"/>
        <v>100000</v>
      </c>
      <c r="J50" s="10">
        <f t="shared" ref="J50:Y50" si="57">$I50*$J$41/$F$2/J$41</f>
        <v>0.1</v>
      </c>
      <c r="K50" s="10">
        <f t="shared" si="57"/>
        <v>0.08</v>
      </c>
      <c r="L50" s="10">
        <f t="shared" si="57"/>
        <v>0.0666666666666667</v>
      </c>
      <c r="M50" s="10">
        <f t="shared" si="57"/>
        <v>0.0571428571428571</v>
      </c>
      <c r="N50" s="10">
        <f t="shared" si="57"/>
        <v>0.05</v>
      </c>
      <c r="O50" s="10">
        <f t="shared" si="57"/>
        <v>0.0444444444444444</v>
      </c>
      <c r="P50" s="10">
        <f t="shared" si="57"/>
        <v>0.04</v>
      </c>
      <c r="Q50" s="10">
        <f t="shared" si="57"/>
        <v>0.04</v>
      </c>
      <c r="R50" s="10">
        <f t="shared" si="57"/>
        <v>0.04</v>
      </c>
      <c r="S50" s="10">
        <f t="shared" si="57"/>
        <v>0.04</v>
      </c>
      <c r="T50" s="10">
        <f t="shared" si="57"/>
        <v>0.04</v>
      </c>
      <c r="U50" s="10">
        <f t="shared" si="57"/>
        <v>0.04</v>
      </c>
      <c r="V50" s="10">
        <f t="shared" si="57"/>
        <v>0.04</v>
      </c>
      <c r="W50" s="10">
        <f t="shared" si="57"/>
        <v>0.04</v>
      </c>
      <c r="X50" s="10">
        <f t="shared" si="57"/>
        <v>0.04</v>
      </c>
      <c r="Y50" s="10">
        <f t="shared" si="57"/>
        <v>0.04</v>
      </c>
    </row>
    <row r="51" spans="6:25">
      <c r="H51" s="7">
        <f t="shared" si="48"/>
        <v>5000000</v>
      </c>
      <c r="I51" s="7">
        <f t="shared" si="49"/>
        <v>250000</v>
      </c>
      <c r="J51" s="10">
        <f t="shared" ref="J51:Y51" si="58">$I51*$J$41/$F$2/J$41</f>
        <v>0.25</v>
      </c>
      <c r="K51" s="10">
        <f t="shared" si="58"/>
        <v>0.2</v>
      </c>
      <c r="L51" s="10">
        <f t="shared" si="58"/>
        <v>0.166666666666667</v>
      </c>
      <c r="M51" s="10">
        <f t="shared" si="58"/>
        <v>0.142857142857143</v>
      </c>
      <c r="N51" s="10">
        <f t="shared" si="58"/>
        <v>0.125</v>
      </c>
      <c r="O51" s="10">
        <f t="shared" si="58"/>
        <v>0.111111111111111</v>
      </c>
      <c r="P51" s="10">
        <f t="shared" si="58"/>
        <v>0.1</v>
      </c>
      <c r="Q51" s="10">
        <f t="shared" si="58"/>
        <v>0.1</v>
      </c>
      <c r="R51" s="10">
        <f t="shared" si="58"/>
        <v>0.1</v>
      </c>
      <c r="S51" s="10">
        <f t="shared" si="58"/>
        <v>0.1</v>
      </c>
      <c r="T51" s="10">
        <f t="shared" si="58"/>
        <v>0.1</v>
      </c>
      <c r="U51" s="10">
        <f t="shared" si="58"/>
        <v>0.1</v>
      </c>
      <c r="V51" s="10">
        <f t="shared" si="58"/>
        <v>0.1</v>
      </c>
      <c r="W51" s="10">
        <f t="shared" si="58"/>
        <v>0.1</v>
      </c>
      <c r="X51" s="10">
        <f t="shared" si="58"/>
        <v>0.1</v>
      </c>
      <c r="Y51" s="10">
        <f t="shared" si="58"/>
        <v>0.1</v>
      </c>
    </row>
    <row r="52" spans="6:25">
      <c r="H52" s="7">
        <f t="shared" si="48"/>
        <v>10000000</v>
      </c>
      <c r="I52" s="7">
        <f t="shared" si="49"/>
        <v>500000</v>
      </c>
      <c r="J52" s="10">
        <f t="shared" ref="J52:Y52" si="59">$I52*$J$41/$F$2/J$41</f>
        <v>0.5</v>
      </c>
      <c r="K52" s="10">
        <f t="shared" si="59"/>
        <v>0.4</v>
      </c>
      <c r="L52" s="10">
        <f t="shared" si="59"/>
        <v>0.333333333333333</v>
      </c>
      <c r="M52" s="10">
        <f t="shared" si="59"/>
        <v>0.285714285714286</v>
      </c>
      <c r="N52" s="10">
        <f t="shared" si="59"/>
        <v>0.25</v>
      </c>
      <c r="O52" s="10">
        <f t="shared" si="59"/>
        <v>0.222222222222222</v>
      </c>
      <c r="P52" s="10">
        <f t="shared" si="59"/>
        <v>0.2</v>
      </c>
      <c r="Q52" s="10">
        <f t="shared" si="59"/>
        <v>0.2</v>
      </c>
      <c r="R52" s="10">
        <f t="shared" si="59"/>
        <v>0.2</v>
      </c>
      <c r="S52" s="10">
        <f t="shared" si="59"/>
        <v>0.2</v>
      </c>
      <c r="T52" s="10">
        <f t="shared" si="59"/>
        <v>0.2</v>
      </c>
      <c r="U52" s="10">
        <f t="shared" si="59"/>
        <v>0.2</v>
      </c>
      <c r="V52" s="10">
        <f t="shared" si="59"/>
        <v>0.2</v>
      </c>
      <c r="W52" s="10">
        <f t="shared" si="59"/>
        <v>0.2</v>
      </c>
      <c r="X52" s="10">
        <f t="shared" si="59"/>
        <v>0.2</v>
      </c>
      <c r="Y52" s="10">
        <f t="shared" si="59"/>
        <v>0.2</v>
      </c>
    </row>
    <row r="53" spans="6:25">
      <c r="H53" s="7">
        <f t="shared" si="48"/>
        <v>20000000</v>
      </c>
      <c r="I53" s="7">
        <f t="shared" si="49"/>
        <v>1000000</v>
      </c>
      <c r="J53" s="10">
        <f t="shared" ref="J53:Y53" si="60">$I53*$J$41/$F$2/J$41</f>
        <v>1</v>
      </c>
      <c r="K53" s="10">
        <f t="shared" si="60"/>
        <v>0.8</v>
      </c>
      <c r="L53" s="10">
        <f t="shared" si="60"/>
        <v>0.666666666666667</v>
      </c>
      <c r="M53" s="10">
        <f t="shared" si="60"/>
        <v>0.571428571428571</v>
      </c>
      <c r="N53" s="10">
        <f t="shared" si="60"/>
        <v>0.5</v>
      </c>
      <c r="O53" s="10">
        <f t="shared" si="60"/>
        <v>0.444444444444444</v>
      </c>
      <c r="P53" s="10">
        <f t="shared" si="60"/>
        <v>0.4</v>
      </c>
      <c r="Q53" s="10">
        <f t="shared" si="60"/>
        <v>0.4</v>
      </c>
      <c r="R53" s="10">
        <f t="shared" si="60"/>
        <v>0.4</v>
      </c>
      <c r="S53" s="10">
        <f t="shared" si="60"/>
        <v>0.4</v>
      </c>
      <c r="T53" s="10">
        <f t="shared" si="60"/>
        <v>0.4</v>
      </c>
      <c r="U53" s="10">
        <f t="shared" si="60"/>
        <v>0.4</v>
      </c>
      <c r="V53" s="10">
        <f t="shared" si="60"/>
        <v>0.4</v>
      </c>
      <c r="W53" s="10">
        <f t="shared" si="60"/>
        <v>0.4</v>
      </c>
      <c r="X53" s="10">
        <f t="shared" si="60"/>
        <v>0.4</v>
      </c>
      <c r="Y53" s="10">
        <f t="shared" si="60"/>
        <v>0.4</v>
      </c>
    </row>
    <row r="55" spans="6:25">
      <c r="F55" s="4" t="s">
        <v>38</v>
      </c>
      <c r="H55" s="7"/>
      <c r="I55" s="7"/>
      <c r="J55" s="7">
        <v>1000000</v>
      </c>
      <c r="K55" s="7">
        <v>1250000</v>
      </c>
      <c r="L55" s="7">
        <v>1500000</v>
      </c>
      <c r="M55" s="7">
        <v>1750000</v>
      </c>
      <c r="N55" s="7">
        <v>2000000</v>
      </c>
      <c r="O55" s="7">
        <v>2250000</v>
      </c>
      <c r="P55" s="7">
        <v>2500000</v>
      </c>
      <c r="Q55" s="7">
        <v>2500000</v>
      </c>
      <c r="R55" s="7">
        <v>2500000</v>
      </c>
      <c r="S55" s="7">
        <v>2500000</v>
      </c>
      <c r="T55" s="7">
        <v>2500000</v>
      </c>
      <c r="U55" s="7">
        <v>2500000</v>
      </c>
      <c r="V55" s="7">
        <v>2500000</v>
      </c>
      <c r="W55" s="7">
        <v>2500000</v>
      </c>
      <c r="X55" s="7">
        <v>2500000</v>
      </c>
      <c r="Y55" s="7">
        <v>2500000</v>
      </c>
    </row>
    <row r="56" spans="6:25">
      <c r="H56" s="7" t="s">
        <v>5</v>
      </c>
      <c r="I56" s="7" t="s">
        <v>7</v>
      </c>
      <c r="J56" s="7">
        <v>0</v>
      </c>
      <c r="K56" s="6">
        <v>1</v>
      </c>
      <c r="L56" s="6">
        <v>2</v>
      </c>
      <c r="M56" s="6">
        <v>3</v>
      </c>
      <c r="N56" s="6">
        <v>4</v>
      </c>
      <c r="O56" s="6">
        <v>5</v>
      </c>
      <c r="P56" s="6">
        <v>6</v>
      </c>
      <c r="Q56" s="6">
        <v>7</v>
      </c>
      <c r="R56" s="6">
        <v>8</v>
      </c>
      <c r="S56" s="6">
        <v>9</v>
      </c>
      <c r="T56" s="6">
        <v>10</v>
      </c>
      <c r="U56" s="6">
        <v>11</v>
      </c>
      <c r="V56" s="6">
        <v>12</v>
      </c>
      <c r="W56" s="6">
        <v>13</v>
      </c>
      <c r="X56" s="6">
        <v>14</v>
      </c>
      <c r="Y56" s="6">
        <v>15</v>
      </c>
    </row>
    <row r="57" spans="6:25">
      <c r="H57" s="7">
        <f t="shared" ref="H57:H67" si="61">H43</f>
        <v>1000</v>
      </c>
      <c r="I57" s="7">
        <f>I43</f>
        <v>50</v>
      </c>
      <c r="J57" s="13">
        <f ca="1" t="shared" ref="J57:Y57" si="62">IF($O29=0,0,$O29/$F$2/($Q29*J43))</f>
        <v>16</v>
      </c>
      <c r="K57" s="13">
        <f ca="1" t="shared" si="62"/>
        <v>20</v>
      </c>
      <c r="L57" s="13">
        <f ca="1" t="shared" si="62"/>
        <v>24</v>
      </c>
      <c r="M57" s="13">
        <f ca="1" t="shared" si="62"/>
        <v>28</v>
      </c>
      <c r="N57" s="13">
        <f ca="1" t="shared" si="62"/>
        <v>32</v>
      </c>
      <c r="O57" s="13">
        <f ca="1" t="shared" si="62"/>
        <v>36</v>
      </c>
      <c r="P57" s="13">
        <f ca="1" t="shared" si="62"/>
        <v>40</v>
      </c>
      <c r="Q57" s="13">
        <f ca="1" t="shared" si="62"/>
        <v>40</v>
      </c>
      <c r="R57" s="13">
        <f ca="1" t="shared" si="62"/>
        <v>40</v>
      </c>
      <c r="S57" s="13">
        <f ca="1" t="shared" si="62"/>
        <v>40</v>
      </c>
      <c r="T57" s="13">
        <f ca="1" t="shared" si="62"/>
        <v>40</v>
      </c>
      <c r="U57" s="13">
        <f ca="1" t="shared" si="62"/>
        <v>40</v>
      </c>
      <c r="V57" s="13">
        <f ca="1" t="shared" si="62"/>
        <v>40</v>
      </c>
      <c r="W57" s="13">
        <f ca="1" t="shared" si="62"/>
        <v>40</v>
      </c>
      <c r="X57" s="13">
        <f ca="1" t="shared" si="62"/>
        <v>40</v>
      </c>
      <c r="Y57" s="13">
        <f ca="1" t="shared" si="62"/>
        <v>40</v>
      </c>
    </row>
    <row r="58" spans="6:25">
      <c r="H58" s="7">
        <f t="shared" si="61"/>
        <v>5000</v>
      </c>
      <c r="I58" s="7">
        <f t="shared" ref="I57:I67" si="63">I44</f>
        <v>250</v>
      </c>
      <c r="J58" s="13">
        <f t="shared" ref="J58:Y58" si="64">IF($O30=0,0,$O30/$F$2/($Q30*J44))</f>
        <v>3.2</v>
      </c>
      <c r="K58" s="13">
        <f t="shared" si="64"/>
        <v>4</v>
      </c>
      <c r="L58" s="13">
        <f t="shared" si="64"/>
        <v>4.79999999999999</v>
      </c>
      <c r="M58" s="13">
        <f t="shared" si="64"/>
        <v>5.59999999999999</v>
      </c>
      <c r="N58" s="13">
        <f t="shared" si="64"/>
        <v>6.4</v>
      </c>
      <c r="O58" s="13">
        <f t="shared" si="64"/>
        <v>7.20000000000001</v>
      </c>
      <c r="P58" s="13">
        <f t="shared" si="64"/>
        <v>8</v>
      </c>
      <c r="Q58" s="13">
        <f t="shared" si="64"/>
        <v>8</v>
      </c>
      <c r="R58" s="13">
        <f t="shared" si="64"/>
        <v>8</v>
      </c>
      <c r="S58" s="13">
        <f t="shared" si="64"/>
        <v>8</v>
      </c>
      <c r="T58" s="13">
        <f t="shared" si="64"/>
        <v>8</v>
      </c>
      <c r="U58" s="13">
        <f t="shared" si="64"/>
        <v>8</v>
      </c>
      <c r="V58" s="13">
        <f t="shared" si="64"/>
        <v>8</v>
      </c>
      <c r="W58" s="13">
        <f t="shared" si="64"/>
        <v>8</v>
      </c>
      <c r="X58" s="13">
        <f t="shared" si="64"/>
        <v>8</v>
      </c>
      <c r="Y58" s="13">
        <f t="shared" si="64"/>
        <v>8</v>
      </c>
    </row>
    <row r="59" spans="6:25">
      <c r="H59" s="7">
        <f t="shared" si="61"/>
        <v>20000</v>
      </c>
      <c r="I59" s="7">
        <f t="shared" si="63"/>
        <v>1000</v>
      </c>
      <c r="J59" s="13">
        <f t="shared" ref="J59:Y59" si="65">IF($O31=0,0,$O31/$F$2/($Q31*J45))</f>
        <v>7.4538</v>
      </c>
      <c r="K59" s="13">
        <f t="shared" si="65"/>
        <v>9.31725</v>
      </c>
      <c r="L59" s="13">
        <f t="shared" si="65"/>
        <v>11.1807</v>
      </c>
      <c r="M59" s="13">
        <f t="shared" si="65"/>
        <v>13.04415</v>
      </c>
      <c r="N59" s="13">
        <f t="shared" si="65"/>
        <v>14.9076</v>
      </c>
      <c r="O59" s="13">
        <f t="shared" si="65"/>
        <v>16.77105</v>
      </c>
      <c r="P59" s="13">
        <f t="shared" si="65"/>
        <v>18.6345</v>
      </c>
      <c r="Q59" s="13">
        <f t="shared" si="65"/>
        <v>18.6345</v>
      </c>
      <c r="R59" s="13">
        <f t="shared" si="65"/>
        <v>18.6345</v>
      </c>
      <c r="S59" s="13">
        <f t="shared" si="65"/>
        <v>18.6345</v>
      </c>
      <c r="T59" s="13">
        <f t="shared" si="65"/>
        <v>18.6345</v>
      </c>
      <c r="U59" s="13">
        <f t="shared" si="65"/>
        <v>18.6345</v>
      </c>
      <c r="V59" s="13">
        <f t="shared" si="65"/>
        <v>18.6345</v>
      </c>
      <c r="W59" s="13">
        <f t="shared" si="65"/>
        <v>18.6345</v>
      </c>
      <c r="X59" s="13">
        <f t="shared" si="65"/>
        <v>18.6345</v>
      </c>
      <c r="Y59" s="13">
        <f t="shared" si="65"/>
        <v>18.6345</v>
      </c>
    </row>
    <row r="60" spans="6:25">
      <c r="H60" s="7">
        <f t="shared" si="61"/>
        <v>50000</v>
      </c>
      <c r="I60" s="7">
        <f t="shared" si="63"/>
        <v>2500</v>
      </c>
      <c r="J60" s="13">
        <f t="shared" ref="J60:Y60" si="66">IF($O32=0,0,$O32/$F$2/($Q32*J46))</f>
        <v>1.6016</v>
      </c>
      <c r="K60" s="13">
        <f t="shared" si="66"/>
        <v>2.002</v>
      </c>
      <c r="L60" s="13">
        <f t="shared" si="66"/>
        <v>2.4024</v>
      </c>
      <c r="M60" s="13">
        <f t="shared" si="66"/>
        <v>2.8028</v>
      </c>
      <c r="N60" s="13">
        <f t="shared" si="66"/>
        <v>3.2032</v>
      </c>
      <c r="O60" s="13">
        <f t="shared" si="66"/>
        <v>3.6036</v>
      </c>
      <c r="P60" s="13">
        <f t="shared" si="66"/>
        <v>4.004</v>
      </c>
      <c r="Q60" s="13">
        <f t="shared" si="66"/>
        <v>4.004</v>
      </c>
      <c r="R60" s="13">
        <f t="shared" si="66"/>
        <v>4.004</v>
      </c>
      <c r="S60" s="13">
        <f t="shared" si="66"/>
        <v>4.004</v>
      </c>
      <c r="T60" s="13">
        <f t="shared" si="66"/>
        <v>4.004</v>
      </c>
      <c r="U60" s="13">
        <f t="shared" si="66"/>
        <v>4.004</v>
      </c>
      <c r="V60" s="13">
        <f t="shared" si="66"/>
        <v>4.004</v>
      </c>
      <c r="W60" s="13">
        <f t="shared" si="66"/>
        <v>4.004</v>
      </c>
      <c r="X60" s="13">
        <f t="shared" si="66"/>
        <v>4.004</v>
      </c>
      <c r="Y60" s="13">
        <f t="shared" si="66"/>
        <v>4.004</v>
      </c>
    </row>
    <row r="61" spans="6:25">
      <c r="H61" s="7">
        <f t="shared" si="61"/>
        <v>100000</v>
      </c>
      <c r="I61" s="7">
        <f t="shared" si="63"/>
        <v>5000</v>
      </c>
      <c r="J61" s="13">
        <f t="shared" ref="J61:Y61" si="67">IF($O33=0,0,$O33/$F$2/($Q33*J47))</f>
        <v>0.432</v>
      </c>
      <c r="K61" s="13">
        <f t="shared" si="67"/>
        <v>0.54</v>
      </c>
      <c r="L61" s="13">
        <f t="shared" si="67"/>
        <v>0.648000000000001</v>
      </c>
      <c r="M61" s="13">
        <f t="shared" si="67"/>
        <v>0.755999999999999</v>
      </c>
      <c r="N61" s="13">
        <f t="shared" si="67"/>
        <v>0.864</v>
      </c>
      <c r="O61" s="13">
        <f t="shared" si="67"/>
        <v>0.972000000000001</v>
      </c>
      <c r="P61" s="13">
        <f t="shared" si="67"/>
        <v>1.08</v>
      </c>
      <c r="Q61" s="13">
        <f t="shared" si="67"/>
        <v>1.08</v>
      </c>
      <c r="R61" s="13">
        <f t="shared" si="67"/>
        <v>1.08</v>
      </c>
      <c r="S61" s="13">
        <f t="shared" si="67"/>
        <v>1.08</v>
      </c>
      <c r="T61" s="13">
        <f t="shared" si="67"/>
        <v>1.08</v>
      </c>
      <c r="U61" s="13">
        <f t="shared" si="67"/>
        <v>1.08</v>
      </c>
      <c r="V61" s="13">
        <f t="shared" si="67"/>
        <v>1.08</v>
      </c>
      <c r="W61" s="13">
        <f t="shared" si="67"/>
        <v>1.08</v>
      </c>
      <c r="X61" s="13">
        <f t="shared" si="67"/>
        <v>1.08</v>
      </c>
      <c r="Y61" s="13">
        <f t="shared" si="67"/>
        <v>1.08</v>
      </c>
    </row>
    <row r="62" spans="6:25">
      <c r="H62" s="7">
        <f t="shared" si="61"/>
        <v>200000</v>
      </c>
      <c r="I62" s="7">
        <f t="shared" si="63"/>
        <v>10000</v>
      </c>
      <c r="J62" s="13">
        <f t="shared" ref="J62:Y62" si="68">IF($O34=0,0,$O34/$F$2/($Q34*J48))</f>
        <v>0.95</v>
      </c>
      <c r="K62" s="13">
        <f t="shared" si="68"/>
        <v>1.1875</v>
      </c>
      <c r="L62" s="13">
        <f t="shared" si="68"/>
        <v>1.425</v>
      </c>
      <c r="M62" s="13">
        <f t="shared" si="68"/>
        <v>1.6625</v>
      </c>
      <c r="N62" s="13">
        <f t="shared" si="68"/>
        <v>1.9</v>
      </c>
      <c r="O62" s="13">
        <f t="shared" si="68"/>
        <v>2.1375</v>
      </c>
      <c r="P62" s="13">
        <f t="shared" si="68"/>
        <v>2.375</v>
      </c>
      <c r="Q62" s="13">
        <f t="shared" si="68"/>
        <v>2.375</v>
      </c>
      <c r="R62" s="13">
        <f t="shared" si="68"/>
        <v>2.375</v>
      </c>
      <c r="S62" s="13">
        <f t="shared" si="68"/>
        <v>2.375</v>
      </c>
      <c r="T62" s="13">
        <f t="shared" si="68"/>
        <v>2.375</v>
      </c>
      <c r="U62" s="13">
        <f t="shared" si="68"/>
        <v>2.375</v>
      </c>
      <c r="V62" s="13">
        <f t="shared" si="68"/>
        <v>2.375</v>
      </c>
      <c r="W62" s="13">
        <f t="shared" si="68"/>
        <v>2.375</v>
      </c>
      <c r="X62" s="13">
        <f t="shared" si="68"/>
        <v>2.375</v>
      </c>
      <c r="Y62" s="13">
        <f t="shared" si="68"/>
        <v>2.375</v>
      </c>
    </row>
    <row r="63" spans="6:25">
      <c r="H63" s="7">
        <f t="shared" si="61"/>
        <v>500000</v>
      </c>
      <c r="I63" s="7">
        <f t="shared" si="63"/>
        <v>25000</v>
      </c>
      <c r="J63" s="13">
        <f t="shared" ref="J63:Y63" si="69">IF($O35=0,0,$O35/$F$2/($Q35*J49))</f>
        <v>0.72</v>
      </c>
      <c r="K63" s="13">
        <f t="shared" si="69"/>
        <v>0.9</v>
      </c>
      <c r="L63" s="13">
        <f t="shared" si="69"/>
        <v>1.08</v>
      </c>
      <c r="M63" s="13">
        <f t="shared" si="69"/>
        <v>1.26</v>
      </c>
      <c r="N63" s="13">
        <f t="shared" si="69"/>
        <v>1.44</v>
      </c>
      <c r="O63" s="13">
        <f t="shared" si="69"/>
        <v>1.62</v>
      </c>
      <c r="P63" s="13">
        <f t="shared" si="69"/>
        <v>1.8</v>
      </c>
      <c r="Q63" s="13">
        <f t="shared" si="69"/>
        <v>1.8</v>
      </c>
      <c r="R63" s="13">
        <f t="shared" si="69"/>
        <v>1.8</v>
      </c>
      <c r="S63" s="13">
        <f t="shared" si="69"/>
        <v>1.8</v>
      </c>
      <c r="T63" s="13">
        <f t="shared" si="69"/>
        <v>1.8</v>
      </c>
      <c r="U63" s="13">
        <f t="shared" si="69"/>
        <v>1.8</v>
      </c>
      <c r="V63" s="13">
        <f t="shared" si="69"/>
        <v>1.8</v>
      </c>
      <c r="W63" s="13">
        <f t="shared" si="69"/>
        <v>1.8</v>
      </c>
      <c r="X63" s="13">
        <f t="shared" si="69"/>
        <v>1.8</v>
      </c>
      <c r="Y63" s="13">
        <f t="shared" si="69"/>
        <v>1.8</v>
      </c>
    </row>
    <row r="64" spans="6:25">
      <c r="H64" s="7">
        <f t="shared" si="61"/>
        <v>2000000</v>
      </c>
      <c r="I64" s="7">
        <f t="shared" si="63"/>
        <v>100000</v>
      </c>
      <c r="J64" s="13">
        <f t="shared" ref="J64:Y64" si="70">IF($O36=0,0,$O36/$F$2/($Q36*J50))</f>
        <v>0.295</v>
      </c>
      <c r="K64" s="13">
        <f t="shared" si="70"/>
        <v>0.36875</v>
      </c>
      <c r="L64" s="13">
        <f t="shared" si="70"/>
        <v>0.4425</v>
      </c>
      <c r="M64" s="13">
        <f t="shared" si="70"/>
        <v>0.51625</v>
      </c>
      <c r="N64" s="13">
        <f t="shared" si="70"/>
        <v>0.59</v>
      </c>
      <c r="O64" s="13">
        <f t="shared" si="70"/>
        <v>0.663750000000001</v>
      </c>
      <c r="P64" s="13">
        <f t="shared" si="70"/>
        <v>0.7375</v>
      </c>
      <c r="Q64" s="13">
        <f t="shared" si="70"/>
        <v>0.7375</v>
      </c>
      <c r="R64" s="13">
        <f t="shared" si="70"/>
        <v>0.7375</v>
      </c>
      <c r="S64" s="13">
        <f t="shared" si="70"/>
        <v>0.7375</v>
      </c>
      <c r="T64" s="13">
        <f t="shared" si="70"/>
        <v>0.7375</v>
      </c>
      <c r="U64" s="13">
        <f t="shared" si="70"/>
        <v>0.7375</v>
      </c>
      <c r="V64" s="13">
        <f t="shared" si="70"/>
        <v>0.7375</v>
      </c>
      <c r="W64" s="13">
        <f t="shared" si="70"/>
        <v>0.7375</v>
      </c>
      <c r="X64" s="13">
        <f t="shared" si="70"/>
        <v>0.7375</v>
      </c>
      <c r="Y64" s="13">
        <f t="shared" si="70"/>
        <v>0.7375</v>
      </c>
    </row>
    <row r="65" spans="6:25">
      <c r="H65" s="7">
        <f t="shared" si="61"/>
        <v>5000000</v>
      </c>
      <c r="I65" s="7">
        <f t="shared" si="63"/>
        <v>250000</v>
      </c>
      <c r="J65" s="13">
        <f t="shared" ref="J65:Y65" si="71">IF($O37=0,0,$O37/$F$2/($Q37*J51))</f>
        <v>0.166</v>
      </c>
      <c r="K65" s="13">
        <f t="shared" si="71"/>
        <v>0.2075</v>
      </c>
      <c r="L65" s="13">
        <f t="shared" si="71"/>
        <v>0.249</v>
      </c>
      <c r="M65" s="13">
        <f t="shared" si="71"/>
        <v>0.2905</v>
      </c>
      <c r="N65" s="13">
        <f t="shared" si="71"/>
        <v>0.332</v>
      </c>
      <c r="O65" s="13">
        <f t="shared" si="71"/>
        <v>0.3735</v>
      </c>
      <c r="P65" s="13">
        <f t="shared" si="71"/>
        <v>0.415</v>
      </c>
      <c r="Q65" s="13">
        <f t="shared" si="71"/>
        <v>0.415</v>
      </c>
      <c r="R65" s="13">
        <f t="shared" si="71"/>
        <v>0.415</v>
      </c>
      <c r="S65" s="13">
        <f t="shared" si="71"/>
        <v>0.415</v>
      </c>
      <c r="T65" s="13">
        <f t="shared" si="71"/>
        <v>0.415</v>
      </c>
      <c r="U65" s="13">
        <f t="shared" si="71"/>
        <v>0.415</v>
      </c>
      <c r="V65" s="13">
        <f t="shared" si="71"/>
        <v>0.415</v>
      </c>
      <c r="W65" s="13">
        <f t="shared" si="71"/>
        <v>0.415</v>
      </c>
      <c r="X65" s="13">
        <f t="shared" si="71"/>
        <v>0.415</v>
      </c>
      <c r="Y65" s="13">
        <f t="shared" si="71"/>
        <v>0.415</v>
      </c>
    </row>
    <row r="66" spans="6:25">
      <c r="H66" s="7">
        <f t="shared" si="61"/>
        <v>10000000</v>
      </c>
      <c r="I66" s="7">
        <f t="shared" si="63"/>
        <v>500000</v>
      </c>
      <c r="J66" s="13">
        <f t="shared" ref="J66:Y66" si="72">IF($O38=0,0,$O38/$F$2/($Q38*J52))</f>
        <v>0.132</v>
      </c>
      <c r="K66" s="13">
        <f t="shared" si="72"/>
        <v>0.165</v>
      </c>
      <c r="L66" s="13">
        <f t="shared" si="72"/>
        <v>0.198</v>
      </c>
      <c r="M66" s="13">
        <f t="shared" si="72"/>
        <v>0.231</v>
      </c>
      <c r="N66" s="13">
        <f t="shared" si="72"/>
        <v>0.264</v>
      </c>
      <c r="O66" s="13">
        <f t="shared" si="72"/>
        <v>0.297</v>
      </c>
      <c r="P66" s="13">
        <f t="shared" si="72"/>
        <v>0.33</v>
      </c>
      <c r="Q66" s="13">
        <f t="shared" si="72"/>
        <v>0.33</v>
      </c>
      <c r="R66" s="13">
        <f t="shared" si="72"/>
        <v>0.33</v>
      </c>
      <c r="S66" s="13">
        <f t="shared" si="72"/>
        <v>0.33</v>
      </c>
      <c r="T66" s="13">
        <f t="shared" si="72"/>
        <v>0.33</v>
      </c>
      <c r="U66" s="13">
        <f t="shared" si="72"/>
        <v>0.33</v>
      </c>
      <c r="V66" s="13">
        <f t="shared" si="72"/>
        <v>0.33</v>
      </c>
      <c r="W66" s="13">
        <f t="shared" si="72"/>
        <v>0.33</v>
      </c>
      <c r="X66" s="13">
        <f t="shared" si="72"/>
        <v>0.33</v>
      </c>
      <c r="Y66" s="13">
        <f t="shared" si="72"/>
        <v>0.33</v>
      </c>
    </row>
    <row r="67" spans="6:25">
      <c r="H67" s="7">
        <f t="shared" si="61"/>
        <v>20000000</v>
      </c>
      <c r="I67" s="7">
        <f t="shared" si="63"/>
        <v>1000000</v>
      </c>
      <c r="J67" s="13">
        <f t="shared" ref="J67:Y67" si="73">IF($O39=0,0,$O39/$F$2/($Q39*J53))</f>
        <v>0.1</v>
      </c>
      <c r="K67" s="13">
        <f t="shared" si="73"/>
        <v>0.125</v>
      </c>
      <c r="L67" s="13">
        <f t="shared" si="73"/>
        <v>0.15</v>
      </c>
      <c r="M67" s="13">
        <f t="shared" si="73"/>
        <v>0.175</v>
      </c>
      <c r="N67" s="13">
        <f t="shared" si="73"/>
        <v>0.2</v>
      </c>
      <c r="O67" s="13">
        <f t="shared" si="73"/>
        <v>0.225</v>
      </c>
      <c r="P67" s="13">
        <f t="shared" si="73"/>
        <v>0.25</v>
      </c>
      <c r="Q67" s="13">
        <f t="shared" si="73"/>
        <v>0.25</v>
      </c>
      <c r="R67" s="13">
        <f t="shared" si="73"/>
        <v>0.25</v>
      </c>
      <c r="S67" s="13">
        <f t="shared" si="73"/>
        <v>0.25</v>
      </c>
      <c r="T67" s="13">
        <f t="shared" si="73"/>
        <v>0.25</v>
      </c>
      <c r="U67" s="13">
        <f t="shared" si="73"/>
        <v>0.25</v>
      </c>
      <c r="V67" s="13">
        <f t="shared" si="73"/>
        <v>0.25</v>
      </c>
      <c r="W67" s="13">
        <f t="shared" si="73"/>
        <v>0.25</v>
      </c>
      <c r="X67" s="13">
        <f t="shared" si="73"/>
        <v>0.25</v>
      </c>
      <c r="Y67" s="13">
        <f t="shared" si="73"/>
        <v>0.25</v>
      </c>
    </row>
    <row r="69" spans="6:25">
      <c r="F69" s="4" t="s">
        <v>39</v>
      </c>
      <c r="H69" s="7"/>
      <c r="I69" s="7"/>
      <c r="J69" s="7">
        <v>1000000</v>
      </c>
      <c r="K69" s="7">
        <v>1250000</v>
      </c>
      <c r="L69" s="7">
        <v>1500000</v>
      </c>
      <c r="M69" s="7">
        <v>1750000</v>
      </c>
      <c r="N69" s="7">
        <v>2000000</v>
      </c>
      <c r="O69" s="7">
        <v>2250000</v>
      </c>
      <c r="P69" s="7">
        <v>2500000</v>
      </c>
      <c r="Q69" s="7">
        <v>2500000</v>
      </c>
      <c r="R69" s="7">
        <v>2500000</v>
      </c>
      <c r="S69" s="7">
        <v>2500000</v>
      </c>
      <c r="T69" s="7">
        <v>2500000</v>
      </c>
      <c r="U69" s="7">
        <v>2500000</v>
      </c>
      <c r="V69" s="7">
        <v>2500000</v>
      </c>
      <c r="W69" s="7">
        <v>2500000</v>
      </c>
      <c r="X69" s="7">
        <v>2500000</v>
      </c>
      <c r="Y69" s="7">
        <v>2500000</v>
      </c>
    </row>
    <row r="70" spans="6:25">
      <c r="H70" s="7" t="s">
        <v>5</v>
      </c>
      <c r="I70" s="7" t="s">
        <v>7</v>
      </c>
      <c r="J70" s="7">
        <v>0</v>
      </c>
      <c r="K70" s="6">
        <v>1</v>
      </c>
      <c r="L70" s="6">
        <v>2</v>
      </c>
      <c r="M70" s="6">
        <v>3</v>
      </c>
      <c r="N70" s="6">
        <v>4</v>
      </c>
      <c r="O70" s="6">
        <v>5</v>
      </c>
      <c r="P70" s="6">
        <v>6</v>
      </c>
      <c r="Q70" s="6">
        <v>7</v>
      </c>
      <c r="R70" s="6">
        <v>8</v>
      </c>
      <c r="S70" s="6">
        <v>9</v>
      </c>
      <c r="T70" s="6">
        <v>10</v>
      </c>
      <c r="U70" s="6">
        <v>11</v>
      </c>
      <c r="V70" s="6">
        <v>12</v>
      </c>
      <c r="W70" s="6">
        <v>13</v>
      </c>
      <c r="X70" s="6">
        <v>14</v>
      </c>
      <c r="Y70" s="6">
        <v>15</v>
      </c>
    </row>
    <row r="71" spans="6:25">
      <c r="H71" s="7">
        <f t="shared" ref="H71:H81" si="74">H57</f>
        <v>1000</v>
      </c>
      <c r="I71" s="7">
        <f t="shared" ref="I71:I81" si="75">I57</f>
        <v>50</v>
      </c>
      <c r="J71" s="13">
        <f ca="1" t="shared" ref="J71:Y71" si="76">IF($O29=0,0,$O29/$F$2/($Q29*$J2))*J$69/$J$69</f>
        <v>16</v>
      </c>
      <c r="K71" s="13">
        <f ca="1" t="shared" si="76"/>
        <v>20</v>
      </c>
      <c r="L71" s="13">
        <f ca="1" t="shared" si="76"/>
        <v>24</v>
      </c>
      <c r="M71" s="13">
        <f ca="1" t="shared" si="76"/>
        <v>28</v>
      </c>
      <c r="N71" s="13">
        <f ca="1" t="shared" si="76"/>
        <v>32</v>
      </c>
      <c r="O71" s="13">
        <f ca="1" t="shared" si="76"/>
        <v>36</v>
      </c>
      <c r="P71" s="13">
        <f ca="1" t="shared" si="76"/>
        <v>40</v>
      </c>
      <c r="Q71" s="13">
        <f ca="1" t="shared" si="76"/>
        <v>40</v>
      </c>
      <c r="R71" s="13">
        <f ca="1" t="shared" si="76"/>
        <v>40</v>
      </c>
      <c r="S71" s="13">
        <f ca="1" t="shared" si="76"/>
        <v>40</v>
      </c>
      <c r="T71" s="13">
        <f ca="1" t="shared" si="76"/>
        <v>40</v>
      </c>
      <c r="U71" s="13">
        <f ca="1" t="shared" si="76"/>
        <v>40</v>
      </c>
      <c r="V71" s="13">
        <f ca="1" t="shared" si="76"/>
        <v>40</v>
      </c>
      <c r="W71" s="13">
        <f ca="1" t="shared" si="76"/>
        <v>40</v>
      </c>
      <c r="X71" s="13">
        <f ca="1" t="shared" si="76"/>
        <v>40</v>
      </c>
      <c r="Y71" s="13">
        <f ca="1" t="shared" si="76"/>
        <v>40</v>
      </c>
    </row>
    <row r="72" spans="6:25">
      <c r="H72" s="7">
        <f t="shared" si="74"/>
        <v>5000</v>
      </c>
      <c r="I72" s="7">
        <f t="shared" si="75"/>
        <v>250</v>
      </c>
      <c r="J72" s="13">
        <f t="shared" ref="J72:Y72" si="77">IF($O30=0,0,$O30/$F$2/($Q30*$J3))*J$69/$J$69</f>
        <v>3.2</v>
      </c>
      <c r="K72" s="13">
        <f t="shared" si="77"/>
        <v>4</v>
      </c>
      <c r="L72" s="13">
        <f t="shared" si="77"/>
        <v>4.8</v>
      </c>
      <c r="M72" s="13">
        <f t="shared" si="77"/>
        <v>5.6</v>
      </c>
      <c r="N72" s="13">
        <f t="shared" si="77"/>
        <v>6.4</v>
      </c>
      <c r="O72" s="13">
        <f t="shared" si="77"/>
        <v>7.2</v>
      </c>
      <c r="P72" s="13">
        <f t="shared" si="77"/>
        <v>8</v>
      </c>
      <c r="Q72" s="13">
        <f t="shared" si="77"/>
        <v>8</v>
      </c>
      <c r="R72" s="13">
        <f t="shared" si="77"/>
        <v>8</v>
      </c>
      <c r="S72" s="13">
        <f t="shared" si="77"/>
        <v>8</v>
      </c>
      <c r="T72" s="13">
        <f t="shared" si="77"/>
        <v>8</v>
      </c>
      <c r="U72" s="13">
        <f t="shared" si="77"/>
        <v>8</v>
      </c>
      <c r="V72" s="13">
        <f t="shared" si="77"/>
        <v>8</v>
      </c>
      <c r="W72" s="13">
        <f t="shared" si="77"/>
        <v>8</v>
      </c>
      <c r="X72" s="13">
        <f t="shared" si="77"/>
        <v>8</v>
      </c>
      <c r="Y72" s="13">
        <f t="shared" si="77"/>
        <v>8</v>
      </c>
    </row>
    <row r="73" spans="6:25">
      <c r="H73" s="7">
        <f t="shared" si="74"/>
        <v>20000</v>
      </c>
      <c r="I73" s="7">
        <f t="shared" si="75"/>
        <v>1000</v>
      </c>
      <c r="J73" s="13">
        <f t="shared" ref="J73:Y73" si="78">IF($O31=0,0,$O31/$F$2/($Q31*$J4))*J$69/$J$69</f>
        <v>7.4538</v>
      </c>
      <c r="K73" s="13">
        <f t="shared" si="78"/>
        <v>9.31725</v>
      </c>
      <c r="L73" s="13">
        <f t="shared" si="78"/>
        <v>11.1807</v>
      </c>
      <c r="M73" s="13">
        <f t="shared" si="78"/>
        <v>13.04415</v>
      </c>
      <c r="N73" s="13">
        <f t="shared" si="78"/>
        <v>14.9076</v>
      </c>
      <c r="O73" s="13">
        <f t="shared" si="78"/>
        <v>16.77105</v>
      </c>
      <c r="P73" s="13">
        <f t="shared" si="78"/>
        <v>18.6345</v>
      </c>
      <c r="Q73" s="13">
        <f t="shared" si="78"/>
        <v>18.6345</v>
      </c>
      <c r="R73" s="13">
        <f t="shared" si="78"/>
        <v>18.6345</v>
      </c>
      <c r="S73" s="13">
        <f t="shared" si="78"/>
        <v>18.6345</v>
      </c>
      <c r="T73" s="13">
        <f t="shared" si="78"/>
        <v>18.6345</v>
      </c>
      <c r="U73" s="13">
        <f t="shared" si="78"/>
        <v>18.6345</v>
      </c>
      <c r="V73" s="13">
        <f t="shared" si="78"/>
        <v>18.6345</v>
      </c>
      <c r="W73" s="13">
        <f t="shared" si="78"/>
        <v>18.6345</v>
      </c>
      <c r="X73" s="13">
        <f t="shared" si="78"/>
        <v>18.6345</v>
      </c>
      <c r="Y73" s="13">
        <f t="shared" si="78"/>
        <v>18.6345</v>
      </c>
    </row>
    <row r="74" spans="6:25">
      <c r="H74" s="7">
        <f t="shared" si="74"/>
        <v>50000</v>
      </c>
      <c r="I74" s="7">
        <f t="shared" si="75"/>
        <v>2500</v>
      </c>
      <c r="J74" s="13">
        <f t="shared" ref="J74:Y74" si="79">IF($O32=0,0,$O32/$F$2/($Q32*$J5))*J$69/$J$69</f>
        <v>1.6016</v>
      </c>
      <c r="K74" s="13">
        <f t="shared" si="79"/>
        <v>2.002</v>
      </c>
      <c r="L74" s="13">
        <f t="shared" si="79"/>
        <v>2.4024</v>
      </c>
      <c r="M74" s="13">
        <f t="shared" si="79"/>
        <v>2.8028</v>
      </c>
      <c r="N74" s="13">
        <f t="shared" si="79"/>
        <v>3.2032</v>
      </c>
      <c r="O74" s="13">
        <f t="shared" si="79"/>
        <v>3.6036</v>
      </c>
      <c r="P74" s="13">
        <f t="shared" si="79"/>
        <v>4.004</v>
      </c>
      <c r="Q74" s="13">
        <f t="shared" si="79"/>
        <v>4.004</v>
      </c>
      <c r="R74" s="13">
        <f t="shared" si="79"/>
        <v>4.004</v>
      </c>
      <c r="S74" s="13">
        <f t="shared" si="79"/>
        <v>4.004</v>
      </c>
      <c r="T74" s="13">
        <f t="shared" si="79"/>
        <v>4.004</v>
      </c>
      <c r="U74" s="13">
        <f t="shared" si="79"/>
        <v>4.004</v>
      </c>
      <c r="V74" s="13">
        <f t="shared" si="79"/>
        <v>4.004</v>
      </c>
      <c r="W74" s="13">
        <f t="shared" si="79"/>
        <v>4.004</v>
      </c>
      <c r="X74" s="13">
        <f t="shared" si="79"/>
        <v>4.004</v>
      </c>
      <c r="Y74" s="13">
        <f t="shared" si="79"/>
        <v>4.004</v>
      </c>
    </row>
    <row r="75" spans="6:25">
      <c r="H75" s="7">
        <f t="shared" si="74"/>
        <v>100000</v>
      </c>
      <c r="I75" s="7">
        <f t="shared" si="75"/>
        <v>5000</v>
      </c>
      <c r="J75" s="13">
        <f t="shared" ref="J75:Y75" si="80">IF($O33=0,0,$O33/$F$2/($Q33*$J6))*J$69/$J$69</f>
        <v>0.432</v>
      </c>
      <c r="K75" s="13">
        <f t="shared" si="80"/>
        <v>0.54</v>
      </c>
      <c r="L75" s="13">
        <f t="shared" si="80"/>
        <v>0.648</v>
      </c>
      <c r="M75" s="13">
        <f t="shared" si="80"/>
        <v>0.756</v>
      </c>
      <c r="N75" s="13">
        <f t="shared" si="80"/>
        <v>0.864</v>
      </c>
      <c r="O75" s="13">
        <f t="shared" si="80"/>
        <v>0.972</v>
      </c>
      <c r="P75" s="13">
        <f t="shared" si="80"/>
        <v>1.08</v>
      </c>
      <c r="Q75" s="13">
        <f t="shared" si="80"/>
        <v>1.08</v>
      </c>
      <c r="R75" s="13">
        <f t="shared" si="80"/>
        <v>1.08</v>
      </c>
      <c r="S75" s="13">
        <f t="shared" si="80"/>
        <v>1.08</v>
      </c>
      <c r="T75" s="13">
        <f t="shared" si="80"/>
        <v>1.08</v>
      </c>
      <c r="U75" s="13">
        <f t="shared" si="80"/>
        <v>1.08</v>
      </c>
      <c r="V75" s="13">
        <f t="shared" si="80"/>
        <v>1.08</v>
      </c>
      <c r="W75" s="13">
        <f t="shared" si="80"/>
        <v>1.08</v>
      </c>
      <c r="X75" s="13">
        <f t="shared" si="80"/>
        <v>1.08</v>
      </c>
      <c r="Y75" s="13">
        <f t="shared" si="80"/>
        <v>1.08</v>
      </c>
    </row>
    <row r="76" spans="6:25">
      <c r="H76" s="7">
        <f t="shared" si="74"/>
        <v>200000</v>
      </c>
      <c r="I76" s="7">
        <f t="shared" si="75"/>
        <v>10000</v>
      </c>
      <c r="J76" s="13">
        <f t="shared" ref="J76:Y76" si="81">IF($O34=0,0,$O34/$F$2/($Q34*$J7))*J$69/$J$69</f>
        <v>0.95</v>
      </c>
      <c r="K76" s="13">
        <f t="shared" si="81"/>
        <v>1.1875</v>
      </c>
      <c r="L76" s="13">
        <f t="shared" si="81"/>
        <v>1.425</v>
      </c>
      <c r="M76" s="13">
        <f t="shared" si="81"/>
        <v>1.6625</v>
      </c>
      <c r="N76" s="13">
        <f t="shared" si="81"/>
        <v>1.9</v>
      </c>
      <c r="O76" s="13">
        <f t="shared" si="81"/>
        <v>2.1375</v>
      </c>
      <c r="P76" s="13">
        <f t="shared" si="81"/>
        <v>2.375</v>
      </c>
      <c r="Q76" s="13">
        <f t="shared" si="81"/>
        <v>2.375</v>
      </c>
      <c r="R76" s="13">
        <f t="shared" si="81"/>
        <v>2.375</v>
      </c>
      <c r="S76" s="13">
        <f t="shared" si="81"/>
        <v>2.375</v>
      </c>
      <c r="T76" s="13">
        <f t="shared" si="81"/>
        <v>2.375</v>
      </c>
      <c r="U76" s="13">
        <f t="shared" si="81"/>
        <v>2.375</v>
      </c>
      <c r="V76" s="13">
        <f t="shared" si="81"/>
        <v>2.375</v>
      </c>
      <c r="W76" s="13">
        <f t="shared" si="81"/>
        <v>2.375</v>
      </c>
      <c r="X76" s="13">
        <f t="shared" si="81"/>
        <v>2.375</v>
      </c>
      <c r="Y76" s="13">
        <f t="shared" si="81"/>
        <v>2.375</v>
      </c>
    </row>
    <row r="77" spans="6:25">
      <c r="H77" s="7">
        <f t="shared" si="74"/>
        <v>500000</v>
      </c>
      <c r="I77" s="7">
        <f t="shared" si="75"/>
        <v>25000</v>
      </c>
      <c r="J77" s="13">
        <f t="shared" ref="J77:Y77" si="82">IF($O35=0,0,$O35/$F$2/($Q35*$J8))*J$69/$J$69</f>
        <v>0.72</v>
      </c>
      <c r="K77" s="13">
        <f t="shared" si="82"/>
        <v>0.9</v>
      </c>
      <c r="L77" s="13">
        <f t="shared" si="82"/>
        <v>1.08</v>
      </c>
      <c r="M77" s="13">
        <f t="shared" si="82"/>
        <v>1.26</v>
      </c>
      <c r="N77" s="13">
        <f t="shared" si="82"/>
        <v>1.44</v>
      </c>
      <c r="O77" s="13">
        <f t="shared" si="82"/>
        <v>1.62</v>
      </c>
      <c r="P77" s="13">
        <f t="shared" si="82"/>
        <v>1.8</v>
      </c>
      <c r="Q77" s="13">
        <f t="shared" si="82"/>
        <v>1.8</v>
      </c>
      <c r="R77" s="13">
        <f t="shared" si="82"/>
        <v>1.8</v>
      </c>
      <c r="S77" s="13">
        <f t="shared" si="82"/>
        <v>1.8</v>
      </c>
      <c r="T77" s="13">
        <f t="shared" si="82"/>
        <v>1.8</v>
      </c>
      <c r="U77" s="13">
        <f t="shared" si="82"/>
        <v>1.8</v>
      </c>
      <c r="V77" s="13">
        <f t="shared" si="82"/>
        <v>1.8</v>
      </c>
      <c r="W77" s="13">
        <f t="shared" si="82"/>
        <v>1.8</v>
      </c>
      <c r="X77" s="13">
        <f t="shared" si="82"/>
        <v>1.8</v>
      </c>
      <c r="Y77" s="13">
        <f t="shared" si="82"/>
        <v>1.8</v>
      </c>
    </row>
    <row r="78" spans="6:25">
      <c r="H78" s="7">
        <f t="shared" si="74"/>
        <v>2000000</v>
      </c>
      <c r="I78" s="7">
        <f t="shared" si="75"/>
        <v>100000</v>
      </c>
      <c r="J78" s="13">
        <f t="shared" ref="J78:Y78" si="83">IF($O36=0,0,$O36/$F$2/($Q36*$J9))*J$69/$J$69</f>
        <v>0.295</v>
      </c>
      <c r="K78" s="13">
        <f t="shared" si="83"/>
        <v>0.36875</v>
      </c>
      <c r="L78" s="13">
        <f t="shared" si="83"/>
        <v>0.4425</v>
      </c>
      <c r="M78" s="13">
        <f t="shared" si="83"/>
        <v>0.51625</v>
      </c>
      <c r="N78" s="13">
        <f t="shared" si="83"/>
        <v>0.59</v>
      </c>
      <c r="O78" s="13">
        <f t="shared" si="83"/>
        <v>0.66375</v>
      </c>
      <c r="P78" s="13">
        <f t="shared" si="83"/>
        <v>0.7375</v>
      </c>
      <c r="Q78" s="13">
        <f t="shared" si="83"/>
        <v>0.7375</v>
      </c>
      <c r="R78" s="13">
        <f t="shared" si="83"/>
        <v>0.7375</v>
      </c>
      <c r="S78" s="13">
        <f t="shared" si="83"/>
        <v>0.7375</v>
      </c>
      <c r="T78" s="13">
        <f t="shared" si="83"/>
        <v>0.7375</v>
      </c>
      <c r="U78" s="13">
        <f t="shared" si="83"/>
        <v>0.7375</v>
      </c>
      <c r="V78" s="13">
        <f t="shared" si="83"/>
        <v>0.7375</v>
      </c>
      <c r="W78" s="13">
        <f t="shared" si="83"/>
        <v>0.7375</v>
      </c>
      <c r="X78" s="13">
        <f t="shared" si="83"/>
        <v>0.7375</v>
      </c>
      <c r="Y78" s="13">
        <f t="shared" si="83"/>
        <v>0.7375</v>
      </c>
    </row>
    <row r="79" spans="6:25">
      <c r="H79" s="7">
        <f t="shared" si="74"/>
        <v>5000000</v>
      </c>
      <c r="I79" s="7">
        <f t="shared" si="75"/>
        <v>250000</v>
      </c>
      <c r="J79" s="13">
        <f t="shared" ref="J79:Y79" si="84">IF($O37=0,0,$O37/$F$2/($Q37*$J10))*J$69/$J$69</f>
        <v>0.166</v>
      </c>
      <c r="K79" s="13">
        <f t="shared" si="84"/>
        <v>0.2075</v>
      </c>
      <c r="L79" s="13">
        <f t="shared" si="84"/>
        <v>0.249</v>
      </c>
      <c r="M79" s="13">
        <f t="shared" si="84"/>
        <v>0.2905</v>
      </c>
      <c r="N79" s="13">
        <f t="shared" si="84"/>
        <v>0.332</v>
      </c>
      <c r="O79" s="13">
        <f t="shared" si="84"/>
        <v>0.3735</v>
      </c>
      <c r="P79" s="13">
        <f t="shared" si="84"/>
        <v>0.415</v>
      </c>
      <c r="Q79" s="13">
        <f t="shared" si="84"/>
        <v>0.415</v>
      </c>
      <c r="R79" s="13">
        <f t="shared" si="84"/>
        <v>0.415</v>
      </c>
      <c r="S79" s="13">
        <f t="shared" si="84"/>
        <v>0.415</v>
      </c>
      <c r="T79" s="13">
        <f t="shared" si="84"/>
        <v>0.415</v>
      </c>
      <c r="U79" s="13">
        <f t="shared" si="84"/>
        <v>0.415</v>
      </c>
      <c r="V79" s="13">
        <f t="shared" si="84"/>
        <v>0.415</v>
      </c>
      <c r="W79" s="13">
        <f t="shared" si="84"/>
        <v>0.415</v>
      </c>
      <c r="X79" s="13">
        <f t="shared" si="84"/>
        <v>0.415</v>
      </c>
      <c r="Y79" s="13">
        <f t="shared" si="84"/>
        <v>0.415</v>
      </c>
    </row>
    <row r="80" spans="6:25">
      <c r="H80" s="7">
        <f t="shared" si="74"/>
        <v>10000000</v>
      </c>
      <c r="I80" s="7">
        <f t="shared" si="75"/>
        <v>500000</v>
      </c>
      <c r="J80" s="13">
        <f t="shared" ref="J80:Y80" si="85">IF($O38=0,0,$O38/$F$2/($Q38*$J11))*J$69/$J$69</f>
        <v>0.132</v>
      </c>
      <c r="K80" s="13">
        <f t="shared" si="85"/>
        <v>0.165</v>
      </c>
      <c r="L80" s="13">
        <f t="shared" si="85"/>
        <v>0.198</v>
      </c>
      <c r="M80" s="13">
        <f t="shared" si="85"/>
        <v>0.231</v>
      </c>
      <c r="N80" s="13">
        <f t="shared" si="85"/>
        <v>0.264</v>
      </c>
      <c r="O80" s="13">
        <f t="shared" si="85"/>
        <v>0.297</v>
      </c>
      <c r="P80" s="13">
        <f t="shared" si="85"/>
        <v>0.33</v>
      </c>
      <c r="Q80" s="13">
        <f t="shared" si="85"/>
        <v>0.33</v>
      </c>
      <c r="R80" s="13">
        <f t="shared" si="85"/>
        <v>0.33</v>
      </c>
      <c r="S80" s="13">
        <f t="shared" si="85"/>
        <v>0.33</v>
      </c>
      <c r="T80" s="13">
        <f t="shared" si="85"/>
        <v>0.33</v>
      </c>
      <c r="U80" s="13">
        <f t="shared" si="85"/>
        <v>0.33</v>
      </c>
      <c r="V80" s="13">
        <f t="shared" si="85"/>
        <v>0.33</v>
      </c>
      <c r="W80" s="13">
        <f t="shared" si="85"/>
        <v>0.33</v>
      </c>
      <c r="X80" s="13">
        <f t="shared" si="85"/>
        <v>0.33</v>
      </c>
      <c r="Y80" s="13">
        <f t="shared" si="85"/>
        <v>0.33</v>
      </c>
    </row>
    <row r="81" spans="6:25">
      <c r="H81" s="7">
        <f t="shared" si="74"/>
        <v>20000000</v>
      </c>
      <c r="I81" s="7">
        <f t="shared" si="75"/>
        <v>1000000</v>
      </c>
      <c r="J81" s="13">
        <f t="shared" ref="J81:Y81" si="86">IF($O39=0,0,$O39/$F$2/($Q39*$J12))*J$69/$J$69</f>
        <v>0.1</v>
      </c>
      <c r="K81" s="13">
        <f t="shared" si="86"/>
        <v>0.125</v>
      </c>
      <c r="L81" s="13">
        <f t="shared" si="86"/>
        <v>0.15</v>
      </c>
      <c r="M81" s="13">
        <f t="shared" si="86"/>
        <v>0.175</v>
      </c>
      <c r="N81" s="13">
        <f t="shared" si="86"/>
        <v>0.2</v>
      </c>
      <c r="O81" s="13">
        <f t="shared" si="86"/>
        <v>0.225</v>
      </c>
      <c r="P81" s="13">
        <f t="shared" si="86"/>
        <v>0.25</v>
      </c>
      <c r="Q81" s="13">
        <f t="shared" si="86"/>
        <v>0.25</v>
      </c>
      <c r="R81" s="13">
        <f t="shared" si="86"/>
        <v>0.25</v>
      </c>
      <c r="S81" s="13">
        <f t="shared" si="86"/>
        <v>0.25</v>
      </c>
      <c r="T81" s="13">
        <f t="shared" si="86"/>
        <v>0.25</v>
      </c>
      <c r="U81" s="13">
        <f t="shared" si="86"/>
        <v>0.25</v>
      </c>
      <c r="V81" s="13">
        <f t="shared" si="86"/>
        <v>0.25</v>
      </c>
      <c r="W81" s="13">
        <f t="shared" si="86"/>
        <v>0.25</v>
      </c>
      <c r="X81" s="13">
        <f t="shared" si="86"/>
        <v>0.25</v>
      </c>
      <c r="Y81" s="13">
        <f t="shared" si="86"/>
        <v>0.25</v>
      </c>
    </row>
    <row r="83" spans="6:25">
      <c r="F83" s="4" t="s">
        <v>40</v>
      </c>
      <c r="H83" s="7"/>
      <c r="I83" s="7"/>
      <c r="J83" s="7">
        <v>1000000</v>
      </c>
      <c r="K83" s="7">
        <v>1250000</v>
      </c>
      <c r="L83" s="7">
        <v>1500000</v>
      </c>
      <c r="M83" s="7">
        <v>1750000</v>
      </c>
      <c r="N83" s="7">
        <v>2000000</v>
      </c>
      <c r="O83" s="7">
        <v>2250000</v>
      </c>
      <c r="P83" s="7">
        <v>2500000</v>
      </c>
      <c r="Q83" s="7">
        <v>2500000</v>
      </c>
      <c r="R83" s="7">
        <v>2500000</v>
      </c>
      <c r="S83" s="7">
        <v>2500000</v>
      </c>
      <c r="T83" s="7">
        <v>2500000</v>
      </c>
      <c r="U83" s="7">
        <v>2500000</v>
      </c>
      <c r="V83" s="7">
        <v>2500000</v>
      </c>
      <c r="W83" s="7">
        <v>2500000</v>
      </c>
      <c r="X83" s="7">
        <v>2500000</v>
      </c>
      <c r="Y83" s="7">
        <v>2500000</v>
      </c>
    </row>
    <row r="84" spans="6:25">
      <c r="H84" s="7" t="s">
        <v>5</v>
      </c>
      <c r="I84" s="7" t="s">
        <v>7</v>
      </c>
      <c r="J84" s="7">
        <v>0</v>
      </c>
      <c r="K84" s="6">
        <v>1</v>
      </c>
      <c r="L84" s="6">
        <v>2</v>
      </c>
      <c r="M84" s="6">
        <v>3</v>
      </c>
      <c r="N84" s="6">
        <v>4</v>
      </c>
      <c r="O84" s="6">
        <v>5</v>
      </c>
      <c r="P84" s="6">
        <v>6</v>
      </c>
      <c r="Q84" s="6">
        <v>7</v>
      </c>
      <c r="R84" s="6">
        <v>8</v>
      </c>
      <c r="S84" s="6">
        <v>9</v>
      </c>
      <c r="T84" s="6">
        <v>10</v>
      </c>
      <c r="U84" s="6">
        <v>11</v>
      </c>
      <c r="V84" s="6">
        <v>12</v>
      </c>
      <c r="W84" s="6">
        <v>13</v>
      </c>
      <c r="X84" s="6">
        <v>14</v>
      </c>
      <c r="Y84" s="6">
        <v>15</v>
      </c>
    </row>
    <row r="85" spans="6:25">
      <c r="H85" s="7">
        <f t="shared" ref="H85:H95" si="87">H71</f>
        <v>1000</v>
      </c>
      <c r="I85" s="7">
        <f t="shared" ref="I85:I95" si="88">I71</f>
        <v>50</v>
      </c>
      <c r="J85" s="14">
        <f ca="1" t="shared" ref="J85:Y85" si="89">IF($O29=0,0,$Q29*J43)</f>
        <v>0.0125</v>
      </c>
      <c r="K85" s="14">
        <f ca="1" t="shared" si="89"/>
        <v>0.01</v>
      </c>
      <c r="L85" s="14">
        <f ca="1" t="shared" si="89"/>
        <v>0.00833333333333332</v>
      </c>
      <c r="M85" s="14">
        <f ca="1" t="shared" si="89"/>
        <v>0.00714285714285715</v>
      </c>
      <c r="N85" s="14">
        <f ca="1" t="shared" si="89"/>
        <v>0.00625</v>
      </c>
      <c r="O85" s="14">
        <f ca="1" t="shared" si="89"/>
        <v>0.00555555555555555</v>
      </c>
      <c r="P85" s="14">
        <f ca="1" t="shared" si="89"/>
        <v>0.005</v>
      </c>
      <c r="Q85" s="14">
        <f ca="1" t="shared" si="89"/>
        <v>0.005</v>
      </c>
      <c r="R85" s="14">
        <f ca="1" t="shared" si="89"/>
        <v>0.005</v>
      </c>
      <c r="S85" s="14">
        <f ca="1" t="shared" si="89"/>
        <v>0.005</v>
      </c>
      <c r="T85" s="14">
        <f ca="1" t="shared" si="89"/>
        <v>0.005</v>
      </c>
      <c r="U85" s="14">
        <f ca="1" t="shared" si="89"/>
        <v>0.005</v>
      </c>
      <c r="V85" s="14">
        <f ca="1" t="shared" si="89"/>
        <v>0.005</v>
      </c>
      <c r="W85" s="14">
        <f ca="1" t="shared" si="89"/>
        <v>0.005</v>
      </c>
      <c r="X85" s="14">
        <f ca="1" t="shared" si="89"/>
        <v>0.005</v>
      </c>
      <c r="Y85" s="14">
        <f ca="1" t="shared" si="89"/>
        <v>0.005</v>
      </c>
    </row>
    <row r="86" spans="6:25">
      <c r="H86" s="7">
        <f t="shared" si="87"/>
        <v>5000</v>
      </c>
      <c r="I86" s="7">
        <f t="shared" si="88"/>
        <v>250</v>
      </c>
      <c r="J86" s="14">
        <f t="shared" ref="J86:Y86" si="90">IF($O30=0,0,$Q30*J44)</f>
        <v>0.0625</v>
      </c>
      <c r="K86" s="14">
        <f t="shared" si="90"/>
        <v>0.05</v>
      </c>
      <c r="L86" s="14">
        <f t="shared" si="90"/>
        <v>0.0416666666666668</v>
      </c>
      <c r="M86" s="14">
        <f t="shared" si="90"/>
        <v>0.0357142857142858</v>
      </c>
      <c r="N86" s="14">
        <f t="shared" si="90"/>
        <v>0.03125</v>
      </c>
      <c r="O86" s="14">
        <f t="shared" si="90"/>
        <v>0.0277777777777777</v>
      </c>
      <c r="P86" s="14">
        <f t="shared" si="90"/>
        <v>0.025</v>
      </c>
      <c r="Q86" s="14">
        <f t="shared" si="90"/>
        <v>0.025</v>
      </c>
      <c r="R86" s="14">
        <f t="shared" si="90"/>
        <v>0.025</v>
      </c>
      <c r="S86" s="14">
        <f t="shared" si="90"/>
        <v>0.025</v>
      </c>
      <c r="T86" s="14">
        <f t="shared" si="90"/>
        <v>0.025</v>
      </c>
      <c r="U86" s="14">
        <f t="shared" si="90"/>
        <v>0.025</v>
      </c>
      <c r="V86" s="14">
        <f t="shared" si="90"/>
        <v>0.025</v>
      </c>
      <c r="W86" s="14">
        <f t="shared" si="90"/>
        <v>0.025</v>
      </c>
      <c r="X86" s="14">
        <f t="shared" si="90"/>
        <v>0.025</v>
      </c>
      <c r="Y86" s="14">
        <f t="shared" si="90"/>
        <v>0.025</v>
      </c>
    </row>
    <row r="87" spans="6:25">
      <c r="H87" s="7">
        <f t="shared" si="87"/>
        <v>20000</v>
      </c>
      <c r="I87" s="7">
        <f t="shared" si="88"/>
        <v>1000</v>
      </c>
      <c r="J87" s="14">
        <f t="shared" ref="J87:Y87" si="91">IF($O31=0,0,$Q31*J45)</f>
        <v>0.55005500550055</v>
      </c>
      <c r="K87" s="14">
        <f t="shared" si="91"/>
        <v>0.44004400440044</v>
      </c>
      <c r="L87" s="14">
        <f t="shared" si="91"/>
        <v>0.366703337000367</v>
      </c>
      <c r="M87" s="14">
        <f t="shared" si="91"/>
        <v>0.314317146000314</v>
      </c>
      <c r="N87" s="14">
        <f t="shared" si="91"/>
        <v>0.275027502750275</v>
      </c>
      <c r="O87" s="14">
        <f t="shared" si="91"/>
        <v>0.244468891333578</v>
      </c>
      <c r="P87" s="14">
        <f t="shared" si="91"/>
        <v>0.22002200220022</v>
      </c>
      <c r="Q87" s="14">
        <f t="shared" si="91"/>
        <v>0.22002200220022</v>
      </c>
      <c r="R87" s="14">
        <f t="shared" si="91"/>
        <v>0.22002200220022</v>
      </c>
      <c r="S87" s="14">
        <f t="shared" si="91"/>
        <v>0.22002200220022</v>
      </c>
      <c r="T87" s="14">
        <f t="shared" si="91"/>
        <v>0.22002200220022</v>
      </c>
      <c r="U87" s="14">
        <f t="shared" si="91"/>
        <v>0.22002200220022</v>
      </c>
      <c r="V87" s="14">
        <f t="shared" si="91"/>
        <v>0.22002200220022</v>
      </c>
      <c r="W87" s="14">
        <f t="shared" si="91"/>
        <v>0.22002200220022</v>
      </c>
      <c r="X87" s="14">
        <f t="shared" si="91"/>
        <v>0.22002200220022</v>
      </c>
      <c r="Y87" s="14">
        <f t="shared" si="91"/>
        <v>0.22002200220022</v>
      </c>
    </row>
    <row r="88" spans="6:25">
      <c r="H88" s="7">
        <f t="shared" si="87"/>
        <v>50000</v>
      </c>
      <c r="I88" s="7">
        <f t="shared" si="88"/>
        <v>2500</v>
      </c>
      <c r="J88" s="14">
        <f t="shared" ref="J88:Y88" si="92">IF($O32=0,0,$Q32*J46)</f>
        <v>13.7362637362637</v>
      </c>
      <c r="K88" s="14">
        <f t="shared" si="92"/>
        <v>10.989010989011</v>
      </c>
      <c r="L88" s="14">
        <f t="shared" si="92"/>
        <v>9.15750915750918</v>
      </c>
      <c r="M88" s="14">
        <f t="shared" si="92"/>
        <v>7.84929356357929</v>
      </c>
      <c r="N88" s="14">
        <f t="shared" si="92"/>
        <v>6.86813186813187</v>
      </c>
      <c r="O88" s="14">
        <f t="shared" si="92"/>
        <v>6.1050061050061</v>
      </c>
      <c r="P88" s="14">
        <f t="shared" si="92"/>
        <v>5.49450549450549</v>
      </c>
      <c r="Q88" s="14">
        <f t="shared" si="92"/>
        <v>5.49450549450549</v>
      </c>
      <c r="R88" s="14">
        <f t="shared" si="92"/>
        <v>5.49450549450549</v>
      </c>
      <c r="S88" s="14">
        <f t="shared" si="92"/>
        <v>5.49450549450549</v>
      </c>
      <c r="T88" s="14">
        <f t="shared" si="92"/>
        <v>5.49450549450549</v>
      </c>
      <c r="U88" s="14">
        <f t="shared" si="92"/>
        <v>5.49450549450549</v>
      </c>
      <c r="V88" s="14">
        <f t="shared" si="92"/>
        <v>5.49450549450549</v>
      </c>
      <c r="W88" s="14">
        <f t="shared" si="92"/>
        <v>5.49450549450549</v>
      </c>
      <c r="X88" s="14">
        <f t="shared" si="92"/>
        <v>5.49450549450549</v>
      </c>
      <c r="Y88" s="14">
        <f t="shared" si="92"/>
        <v>5.49450549450549</v>
      </c>
    </row>
    <row r="89" spans="6:25">
      <c r="H89" s="7">
        <f t="shared" si="87"/>
        <v>100000</v>
      </c>
      <c r="I89" s="7">
        <f t="shared" si="88"/>
        <v>5000</v>
      </c>
      <c r="J89" s="14">
        <f t="shared" ref="J89:Y89" si="93">IF($O33=0,0,$Q33*J47)</f>
        <v>138.888888888889</v>
      </c>
      <c r="K89" s="14">
        <f t="shared" si="93"/>
        <v>111.111111111111</v>
      </c>
      <c r="L89" s="14">
        <f t="shared" si="93"/>
        <v>92.5925925925925</v>
      </c>
      <c r="M89" s="14">
        <f t="shared" si="93"/>
        <v>79.3650793650795</v>
      </c>
      <c r="N89" s="14">
        <f t="shared" si="93"/>
        <v>69.4444444444444</v>
      </c>
      <c r="O89" s="14">
        <f t="shared" si="93"/>
        <v>61.7283950617283</v>
      </c>
      <c r="P89" s="14">
        <f t="shared" si="93"/>
        <v>55.5555555555556</v>
      </c>
      <c r="Q89" s="14">
        <f t="shared" si="93"/>
        <v>55.5555555555556</v>
      </c>
      <c r="R89" s="14">
        <f t="shared" si="93"/>
        <v>55.5555555555556</v>
      </c>
      <c r="S89" s="14">
        <f t="shared" si="93"/>
        <v>55.5555555555556</v>
      </c>
      <c r="T89" s="14">
        <f t="shared" si="93"/>
        <v>55.5555555555556</v>
      </c>
      <c r="U89" s="14">
        <f t="shared" si="93"/>
        <v>55.5555555555556</v>
      </c>
      <c r="V89" s="14">
        <f t="shared" si="93"/>
        <v>55.5555555555556</v>
      </c>
      <c r="W89" s="14">
        <f t="shared" si="93"/>
        <v>55.5555555555556</v>
      </c>
      <c r="X89" s="14">
        <f t="shared" si="93"/>
        <v>55.5555555555556</v>
      </c>
      <c r="Y89" s="14">
        <f t="shared" si="93"/>
        <v>55.5555555555556</v>
      </c>
    </row>
    <row r="90" spans="6:25">
      <c r="H90" s="7">
        <f t="shared" si="87"/>
        <v>200000</v>
      </c>
      <c r="I90" s="7">
        <f t="shared" si="88"/>
        <v>10000</v>
      </c>
      <c r="J90" s="14">
        <f t="shared" ref="J90:Y90" si="94">IF($O34=0,0,$Q34*J48)</f>
        <v>210.526315789474</v>
      </c>
      <c r="K90" s="14">
        <f t="shared" si="94"/>
        <v>168.421052631579</v>
      </c>
      <c r="L90" s="14">
        <f t="shared" si="94"/>
        <v>140.350877192983</v>
      </c>
      <c r="M90" s="14">
        <f t="shared" si="94"/>
        <v>120.300751879699</v>
      </c>
      <c r="N90" s="14">
        <f t="shared" si="94"/>
        <v>105.263157894737</v>
      </c>
      <c r="O90" s="14">
        <f t="shared" si="94"/>
        <v>93.5672514619882</v>
      </c>
      <c r="P90" s="14">
        <f t="shared" si="94"/>
        <v>84.2105263157895</v>
      </c>
      <c r="Q90" s="14">
        <f t="shared" si="94"/>
        <v>84.2105263157895</v>
      </c>
      <c r="R90" s="14">
        <f t="shared" si="94"/>
        <v>84.2105263157895</v>
      </c>
      <c r="S90" s="14">
        <f t="shared" si="94"/>
        <v>84.2105263157895</v>
      </c>
      <c r="T90" s="14">
        <f t="shared" si="94"/>
        <v>84.2105263157895</v>
      </c>
      <c r="U90" s="14">
        <f t="shared" si="94"/>
        <v>84.2105263157895</v>
      </c>
      <c r="V90" s="14">
        <f t="shared" si="94"/>
        <v>84.2105263157895</v>
      </c>
      <c r="W90" s="14">
        <f t="shared" si="94"/>
        <v>84.2105263157895</v>
      </c>
      <c r="X90" s="14">
        <f t="shared" si="94"/>
        <v>84.2105263157895</v>
      </c>
      <c r="Y90" s="14">
        <f t="shared" si="94"/>
        <v>84.2105263157895</v>
      </c>
    </row>
    <row r="91" spans="6:25">
      <c r="H91" s="7">
        <f t="shared" si="87"/>
        <v>500000</v>
      </c>
      <c r="I91" s="7">
        <f t="shared" si="88"/>
        <v>25000</v>
      </c>
      <c r="J91" s="14">
        <f t="shared" ref="J91:Y91" si="95">IF($O35=0,0,$Q35*J49)</f>
        <v>277.777777777778</v>
      </c>
      <c r="K91" s="14">
        <f t="shared" si="95"/>
        <v>222.222222222222</v>
      </c>
      <c r="L91" s="14">
        <f t="shared" si="95"/>
        <v>185.185185185186</v>
      </c>
      <c r="M91" s="14">
        <f t="shared" si="95"/>
        <v>158.730158730159</v>
      </c>
      <c r="N91" s="14">
        <f t="shared" si="95"/>
        <v>138.888888888889</v>
      </c>
      <c r="O91" s="14">
        <f t="shared" si="95"/>
        <v>123.456790123457</v>
      </c>
      <c r="P91" s="14">
        <f t="shared" si="95"/>
        <v>111.111111111111</v>
      </c>
      <c r="Q91" s="14">
        <f t="shared" si="95"/>
        <v>111.111111111111</v>
      </c>
      <c r="R91" s="14">
        <f t="shared" si="95"/>
        <v>111.111111111111</v>
      </c>
      <c r="S91" s="14">
        <f t="shared" si="95"/>
        <v>111.111111111111</v>
      </c>
      <c r="T91" s="14">
        <f t="shared" si="95"/>
        <v>111.111111111111</v>
      </c>
      <c r="U91" s="14">
        <f t="shared" si="95"/>
        <v>111.111111111111</v>
      </c>
      <c r="V91" s="14">
        <f t="shared" si="95"/>
        <v>111.111111111111</v>
      </c>
      <c r="W91" s="14">
        <f t="shared" si="95"/>
        <v>111.111111111111</v>
      </c>
      <c r="X91" s="14">
        <f t="shared" si="95"/>
        <v>111.111111111111</v>
      </c>
      <c r="Y91" s="14">
        <f t="shared" si="95"/>
        <v>111.111111111111</v>
      </c>
    </row>
    <row r="92" spans="6:25">
      <c r="H92" s="7">
        <f t="shared" si="87"/>
        <v>2000000</v>
      </c>
      <c r="I92" s="7">
        <f t="shared" si="88"/>
        <v>100000</v>
      </c>
      <c r="J92" s="14">
        <f t="shared" ref="J92:Y92" si="96">IF($O36=0,0,$Q36*J50)</f>
        <v>677.966101694915</v>
      </c>
      <c r="K92" s="14">
        <f t="shared" si="96"/>
        <v>542.372881355932</v>
      </c>
      <c r="L92" s="14">
        <f t="shared" si="96"/>
        <v>451.977401129944</v>
      </c>
      <c r="M92" s="14">
        <f t="shared" si="96"/>
        <v>387.409200968523</v>
      </c>
      <c r="N92" s="14">
        <f t="shared" si="96"/>
        <v>338.983050847458</v>
      </c>
      <c r="O92" s="14">
        <f t="shared" si="96"/>
        <v>301.318267419962</v>
      </c>
      <c r="P92" s="14">
        <f t="shared" si="96"/>
        <v>271.186440677966</v>
      </c>
      <c r="Q92" s="14">
        <f t="shared" si="96"/>
        <v>271.186440677966</v>
      </c>
      <c r="R92" s="14">
        <f t="shared" si="96"/>
        <v>271.186440677966</v>
      </c>
      <c r="S92" s="14">
        <f t="shared" si="96"/>
        <v>271.186440677966</v>
      </c>
      <c r="T92" s="14">
        <f t="shared" si="96"/>
        <v>271.186440677966</v>
      </c>
      <c r="U92" s="14">
        <f t="shared" si="96"/>
        <v>271.186440677966</v>
      </c>
      <c r="V92" s="14">
        <f t="shared" si="96"/>
        <v>271.186440677966</v>
      </c>
      <c r="W92" s="14">
        <f t="shared" si="96"/>
        <v>271.186440677966</v>
      </c>
      <c r="X92" s="14">
        <f t="shared" si="96"/>
        <v>271.186440677966</v>
      </c>
      <c r="Y92" s="14">
        <f t="shared" si="96"/>
        <v>271.186440677966</v>
      </c>
    </row>
    <row r="93" spans="6:25">
      <c r="H93" s="7">
        <f t="shared" si="87"/>
        <v>5000000</v>
      </c>
      <c r="I93" s="7">
        <f t="shared" si="88"/>
        <v>250000</v>
      </c>
      <c r="J93" s="14">
        <f t="shared" ref="J93:Y93" si="97">IF($O37=0,0,$Q37*J51)</f>
        <v>1204.81927710843</v>
      </c>
      <c r="K93" s="14">
        <f t="shared" si="97"/>
        <v>963.855421686747</v>
      </c>
      <c r="L93" s="14">
        <f t="shared" si="97"/>
        <v>803.212851405624</v>
      </c>
      <c r="M93" s="14">
        <f t="shared" si="97"/>
        <v>688.468158347677</v>
      </c>
      <c r="N93" s="14">
        <f t="shared" si="97"/>
        <v>602.409638554217</v>
      </c>
      <c r="O93" s="14">
        <f t="shared" si="97"/>
        <v>535.475234270414</v>
      </c>
      <c r="P93" s="14">
        <f t="shared" si="97"/>
        <v>481.927710843373</v>
      </c>
      <c r="Q93" s="14">
        <f t="shared" si="97"/>
        <v>481.927710843373</v>
      </c>
      <c r="R93" s="14">
        <f t="shared" si="97"/>
        <v>481.927710843373</v>
      </c>
      <c r="S93" s="14">
        <f t="shared" si="97"/>
        <v>481.927710843373</v>
      </c>
      <c r="T93" s="14">
        <f t="shared" si="97"/>
        <v>481.927710843373</v>
      </c>
      <c r="U93" s="14">
        <f t="shared" si="97"/>
        <v>481.927710843373</v>
      </c>
      <c r="V93" s="14">
        <f t="shared" si="97"/>
        <v>481.927710843373</v>
      </c>
      <c r="W93" s="14">
        <f t="shared" si="97"/>
        <v>481.927710843373</v>
      </c>
      <c r="X93" s="14">
        <f t="shared" si="97"/>
        <v>481.927710843373</v>
      </c>
      <c r="Y93" s="14">
        <f t="shared" si="97"/>
        <v>481.927710843373</v>
      </c>
    </row>
    <row r="94" spans="6:25">
      <c r="H94" s="7">
        <f t="shared" si="87"/>
        <v>10000000</v>
      </c>
      <c r="I94" s="7">
        <f t="shared" si="88"/>
        <v>500000</v>
      </c>
      <c r="J94" s="14">
        <f t="shared" ref="J94:Y94" si="98">IF($O38=0,0,$Q38*J52)</f>
        <v>1515.15151515152</v>
      </c>
      <c r="K94" s="14">
        <f t="shared" si="98"/>
        <v>1212.12121212121</v>
      </c>
      <c r="L94" s="14">
        <f t="shared" si="98"/>
        <v>1010.10101010101</v>
      </c>
      <c r="M94" s="14">
        <f t="shared" si="98"/>
        <v>865.800865800867</v>
      </c>
      <c r="N94" s="14">
        <f t="shared" si="98"/>
        <v>757.575757575758</v>
      </c>
      <c r="O94" s="14">
        <f t="shared" si="98"/>
        <v>673.400673400673</v>
      </c>
      <c r="P94" s="14">
        <f t="shared" si="98"/>
        <v>606.060606060606</v>
      </c>
      <c r="Q94" s="14">
        <f t="shared" si="98"/>
        <v>606.060606060606</v>
      </c>
      <c r="R94" s="14">
        <f t="shared" si="98"/>
        <v>606.060606060606</v>
      </c>
      <c r="S94" s="14">
        <f t="shared" si="98"/>
        <v>606.060606060606</v>
      </c>
      <c r="T94" s="14">
        <f t="shared" si="98"/>
        <v>606.060606060606</v>
      </c>
      <c r="U94" s="14">
        <f t="shared" si="98"/>
        <v>606.060606060606</v>
      </c>
      <c r="V94" s="14">
        <f t="shared" si="98"/>
        <v>606.060606060606</v>
      </c>
      <c r="W94" s="14">
        <f t="shared" si="98"/>
        <v>606.060606060606</v>
      </c>
      <c r="X94" s="14">
        <f t="shared" si="98"/>
        <v>606.060606060606</v>
      </c>
      <c r="Y94" s="14">
        <f t="shared" si="98"/>
        <v>606.060606060606</v>
      </c>
    </row>
    <row r="95" spans="6:25">
      <c r="H95" s="7">
        <f t="shared" si="87"/>
        <v>20000000</v>
      </c>
      <c r="I95" s="7">
        <f t="shared" si="88"/>
        <v>1000000</v>
      </c>
      <c r="J95" s="14">
        <f t="shared" ref="J95:Y95" si="99">IF($O39=0,0,$Q39*J53)</f>
        <v>2000</v>
      </c>
      <c r="K95" s="14">
        <f t="shared" si="99"/>
        <v>1600</v>
      </c>
      <c r="L95" s="14">
        <f t="shared" si="99"/>
        <v>1333.33333333333</v>
      </c>
      <c r="M95" s="14">
        <f t="shared" si="99"/>
        <v>1142.85714285714</v>
      </c>
      <c r="N95" s="14">
        <f t="shared" si="99"/>
        <v>1000</v>
      </c>
      <c r="O95" s="14">
        <f t="shared" si="99"/>
        <v>888.888888888888</v>
      </c>
      <c r="P95" s="14">
        <f t="shared" si="99"/>
        <v>800</v>
      </c>
      <c r="Q95" s="14">
        <f t="shared" si="99"/>
        <v>800</v>
      </c>
      <c r="R95" s="14">
        <f t="shared" si="99"/>
        <v>800</v>
      </c>
      <c r="S95" s="14">
        <f t="shared" si="99"/>
        <v>800</v>
      </c>
      <c r="T95" s="14">
        <f t="shared" si="99"/>
        <v>800</v>
      </c>
      <c r="U95" s="14">
        <f t="shared" si="99"/>
        <v>800</v>
      </c>
      <c r="V95" s="14">
        <f t="shared" si="99"/>
        <v>800</v>
      </c>
      <c r="W95" s="14">
        <f t="shared" si="99"/>
        <v>800</v>
      </c>
      <c r="X95" s="14">
        <f t="shared" si="99"/>
        <v>800</v>
      </c>
      <c r="Y95" s="14">
        <f t="shared" si="99"/>
        <v>800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zoomScale="130" zoomScaleNormal="130" workbookViewId="0">
      <selection activeCell="J21" sqref="J21"/>
    </sheetView>
  </sheetViews>
  <sheetFormatPr defaultColWidth="9" defaultRowHeight="13.5"/>
  <cols>
    <col min="1" max="1" width="18.2583333333333" style="2"/>
    <col min="2" max="2" width="11.5" style="2"/>
    <col min="3" max="3" width="16" style="2"/>
    <col min="4" max="17" width="7.375" customWidth="1"/>
  </cols>
  <sheetData>
    <row r="1" spans="1:17">
      <c r="A1" s="2" t="s">
        <v>31</v>
      </c>
      <c r="B1" s="2" t="s">
        <v>33</v>
      </c>
      <c r="C1" s="2" t="s">
        <v>7</v>
      </c>
    </row>
    <row r="2" spans="1:17">
      <c r="A2" s="2">
        <f ca="1">'10.24调整'!AX3</f>
        <v>0</v>
      </c>
      <c r="B2" s="2">
        <f>'10.24调整'!AZ3</f>
        <v>0</v>
      </c>
      <c r="C2" s="2">
        <v>7000</v>
      </c>
    </row>
    <row r="3" spans="1:17">
      <c r="A3" s="2">
        <f>'10.24调整'!AX4</f>
        <v>0</v>
      </c>
      <c r="B3" s="2">
        <f>'10.24调整'!AZ4</f>
        <v>0</v>
      </c>
      <c r="C3" s="2">
        <v>21000</v>
      </c>
    </row>
    <row r="4" spans="1:17">
      <c r="A4" s="2">
        <f>'10.24调整'!AX5</f>
        <v>200000</v>
      </c>
      <c r="B4" s="2">
        <f>'10.24调整'!AZ5</f>
        <v>25.6410256410256</v>
      </c>
      <c r="C4" s="2">
        <v>70000</v>
      </c>
      <c r="D4">
        <v>5</v>
      </c>
      <c r="E4">
        <v>10</v>
      </c>
      <c r="F4">
        <v>15</v>
      </c>
      <c r="G4">
        <v>20</v>
      </c>
      <c r="H4">
        <v>25</v>
      </c>
      <c r="I4">
        <v>30</v>
      </c>
      <c r="J4">
        <v>35</v>
      </c>
      <c r="K4">
        <v>40</v>
      </c>
      <c r="L4">
        <v>50</v>
      </c>
      <c r="M4">
        <v>60</v>
      </c>
      <c r="N4">
        <v>70</v>
      </c>
      <c r="O4">
        <v>80</v>
      </c>
      <c r="P4">
        <v>90</v>
      </c>
      <c r="Q4">
        <v>100</v>
      </c>
    </row>
    <row r="5" spans="1:17">
      <c r="A5" s="2">
        <f>'10.24调整'!AX6</f>
        <v>4100000</v>
      </c>
      <c r="B5" s="2">
        <f>'10.24调整'!AZ6</f>
        <v>384.615384615385</v>
      </c>
      <c r="C5" s="2">
        <v>140000</v>
      </c>
      <c r="D5">
        <f>D4*10</f>
        <v>50</v>
      </c>
      <c r="E5">
        <f t="shared" ref="E5:Q5" si="0">E4*10</f>
        <v>100</v>
      </c>
      <c r="F5">
        <f t="shared" si="0"/>
        <v>150</v>
      </c>
      <c r="G5">
        <f t="shared" si="0"/>
        <v>200</v>
      </c>
      <c r="H5">
        <f t="shared" si="0"/>
        <v>250</v>
      </c>
      <c r="I5">
        <f t="shared" si="0"/>
        <v>300</v>
      </c>
      <c r="J5">
        <f t="shared" si="0"/>
        <v>350</v>
      </c>
      <c r="K5">
        <f t="shared" si="0"/>
        <v>400</v>
      </c>
      <c r="L5">
        <f t="shared" si="0"/>
        <v>500</v>
      </c>
      <c r="M5">
        <f t="shared" si="0"/>
        <v>600</v>
      </c>
      <c r="N5">
        <f t="shared" si="0"/>
        <v>700</v>
      </c>
      <c r="O5">
        <f t="shared" si="0"/>
        <v>800</v>
      </c>
      <c r="P5">
        <f t="shared" si="0"/>
        <v>900</v>
      </c>
      <c r="Q5">
        <f t="shared" si="0"/>
        <v>1000</v>
      </c>
    </row>
    <row r="6" spans="1:17">
      <c r="A6" s="2">
        <f>'10.24调整'!AX7</f>
        <v>22000000</v>
      </c>
      <c r="B6" s="2">
        <f>'10.24调整'!AZ7</f>
        <v>769.230769230769</v>
      </c>
      <c r="C6" s="2">
        <v>350000</v>
      </c>
      <c r="D6">
        <f>D5*2</f>
        <v>100</v>
      </c>
      <c r="E6">
        <f t="shared" ref="E6:Q6" si="1">E5*2</f>
        <v>200</v>
      </c>
      <c r="F6">
        <f t="shared" si="1"/>
        <v>300</v>
      </c>
      <c r="G6">
        <f t="shared" si="1"/>
        <v>400</v>
      </c>
      <c r="H6">
        <f t="shared" si="1"/>
        <v>500</v>
      </c>
      <c r="I6">
        <f t="shared" si="1"/>
        <v>600</v>
      </c>
      <c r="J6">
        <f t="shared" si="1"/>
        <v>700</v>
      </c>
      <c r="K6">
        <f t="shared" si="1"/>
        <v>800</v>
      </c>
      <c r="L6">
        <f t="shared" si="1"/>
        <v>1000</v>
      </c>
      <c r="M6">
        <f t="shared" si="1"/>
        <v>1200</v>
      </c>
      <c r="N6">
        <f t="shared" si="1"/>
        <v>1400</v>
      </c>
      <c r="O6">
        <f t="shared" si="1"/>
        <v>1600</v>
      </c>
      <c r="P6">
        <f t="shared" si="1"/>
        <v>1800</v>
      </c>
      <c r="Q6">
        <f t="shared" si="1"/>
        <v>2000</v>
      </c>
    </row>
    <row r="7" spans="1:17">
      <c r="A7" s="2">
        <f>'10.24调整'!AX8</f>
        <v>45000000</v>
      </c>
      <c r="B7" s="2">
        <f>'10.24调整'!AZ8</f>
        <v>1131.22171945701</v>
      </c>
      <c r="C7" s="2">
        <v>700000</v>
      </c>
      <c r="D7">
        <f>D6*1.5</f>
        <v>150</v>
      </c>
      <c r="E7">
        <f t="shared" ref="E7:Q7" si="2">E6*1.5</f>
        <v>300</v>
      </c>
      <c r="F7">
        <f t="shared" si="2"/>
        <v>450</v>
      </c>
      <c r="G7">
        <f t="shared" si="2"/>
        <v>600</v>
      </c>
      <c r="H7">
        <f t="shared" si="2"/>
        <v>750</v>
      </c>
      <c r="I7">
        <f t="shared" si="2"/>
        <v>900</v>
      </c>
      <c r="J7">
        <f t="shared" si="2"/>
        <v>1050</v>
      </c>
      <c r="K7">
        <f t="shared" si="2"/>
        <v>1200</v>
      </c>
      <c r="L7">
        <f t="shared" si="2"/>
        <v>1500</v>
      </c>
      <c r="M7">
        <f t="shared" si="2"/>
        <v>1800</v>
      </c>
      <c r="N7">
        <f t="shared" si="2"/>
        <v>2100</v>
      </c>
      <c r="O7">
        <f t="shared" si="2"/>
        <v>2400</v>
      </c>
      <c r="P7">
        <f t="shared" si="2"/>
        <v>2700</v>
      </c>
      <c r="Q7">
        <f t="shared" si="2"/>
        <v>3000</v>
      </c>
    </row>
    <row r="8" spans="1:17">
      <c r="A8" s="2">
        <f>'10.24调整'!AX9</f>
        <v>200000000</v>
      </c>
      <c r="B8" s="2">
        <f>'10.24调整'!AZ9</f>
        <v>3418.80341880342</v>
      </c>
      <c r="C8" s="2">
        <v>1400000</v>
      </c>
      <c r="D8">
        <f>D7*3</f>
        <v>450</v>
      </c>
      <c r="E8">
        <f t="shared" ref="E8:Q8" si="3">E7*3</f>
        <v>900</v>
      </c>
      <c r="F8">
        <f t="shared" si="3"/>
        <v>1350</v>
      </c>
      <c r="G8">
        <f t="shared" si="3"/>
        <v>1800</v>
      </c>
      <c r="H8">
        <f t="shared" si="3"/>
        <v>2250</v>
      </c>
      <c r="I8">
        <f t="shared" si="3"/>
        <v>2700</v>
      </c>
      <c r="J8">
        <f t="shared" si="3"/>
        <v>3150</v>
      </c>
      <c r="K8">
        <f t="shared" si="3"/>
        <v>3600</v>
      </c>
      <c r="L8">
        <f t="shared" si="3"/>
        <v>4500</v>
      </c>
      <c r="M8">
        <f t="shared" si="3"/>
        <v>5400</v>
      </c>
      <c r="N8">
        <f t="shared" si="3"/>
        <v>6300</v>
      </c>
      <c r="O8">
        <f t="shared" si="3"/>
        <v>7200</v>
      </c>
      <c r="P8">
        <f t="shared" si="3"/>
        <v>8100</v>
      </c>
      <c r="Q8">
        <f t="shared" si="3"/>
        <v>9000</v>
      </c>
    </row>
    <row r="9" spans="1:17">
      <c r="A9" s="2">
        <f>'10.24调整'!AX10</f>
        <v>200000000</v>
      </c>
      <c r="B9" s="2">
        <f>'10.24调整'!AZ10</f>
        <v>1465.20146520147</v>
      </c>
      <c r="C9" s="2">
        <v>3500000</v>
      </c>
      <c r="D9">
        <v>100</v>
      </c>
      <c r="E9">
        <v>200</v>
      </c>
      <c r="F9">
        <v>300</v>
      </c>
      <c r="G9">
        <v>400</v>
      </c>
      <c r="H9">
        <v>500</v>
      </c>
      <c r="I9">
        <v>600</v>
      </c>
      <c r="J9">
        <v>700</v>
      </c>
      <c r="K9">
        <v>800</v>
      </c>
      <c r="L9">
        <v>1000</v>
      </c>
      <c r="M9">
        <v>1200</v>
      </c>
      <c r="N9">
        <v>1400</v>
      </c>
      <c r="O9">
        <v>1600</v>
      </c>
      <c r="P9">
        <v>1800</v>
      </c>
      <c r="Q9">
        <v>2000</v>
      </c>
    </row>
    <row r="10" spans="1:17">
      <c r="A10" s="2">
        <f>'10.24调整'!AX11</f>
        <v>200000000</v>
      </c>
      <c r="B10" s="2">
        <f>'10.24调整'!AZ11</f>
        <v>683.760683760684</v>
      </c>
      <c r="C10" s="2">
        <v>7000000</v>
      </c>
      <c r="D10">
        <f t="shared" ref="D10:Q10" si="4">D9*2</f>
        <v>200</v>
      </c>
      <c r="E10">
        <f t="shared" si="4"/>
        <v>400</v>
      </c>
      <c r="F10">
        <f t="shared" si="4"/>
        <v>600</v>
      </c>
      <c r="G10">
        <f t="shared" si="4"/>
        <v>800</v>
      </c>
      <c r="H10">
        <f t="shared" si="4"/>
        <v>1000</v>
      </c>
      <c r="I10">
        <f t="shared" si="4"/>
        <v>1200</v>
      </c>
      <c r="J10">
        <f t="shared" si="4"/>
        <v>1400</v>
      </c>
      <c r="K10">
        <f t="shared" si="4"/>
        <v>1600</v>
      </c>
      <c r="L10">
        <f t="shared" si="4"/>
        <v>2000</v>
      </c>
      <c r="M10">
        <f t="shared" si="4"/>
        <v>2400</v>
      </c>
      <c r="N10">
        <f t="shared" si="4"/>
        <v>2800</v>
      </c>
      <c r="O10">
        <f t="shared" si="4"/>
        <v>3200</v>
      </c>
      <c r="P10">
        <f t="shared" si="4"/>
        <v>3600</v>
      </c>
      <c r="Q10">
        <f t="shared" si="4"/>
        <v>4000</v>
      </c>
    </row>
    <row r="12" spans="1:17">
      <c r="D12" s="3">
        <f>$A4/($C4*D4)</f>
        <v>0.571428571428571</v>
      </c>
      <c r="E12" s="3">
        <f t="shared" ref="E12:Q12" si="5">$A4/($C4*E4)</f>
        <v>0.285714285714286</v>
      </c>
      <c r="F12" s="3">
        <f t="shared" si="5"/>
        <v>0.19047619047619</v>
      </c>
      <c r="G12" s="3">
        <f t="shared" si="5"/>
        <v>0.142857142857143</v>
      </c>
      <c r="H12" s="3">
        <f t="shared" si="5"/>
        <v>0.114285714285714</v>
      </c>
      <c r="I12" s="3">
        <f t="shared" si="5"/>
        <v>0.0952380952380952</v>
      </c>
      <c r="J12" s="3">
        <f t="shared" si="5"/>
        <v>0.0816326530612245</v>
      </c>
      <c r="K12" s="3">
        <f t="shared" si="5"/>
        <v>0.0714285714285714</v>
      </c>
      <c r="L12" s="3">
        <f t="shared" si="5"/>
        <v>0.0571428571428571</v>
      </c>
      <c r="M12" s="3">
        <f t="shared" si="5"/>
        <v>0.0476190476190476</v>
      </c>
      <c r="N12" s="3">
        <f t="shared" si="5"/>
        <v>0.0408163265306122</v>
      </c>
      <c r="O12" s="3">
        <f t="shared" si="5"/>
        <v>0.0357142857142857</v>
      </c>
      <c r="P12" s="3">
        <f t="shared" si="5"/>
        <v>0.0317460317460317</v>
      </c>
      <c r="Q12" s="3">
        <f t="shared" si="5"/>
        <v>0.0285714285714286</v>
      </c>
    </row>
    <row r="13" spans="1:17">
      <c r="D13" s="3">
        <f t="shared" ref="D13:D18" si="6">$A5/($C5*D5)</f>
        <v>0.585714285714286</v>
      </c>
      <c r="E13" s="3">
        <f t="shared" ref="E13:E18" si="7">$A5/($C5*E5)</f>
        <v>0.292857142857143</v>
      </c>
      <c r="F13" s="3">
        <f t="shared" ref="F13:F18" si="8">$A5/($C5*F5)</f>
        <v>0.195238095238095</v>
      </c>
      <c r="G13" s="3">
        <f t="shared" ref="G13:G18" si="9">$A5/($C5*G5)</f>
        <v>0.146428571428571</v>
      </c>
      <c r="H13" s="3">
        <f t="shared" ref="H13:H18" si="10">$A5/($C5*H5)</f>
        <v>0.117142857142857</v>
      </c>
      <c r="I13" s="3">
        <f t="shared" ref="I13:I18" si="11">$A5/($C5*I5)</f>
        <v>0.0976190476190476</v>
      </c>
      <c r="J13" s="3">
        <f t="shared" ref="J13:J18" si="12">$A5/($C5*J5)</f>
        <v>0.0836734693877551</v>
      </c>
      <c r="K13" s="3">
        <f t="shared" ref="K13:K18" si="13">$A5/($C5*K5)</f>
        <v>0.0732142857142857</v>
      </c>
      <c r="L13" s="3">
        <f t="shared" ref="L13:L18" si="14">$A5/($C5*L5)</f>
        <v>0.0585714285714286</v>
      </c>
      <c r="M13" s="3">
        <f t="shared" ref="M13:M18" si="15">$A5/($C5*M5)</f>
        <v>0.0488095238095238</v>
      </c>
      <c r="N13" s="3">
        <f t="shared" ref="N13:N18" si="16">$A5/($C5*N5)</f>
        <v>0.0418367346938776</v>
      </c>
      <c r="O13" s="3">
        <f t="shared" ref="O13:O18" si="17">$A5/($C5*O5)</f>
        <v>0.0366071428571429</v>
      </c>
      <c r="P13" s="3">
        <f t="shared" ref="P13:P18" si="18">$A5/($C5*P5)</f>
        <v>0.0325396825396825</v>
      </c>
      <c r="Q13" s="3">
        <f t="shared" ref="Q13:Q18" si="19">$A5/($C5*Q5)</f>
        <v>0.0292857142857143</v>
      </c>
    </row>
    <row r="14" spans="1:17">
      <c r="D14" s="3">
        <f t="shared" si="6"/>
        <v>0.628571428571429</v>
      </c>
      <c r="E14" s="3">
        <f t="shared" si="7"/>
        <v>0.314285714285714</v>
      </c>
      <c r="F14" s="3">
        <f t="shared" si="8"/>
        <v>0.20952380952381</v>
      </c>
      <c r="G14" s="3">
        <f t="shared" si="9"/>
        <v>0.157142857142857</v>
      </c>
      <c r="H14" s="3">
        <f t="shared" si="10"/>
        <v>0.125714285714286</v>
      </c>
      <c r="I14" s="3">
        <f t="shared" si="11"/>
        <v>0.104761904761905</v>
      </c>
      <c r="J14" s="3">
        <f t="shared" si="12"/>
        <v>0.0897959183673469</v>
      </c>
      <c r="K14" s="3">
        <f t="shared" si="13"/>
        <v>0.0785714285714286</v>
      </c>
      <c r="L14" s="3">
        <f t="shared" si="14"/>
        <v>0.0628571428571429</v>
      </c>
      <c r="M14" s="3">
        <f t="shared" si="15"/>
        <v>0.0523809523809524</v>
      </c>
      <c r="N14" s="3">
        <f t="shared" si="16"/>
        <v>0.0448979591836735</v>
      </c>
      <c r="O14" s="3">
        <f t="shared" si="17"/>
        <v>0.0392857142857143</v>
      </c>
      <c r="P14" s="3">
        <f t="shared" si="18"/>
        <v>0.0349206349206349</v>
      </c>
      <c r="Q14" s="3">
        <f t="shared" si="19"/>
        <v>0.0314285714285714</v>
      </c>
    </row>
    <row r="15" spans="1:17">
      <c r="D15" s="3">
        <f t="shared" si="6"/>
        <v>0.428571428571429</v>
      </c>
      <c r="E15" s="3">
        <f t="shared" si="7"/>
        <v>0.214285714285714</v>
      </c>
      <c r="F15" s="3">
        <f t="shared" si="8"/>
        <v>0.142857142857143</v>
      </c>
      <c r="G15" s="3">
        <f t="shared" si="9"/>
        <v>0.107142857142857</v>
      </c>
      <c r="H15" s="3">
        <f t="shared" si="10"/>
        <v>0.0857142857142857</v>
      </c>
      <c r="I15" s="3">
        <f t="shared" si="11"/>
        <v>0.0714285714285714</v>
      </c>
      <c r="J15" s="3">
        <f t="shared" si="12"/>
        <v>0.0612244897959184</v>
      </c>
      <c r="K15" s="3">
        <f t="shared" si="13"/>
        <v>0.0535714285714286</v>
      </c>
      <c r="L15" s="3">
        <f t="shared" si="14"/>
        <v>0.0428571428571429</v>
      </c>
      <c r="M15" s="3">
        <f t="shared" si="15"/>
        <v>0.0357142857142857</v>
      </c>
      <c r="N15" s="3">
        <f t="shared" si="16"/>
        <v>0.0306122448979592</v>
      </c>
      <c r="O15" s="3">
        <f t="shared" si="17"/>
        <v>0.0267857142857143</v>
      </c>
      <c r="P15" s="3">
        <f t="shared" si="18"/>
        <v>0.0238095238095238</v>
      </c>
      <c r="Q15" s="3">
        <f t="shared" si="19"/>
        <v>0.0214285714285714</v>
      </c>
    </row>
    <row r="16" spans="1:17">
      <c r="D16" s="3">
        <f t="shared" si="6"/>
        <v>0.317460317460317</v>
      </c>
      <c r="E16" s="3">
        <f t="shared" si="7"/>
        <v>0.158730158730159</v>
      </c>
      <c r="F16" s="3">
        <f t="shared" si="8"/>
        <v>0.105820105820106</v>
      </c>
      <c r="G16" s="3">
        <f t="shared" si="9"/>
        <v>0.0793650793650794</v>
      </c>
      <c r="H16" s="3">
        <f t="shared" si="10"/>
        <v>0.0634920634920635</v>
      </c>
      <c r="I16" s="3">
        <f t="shared" si="11"/>
        <v>0.0529100529100529</v>
      </c>
      <c r="J16" s="3">
        <f t="shared" si="12"/>
        <v>0.0453514739229025</v>
      </c>
      <c r="K16" s="3">
        <f t="shared" si="13"/>
        <v>0.0396825396825397</v>
      </c>
      <c r="L16" s="3">
        <f t="shared" si="14"/>
        <v>0.0317460317460317</v>
      </c>
      <c r="M16" s="3">
        <f t="shared" si="15"/>
        <v>0.0264550264550265</v>
      </c>
      <c r="N16" s="3">
        <f t="shared" si="16"/>
        <v>0.0226757369614512</v>
      </c>
      <c r="O16" s="3">
        <f t="shared" si="17"/>
        <v>0.0198412698412698</v>
      </c>
      <c r="P16" s="3">
        <f t="shared" si="18"/>
        <v>0.017636684303351</v>
      </c>
      <c r="Q16" s="3">
        <f t="shared" si="19"/>
        <v>0.0158730158730159</v>
      </c>
    </row>
    <row r="17" spans="4:17">
      <c r="D17" s="3">
        <f t="shared" si="6"/>
        <v>0.571428571428571</v>
      </c>
      <c r="E17" s="3">
        <f t="shared" si="7"/>
        <v>0.285714285714286</v>
      </c>
      <c r="F17" s="3">
        <f t="shared" si="8"/>
        <v>0.19047619047619</v>
      </c>
      <c r="G17" s="3">
        <f t="shared" si="9"/>
        <v>0.142857142857143</v>
      </c>
      <c r="H17" s="3">
        <f t="shared" si="10"/>
        <v>0.114285714285714</v>
      </c>
      <c r="I17" s="3">
        <f t="shared" si="11"/>
        <v>0.0952380952380952</v>
      </c>
      <c r="J17" s="3">
        <f t="shared" si="12"/>
        <v>0.0816326530612245</v>
      </c>
      <c r="K17" s="3">
        <f t="shared" si="13"/>
        <v>0.0714285714285714</v>
      </c>
      <c r="L17" s="3">
        <f t="shared" si="14"/>
        <v>0.0571428571428571</v>
      </c>
      <c r="M17" s="3">
        <f t="shared" si="15"/>
        <v>0.0476190476190476</v>
      </c>
      <c r="N17" s="3">
        <f t="shared" si="16"/>
        <v>0.0408163265306122</v>
      </c>
      <c r="O17" s="3">
        <f t="shared" si="17"/>
        <v>0.0357142857142857</v>
      </c>
      <c r="P17" s="3">
        <f t="shared" si="18"/>
        <v>0.0317460317460317</v>
      </c>
      <c r="Q17" s="3">
        <f t="shared" si="19"/>
        <v>0.0285714285714286</v>
      </c>
    </row>
    <row r="18" spans="4:17">
      <c r="D18" s="3">
        <f t="shared" si="6"/>
        <v>0.142857142857143</v>
      </c>
      <c r="E18" s="3">
        <f t="shared" si="7"/>
        <v>0.0714285714285714</v>
      </c>
      <c r="F18" s="3">
        <f t="shared" si="8"/>
        <v>0.0476190476190476</v>
      </c>
      <c r="G18" s="3">
        <f t="shared" si="9"/>
        <v>0.0357142857142857</v>
      </c>
      <c r="H18" s="3">
        <f t="shared" si="10"/>
        <v>0.0285714285714286</v>
      </c>
      <c r="I18" s="3">
        <f t="shared" si="11"/>
        <v>0.0238095238095238</v>
      </c>
      <c r="J18" s="3">
        <f t="shared" si="12"/>
        <v>0.0204081632653061</v>
      </c>
      <c r="K18" s="3">
        <f t="shared" si="13"/>
        <v>0.0178571428571429</v>
      </c>
      <c r="L18" s="3">
        <f t="shared" si="14"/>
        <v>0.0142857142857143</v>
      </c>
      <c r="M18" s="3">
        <f t="shared" si="15"/>
        <v>0.0119047619047619</v>
      </c>
      <c r="N18" s="3">
        <f t="shared" si="16"/>
        <v>0.0102040816326531</v>
      </c>
      <c r="O18" s="3">
        <f t="shared" si="17"/>
        <v>0.00892857142857143</v>
      </c>
      <c r="P18" s="3">
        <f t="shared" si="18"/>
        <v>0.00793650793650794</v>
      </c>
      <c r="Q18" s="3">
        <f t="shared" si="19"/>
        <v>0.00714285714285714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7" width="12.625"/>
  </cols>
  <sheetData>
    <row r="1" spans="1:14">
      <c r="A1">
        <v>0.357142857142857</v>
      </c>
      <c r="B1">
        <v>0.105714285714286</v>
      </c>
      <c r="C1">
        <v>0.100857142857143</v>
      </c>
      <c r="D1">
        <v>0.0917142857142857</v>
      </c>
      <c r="E1">
        <v>0.101214285714286</v>
      </c>
      <c r="F1">
        <v>0.0607285714285714</v>
      </c>
      <c r="G1">
        <v>0.0607285714285714</v>
      </c>
    </row>
    <row r="2" spans="1:14">
      <c r="A2">
        <v>0.396825396825397</v>
      </c>
      <c r="B2">
        <v>0.117460317460317</v>
      </c>
      <c r="C2">
        <v>0.112063492063492</v>
      </c>
      <c r="D2">
        <v>0.101904761904762</v>
      </c>
      <c r="E2">
        <v>0.112460317460317</v>
      </c>
      <c r="F2">
        <v>0.0674761904761905</v>
      </c>
      <c r="G2">
        <v>0.0674761904761905</v>
      </c>
    </row>
    <row r="3" spans="1:14">
      <c r="A3">
        <v>0.446428571428571</v>
      </c>
      <c r="B3">
        <v>0.132142857142857</v>
      </c>
      <c r="C3">
        <v>0.126071428571429</v>
      </c>
      <c r="D3">
        <v>0.114642857142857</v>
      </c>
      <c r="E3">
        <v>0.126517857142857</v>
      </c>
      <c r="F3">
        <v>0.0759107142857143</v>
      </c>
      <c r="G3">
        <v>0.0759107142857143</v>
      </c>
    </row>
    <row r="4" spans="1:14">
      <c r="A4">
        <v>0.510204081632653</v>
      </c>
      <c r="B4">
        <v>0.151020408163265</v>
      </c>
      <c r="C4">
        <v>0.144081632653061</v>
      </c>
      <c r="D4">
        <v>0.131020408163265</v>
      </c>
      <c r="E4">
        <v>0.144591836734694</v>
      </c>
      <c r="F4">
        <v>0.0867551020408163</v>
      </c>
      <c r="G4">
        <v>0.0867551020408163</v>
      </c>
    </row>
    <row r="5" spans="1:14">
      <c r="A5">
        <v>0.595238095238095</v>
      </c>
      <c r="B5">
        <v>0.176190476190476</v>
      </c>
      <c r="C5">
        <v>0.168095238095238</v>
      </c>
      <c r="D5">
        <v>0.152857142857143</v>
      </c>
      <c r="E5">
        <v>0.168690476190476</v>
      </c>
      <c r="F5">
        <v>0.101214285714286</v>
      </c>
      <c r="G5">
        <v>0.101214285714286</v>
      </c>
    </row>
    <row r="6" spans="1:14">
      <c r="A6">
        <v>0.714285714285714</v>
      </c>
      <c r="B6">
        <v>0.211428571428571</v>
      </c>
      <c r="C6">
        <v>0.201714285714286</v>
      </c>
      <c r="D6">
        <v>0.183428571428571</v>
      </c>
      <c r="E6">
        <v>0.202428571428571</v>
      </c>
      <c r="F6">
        <v>0.121457142857143</v>
      </c>
      <c r="G6">
        <v>0.121457142857143</v>
      </c>
    </row>
    <row r="7" spans="1:14">
      <c r="A7">
        <v>0.892857142857143</v>
      </c>
      <c r="B7">
        <v>0.264285714285714</v>
      </c>
      <c r="C7">
        <v>0.252142857142857</v>
      </c>
      <c r="D7">
        <v>0.229285714285714</v>
      </c>
      <c r="E7">
        <v>0.253035714285714</v>
      </c>
      <c r="F7">
        <v>0.151821428571429</v>
      </c>
      <c r="G7">
        <v>0.151821428571429</v>
      </c>
    </row>
    <row r="8" spans="1:14">
      <c r="A8">
        <v>1.02040816326531</v>
      </c>
      <c r="B8">
        <v>0.302040816326531</v>
      </c>
      <c r="C8">
        <v>0.288163265306122</v>
      </c>
      <c r="D8">
        <v>0.262040816326531</v>
      </c>
      <c r="E8">
        <v>0.289183673469388</v>
      </c>
      <c r="F8">
        <v>0.173510204081633</v>
      </c>
      <c r="G8">
        <v>0.173510204081633</v>
      </c>
    </row>
    <row r="9" spans="1:14">
      <c r="A9">
        <v>1.19047619047619</v>
      </c>
      <c r="B9">
        <v>0.352380952380952</v>
      </c>
      <c r="C9">
        <v>0.336190476190476</v>
      </c>
      <c r="D9">
        <v>0.305714285714286</v>
      </c>
      <c r="E9">
        <v>0.337380952380952</v>
      </c>
      <c r="F9">
        <v>0.202428571428571</v>
      </c>
      <c r="G9">
        <v>0.202428571428571</v>
      </c>
    </row>
    <row r="10" spans="1:14">
      <c r="A10">
        <v>1.42857142857143</v>
      </c>
      <c r="B10">
        <v>0.422857142857143</v>
      </c>
      <c r="C10">
        <v>0.403428571428571</v>
      </c>
      <c r="D10">
        <v>0.366857142857143</v>
      </c>
      <c r="E10">
        <v>0.404857142857143</v>
      </c>
      <c r="F10">
        <v>0.242914285714286</v>
      </c>
      <c r="G10">
        <v>0.242914285714286</v>
      </c>
    </row>
    <row r="11" spans="1:14">
      <c r="A11">
        <v>1.78571428571429</v>
      </c>
      <c r="B11">
        <v>0.528571428571429</v>
      </c>
      <c r="C11">
        <v>0.504285714285714</v>
      </c>
      <c r="D11">
        <v>0.458571428571429</v>
      </c>
      <c r="E11">
        <v>0.506071428571429</v>
      </c>
      <c r="F11">
        <v>0.303642857142857</v>
      </c>
      <c r="G11">
        <v>0.303642857142857</v>
      </c>
    </row>
    <row r="12" spans="1:14">
      <c r="A12">
        <v>2.38095238095238</v>
      </c>
      <c r="B12">
        <v>0.704761904761905</v>
      </c>
      <c r="C12">
        <v>0.672380952380952</v>
      </c>
      <c r="D12">
        <v>0.611428571428571</v>
      </c>
      <c r="E12">
        <v>0.674761904761905</v>
      </c>
      <c r="F12">
        <v>0.404857142857143</v>
      </c>
      <c r="G12">
        <v>0.404857142857143</v>
      </c>
    </row>
    <row r="13" spans="1:14">
      <c r="A13">
        <v>3.57142857142857</v>
      </c>
      <c r="B13">
        <v>1.05714285714286</v>
      </c>
      <c r="C13">
        <v>1.00857142857143</v>
      </c>
      <c r="D13">
        <v>0.917142857142857</v>
      </c>
      <c r="E13">
        <v>1.01214285714286</v>
      </c>
      <c r="F13">
        <v>0.607285714285714</v>
      </c>
      <c r="G13">
        <v>0.607285714285714</v>
      </c>
    </row>
    <row r="14" spans="1:14">
      <c r="A14">
        <v>7.14285714285714</v>
      </c>
      <c r="B14">
        <v>2.11428571428571</v>
      </c>
      <c r="C14">
        <v>2.01714285714286</v>
      </c>
      <c r="D14">
        <v>1.83428571428571</v>
      </c>
      <c r="E14">
        <v>2.02428571428571</v>
      </c>
      <c r="F14">
        <v>1.21457142857143</v>
      </c>
      <c r="G14">
        <v>1.21457142857143</v>
      </c>
    </row>
    <row r="16" spans="1:14">
      <c r="A16" s="1">
        <v>0.357142857142857</v>
      </c>
      <c r="B16" s="1">
        <v>0.396825396825397</v>
      </c>
      <c r="C16" s="1">
        <v>0.446428571428571</v>
      </c>
      <c r="D16" s="1">
        <v>0.510204081632653</v>
      </c>
      <c r="E16" s="1">
        <v>0.595238095238095</v>
      </c>
      <c r="F16" s="1">
        <v>0.714285714285714</v>
      </c>
      <c r="G16" s="1">
        <v>0.892857142857143</v>
      </c>
      <c r="H16" s="1">
        <v>1.02040816326531</v>
      </c>
      <c r="I16" s="1">
        <v>1.19047619047619</v>
      </c>
      <c r="J16" s="1">
        <v>1.42857142857143</v>
      </c>
      <c r="K16" s="1">
        <v>1.78571428571429</v>
      </c>
      <c r="L16" s="1">
        <v>2.38095238095238</v>
      </c>
      <c r="M16" s="1">
        <v>3.57142857142857</v>
      </c>
      <c r="N16" s="1">
        <v>7.14285714285714</v>
      </c>
    </row>
    <row r="17" spans="1:14">
      <c r="A17" s="1">
        <v>0.105714285714286</v>
      </c>
      <c r="B17" s="1">
        <v>0.117460317460317</v>
      </c>
      <c r="C17" s="1">
        <v>0.132142857142857</v>
      </c>
      <c r="D17" s="1">
        <v>0.151020408163265</v>
      </c>
      <c r="E17" s="1">
        <v>0.176190476190476</v>
      </c>
      <c r="F17" s="1">
        <v>0.211428571428571</v>
      </c>
      <c r="G17" s="1">
        <v>0.264285714285714</v>
      </c>
      <c r="H17" s="1">
        <v>0.302040816326531</v>
      </c>
      <c r="I17" s="1">
        <v>0.352380952380952</v>
      </c>
      <c r="J17" s="1">
        <v>0.422857142857143</v>
      </c>
      <c r="K17" s="1">
        <v>0.528571428571429</v>
      </c>
      <c r="L17" s="1">
        <v>0.704761904761905</v>
      </c>
      <c r="M17" s="1">
        <v>1.05714285714286</v>
      </c>
      <c r="N17" s="1">
        <v>2.11428571428571</v>
      </c>
    </row>
    <row r="18" spans="1:14">
      <c r="A18" s="1">
        <v>0.100857142857143</v>
      </c>
      <c r="B18" s="1">
        <v>0.112063492063492</v>
      </c>
      <c r="C18" s="1">
        <v>0.126071428571429</v>
      </c>
      <c r="D18" s="1">
        <v>0.144081632653061</v>
      </c>
      <c r="E18" s="1">
        <v>0.168095238095238</v>
      </c>
      <c r="F18" s="1">
        <v>0.201714285714286</v>
      </c>
      <c r="G18" s="1">
        <v>0.252142857142857</v>
      </c>
      <c r="H18" s="1">
        <v>0.288163265306122</v>
      </c>
      <c r="I18" s="1">
        <v>0.336190476190476</v>
      </c>
      <c r="J18" s="1">
        <v>0.403428571428571</v>
      </c>
      <c r="K18" s="1">
        <v>0.504285714285714</v>
      </c>
      <c r="L18" s="1">
        <v>0.672380952380952</v>
      </c>
      <c r="M18" s="1">
        <v>1.00857142857143</v>
      </c>
      <c r="N18" s="1">
        <v>2.01714285714286</v>
      </c>
    </row>
    <row r="19" spans="1:14">
      <c r="A19" s="1">
        <v>0.0917142857142857</v>
      </c>
      <c r="B19" s="1">
        <v>0.101904761904762</v>
      </c>
      <c r="C19" s="1">
        <v>0.114642857142857</v>
      </c>
      <c r="D19" s="1">
        <v>0.131020408163265</v>
      </c>
      <c r="E19" s="1">
        <v>0.152857142857143</v>
      </c>
      <c r="F19" s="1">
        <v>0.183428571428571</v>
      </c>
      <c r="G19" s="1">
        <v>0.229285714285714</v>
      </c>
      <c r="H19" s="1">
        <v>0.262040816326531</v>
      </c>
      <c r="I19" s="1">
        <v>0.305714285714286</v>
      </c>
      <c r="J19" s="1">
        <v>0.366857142857143</v>
      </c>
      <c r="K19" s="1">
        <v>0.458571428571429</v>
      </c>
      <c r="L19" s="1">
        <v>0.611428571428571</v>
      </c>
      <c r="M19" s="1">
        <v>0.917142857142857</v>
      </c>
      <c r="N19" s="1">
        <v>1.83428571428571</v>
      </c>
    </row>
    <row r="20" spans="1:14">
      <c r="A20" s="1">
        <v>0.101214285714286</v>
      </c>
      <c r="B20" s="1">
        <v>0.112460317460317</v>
      </c>
      <c r="C20" s="1">
        <v>0.126517857142857</v>
      </c>
      <c r="D20" s="1">
        <v>0.144591836734694</v>
      </c>
      <c r="E20" s="1">
        <v>0.168690476190476</v>
      </c>
      <c r="F20" s="1">
        <v>0.202428571428571</v>
      </c>
      <c r="G20" s="1">
        <v>0.253035714285714</v>
      </c>
      <c r="H20" s="1">
        <v>0.289183673469388</v>
      </c>
      <c r="I20" s="1">
        <v>0.337380952380952</v>
      </c>
      <c r="J20" s="1">
        <v>0.404857142857143</v>
      </c>
      <c r="K20" s="1">
        <v>0.506071428571429</v>
      </c>
      <c r="L20" s="1">
        <v>0.674761904761905</v>
      </c>
      <c r="M20" s="1">
        <v>1.01214285714286</v>
      </c>
      <c r="N20" s="1">
        <v>2.02428571428571</v>
      </c>
    </row>
    <row r="21" spans="1:14">
      <c r="A21" s="1">
        <v>0.0607285714285714</v>
      </c>
      <c r="B21" s="1">
        <v>0.0674761904761905</v>
      </c>
      <c r="C21" s="1">
        <v>0.0759107142857143</v>
      </c>
      <c r="D21" s="1">
        <v>0.0867551020408163</v>
      </c>
      <c r="E21" s="1">
        <v>0.101214285714286</v>
      </c>
      <c r="F21" s="1">
        <v>0.121457142857143</v>
      </c>
      <c r="G21" s="1">
        <v>0.151821428571429</v>
      </c>
      <c r="H21" s="1">
        <v>0.173510204081633</v>
      </c>
      <c r="I21" s="1">
        <v>0.202428571428571</v>
      </c>
      <c r="J21" s="1">
        <v>0.242914285714286</v>
      </c>
      <c r="K21" s="1">
        <v>0.303642857142857</v>
      </c>
      <c r="L21" s="1">
        <v>0.404857142857143</v>
      </c>
      <c r="M21" s="1">
        <v>0.607285714285714</v>
      </c>
      <c r="N21" s="1">
        <v>1.21457142857143</v>
      </c>
    </row>
    <row r="22" spans="1:14">
      <c r="A22" s="1">
        <v>0.0607285714285714</v>
      </c>
      <c r="B22" s="1">
        <v>0.0674761904761905</v>
      </c>
      <c r="C22" s="1">
        <v>0.0759107142857143</v>
      </c>
      <c r="D22" s="1">
        <v>0.0867551020408163</v>
      </c>
      <c r="E22" s="1">
        <v>0.101214285714286</v>
      </c>
      <c r="F22" s="1">
        <v>0.121457142857143</v>
      </c>
      <c r="G22" s="1">
        <v>0.151821428571429</v>
      </c>
      <c r="H22" s="1">
        <v>0.173510204081633</v>
      </c>
      <c r="I22" s="1">
        <v>0.202428571428571</v>
      </c>
      <c r="J22" s="1">
        <v>0.242914285714286</v>
      </c>
      <c r="K22" s="1">
        <v>0.303642857142857</v>
      </c>
      <c r="L22" s="1">
        <v>0.404857142857143</v>
      </c>
      <c r="M22" s="1">
        <v>0.607285714285714</v>
      </c>
      <c r="N22" s="1">
        <v>1.21457142857143</v>
      </c>
    </row>
  </sheetData>
  <sortState ref="A1:G14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膨胀后</vt:lpstr>
      <vt:lpstr>旧版</vt:lpstr>
      <vt:lpstr>膨胀后新版</vt:lpstr>
      <vt:lpstr>10.24调整</vt:lpstr>
      <vt:lpstr>老虎机掉卡包旧版</vt:lpstr>
      <vt:lpstr>老虎机掉卡包新版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企业用户_244823163</cp:lastModifiedBy>
  <dcterms:created xsi:type="dcterms:W3CDTF">2023-05-12T11:15:00Z</dcterms:created>
  <dcterms:modified xsi:type="dcterms:W3CDTF">2026-06-11T08:15:08Z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B30685AEFAF54C4E8F668ACF3C3CAEB3_12</vt:lpwstr>
  </property>
  <property fmtid="{D5CDD505-2E9C-101B-9397-08002B2CF9AE}" pid="4" name="CalculationRule">
    <vt:i4>0</vt:i4>
  </property>
</Properties>
</file>