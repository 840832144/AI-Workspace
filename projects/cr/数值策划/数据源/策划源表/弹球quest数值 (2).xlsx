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 activeTab="2"/>
  </bookViews>
  <sheets>
    <sheet name="用户分布" sheetId="12" r:id="rId1"/>
    <sheet name="竞品体验" sheetId="2" state="hidden" r:id="rId2"/>
    <sheet name="数值体验表 " sheetId="1" r:id="rId3"/>
    <sheet name="QuestPlinkoWeight" sheetId="3" r:id="rId4"/>
    <sheet name="WeightCalculate" sheetId="4" r:id="rId5"/>
    <sheet name="Stagereward" sheetId="10" state="hidden" r:id="rId6"/>
    <sheet name="道具id表" sheetId="5" r:id="rId7"/>
    <sheet name="bet对应表" sheetId="6" r:id="rId8"/>
    <sheet name="QuestPickGet" sheetId="7" r:id="rId9"/>
    <sheet name="QuestGetLevel" sheetId="8" r:id="rId10"/>
    <sheet name="QuestPlinkoStageReward" sheetId="9" r:id="rId11"/>
  </sheets>
  <externalReferences>
    <externalReference r:id="rId12"/>
    <externalReference r:id="rId1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<sst xmlns="http://schemas.openxmlformats.org/spreadsheetml/2006/main" count="592" uniqueCount="376">
  <si>
    <t>slots</t>
  </si>
  <si>
    <t>VIP等级</t>
  </si>
  <si>
    <t>每日金币净消耗</t>
  </si>
  <si>
    <t>每日金币等级美金净消耗</t>
  </si>
  <si>
    <t>活动周期内金币等级美金净消耗</t>
  </si>
  <si>
    <t>应设立目标值</t>
  </si>
  <si>
    <t>打牌</t>
  </si>
  <si>
    <t>每日牌局消耗</t>
  </si>
  <si>
    <t>轮次</t>
  </si>
  <si>
    <t>关卡</t>
  </si>
  <si>
    <t>通关所需点数</t>
  </si>
  <si>
    <t>通关奖励</t>
  </si>
  <si>
    <t>通关奖励（美元）</t>
  </si>
  <si>
    <t>浮岛领取奖励（左）</t>
  </si>
  <si>
    <t>浮岛领取奖励（右）</t>
  </si>
  <si>
    <t>浮岛奖励领取次数</t>
  </si>
  <si>
    <t>浮岛击打次数</t>
  </si>
  <si>
    <t>特殊桩击打次数</t>
  </si>
  <si>
    <t>球均特殊桩击打次数</t>
  </si>
  <si>
    <t>特殊奖励</t>
  </si>
  <si>
    <t>弹球消耗</t>
  </si>
  <si>
    <t>累计弹球消耗</t>
  </si>
  <si>
    <t>获取弹球消耗金币数（已去除膨胀）</t>
  </si>
  <si>
    <t>累计消耗金币（已去除膨胀）</t>
  </si>
  <si>
    <t>累计获得奖励（未去除膨胀）</t>
  </si>
  <si>
    <t>阶段获得金币（去除膨胀：随动）</t>
  </si>
  <si>
    <t>阶段获得等价美元</t>
  </si>
  <si>
    <t>vip膨胀</t>
  </si>
  <si>
    <t>等级膨胀</t>
  </si>
  <si>
    <t>球均点数获取</t>
  </si>
  <si>
    <t>弹均收益单价（美元）</t>
  </si>
  <si>
    <t>备注1</t>
  </si>
  <si>
    <t>备注2</t>
  </si>
  <si>
    <t>模型</t>
  </si>
  <si>
    <t>消耗弹球</t>
  </si>
  <si>
    <t>球均点数</t>
  </si>
  <si>
    <t>球均美元</t>
  </si>
  <si>
    <t>球均美元（算上大奖）</t>
  </si>
  <si>
    <t>所消耗5球中，含2球为广告获得的免费球</t>
  </si>
  <si>
    <t>含录制视频（编号202604031）</t>
  </si>
  <si>
    <t>所消耗8球中，含1球为广告获得的免费球</t>
  </si>
  <si>
    <t>所消耗的13球均为抽中大奖的奖励免费球</t>
  </si>
  <si>
    <t>含录制视频（编号202604031+202604032）</t>
  </si>
  <si>
    <t>所消耗的球中12球为抽中大奖的奖励免费球，1球为免费球</t>
  </si>
  <si>
    <t>含录制视频（编号202604032+202404033）</t>
  </si>
  <si>
    <t>所消耗的球中14球为抽中大奖的奖励免费球，2球为免费球</t>
  </si>
  <si>
    <t>含录制视频（编号202604033+202604081/2/3）</t>
  </si>
  <si>
    <t>所消耗的球中11球为抽中大奖的奖励免费球，15球为免费球</t>
  </si>
  <si>
    <t>含录制视频（202604083/4/5）</t>
  </si>
  <si>
    <t>FIN</t>
  </si>
  <si>
    <t>奖励类型:
1金币2钻石3道具id4卡包5卡片9美金/除100</t>
  </si>
  <si>
    <t>道具id</t>
  </si>
  <si>
    <t>点数</t>
  </si>
  <si>
    <t>奖励数量</t>
  </si>
  <si>
    <t>消耗发射</t>
  </si>
  <si>
    <t>发射均点数</t>
  </si>
  <si>
    <t>累计消耗发射</t>
  </si>
  <si>
    <t>美金</t>
  </si>
  <si>
    <t>累计美金</t>
  </si>
  <si>
    <t>消耗积分</t>
  </si>
  <si>
    <t>累计消耗积分</t>
  </si>
  <si>
    <t>发射次数单价</t>
  </si>
  <si>
    <t>老虎机spin</t>
  </si>
  <si>
    <t>打牌次数</t>
  </si>
  <si>
    <t>点数倍率</t>
  </si>
  <si>
    <t>奖励倍率</t>
  </si>
  <si>
    <t>大奖美元</t>
  </si>
  <si>
    <t>分配比例</t>
  </si>
  <si>
    <t>金币奖励</t>
  </si>
  <si>
    <t>钻石奖励</t>
  </si>
  <si>
    <t>单价</t>
  </si>
  <si>
    <t>消耗美金</t>
  </si>
  <si>
    <t>消耗返还</t>
  </si>
  <si>
    <t>level</t>
  </si>
  <si>
    <t>frameIds_13_0</t>
  </si>
  <si>
    <t>frameIds_13_1</t>
  </si>
  <si>
    <t>frameIds_13_2</t>
  </si>
  <si>
    <t>frameIds_13_3</t>
  </si>
  <si>
    <t>frameIds_13_4</t>
  </si>
  <si>
    <t>frameIds_13_5</t>
  </si>
  <si>
    <t>frameIds_13_6</t>
  </si>
  <si>
    <t>frameIds_13_7</t>
  </si>
  <si>
    <t>frameIds_13_8</t>
  </si>
  <si>
    <t>frameIds_13_9</t>
  </si>
  <si>
    <t>frameIds_13_10</t>
  </si>
  <si>
    <t>frameIds_13_11</t>
  </si>
  <si>
    <t>frameIds_13_12</t>
  </si>
  <si>
    <t>plinko</t>
  </si>
  <si>
    <t>hitFT1Min</t>
  </si>
  <si>
    <t>hitFT1Max</t>
  </si>
  <si>
    <t>hitFT2Min</t>
  </si>
  <si>
    <t>hitFT2Max</t>
  </si>
  <si>
    <t>double</t>
  </si>
  <si>
    <t>weight</t>
  </si>
  <si>
    <t>int</t>
  </si>
  <si>
    <t>s</t>
  </si>
  <si>
    <t>小球落位置0权重</t>
  </si>
  <si>
    <t>小球落位置1权重</t>
  </si>
  <si>
    <t>小球落位置2权重</t>
  </si>
  <si>
    <t>小球落位置3权重</t>
  </si>
  <si>
    <t>小球落位置4权重</t>
  </si>
  <si>
    <t>小球落位置5权重</t>
  </si>
  <si>
    <t>小球落位置6权重</t>
  </si>
  <si>
    <t>小球落位置7权重</t>
  </si>
  <si>
    <t>小球落位置8权重</t>
  </si>
  <si>
    <t>小球落位置9权重</t>
  </si>
  <si>
    <t>小球落位置10权重</t>
  </si>
  <si>
    <t>小球落位置11权重</t>
  </si>
  <si>
    <t>小球落位置12权重</t>
  </si>
  <si>
    <t>小球总个数</t>
  </si>
  <si>
    <t>撞击浮台1次数上限</t>
  </si>
  <si>
    <t>撞击浮台1次数下限</t>
  </si>
  <si>
    <t>撞击浮台2次数上限</t>
  </si>
  <si>
    <t>撞击浮台2次数下限</t>
  </si>
  <si>
    <t>双倍概率</t>
  </si>
  <si>
    <t>权重</t>
  </si>
  <si>
    <t>小球落位置0期望</t>
  </si>
  <si>
    <t>小球落位置1期望</t>
  </si>
  <si>
    <t>小球落位置2期望</t>
  </si>
  <si>
    <t>小球落位置3期望</t>
  </si>
  <si>
    <t>小球落位置4期望</t>
  </si>
  <si>
    <t>小球落位置5期望</t>
  </si>
  <si>
    <t>小球落位置6期望</t>
  </si>
  <si>
    <t>小球落位置7期望</t>
  </si>
  <si>
    <t>小球落位置8期望</t>
  </si>
  <si>
    <t>小球落位置9期望</t>
  </si>
  <si>
    <t>小球落位置10期望</t>
  </si>
  <si>
    <t>小球落位置11期望</t>
  </si>
  <si>
    <t>小球落位置12期望</t>
  </si>
  <si>
    <t>StageId</t>
  </si>
  <si>
    <t>LevelId</t>
  </si>
  <si>
    <t>desc</t>
  </si>
  <si>
    <t>PassPoints</t>
  </si>
  <si>
    <t>AdjustFrameId</t>
  </si>
  <si>
    <t>AdjustCondition</t>
  </si>
  <si>
    <t>MaxAdjustTimes</t>
  </si>
  <si>
    <t>RewardItemType_3_0</t>
  </si>
  <si>
    <t>RewardItemIds_3_0</t>
  </si>
  <si>
    <t>RewardItemCount_3_0</t>
  </si>
  <si>
    <t>RewardItemType_3_1</t>
  </si>
  <si>
    <t>RewardItemIds_3_1</t>
  </si>
  <si>
    <t>RewardItemCount_3_1</t>
  </si>
  <si>
    <t>RewardItemType_3_2</t>
  </si>
  <si>
    <t>RewardItemIds_3_2</t>
  </si>
  <si>
    <t>RewardItemCount_3_2</t>
  </si>
  <si>
    <t>string</t>
  </si>
  <si>
    <t>uint</t>
  </si>
  <si>
    <t>cs</t>
  </si>
  <si>
    <t>地图Id</t>
  </si>
  <si>
    <t>下落球落栏倍率</t>
  </si>
  <si>
    <t>skip</t>
  </si>
  <si>
    <t>通关点数</t>
  </si>
  <si>
    <t>调控目标FrameId，参照QuestPlinkoWeight的frameWeightAry数组的Index</t>
  </si>
  <si>
    <t>大奖调控（连续数次不中后触发500点数大奖）</t>
  </si>
  <si>
    <t>最大调控触发次数（每关中调控最多触发的次数）</t>
  </si>
  <si>
    <t>奖励类型
1金币
2钻石
3道具
18加成金币</t>
  </si>
  <si>
    <t>奖励物品ID1
1金币
2钻石
3物品id</t>
  </si>
  <si>
    <t>奖励数量1</t>
  </si>
  <si>
    <t>奖励物品ID2
1金币
2钻石
3物品id</t>
  </si>
  <si>
    <t>奖励数量2</t>
  </si>
  <si>
    <t>奖励物品ID3
1金币
2钻石
3物品id</t>
  </si>
  <si>
    <t>奖励数量3</t>
  </si>
  <si>
    <t>第一轮额外奖励</t>
  </si>
  <si>
    <t>第一轮第1关奖励</t>
  </si>
  <si>
    <t>第一轮第2关奖励</t>
  </si>
  <si>
    <t>第一轮第3关奖励</t>
  </si>
  <si>
    <t>第一轮第4关奖励</t>
  </si>
  <si>
    <t>第一轮第5关奖励</t>
  </si>
  <si>
    <t>第一轮第6关奖励</t>
  </si>
  <si>
    <t>第一轮第7关奖励</t>
  </si>
  <si>
    <t>第一轮第8关奖励</t>
  </si>
  <si>
    <t>第二轮额外奖励</t>
  </si>
  <si>
    <t>第二轮第1关奖励</t>
  </si>
  <si>
    <t>第二轮第2关奖励</t>
  </si>
  <si>
    <t>第二轮第3关奖励</t>
  </si>
  <si>
    <t>第二轮第4关奖励</t>
  </si>
  <si>
    <t>第二轮第5关奖励</t>
  </si>
  <si>
    <t>第二轮第6关奖励</t>
  </si>
  <si>
    <t>第二轮第7关奖励</t>
  </si>
  <si>
    <t>第二轮第8关奖励</t>
  </si>
  <si>
    <t>第三轮额外奖励</t>
  </si>
  <si>
    <t>第三轮第1关奖励</t>
  </si>
  <si>
    <t>第三轮第2关奖励</t>
  </si>
  <si>
    <t>第三轮第3关奖励</t>
  </si>
  <si>
    <t>第三轮第4关奖励</t>
  </si>
  <si>
    <t>第三轮第5关奖励</t>
  </si>
  <si>
    <t>第三轮第6关奖励</t>
  </si>
  <si>
    <t>第三轮第7关奖励</t>
  </si>
  <si>
    <t>第三轮第8关奖励</t>
  </si>
  <si>
    <t>name</t>
  </si>
  <si>
    <t>_comm</t>
  </si>
  <si>
    <t>itemID</t>
  </si>
  <si>
    <t>价值</t>
  </si>
  <si>
    <t>string_lan</t>
  </si>
  <si>
    <t>uint_key</t>
  </si>
  <si>
    <t>//名字</t>
  </si>
  <si>
    <t>//注释</t>
  </si>
  <si>
    <t>//物品的ID</t>
  </si>
  <si>
    <t>cake</t>
  </si>
  <si>
    <t>蛋糕</t>
  </si>
  <si>
    <t>heart</t>
  </si>
  <si>
    <t>心</t>
  </si>
  <si>
    <t>Roadster</t>
  </si>
  <si>
    <t>跑车</t>
  </si>
  <si>
    <t>Houseboat</t>
  </si>
  <si>
    <t>游艇</t>
  </si>
  <si>
    <t>Castle</t>
  </si>
  <si>
    <t>城堡</t>
  </si>
  <si>
    <t>Necklace</t>
  </si>
  <si>
    <t>项链</t>
  </si>
  <si>
    <t>Flower</t>
  </si>
  <si>
    <t>玫瑰</t>
  </si>
  <si>
    <t>bombs</t>
  </si>
  <si>
    <t>炸弹</t>
  </si>
  <si>
    <t>like</t>
  </si>
  <si>
    <t>赞</t>
  </si>
  <si>
    <t>Punch</t>
  </si>
  <si>
    <t>击拳</t>
  </si>
  <si>
    <t>Bucket</t>
  </si>
  <si>
    <t>水桶</t>
  </si>
  <si>
    <t>Juicy 3</t>
  </si>
  <si>
    <t>果汁3</t>
  </si>
  <si>
    <t>Clap</t>
  </si>
  <si>
    <t>鼓掌</t>
  </si>
  <si>
    <t>Ring</t>
  </si>
  <si>
    <t>戒指</t>
  </si>
  <si>
    <t>Poo</t>
  </si>
  <si>
    <t>便便</t>
  </si>
  <si>
    <t>Fish</t>
  </si>
  <si>
    <t>鱼</t>
  </si>
  <si>
    <t>Turtle</t>
  </si>
  <si>
    <t>乌龟</t>
  </si>
  <si>
    <t>Kiss</t>
  </si>
  <si>
    <t>吻</t>
  </si>
  <si>
    <t>head</t>
  </si>
  <si>
    <t>帽子</t>
  </si>
  <si>
    <t>donkey</t>
  </si>
  <si>
    <t>驴</t>
  </si>
  <si>
    <t>snake</t>
  </si>
  <si>
    <t>蛇</t>
  </si>
  <si>
    <t>chocolate</t>
  </si>
  <si>
    <t>巧克力</t>
  </si>
  <si>
    <t>Dolls</t>
  </si>
  <si>
    <t>玩偶</t>
  </si>
  <si>
    <t>hot dog</t>
  </si>
  <si>
    <t>热狗</t>
  </si>
  <si>
    <t>Juicy 1</t>
  </si>
  <si>
    <t>果汁1</t>
  </si>
  <si>
    <t>Juicy 2</t>
  </si>
  <si>
    <t>果汁2</t>
  </si>
  <si>
    <t>Coffee</t>
  </si>
  <si>
    <t>咖啡</t>
  </si>
  <si>
    <t>Beer</t>
  </si>
  <si>
    <t>啤酒</t>
  </si>
  <si>
    <t>Snail</t>
  </si>
  <si>
    <t>蜗牛</t>
  </si>
  <si>
    <t>egg</t>
  </si>
  <si>
    <t>鸡蛋</t>
  </si>
  <si>
    <t>tea</t>
  </si>
  <si>
    <t>红茶</t>
  </si>
  <si>
    <t>Halloween candy</t>
  </si>
  <si>
    <t>万圣节-糖果</t>
  </si>
  <si>
    <t>Halloween pumpkin</t>
  </si>
  <si>
    <t>万圣节-南瓜</t>
  </si>
  <si>
    <t xml:space="preserve"> Spades Shark </t>
  </si>
  <si>
    <t>黑桃鲨</t>
  </si>
  <si>
    <t>Big Winner</t>
  </si>
  <si>
    <t>大赢家</t>
  </si>
  <si>
    <t>Money Magnet</t>
  </si>
  <si>
    <t>金钱磁铁</t>
  </si>
  <si>
    <t xml:space="preserve">Spades Ace </t>
  </si>
  <si>
    <t>黑桃 A</t>
  </si>
  <si>
    <t>Nil Ninja</t>
  </si>
  <si>
    <t>零点忍者</t>
  </si>
  <si>
    <t>Risk Taker</t>
  </si>
  <si>
    <t>冒险家</t>
  </si>
  <si>
    <t>Remaining Card</t>
  </si>
  <si>
    <t>记牌器3分钟</t>
  </si>
  <si>
    <t>记牌器1个</t>
  </si>
  <si>
    <t>FunEmoji-Heart</t>
  </si>
  <si>
    <t>心-表情道具</t>
  </si>
  <si>
    <t>FunEmoji-Turtle</t>
  </si>
  <si>
    <t>乌龟-表情道具</t>
  </si>
  <si>
    <t>FunEmoji-Like</t>
  </si>
  <si>
    <t>赞-表情道具</t>
  </si>
  <si>
    <t>FunEmoji-Poo</t>
  </si>
  <si>
    <t>便便-表情道具</t>
  </si>
  <si>
    <t>FunEmoji-Flower</t>
  </si>
  <si>
    <t>花-表情道具</t>
  </si>
  <si>
    <t>FunEmoji-Candy</t>
  </si>
  <si>
    <t>糖果-表情道具</t>
  </si>
  <si>
    <t>FunEmoji-Pumpkin</t>
  </si>
  <si>
    <t>南瓜-表情道具</t>
  </si>
  <si>
    <t>Revive Ticket</t>
  </si>
  <si>
    <t>大奖赛复活券</t>
  </si>
  <si>
    <t>Register Ticket</t>
  </si>
  <si>
    <t>大奖赛报名券</t>
  </si>
  <si>
    <t>RaffleTicket</t>
  </si>
  <si>
    <t>pass抽奖券</t>
  </si>
  <si>
    <t>League xp +10%</t>
  </si>
  <si>
    <t>联赛经验加成</t>
  </si>
  <si>
    <t>League xp +30%</t>
  </si>
  <si>
    <t>League xp +40%</t>
  </si>
  <si>
    <t>League xp +50%</t>
  </si>
  <si>
    <t>SlotTicket</t>
  </si>
  <si>
    <t>老虎机抽奖券</t>
  </si>
  <si>
    <t>1 Star Pack</t>
  </si>
  <si>
    <t>卡包1星</t>
  </si>
  <si>
    <t>2 Stars Pack</t>
  </si>
  <si>
    <t>卡包2星</t>
  </si>
  <si>
    <t>3 Stars Pack</t>
  </si>
  <si>
    <t>卡包3星</t>
  </si>
  <si>
    <t>4 Stars Pack</t>
  </si>
  <si>
    <t>卡包4星</t>
  </si>
  <si>
    <t>5 Stars Pack</t>
  </si>
  <si>
    <t>卡包5星</t>
  </si>
  <si>
    <t>Ordinary Joker</t>
  </si>
  <si>
    <t>Joker Card1</t>
  </si>
  <si>
    <t>Gold Joker</t>
  </si>
  <si>
    <t>Joker Card2</t>
  </si>
  <si>
    <t>Fun Joker</t>
  </si>
  <si>
    <t>Joker Card3</t>
  </si>
  <si>
    <t>Super Joker</t>
  </si>
  <si>
    <t>Joker Card4</t>
  </si>
  <si>
    <t>6 Stars Pack</t>
  </si>
  <si>
    <t>卡包fun卡</t>
  </si>
  <si>
    <t>1星卡包</t>
  </si>
  <si>
    <t>2星卡包</t>
  </si>
  <si>
    <t>3星卡包</t>
  </si>
  <si>
    <t>4星卡包</t>
  </si>
  <si>
    <t>5星卡包</t>
  </si>
  <si>
    <t>金币</t>
  </si>
  <si>
    <t>钻石</t>
  </si>
  <si>
    <t>道具</t>
  </si>
  <si>
    <t>挖宝凿子</t>
  </si>
  <si>
    <t>Roomid</t>
  </si>
  <si>
    <t>类型</t>
  </si>
  <si>
    <t>bet</t>
  </si>
  <si>
    <t>单局消耗金币</t>
  </si>
  <si>
    <t>单局消耗美金</t>
  </si>
  <si>
    <t>单局获得积分</t>
  </si>
  <si>
    <t>第1阶段单局获得弹球数</t>
  </si>
  <si>
    <t>第2阶段单局获得弹球数</t>
  </si>
  <si>
    <t>第3阶段单局获得弹球数</t>
  </si>
  <si>
    <t>单局获得美金</t>
  </si>
  <si>
    <t>单局消耗兑换比</t>
  </si>
  <si>
    <t>type</t>
  </si>
  <si>
    <t>抽成</t>
  </si>
  <si>
    <t>老虎机</t>
  </si>
  <si>
    <t>打牌（翻倍）</t>
  </si>
  <si>
    <t>打牌（指数翻倍）</t>
  </si>
  <si>
    <t>单位金币</t>
  </si>
  <si>
    <t>Id</t>
  </si>
  <si>
    <t>questType</t>
  </si>
  <si>
    <t>Type</t>
  </si>
  <si>
    <t>BetId</t>
  </si>
  <si>
    <t>Probability</t>
  </si>
  <si>
    <t>Points</t>
  </si>
  <si>
    <t>ExpectPoint</t>
  </si>
  <si>
    <t>int_key</t>
  </si>
  <si>
    <t>ID</t>
  </si>
  <si>
    <r>
      <rPr>
        <b/>
        <sz val="11"/>
        <color theme="1"/>
        <rFont val="宋体"/>
        <charset val="134"/>
        <scheme val="minor"/>
      </rPr>
      <t>类型</t>
    </r>
    <r>
      <rPr>
        <sz val="11"/>
        <color theme="1"/>
        <rFont val="宋体"/>
        <charset val="134"/>
        <scheme val="minor"/>
      </rPr>
      <t xml:space="preserve">
1敲砖;2挖宝;3大富翁;4薯片活动;5幸运7;6弹球;7药水;8拳击;9宝藏矿工;二合</t>
    </r>
  </si>
  <si>
    <t>//房间bet</t>
  </si>
  <si>
    <t>类型
1打牌
2老虎机</t>
  </si>
  <si>
    <t>RoomId/BetIndex</t>
  </si>
  <si>
    <t>掉落概率</t>
  </si>
  <si>
    <t>积分点数</t>
  </si>
  <si>
    <t>期望积分</t>
  </si>
  <si>
    <t>参考期望</t>
  </si>
  <si>
    <t>LevelPoints</t>
  </si>
  <si>
    <t>PickaxeNum</t>
  </si>
  <si>
    <t>ConversionRatio</t>
  </si>
  <si>
    <t>关卡ID</t>
  </si>
  <si>
    <t>升到下级积分数(升级后积分清0)</t>
  </si>
  <si>
    <t>满级奖励弹球数</t>
  </si>
  <si>
    <t>标准积分球数转换比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</si>
</sst>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.00_ "/>
    <numFmt numFmtId="178" formatCode="_ * #,##0_ ;_ * \-#,##0_ ;_ * &quot;-&quot;??_ ;_ @_ "/>
    <numFmt numFmtId="179" formatCode="0_ "/>
    <numFmt numFmtId="180" formatCode="#,##0_);[Red]\(#,##0\)"/>
    <numFmt numFmtId="181" formatCode="0.0%"/>
  </numFmts>
  <fonts count="26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12" applyNumberFormat="0" applyAlignment="0" applyProtection="0">
      <alignment vertical="center"/>
    </xf>
    <xf numFmtId="0" fontId="16" fillId="14" borderId="13" applyNumberFormat="0" applyAlignment="0" applyProtection="0">
      <alignment vertical="center"/>
    </xf>
    <xf numFmtId="0" fontId="17" fillId="14" borderId="12" applyNumberFormat="0" applyAlignment="0" applyProtection="0">
      <alignment vertical="center"/>
    </xf>
    <xf numFmtId="0" fontId="18" fillId="1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176" fontId="0" fillId="0" borderId="0" xfId="0" applyNumberFormat="1" applyFont="1" applyFill="1" applyAlignment="1">
      <alignment vertical="center"/>
    </xf>
    <xf numFmtId="0" fontId="1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7" fontId="2" fillId="4" borderId="0" xfId="0" applyNumberFormat="1" applyFont="1" applyFill="1" applyAlignment="1">
      <alignment horizontal="center" vertical="center"/>
    </xf>
    <xf numFmtId="43" fontId="0" fillId="0" borderId="0" xfId="0" applyNumberFormat="1">
      <alignment vertical="center"/>
    </xf>
    <xf numFmtId="0" fontId="3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78" fontId="0" fillId="0" borderId="0" xfId="0" applyNumberFormat="1" applyFont="1" applyFill="1" applyAlignment="1"/>
    <xf numFmtId="0" fontId="0" fillId="0" borderId="0" xfId="0" applyFill="1">
      <alignment vertical="center"/>
    </xf>
    <xf numFmtId="10" fontId="0" fillId="0" borderId="0" xfId="0" applyNumberFormat="1" applyFill="1" applyAlignment="1">
      <alignment horizontal="center" vertical="center"/>
    </xf>
    <xf numFmtId="0" fontId="0" fillId="0" borderId="0" xfId="0" applyAlignment="1">
      <alignment vertical="center"/>
    </xf>
    <xf numFmtId="43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9" fontId="0" fillId="0" borderId="0" xfId="3" applyNumberFormat="1" applyFont="1" applyFill="1" applyBorder="1" applyAlignment="1" applyProtection="1">
      <alignment vertical="center"/>
    </xf>
    <xf numFmtId="178" fontId="0" fillId="0" borderId="0" xfId="0" applyNumberFormat="1" applyFill="1">
      <alignment vertical="center"/>
    </xf>
    <xf numFmtId="178" fontId="0" fillId="0" borderId="0" xfId="0" applyNumberFormat="1">
      <alignment vertical="center"/>
    </xf>
    <xf numFmtId="0" fontId="0" fillId="5" borderId="0" xfId="0" applyFill="1" applyAlignment="1">
      <alignment horizontal="right" vertical="center"/>
    </xf>
    <xf numFmtId="178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vertical="center"/>
    </xf>
    <xf numFmtId="17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179" fontId="0" fillId="0" borderId="2" xfId="0" applyNumberFormat="1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5" xfId="0" applyNumberFormat="1" applyFill="1" applyBorder="1" applyAlignment="1">
      <alignment horizontal="center" vertical="center"/>
    </xf>
    <xf numFmtId="178" fontId="0" fillId="0" borderId="6" xfId="0" applyNumberForma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178" fontId="0" fillId="0" borderId="7" xfId="0" applyNumberForma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80" fontId="1" fillId="2" borderId="2" xfId="0" applyNumberFormat="1" applyFont="1" applyFill="1" applyBorder="1" applyAlignment="1">
      <alignment horizontal="center" vertical="center"/>
    </xf>
    <xf numFmtId="179" fontId="1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7" fontId="1" fillId="2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179" fontId="0" fillId="2" borderId="0" xfId="0" applyNumberFormat="1" applyFill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180" fontId="1" fillId="7" borderId="2" xfId="0" applyNumberFormat="1" applyFont="1" applyFill="1" applyBorder="1" applyAlignment="1">
      <alignment horizontal="center" vertical="center"/>
    </xf>
    <xf numFmtId="179" fontId="1" fillId="7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177" fontId="1" fillId="7" borderId="2" xfId="0" applyNumberFormat="1" applyFont="1" applyFill="1" applyBorder="1" applyAlignment="1">
      <alignment horizontal="center" vertical="center"/>
    </xf>
    <xf numFmtId="179" fontId="0" fillId="7" borderId="0" xfId="0" applyNumberFormat="1" applyFill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180" fontId="1" fillId="8" borderId="2" xfId="0" applyNumberFormat="1" applyFont="1" applyFill="1" applyBorder="1" applyAlignment="1">
      <alignment horizontal="center" vertical="center"/>
    </xf>
    <xf numFmtId="179" fontId="1" fillId="8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177" fontId="1" fillId="8" borderId="2" xfId="0" applyNumberFormat="1" applyFont="1" applyFill="1" applyBorder="1" applyAlignment="1">
      <alignment horizontal="center" vertical="center"/>
    </xf>
    <xf numFmtId="179" fontId="0" fillId="8" borderId="0" xfId="0" applyNumberFormat="1" applyFill="1" applyAlignment="1">
      <alignment horizontal="center" vertical="center"/>
    </xf>
    <xf numFmtId="176" fontId="0" fillId="0" borderId="4" xfId="0" applyNumberFormat="1" applyBorder="1" applyAlignment="1">
      <alignment vertical="center"/>
    </xf>
    <xf numFmtId="176" fontId="0" fillId="0" borderId="5" xfId="0" applyNumberFormat="1" applyBorder="1" applyAlignment="1">
      <alignment vertical="center"/>
    </xf>
    <xf numFmtId="176" fontId="0" fillId="0" borderId="5" xfId="0" applyNumberFormat="1" applyFill="1" applyBorder="1" applyAlignment="1">
      <alignment vertical="center"/>
    </xf>
    <xf numFmtId="176" fontId="0" fillId="0" borderId="8" xfId="0" applyNumberFormat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77" fontId="0" fillId="3" borderId="2" xfId="0" applyNumberForma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77" fontId="0" fillId="4" borderId="2" xfId="0" applyNumberFormat="1" applyFill="1" applyBorder="1" applyAlignment="1">
      <alignment horizontal="center" vertical="center"/>
    </xf>
    <xf numFmtId="176" fontId="0" fillId="0" borderId="8" xfId="0" applyNumberFormat="1" applyBorder="1" applyAlignment="1">
      <alignment vertical="center"/>
    </xf>
    <xf numFmtId="181" fontId="0" fillId="0" borderId="2" xfId="0" applyNumberFormat="1" applyBorder="1" applyAlignment="1">
      <alignment horizontal="center" vertical="center"/>
    </xf>
    <xf numFmtId="181" fontId="0" fillId="2" borderId="2" xfId="0" applyNumberFormat="1" applyFill="1" applyBorder="1" applyAlignment="1">
      <alignment horizontal="center" vertical="center"/>
    </xf>
    <xf numFmtId="181" fontId="0" fillId="3" borderId="2" xfId="0" applyNumberFormat="1" applyFill="1" applyBorder="1" applyAlignment="1">
      <alignment horizontal="center" vertical="center"/>
    </xf>
    <xf numFmtId="181" fontId="0" fillId="4" borderId="2" xfId="0" applyNumberFormat="1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6" fillId="1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竞品体验!$K$1</c:f>
              <c:strCache>
                <c:ptCount val="1"/>
                <c:pt idx="0">
                  <c:v>浮岛奖励领取次数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竞品体验!$K$2:$K$9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49687240"/>
        <c:axId val="945640094"/>
      </c:lineChart>
      <c:catAx>
        <c:axId val="349687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5640094"/>
        <c:crosses val="autoZero"/>
        <c:auto val="1"/>
        <c:lblAlgn val="ctr"/>
        <c:lblOffset val="100"/>
        <c:noMultiLvlLbl val="0"/>
      </c:catAx>
      <c:valAx>
        <c:axId val="9456400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9687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259136-d9ca-4ab3-a917-268b5969b3f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38100</xdr:colOff>
      <xdr:row>10</xdr:row>
      <xdr:rowOff>19050</xdr:rowOff>
    </xdr:from>
    <xdr:to>
      <xdr:col>7</xdr:col>
      <xdr:colOff>1097915</xdr:colOff>
      <xdr:row>15</xdr:row>
      <xdr:rowOff>19685</xdr:rowOff>
    </xdr:to>
    <xdr:sp>
      <xdr:nvSpPr>
        <xdr:cNvPr id="2" name="文本框 1"/>
        <xdr:cNvSpPr txBox="1"/>
      </xdr:nvSpPr>
      <xdr:spPr>
        <a:xfrm>
          <a:off x="6192520" y="1733550"/>
          <a:ext cx="0" cy="8578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浮岛金币奖励池：</a:t>
          </a:r>
          <a:endParaRPr lang="zh-CN" altLang="en-US" sz="1100"/>
        </a:p>
        <a:p>
          <a:pPr algn="l"/>
          <a:r>
            <a:rPr lang="en-US" altLang="zh-CN" sz="1100"/>
            <a:t>1</a:t>
          </a:r>
          <a:r>
            <a:rPr lang="zh-CN" altLang="en-US" sz="1100"/>
            <a:t>）</a:t>
          </a:r>
          <a:r>
            <a:rPr lang="en-US" altLang="zh-CN" sz="1100"/>
            <a:t>5.44</a:t>
          </a:r>
          <a:r>
            <a:rPr lang="zh-CN" altLang="en-US" sz="1100"/>
            <a:t>（</a:t>
          </a:r>
          <a:r>
            <a:rPr lang="en-US" altLang="zh-CN" sz="1100"/>
            <a:t>20</a:t>
          </a:r>
          <a:r>
            <a:rPr lang="zh-CN" altLang="en-US" sz="1100"/>
            <a:t>）</a:t>
          </a:r>
          <a:endParaRPr lang="zh-CN" altLang="en-US" sz="1100"/>
        </a:p>
        <a:p>
          <a:pPr algn="l"/>
          <a:r>
            <a:rPr lang="en-US" altLang="zh-CN" sz="1100"/>
            <a:t>2</a:t>
          </a:r>
          <a:r>
            <a:rPr lang="zh-CN" altLang="en-US" sz="1100"/>
            <a:t>）</a:t>
          </a:r>
          <a:r>
            <a:rPr lang="en-US" altLang="zh-CN" sz="1100"/>
            <a:t>16.7</a:t>
          </a:r>
          <a:r>
            <a:rPr lang="zh-CN" altLang="en-US" sz="1100"/>
            <a:t>（</a:t>
          </a:r>
          <a:r>
            <a:rPr lang="en-US" altLang="zh-CN" sz="1100"/>
            <a:t>60</a:t>
          </a:r>
          <a:r>
            <a:rPr lang="zh-CN" altLang="en-US" sz="1100"/>
            <a:t>）</a:t>
          </a:r>
          <a:endParaRPr lang="zh-CN" altLang="en-US" sz="1100"/>
        </a:p>
        <a:p>
          <a:pPr algn="l"/>
          <a:r>
            <a:rPr lang="en-US" altLang="zh-CN" sz="1100"/>
            <a:t>3</a:t>
          </a:r>
          <a:r>
            <a:rPr lang="zh-CN" altLang="en-US" sz="1100"/>
            <a:t>）</a:t>
          </a:r>
          <a:r>
            <a:rPr lang="en-US" altLang="zh-CN" sz="1100"/>
            <a:t>50.8</a:t>
          </a:r>
          <a:r>
            <a:rPr lang="zh-CN" altLang="en-US" sz="1100"/>
            <a:t>（</a:t>
          </a:r>
          <a:r>
            <a:rPr lang="en-US" altLang="zh-CN" sz="1100"/>
            <a:t>180</a:t>
          </a:r>
          <a:r>
            <a:rPr lang="zh-CN" altLang="en-US" sz="1100"/>
            <a:t>）</a:t>
          </a:r>
          <a:endParaRPr lang="zh-CN" altLang="en-US" sz="1100"/>
        </a:p>
      </xdr:txBody>
    </xdr:sp>
    <xdr:clientData/>
  </xdr:twoCellAnchor>
  <xdr:twoCellAnchor>
    <xdr:from>
      <xdr:col>7</xdr:col>
      <xdr:colOff>1206500</xdr:colOff>
      <xdr:row>10</xdr:row>
      <xdr:rowOff>69850</xdr:rowOff>
    </xdr:from>
    <xdr:to>
      <xdr:col>9</xdr:col>
      <xdr:colOff>945515</xdr:colOff>
      <xdr:row>15</xdr:row>
      <xdr:rowOff>19050</xdr:rowOff>
    </xdr:to>
    <xdr:sp>
      <xdr:nvSpPr>
        <xdr:cNvPr id="3" name="文本框 2"/>
        <xdr:cNvSpPr txBox="1"/>
      </xdr:nvSpPr>
      <xdr:spPr>
        <a:xfrm>
          <a:off x="6192520" y="1784350"/>
          <a:ext cx="0" cy="806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浮岛战利品奖励池：</a:t>
          </a:r>
          <a:endParaRPr lang="zh-CN" altLang="en-US" sz="1100"/>
        </a:p>
        <a:p>
          <a:pPr algn="l"/>
          <a:r>
            <a:rPr lang="en-US" altLang="zh-CN" sz="1100"/>
            <a:t>1</a:t>
          </a:r>
          <a:r>
            <a:rPr lang="zh-CN" altLang="en-US" sz="1100"/>
            <a:t>）</a:t>
          </a:r>
          <a:r>
            <a:rPr lang="en-US" altLang="zh-CN" sz="1100"/>
            <a:t>5</a:t>
          </a:r>
          <a:r>
            <a:rPr lang="zh-CN" altLang="en-US" sz="1100"/>
            <a:t>（</a:t>
          </a:r>
          <a:r>
            <a:rPr lang="en-US" altLang="zh-CN" sz="1100"/>
            <a:t>10</a:t>
          </a:r>
          <a:r>
            <a:rPr lang="zh-CN" altLang="en-US" sz="1100"/>
            <a:t>）</a:t>
          </a:r>
          <a:endParaRPr lang="zh-CN" altLang="en-US" sz="1100"/>
        </a:p>
        <a:p>
          <a:pPr algn="l"/>
          <a:r>
            <a:rPr lang="en-US" altLang="zh-CN" sz="1100"/>
            <a:t>2</a:t>
          </a:r>
          <a:r>
            <a:rPr lang="zh-CN" altLang="en-US" sz="1100"/>
            <a:t>）</a:t>
          </a:r>
          <a:r>
            <a:rPr lang="en-US" altLang="zh-CN" sz="1100"/>
            <a:t>20</a:t>
          </a:r>
          <a:r>
            <a:rPr lang="zh-CN" altLang="en-US" sz="1100"/>
            <a:t>（</a:t>
          </a:r>
          <a:r>
            <a:rPr lang="en-US" altLang="zh-CN" sz="1100"/>
            <a:t>40</a:t>
          </a:r>
          <a:r>
            <a:rPr lang="zh-CN" altLang="en-US" sz="1100"/>
            <a:t>）</a:t>
          </a:r>
          <a:endParaRPr lang="zh-CN" altLang="en-US" sz="1100"/>
        </a:p>
        <a:p>
          <a:pPr algn="l"/>
          <a:r>
            <a:rPr lang="en-US" altLang="zh-CN" sz="1100"/>
            <a:t>3</a:t>
          </a:r>
          <a:r>
            <a:rPr lang="zh-CN" altLang="en-US" sz="1100"/>
            <a:t>）</a:t>
          </a:r>
          <a:r>
            <a:rPr lang="en-US" altLang="zh-CN" sz="1100"/>
            <a:t>60</a:t>
          </a:r>
          <a:r>
            <a:rPr lang="zh-CN" altLang="en-US" sz="1100"/>
            <a:t>（</a:t>
          </a:r>
          <a:r>
            <a:rPr lang="en-US" altLang="zh-CN" sz="1100"/>
            <a:t>120</a:t>
          </a:r>
          <a:r>
            <a:rPr lang="zh-CN" altLang="en-US" sz="1100"/>
            <a:t>）</a:t>
          </a:r>
          <a:endParaRPr lang="zh-CN" altLang="en-US" sz="1100"/>
        </a:p>
      </xdr:txBody>
    </xdr:sp>
    <xdr:clientData/>
  </xdr:twoCellAnchor>
  <xdr:twoCellAnchor>
    <xdr:from>
      <xdr:col>6</xdr:col>
      <xdr:colOff>31750</xdr:colOff>
      <xdr:row>15</xdr:row>
      <xdr:rowOff>146050</xdr:rowOff>
    </xdr:from>
    <xdr:to>
      <xdr:col>8</xdr:col>
      <xdr:colOff>1188085</xdr:colOff>
      <xdr:row>27</xdr:row>
      <xdr:rowOff>165735</xdr:rowOff>
    </xdr:to>
    <xdr:graphicFrame>
      <xdr:nvGraphicFramePr>
        <xdr:cNvPr id="4" name="图表 3"/>
        <xdr:cNvGraphicFramePr/>
      </xdr:nvGraphicFramePr>
      <xdr:xfrm>
        <a:off x="6192520" y="2717800"/>
        <a:ext cx="0" cy="2077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76200</xdr:colOff>
      <xdr:row>9</xdr:row>
      <xdr:rowOff>107950</xdr:rowOff>
    </xdr:from>
    <xdr:to>
      <xdr:col>11</xdr:col>
      <xdr:colOff>849630</xdr:colOff>
      <xdr:row>15</xdr:row>
      <xdr:rowOff>5080</xdr:rowOff>
    </xdr:to>
    <xdr:sp>
      <xdr:nvSpPr>
        <xdr:cNvPr id="5" name="文本框 4"/>
        <xdr:cNvSpPr txBox="1"/>
      </xdr:nvSpPr>
      <xdr:spPr>
        <a:xfrm>
          <a:off x="6192520" y="1651000"/>
          <a:ext cx="0" cy="9258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无用击打</a:t>
          </a:r>
          <a:r>
            <a:rPr lang="en-US" altLang="zh-CN" sz="1100"/>
            <a:t>35</a:t>
          </a:r>
          <a:r>
            <a:rPr lang="zh-CN" altLang="en-US" sz="1100"/>
            <a:t>次</a:t>
          </a:r>
          <a:endParaRPr lang="zh-CN" altLang="en-US" sz="1100"/>
        </a:p>
        <a:p>
          <a:pPr algn="l"/>
          <a:r>
            <a:rPr lang="zh-CN" altLang="en-US" sz="1100"/>
            <a:t>来源为</a:t>
          </a:r>
          <a:endParaRPr lang="zh-CN" altLang="en-US" sz="1100"/>
        </a:p>
        <a:p>
          <a:pPr algn="l"/>
          <a:r>
            <a:rPr lang="zh-CN" altLang="en-US" sz="1100"/>
            <a:t>轮次重置</a:t>
          </a:r>
          <a:endParaRPr lang="zh-CN" altLang="en-US" sz="1100"/>
        </a:p>
      </xdr:txBody>
    </xdr:sp>
    <xdr:clientData/>
  </xdr:twoCellAnchor>
  <xdr:twoCellAnchor>
    <xdr:from>
      <xdr:col>12</xdr:col>
      <xdr:colOff>177800</xdr:colOff>
      <xdr:row>9</xdr:row>
      <xdr:rowOff>127000</xdr:rowOff>
    </xdr:from>
    <xdr:to>
      <xdr:col>12</xdr:col>
      <xdr:colOff>951230</xdr:colOff>
      <xdr:row>16</xdr:row>
      <xdr:rowOff>24130</xdr:rowOff>
    </xdr:to>
    <xdr:sp>
      <xdr:nvSpPr>
        <xdr:cNvPr id="6" name="文本框 5"/>
        <xdr:cNvSpPr txBox="1"/>
      </xdr:nvSpPr>
      <xdr:spPr>
        <a:xfrm>
          <a:off x="6192520" y="1670050"/>
          <a:ext cx="0" cy="1097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无用击打</a:t>
          </a:r>
          <a:r>
            <a:rPr lang="en-US" altLang="zh-CN" sz="1100"/>
            <a:t>2</a:t>
          </a:r>
          <a:r>
            <a:rPr lang="zh-CN" altLang="en-US" sz="1100"/>
            <a:t>次（轮次</a:t>
          </a:r>
          <a:r>
            <a:rPr lang="en-US" altLang="zh-CN" sz="1100"/>
            <a:t>6</a:t>
          </a:r>
          <a:r>
            <a:rPr lang="zh-CN" altLang="en-US" sz="1100"/>
            <a:t>）</a:t>
          </a:r>
          <a:endParaRPr lang="zh-CN" altLang="en-US" sz="1100"/>
        </a:p>
        <a:p>
          <a:pPr algn="l"/>
          <a:r>
            <a:rPr lang="zh-CN" altLang="en-US" sz="1100"/>
            <a:t>来源为</a:t>
          </a:r>
          <a:endParaRPr lang="zh-CN" altLang="en-US" sz="1100"/>
        </a:p>
        <a:p>
          <a:pPr algn="l"/>
          <a:r>
            <a:rPr lang="zh-CN" altLang="en-US" sz="1100"/>
            <a:t>重复击打翻倍桩</a:t>
          </a:r>
          <a:endParaRPr lang="zh-CN" altLang="en-US" sz="1100"/>
        </a:p>
      </xdr:txBody>
    </xdr:sp>
    <xdr:clientData/>
  </xdr:twoCellAnchor>
  <xdr:twoCellAnchor editAs="oneCell">
    <xdr:from>
      <xdr:col>15</xdr:col>
      <xdr:colOff>657860</xdr:colOff>
      <xdr:row>11</xdr:row>
      <xdr:rowOff>38100</xdr:rowOff>
    </xdr:from>
    <xdr:to>
      <xdr:col>24</xdr:col>
      <xdr:colOff>311150</xdr:colOff>
      <xdr:row>30</xdr:row>
      <xdr:rowOff>75565</xdr:rowOff>
    </xdr:to>
    <xdr:pic>
      <xdr:nvPicPr>
        <xdr:cNvPr id="7" name="图片 6" descr="屏幕截图 2026-04-08 170557"/>
        <xdr:cNvPicPr>
          <a:picLocks noChangeAspect="1"/>
        </xdr:cNvPicPr>
      </xdr:nvPicPr>
      <xdr:blipFill>
        <a:blip r:embed="rId2"/>
        <a:srcRect t="2369" r="754" b="2538"/>
        <a:stretch>
          <a:fillRect/>
        </a:stretch>
      </xdr:blipFill>
      <xdr:spPr>
        <a:xfrm>
          <a:off x="6850380" y="1924050"/>
          <a:ext cx="6414135" cy="3295015"/>
        </a:xfrm>
        <a:prstGeom prst="rect">
          <a:avLst/>
        </a:prstGeom>
      </xdr:spPr>
    </xdr:pic>
    <xdr:clientData/>
  </xdr:twoCellAnchor>
  <xdr:twoCellAnchor editAs="oneCell">
    <xdr:from>
      <xdr:col>24</xdr:col>
      <xdr:colOff>318135</xdr:colOff>
      <xdr:row>11</xdr:row>
      <xdr:rowOff>94615</xdr:rowOff>
    </xdr:from>
    <xdr:to>
      <xdr:col>36</xdr:col>
      <xdr:colOff>6350</xdr:colOff>
      <xdr:row>35</xdr:row>
      <xdr:rowOff>125730</xdr:rowOff>
    </xdr:to>
    <xdr:pic>
      <xdr:nvPicPr>
        <xdr:cNvPr id="8" name="图片 7" descr="屏幕截图 2026-04-08 170925"/>
        <xdr:cNvPicPr>
          <a:picLocks noChangeAspect="1"/>
        </xdr:cNvPicPr>
      </xdr:nvPicPr>
      <xdr:blipFill>
        <a:blip r:embed="rId3"/>
        <a:srcRect t="1358" r="823" b="1358"/>
        <a:stretch>
          <a:fillRect/>
        </a:stretch>
      </xdr:blipFill>
      <xdr:spPr>
        <a:xfrm>
          <a:off x="13271500" y="1980565"/>
          <a:ext cx="7917180" cy="4145915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11</xdr:row>
      <xdr:rowOff>69850</xdr:rowOff>
    </xdr:from>
    <xdr:to>
      <xdr:col>5</xdr:col>
      <xdr:colOff>387985</xdr:colOff>
      <xdr:row>31</xdr:row>
      <xdr:rowOff>0</xdr:rowOff>
    </xdr:to>
    <xdr:pic>
      <xdr:nvPicPr>
        <xdr:cNvPr id="9" name="图片 8" descr="屏幕截图 2026-04-10 155620"/>
        <xdr:cNvPicPr>
          <a:picLocks noChangeAspect="1"/>
        </xdr:cNvPicPr>
      </xdr:nvPicPr>
      <xdr:blipFill>
        <a:blip r:embed="rId4"/>
        <a:srcRect t="2426" r="1190" b="2426"/>
        <a:stretch>
          <a:fillRect/>
        </a:stretch>
      </xdr:blipFill>
      <xdr:spPr>
        <a:xfrm>
          <a:off x="635" y="1955800"/>
          <a:ext cx="5139055" cy="33591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19979;&#36733;\&#33853;&#34955;&#26435;&#37325;&#35745;&#31639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037;&#20316;&#35760;&#24405;\101&#20869;&#23481;\&#24377;&#29699;\&#24377;&#29699;quest&#25968;&#20540;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QuestPlinkoWeight"/>
      <sheetName val="WeightCalculate"/>
    </sheetNames>
    <sheetDataSet>
      <sheetData sheetId="0">
        <row r="5">
          <cell r="A5">
            <v>0</v>
          </cell>
        </row>
        <row r="6">
          <cell r="A6">
            <v>1</v>
          </cell>
        </row>
        <row r="7">
          <cell r="A7">
            <v>2</v>
          </cell>
        </row>
        <row r="8">
          <cell r="A8">
            <v>2</v>
          </cell>
          <cell r="B8">
            <v>100</v>
          </cell>
          <cell r="C8">
            <v>100</v>
          </cell>
          <cell r="D8">
            <v>150</v>
          </cell>
          <cell r="E8">
            <v>75</v>
          </cell>
          <cell r="F8">
            <v>150</v>
          </cell>
          <cell r="G8">
            <v>100</v>
          </cell>
          <cell r="H8">
            <v>1</v>
          </cell>
          <cell r="I8">
            <v>100</v>
          </cell>
          <cell r="J8">
            <v>150</v>
          </cell>
          <cell r="K8">
            <v>75</v>
          </cell>
          <cell r="L8">
            <v>150</v>
          </cell>
          <cell r="M8">
            <v>100</v>
          </cell>
          <cell r="N8">
            <v>100</v>
          </cell>
        </row>
        <row r="9">
          <cell r="A9">
            <v>2</v>
          </cell>
        </row>
        <row r="10">
          <cell r="A10">
            <v>3</v>
          </cell>
        </row>
        <row r="11">
          <cell r="A11">
            <v>3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4</v>
          </cell>
        </row>
        <row r="15">
          <cell r="A15">
            <v>4</v>
          </cell>
        </row>
        <row r="16">
          <cell r="A16">
            <v>5</v>
          </cell>
        </row>
        <row r="17">
          <cell r="A17">
            <v>5</v>
          </cell>
        </row>
        <row r="18">
          <cell r="A18">
            <v>5</v>
          </cell>
        </row>
        <row r="20">
          <cell r="A20">
            <v>6</v>
          </cell>
        </row>
        <row r="21">
          <cell r="A21">
            <v>6</v>
          </cell>
        </row>
        <row r="22">
          <cell r="A22">
            <v>6</v>
          </cell>
        </row>
        <row r="25">
          <cell r="A25">
            <v>7</v>
          </cell>
        </row>
        <row r="26">
          <cell r="A26">
            <v>7</v>
          </cell>
        </row>
        <row r="27">
          <cell r="A27">
            <v>7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竞品体验"/>
      <sheetName val="数值体验表"/>
      <sheetName val="QuestPlinkoWeight"/>
      <sheetName val="WeightCalculate"/>
      <sheetName val="道具id表"/>
      <sheetName val="bet对应表"/>
      <sheetName val="QuestPickaxeGet"/>
      <sheetName val="QuestGetLevel"/>
      <sheetName val="QuestBPTask"/>
      <sheetName val="QuestBlastLevelCfg"/>
      <sheetName val="CommonBPLevel"/>
      <sheetName val="CommonBPPrice"/>
      <sheetName val="QuestItemPack"/>
      <sheetName val="v5以上数值体验表"/>
      <sheetName val="数值体验表备份"/>
    </sheetNames>
    <sheetDataSet>
      <sheetData sheetId="0" refreshError="1"/>
      <sheetData sheetId="1" refreshError="1">
        <row r="4">
          <cell r="M4">
            <v>0.12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F28" sqref="F28"/>
    </sheetView>
  </sheetViews>
  <sheetFormatPr defaultColWidth="8.725" defaultRowHeight="13.5" outlineLevelCol="7"/>
  <cols>
    <col min="2" max="2" width="16.275" customWidth="1"/>
    <col min="3" max="3" width="16" customWidth="1"/>
    <col min="4" max="4" width="13.725" customWidth="1"/>
    <col min="5" max="5" width="25.275" customWidth="1"/>
    <col min="6" max="6" width="32" customWidth="1"/>
    <col min="7" max="7" width="14" customWidth="1"/>
  </cols>
  <sheetData>
    <row r="1" spans="1:8">
      <c r="A1" t="s">
        <v>0</v>
      </c>
      <c r="B1" t="s">
        <v>1</v>
      </c>
      <c r="C1" t="s">
        <v>2</v>
      </c>
      <c r="E1" s="101" t="s">
        <v>3</v>
      </c>
      <c r="F1" t="s">
        <v>4</v>
      </c>
      <c r="G1" t="s">
        <v>5</v>
      </c>
    </row>
    <row r="2" spans="1:8">
      <c r="B2">
        <v>9</v>
      </c>
      <c r="C2">
        <v>5234</v>
      </c>
      <c r="D2">
        <f t="shared" ref="D2:D11" si="0">(C2/25)</f>
        <v>209.36</v>
      </c>
      <c r="E2" s="102">
        <f t="shared" ref="E2:E11" si="1">D2</f>
        <v>209.36</v>
      </c>
      <c r="F2" s="7">
        <f t="shared" ref="F2:F11" si="2">ROUND(E2*3,0)</f>
        <v>628</v>
      </c>
      <c r="G2" s="103">
        <f t="shared" ref="G2:G11" si="3">F2*1.5</f>
        <v>942</v>
      </c>
      <c r="H2">
        <f>G2*0.05</f>
        <v>47.1</v>
      </c>
    </row>
    <row r="3" spans="1:8">
      <c r="B3">
        <v>8</v>
      </c>
      <c r="C3">
        <v>2203</v>
      </c>
      <c r="D3">
        <f t="shared" si="0"/>
        <v>88.12</v>
      </c>
      <c r="E3" s="102">
        <f t="shared" si="1"/>
        <v>88.12</v>
      </c>
      <c r="F3" s="7">
        <f t="shared" si="2"/>
        <v>264</v>
      </c>
      <c r="G3" s="8">
        <f t="shared" si="3"/>
        <v>396</v>
      </c>
    </row>
    <row r="4" spans="1:8">
      <c r="B4">
        <v>7</v>
      </c>
      <c r="C4">
        <v>1326</v>
      </c>
      <c r="D4">
        <f t="shared" si="0"/>
        <v>53.04</v>
      </c>
      <c r="E4" s="102">
        <f t="shared" si="1"/>
        <v>53.04</v>
      </c>
      <c r="F4" s="7">
        <f t="shared" si="2"/>
        <v>159</v>
      </c>
      <c r="G4" s="8">
        <f t="shared" si="3"/>
        <v>238.5</v>
      </c>
    </row>
    <row r="5" spans="1:8">
      <c r="B5">
        <v>6</v>
      </c>
      <c r="C5">
        <v>699</v>
      </c>
      <c r="D5">
        <f t="shared" si="0"/>
        <v>27.96</v>
      </c>
      <c r="E5" s="102">
        <f t="shared" si="1"/>
        <v>27.96</v>
      </c>
      <c r="F5" s="7">
        <f t="shared" si="2"/>
        <v>84</v>
      </c>
      <c r="G5" s="15">
        <f t="shared" si="3"/>
        <v>126</v>
      </c>
    </row>
    <row r="6" spans="1:8">
      <c r="B6">
        <v>5</v>
      </c>
      <c r="C6">
        <v>287</v>
      </c>
      <c r="D6">
        <f t="shared" si="0"/>
        <v>11.48</v>
      </c>
      <c r="E6" s="102">
        <f t="shared" si="1"/>
        <v>11.48</v>
      </c>
      <c r="F6" s="7">
        <f t="shared" si="2"/>
        <v>34</v>
      </c>
      <c r="G6" s="8">
        <f t="shared" si="3"/>
        <v>51</v>
      </c>
    </row>
    <row r="7" spans="1:8">
      <c r="B7">
        <v>4</v>
      </c>
      <c r="C7">
        <v>150</v>
      </c>
      <c r="D7">
        <f t="shared" si="0"/>
        <v>6</v>
      </c>
      <c r="E7" s="102">
        <f t="shared" si="1"/>
        <v>6</v>
      </c>
      <c r="F7" s="7">
        <f t="shared" si="2"/>
        <v>18</v>
      </c>
      <c r="G7" s="8">
        <f t="shared" si="3"/>
        <v>27</v>
      </c>
    </row>
    <row r="8" spans="1:8">
      <c r="B8">
        <v>3</v>
      </c>
      <c r="C8">
        <v>119</v>
      </c>
      <c r="D8">
        <f t="shared" si="0"/>
        <v>4.76</v>
      </c>
      <c r="E8" s="102">
        <f t="shared" si="1"/>
        <v>4.76</v>
      </c>
      <c r="F8" s="7">
        <f t="shared" si="2"/>
        <v>14</v>
      </c>
      <c r="G8" s="11">
        <f t="shared" si="3"/>
        <v>21</v>
      </c>
    </row>
    <row r="9" spans="1:8">
      <c r="B9">
        <v>2</v>
      </c>
      <c r="C9">
        <v>75</v>
      </c>
      <c r="D9">
        <f t="shared" si="0"/>
        <v>3</v>
      </c>
      <c r="E9" s="102">
        <f t="shared" si="1"/>
        <v>3</v>
      </c>
      <c r="F9" s="7">
        <f t="shared" si="2"/>
        <v>9</v>
      </c>
      <c r="G9" s="8">
        <f t="shared" si="3"/>
        <v>13.5</v>
      </c>
    </row>
    <row r="10" spans="1:8">
      <c r="B10">
        <v>1</v>
      </c>
      <c r="C10">
        <v>60</v>
      </c>
      <c r="D10">
        <f t="shared" si="0"/>
        <v>2.4</v>
      </c>
      <c r="E10" s="102">
        <f t="shared" si="1"/>
        <v>2.4</v>
      </c>
      <c r="F10" s="7">
        <f t="shared" si="2"/>
        <v>7</v>
      </c>
      <c r="G10" s="8">
        <f t="shared" si="3"/>
        <v>10.5</v>
      </c>
    </row>
    <row r="11" spans="1:8">
      <c r="B11">
        <v>0</v>
      </c>
      <c r="C11">
        <v>26</v>
      </c>
      <c r="D11">
        <f t="shared" si="0"/>
        <v>1.04</v>
      </c>
      <c r="E11" s="102">
        <f t="shared" si="1"/>
        <v>1.04</v>
      </c>
      <c r="F11" s="7">
        <f t="shared" si="2"/>
        <v>3</v>
      </c>
      <c r="G11" s="8">
        <f t="shared" si="3"/>
        <v>4.5</v>
      </c>
    </row>
    <row r="13" spans="1:8">
      <c r="A13" t="s">
        <v>6</v>
      </c>
      <c r="B13" t="s">
        <v>1</v>
      </c>
      <c r="C13" t="s">
        <v>7</v>
      </c>
    </row>
    <row r="14" spans="1:8">
      <c r="B14">
        <v>9</v>
      </c>
      <c r="C14">
        <v>8683.59</v>
      </c>
      <c r="D14">
        <f t="shared" ref="D14:D23" si="4">(C14/25)</f>
        <v>347.3436</v>
      </c>
      <c r="E14" s="102">
        <f t="shared" ref="E14:E23" si="5">D14</f>
        <v>347.3436</v>
      </c>
      <c r="F14" s="7">
        <f t="shared" ref="F14:F23" si="6">ROUND(E14*3,0)</f>
        <v>1042</v>
      </c>
      <c r="G14" s="103">
        <f t="shared" ref="G14:G23" si="7">F14*1.5</f>
        <v>1563</v>
      </c>
    </row>
    <row r="15" spans="1:8">
      <c r="B15">
        <v>8</v>
      </c>
      <c r="C15">
        <v>7533.12</v>
      </c>
      <c r="D15">
        <f t="shared" si="4"/>
        <v>301.3248</v>
      </c>
      <c r="E15" s="102">
        <f t="shared" si="5"/>
        <v>301.3248</v>
      </c>
      <c r="F15" s="7">
        <f t="shared" si="6"/>
        <v>904</v>
      </c>
      <c r="G15" s="8">
        <f t="shared" si="7"/>
        <v>1356</v>
      </c>
    </row>
    <row r="16" spans="1:8">
      <c r="B16">
        <v>7</v>
      </c>
      <c r="C16">
        <v>3810.05</v>
      </c>
      <c r="D16">
        <f t="shared" si="4"/>
        <v>152.402</v>
      </c>
      <c r="E16" s="102">
        <f t="shared" si="5"/>
        <v>152.402</v>
      </c>
      <c r="F16" s="7">
        <f t="shared" si="6"/>
        <v>457</v>
      </c>
      <c r="G16" s="8">
        <f t="shared" si="7"/>
        <v>685.5</v>
      </c>
    </row>
    <row r="17" spans="2:7">
      <c r="B17">
        <v>6</v>
      </c>
      <c r="C17">
        <v>1941.61</v>
      </c>
      <c r="D17">
        <f t="shared" si="4"/>
        <v>77.6644</v>
      </c>
      <c r="E17" s="102">
        <f t="shared" si="5"/>
        <v>77.6644</v>
      </c>
      <c r="F17" s="7">
        <f t="shared" si="6"/>
        <v>233</v>
      </c>
      <c r="G17" s="15">
        <f t="shared" si="7"/>
        <v>349.5</v>
      </c>
    </row>
    <row r="18" spans="2:7">
      <c r="B18">
        <v>5</v>
      </c>
      <c r="C18">
        <v>816.94</v>
      </c>
      <c r="D18">
        <f t="shared" si="4"/>
        <v>32.6776</v>
      </c>
      <c r="E18" s="102">
        <f t="shared" si="5"/>
        <v>32.6776</v>
      </c>
      <c r="F18" s="7">
        <f t="shared" si="6"/>
        <v>98</v>
      </c>
      <c r="G18" s="8">
        <f t="shared" si="7"/>
        <v>147</v>
      </c>
    </row>
    <row r="19" spans="2:7">
      <c r="B19">
        <v>4</v>
      </c>
      <c r="C19">
        <v>398.73</v>
      </c>
      <c r="D19">
        <f t="shared" si="4"/>
        <v>15.9492</v>
      </c>
      <c r="E19" s="102">
        <f t="shared" si="5"/>
        <v>15.9492</v>
      </c>
      <c r="F19" s="7">
        <f t="shared" si="6"/>
        <v>48</v>
      </c>
      <c r="G19" s="8">
        <f t="shared" si="7"/>
        <v>72</v>
      </c>
    </row>
    <row r="20" spans="2:7">
      <c r="B20">
        <v>3</v>
      </c>
      <c r="C20">
        <v>363.06</v>
      </c>
      <c r="D20">
        <f t="shared" si="4"/>
        <v>14.5224</v>
      </c>
      <c r="E20" s="102">
        <f t="shared" si="5"/>
        <v>14.5224</v>
      </c>
      <c r="F20" s="7">
        <f t="shared" si="6"/>
        <v>44</v>
      </c>
      <c r="G20" s="11">
        <f t="shared" si="7"/>
        <v>66</v>
      </c>
    </row>
    <row r="21" spans="2:7">
      <c r="B21">
        <v>2</v>
      </c>
      <c r="C21">
        <v>180.44</v>
      </c>
      <c r="D21">
        <f t="shared" si="4"/>
        <v>7.2176</v>
      </c>
      <c r="E21" s="102">
        <f t="shared" si="5"/>
        <v>7.2176</v>
      </c>
      <c r="F21" s="7">
        <f t="shared" si="6"/>
        <v>22</v>
      </c>
      <c r="G21" s="8">
        <f t="shared" si="7"/>
        <v>33</v>
      </c>
    </row>
    <row r="22" spans="2:7">
      <c r="B22">
        <v>1</v>
      </c>
      <c r="C22">
        <v>116.1</v>
      </c>
      <c r="D22">
        <f t="shared" si="4"/>
        <v>4.644</v>
      </c>
      <c r="E22" s="102">
        <f t="shared" si="5"/>
        <v>4.644</v>
      </c>
      <c r="F22" s="7">
        <f t="shared" si="6"/>
        <v>14</v>
      </c>
      <c r="G22" s="8">
        <f t="shared" si="7"/>
        <v>21</v>
      </c>
    </row>
    <row r="23" spans="2:7">
      <c r="B23">
        <v>0</v>
      </c>
      <c r="C23">
        <v>59.82</v>
      </c>
      <c r="D23">
        <f t="shared" si="4"/>
        <v>2.3928</v>
      </c>
      <c r="E23" s="102">
        <f t="shared" si="5"/>
        <v>2.3928</v>
      </c>
      <c r="F23" s="7">
        <f t="shared" si="6"/>
        <v>7</v>
      </c>
      <c r="G23" s="8">
        <f t="shared" si="7"/>
        <v>10.5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Y11"/>
  <sheetViews>
    <sheetView workbookViewId="0">
      <selection activeCell="D44" sqref="D44"/>
    </sheetView>
  </sheetViews>
  <sheetFormatPr defaultColWidth="9" defaultRowHeight="13.5"/>
  <cols>
    <col min="1" max="2" width="5.725" style="7" customWidth="1"/>
    <col min="3" max="3" width="14.6333333333333" style="7" customWidth="1"/>
    <col min="4" max="4" width="12.3666666666667" style="7" customWidth="1"/>
    <col min="5" max="5" width="23.9083333333333" style="7" customWidth="1"/>
    <col min="6" max="6" width="18.9083333333333" style="7" customWidth="1"/>
    <col min="7" max="10" width="18.9083333333333" style="7" hidden="1" customWidth="1"/>
    <col min="11" max="11" width="19.3666666666667" style="7" hidden="1" customWidth="1"/>
    <col min="12" max="12" width="14.6333333333333" style="7" hidden="1" customWidth="1"/>
    <col min="13" max="13" width="17" style="7" hidden="1" customWidth="1"/>
    <col min="14" max="14" width="21.6333333333333" style="7" hidden="1" customWidth="1"/>
    <col min="15" max="15" width="9.90833333333333" style="7" hidden="1" customWidth="1"/>
    <col min="16" max="16" width="9.90833333333333" style="7" customWidth="1"/>
    <col min="17" max="17" width="14.6333333333333" style="7" customWidth="1"/>
    <col min="18" max="18" width="38.1833333333333" style="7" hidden="1" customWidth="1"/>
    <col min="19" max="19" width="31.0916666666667" style="7" hidden="1" customWidth="1"/>
    <col min="20" max="20" width="15.8166666666667" style="7" hidden="1" customWidth="1"/>
    <col min="21" max="21" width="15.1833333333333" style="7" hidden="1" customWidth="1"/>
    <col min="22" max="22" width="35.8166666666667" style="7" customWidth="1"/>
    <col min="23" max="23" width="19.3666666666667" style="7" customWidth="1"/>
    <col min="24" max="24" width="9" style="7" customWidth="1"/>
    <col min="25" max="25" width="9.90833333333333" style="7" customWidth="1"/>
    <col min="26" max="26" width="24.0916666666667" style="7" hidden="1" customWidth="1"/>
    <col min="27" max="27" width="22.725" style="7" customWidth="1"/>
    <col min="28" max="29" width="56.8166666666667" style="7" hidden="1" customWidth="1"/>
    <col min="30" max="30" width="3.18333333333333" style="26" customWidth="1"/>
    <col min="31" max="31" width="5.54166666666667" style="7" customWidth="1"/>
    <col min="32" max="32" width="9" style="7"/>
    <col min="33" max="34" width="12.8166666666667" style="7"/>
    <col min="35" max="35" width="23" style="7" customWidth="1"/>
    <col min="36" max="233" width="9" style="7"/>
    <col min="234" max="16384" width="9" style="26"/>
  </cols>
  <sheetData>
    <row r="1" s="95" customFormat="1" spans="1:233">
      <c r="A1" s="97" t="s">
        <v>8</v>
      </c>
      <c r="B1" s="97" t="s">
        <v>9</v>
      </c>
      <c r="C1" s="97" t="s">
        <v>10</v>
      </c>
      <c r="D1" s="97" t="s">
        <v>11</v>
      </c>
      <c r="E1" s="97"/>
      <c r="F1" s="97" t="s">
        <v>12</v>
      </c>
      <c r="G1" s="97" t="s">
        <v>13</v>
      </c>
      <c r="H1" s="97"/>
      <c r="I1" s="97" t="s">
        <v>14</v>
      </c>
      <c r="J1" s="97"/>
      <c r="K1" s="97" t="s">
        <v>15</v>
      </c>
      <c r="L1" s="97" t="s">
        <v>16</v>
      </c>
      <c r="M1" s="97" t="s">
        <v>17</v>
      </c>
      <c r="N1" s="97" t="s">
        <v>18</v>
      </c>
      <c r="O1" s="97" t="s">
        <v>19</v>
      </c>
      <c r="P1" s="97" t="s">
        <v>20</v>
      </c>
      <c r="Q1" s="97" t="s">
        <v>21</v>
      </c>
      <c r="R1" s="97" t="s">
        <v>22</v>
      </c>
      <c r="S1" s="97" t="s">
        <v>23</v>
      </c>
      <c r="T1" s="97" t="s">
        <v>24</v>
      </c>
      <c r="U1" s="97"/>
      <c r="V1" s="97" t="s">
        <v>25</v>
      </c>
      <c r="W1" s="97" t="s">
        <v>26</v>
      </c>
      <c r="X1" s="97" t="s">
        <v>27</v>
      </c>
      <c r="Y1" s="97" t="s">
        <v>28</v>
      </c>
      <c r="Z1" s="97" t="s">
        <v>29</v>
      </c>
      <c r="AA1" s="97" t="s">
        <v>30</v>
      </c>
      <c r="AB1" s="97" t="s">
        <v>31</v>
      </c>
      <c r="AC1" s="97" t="s">
        <v>32</v>
      </c>
      <c r="AE1" s="98" t="s">
        <v>33</v>
      </c>
      <c r="AF1" s="98" t="s">
        <v>34</v>
      </c>
      <c r="AG1" s="98" t="s">
        <v>35</v>
      </c>
      <c r="AH1" s="98" t="s">
        <v>36</v>
      </c>
      <c r="AI1" s="98" t="s">
        <v>37</v>
      </c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  <c r="CB1" s="99"/>
      <c r="CC1" s="99"/>
      <c r="CD1" s="99"/>
      <c r="CE1" s="99"/>
      <c r="CF1" s="99"/>
      <c r="CG1" s="99"/>
      <c r="CH1" s="99"/>
      <c r="CI1" s="99"/>
      <c r="CJ1" s="99"/>
      <c r="CK1" s="99"/>
      <c r="CL1" s="99"/>
      <c r="CM1" s="99"/>
      <c r="CN1" s="99"/>
      <c r="CO1" s="99"/>
      <c r="CP1" s="99"/>
      <c r="CQ1" s="99"/>
      <c r="CR1" s="99"/>
      <c r="CS1" s="99"/>
      <c r="CT1" s="99"/>
      <c r="CU1" s="99"/>
      <c r="CV1" s="99"/>
      <c r="CW1" s="99"/>
      <c r="CX1" s="99"/>
      <c r="CY1" s="99"/>
      <c r="CZ1" s="99"/>
      <c r="DA1" s="99"/>
      <c r="DB1" s="99"/>
      <c r="DC1" s="99"/>
      <c r="DD1" s="99"/>
      <c r="DE1" s="99"/>
      <c r="DF1" s="99"/>
      <c r="DG1" s="99"/>
      <c r="DH1" s="99"/>
      <c r="DI1" s="99"/>
      <c r="DJ1" s="99"/>
      <c r="DK1" s="99"/>
      <c r="DL1" s="99"/>
      <c r="DM1" s="99"/>
      <c r="DN1" s="99"/>
      <c r="DO1" s="99"/>
      <c r="DP1" s="99"/>
      <c r="DQ1" s="99"/>
      <c r="DR1" s="99"/>
      <c r="DS1" s="99"/>
      <c r="DT1" s="99"/>
      <c r="DU1" s="99"/>
      <c r="DV1" s="99"/>
      <c r="DW1" s="99"/>
      <c r="DX1" s="99"/>
      <c r="DY1" s="99"/>
      <c r="DZ1" s="99"/>
      <c r="EA1" s="99"/>
      <c r="EB1" s="99"/>
      <c r="EC1" s="99"/>
      <c r="ED1" s="99"/>
      <c r="EE1" s="99"/>
      <c r="EF1" s="99"/>
      <c r="EG1" s="99"/>
      <c r="EH1" s="99"/>
      <c r="EI1" s="99"/>
      <c r="EJ1" s="99"/>
      <c r="EK1" s="99"/>
      <c r="EL1" s="99"/>
      <c r="EM1" s="99"/>
      <c r="EN1" s="99"/>
      <c r="EO1" s="99"/>
      <c r="EP1" s="99"/>
      <c r="EQ1" s="99"/>
      <c r="ER1" s="99"/>
      <c r="ES1" s="99"/>
      <c r="ET1" s="99"/>
      <c r="EU1" s="99"/>
      <c r="EV1" s="99"/>
      <c r="EW1" s="99"/>
      <c r="EX1" s="99"/>
      <c r="EY1" s="99"/>
      <c r="EZ1" s="99"/>
      <c r="FA1" s="99"/>
      <c r="FB1" s="99"/>
      <c r="FC1" s="99"/>
      <c r="FD1" s="99"/>
      <c r="FE1" s="99"/>
      <c r="FF1" s="99"/>
      <c r="FG1" s="99"/>
      <c r="FH1" s="99"/>
      <c r="FI1" s="99"/>
      <c r="FJ1" s="99"/>
      <c r="FK1" s="99"/>
      <c r="FL1" s="99"/>
      <c r="FM1" s="99"/>
      <c r="FN1" s="99"/>
      <c r="FO1" s="99"/>
      <c r="FP1" s="99"/>
      <c r="FQ1" s="99"/>
      <c r="FR1" s="99"/>
      <c r="FS1" s="99"/>
      <c r="FT1" s="99"/>
      <c r="FU1" s="99"/>
      <c r="FV1" s="99"/>
      <c r="FW1" s="99"/>
      <c r="FX1" s="99"/>
      <c r="FY1" s="99"/>
      <c r="FZ1" s="99"/>
      <c r="GA1" s="99"/>
      <c r="GB1" s="99"/>
      <c r="GC1" s="99"/>
      <c r="GD1" s="99"/>
      <c r="GE1" s="99"/>
      <c r="GF1" s="99"/>
      <c r="GG1" s="99"/>
      <c r="GH1" s="99"/>
      <c r="GI1" s="99"/>
      <c r="GJ1" s="99"/>
      <c r="GK1" s="99"/>
      <c r="GL1" s="99"/>
      <c r="GM1" s="99"/>
      <c r="GN1" s="99"/>
      <c r="GO1" s="99"/>
      <c r="GP1" s="99"/>
      <c r="GQ1" s="99"/>
      <c r="GR1" s="99"/>
      <c r="GS1" s="99"/>
      <c r="GT1" s="99"/>
      <c r="GU1" s="99"/>
      <c r="GV1" s="99"/>
      <c r="GW1" s="99"/>
      <c r="GX1" s="99"/>
      <c r="GY1" s="99"/>
      <c r="GZ1" s="99"/>
      <c r="HA1" s="99"/>
      <c r="HB1" s="99"/>
      <c r="HC1" s="99"/>
      <c r="HD1" s="99"/>
      <c r="HE1" s="99"/>
      <c r="HF1" s="99"/>
      <c r="HG1" s="99"/>
      <c r="HH1" s="99"/>
      <c r="HI1" s="99"/>
      <c r="HJ1" s="99"/>
      <c r="HK1" s="99"/>
      <c r="HL1" s="99"/>
      <c r="HM1" s="99"/>
      <c r="HN1" s="99"/>
      <c r="HO1" s="99"/>
      <c r="HP1" s="99"/>
      <c r="HQ1" s="99"/>
      <c r="HR1" s="99"/>
      <c r="HS1" s="99"/>
      <c r="HT1" s="99"/>
      <c r="HU1" s="99"/>
      <c r="HV1" s="99"/>
      <c r="HW1" s="99"/>
      <c r="HX1" s="99"/>
      <c r="HY1" s="99"/>
    </row>
    <row r="2" s="96" customFormat="1" spans="1:233">
      <c r="A2" s="100">
        <v>1</v>
      </c>
      <c r="B2" s="100">
        <v>1</v>
      </c>
      <c r="C2" s="100">
        <v>70</v>
      </c>
      <c r="D2" s="100">
        <v>9.072</v>
      </c>
      <c r="E2" s="100">
        <v>30</v>
      </c>
      <c r="F2" s="100">
        <f t="shared" ref="F2:F10" si="0">(D2/($X$2*$Y$2))/0.5</f>
        <v>1.008</v>
      </c>
      <c r="G2" s="100"/>
      <c r="H2" s="100"/>
      <c r="I2" s="100"/>
      <c r="J2" s="100"/>
      <c r="K2" s="100"/>
      <c r="L2" s="100">
        <v>8</v>
      </c>
      <c r="M2" s="100">
        <v>0</v>
      </c>
      <c r="N2" s="100">
        <f t="shared" ref="N2:N9" si="1">M2/P2</f>
        <v>0</v>
      </c>
      <c r="O2" s="100"/>
      <c r="P2" s="100">
        <v>5</v>
      </c>
      <c r="Q2" s="100">
        <v>5</v>
      </c>
      <c r="R2" s="100">
        <v>16.8</v>
      </c>
      <c r="S2" s="100">
        <v>16.8</v>
      </c>
      <c r="T2" s="100">
        <f>D2+G2+I2</f>
        <v>9.072</v>
      </c>
      <c r="U2" s="100">
        <f>E2+H2+J2</f>
        <v>30</v>
      </c>
      <c r="V2" s="100">
        <f>T2/(1.5*12)</f>
        <v>0.504</v>
      </c>
      <c r="W2" s="100">
        <f t="shared" ref="W2:W10" si="2">V2/0.5</f>
        <v>1.008</v>
      </c>
      <c r="X2" s="100">
        <v>1.5</v>
      </c>
      <c r="Y2" s="100">
        <v>12</v>
      </c>
      <c r="Z2" s="100">
        <f t="shared" ref="Z2:Z9" si="3">C2/P2</f>
        <v>14</v>
      </c>
      <c r="AA2" s="100">
        <f t="shared" ref="AA2:AA9" si="4">W2/P2</f>
        <v>0.2016</v>
      </c>
      <c r="AB2" s="100" t="s">
        <v>38</v>
      </c>
      <c r="AC2" s="100" t="s">
        <v>39</v>
      </c>
      <c r="AE2" s="100">
        <v>1</v>
      </c>
      <c r="AF2" s="100">
        <v>5</v>
      </c>
      <c r="AG2" s="100">
        <f>ROUND(C2/AF2,0)</f>
        <v>14</v>
      </c>
      <c r="AH2" s="100">
        <v>0.26</v>
      </c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0"/>
      <c r="BV2" s="100"/>
      <c r="BW2" s="100"/>
      <c r="BX2" s="100"/>
      <c r="BY2" s="100"/>
      <c r="BZ2" s="100"/>
      <c r="CA2" s="100"/>
      <c r="CB2" s="100"/>
      <c r="CC2" s="100"/>
      <c r="CD2" s="100"/>
      <c r="CE2" s="100"/>
      <c r="CF2" s="100"/>
      <c r="CG2" s="100"/>
      <c r="CH2" s="100"/>
      <c r="CI2" s="100"/>
      <c r="CJ2" s="100"/>
      <c r="CK2" s="100"/>
      <c r="CL2" s="100"/>
      <c r="CM2" s="100"/>
      <c r="CN2" s="100"/>
      <c r="CO2" s="100"/>
      <c r="CP2" s="100"/>
      <c r="CQ2" s="100"/>
      <c r="CR2" s="100"/>
      <c r="CS2" s="100"/>
      <c r="CT2" s="100"/>
      <c r="CU2" s="100"/>
      <c r="CV2" s="100"/>
      <c r="CW2" s="100"/>
      <c r="CX2" s="100"/>
      <c r="CY2" s="100"/>
      <c r="CZ2" s="100"/>
      <c r="DA2" s="100"/>
      <c r="DB2" s="100"/>
      <c r="DC2" s="100"/>
      <c r="DD2" s="100"/>
      <c r="DE2" s="100"/>
      <c r="DF2" s="100"/>
      <c r="DG2" s="100"/>
      <c r="DH2" s="100"/>
      <c r="DI2" s="100"/>
      <c r="DJ2" s="100"/>
      <c r="DK2" s="100"/>
      <c r="DL2" s="100"/>
      <c r="DM2" s="100"/>
      <c r="DN2" s="100"/>
      <c r="DO2" s="100"/>
      <c r="DP2" s="100"/>
      <c r="DQ2" s="100"/>
      <c r="DR2" s="100"/>
      <c r="DS2" s="100"/>
      <c r="DT2" s="100"/>
      <c r="DU2" s="100"/>
      <c r="DV2" s="100"/>
      <c r="DW2" s="100"/>
      <c r="DX2" s="100"/>
      <c r="DY2" s="100"/>
      <c r="DZ2" s="100"/>
      <c r="EA2" s="100"/>
      <c r="EB2" s="100"/>
      <c r="EC2" s="100"/>
      <c r="ED2" s="100"/>
      <c r="EE2" s="100"/>
      <c r="EF2" s="100"/>
      <c r="EG2" s="100"/>
      <c r="EH2" s="100"/>
      <c r="EI2" s="100"/>
      <c r="EJ2" s="100"/>
      <c r="EK2" s="100"/>
      <c r="EL2" s="100"/>
      <c r="EM2" s="100"/>
      <c r="EN2" s="100"/>
      <c r="EO2" s="100"/>
      <c r="EP2" s="100"/>
      <c r="EQ2" s="100"/>
      <c r="ER2" s="100"/>
      <c r="ES2" s="100"/>
      <c r="ET2" s="100"/>
      <c r="EU2" s="100"/>
      <c r="EV2" s="100"/>
      <c r="EW2" s="100"/>
      <c r="EX2" s="100"/>
      <c r="EY2" s="100"/>
      <c r="EZ2" s="100"/>
      <c r="FA2" s="100"/>
      <c r="FB2" s="100"/>
      <c r="FC2" s="100"/>
      <c r="FD2" s="100"/>
      <c r="FE2" s="100"/>
      <c r="FF2" s="100"/>
      <c r="FG2" s="100"/>
      <c r="FH2" s="100"/>
      <c r="FI2" s="100"/>
      <c r="FJ2" s="100"/>
      <c r="FK2" s="100"/>
      <c r="FL2" s="100"/>
      <c r="FM2" s="100"/>
      <c r="FN2" s="100"/>
      <c r="FO2" s="100"/>
      <c r="FP2" s="100"/>
      <c r="FQ2" s="100"/>
      <c r="FR2" s="100"/>
      <c r="FS2" s="100"/>
      <c r="FT2" s="100"/>
      <c r="FU2" s="100"/>
      <c r="FV2" s="100"/>
      <c r="FW2" s="100"/>
      <c r="FX2" s="100"/>
      <c r="FY2" s="100"/>
      <c r="FZ2" s="100"/>
      <c r="GA2" s="100"/>
      <c r="GB2" s="100"/>
      <c r="GC2" s="100"/>
      <c r="GD2" s="100"/>
      <c r="GE2" s="100"/>
      <c r="GF2" s="100"/>
      <c r="GG2" s="100"/>
      <c r="GH2" s="100"/>
      <c r="GI2" s="100"/>
      <c r="GJ2" s="100"/>
      <c r="GK2" s="100"/>
      <c r="GL2" s="100"/>
      <c r="GM2" s="100"/>
      <c r="GN2" s="100"/>
      <c r="GO2" s="100"/>
      <c r="GP2" s="100"/>
      <c r="GQ2" s="100"/>
      <c r="GR2" s="100"/>
      <c r="GS2" s="100"/>
      <c r="GT2" s="100"/>
      <c r="GU2" s="100"/>
      <c r="GV2" s="100"/>
      <c r="GW2" s="100"/>
      <c r="GX2" s="100"/>
      <c r="GY2" s="100"/>
      <c r="GZ2" s="100"/>
      <c r="HA2" s="100"/>
      <c r="HB2" s="100"/>
      <c r="HC2" s="100"/>
      <c r="HD2" s="100"/>
      <c r="HE2" s="100"/>
      <c r="HF2" s="100"/>
      <c r="HG2" s="100"/>
      <c r="HH2" s="100"/>
      <c r="HI2" s="100"/>
      <c r="HJ2" s="100"/>
      <c r="HK2" s="100"/>
      <c r="HL2" s="100"/>
      <c r="HM2" s="100"/>
      <c r="HN2" s="100"/>
      <c r="HO2" s="100"/>
      <c r="HP2" s="100"/>
      <c r="HQ2" s="100"/>
      <c r="HR2" s="100"/>
      <c r="HS2" s="100"/>
      <c r="HT2" s="100"/>
      <c r="HU2" s="100"/>
      <c r="HV2" s="100"/>
      <c r="HW2" s="100"/>
      <c r="HX2" s="100"/>
      <c r="HY2" s="100"/>
    </row>
    <row r="3" s="96" customFormat="1" spans="1:233">
      <c r="A3" s="100">
        <v>1</v>
      </c>
      <c r="B3" s="100">
        <v>2</v>
      </c>
      <c r="C3" s="100">
        <v>150</v>
      </c>
      <c r="D3" s="100">
        <v>13.608</v>
      </c>
      <c r="E3" s="100">
        <v>50</v>
      </c>
      <c r="F3" s="100">
        <f t="shared" si="0"/>
        <v>1.512</v>
      </c>
      <c r="G3" s="100"/>
      <c r="H3" s="100">
        <v>5</v>
      </c>
      <c r="I3" s="100">
        <v>5.44</v>
      </c>
      <c r="J3" s="100"/>
      <c r="K3" s="100">
        <v>2</v>
      </c>
      <c r="L3" s="100">
        <v>24</v>
      </c>
      <c r="M3" s="100">
        <v>0</v>
      </c>
      <c r="N3" s="100">
        <f t="shared" si="1"/>
        <v>0</v>
      </c>
      <c r="O3" s="100"/>
      <c r="P3" s="100">
        <v>8</v>
      </c>
      <c r="Q3" s="100">
        <f t="shared" ref="Q3:Q10" si="5">P3+Q2</f>
        <v>13</v>
      </c>
      <c r="R3" s="100">
        <v>39.2</v>
      </c>
      <c r="S3" s="100">
        <f t="shared" ref="S3:S10" si="6">S2+R3</f>
        <v>56</v>
      </c>
      <c r="T3" s="100">
        <f>D3+G3+I3+T2</f>
        <v>28.12</v>
      </c>
      <c r="U3" s="100">
        <f t="shared" ref="U3:U10" si="7">E3+H3+J3+U2</f>
        <v>85</v>
      </c>
      <c r="V3" s="100">
        <f t="shared" ref="V3:V10" si="8">(T3-T2)/(X3*Y3)</f>
        <v>1.05822222222222</v>
      </c>
      <c r="W3" s="100">
        <f t="shared" si="2"/>
        <v>2.11644444444444</v>
      </c>
      <c r="X3" s="100">
        <v>1.5</v>
      </c>
      <c r="Y3" s="100">
        <v>12</v>
      </c>
      <c r="Z3" s="100">
        <f t="shared" si="3"/>
        <v>18.75</v>
      </c>
      <c r="AA3" s="100">
        <f t="shared" si="4"/>
        <v>0.264555555555556</v>
      </c>
      <c r="AB3" s="100" t="s">
        <v>40</v>
      </c>
      <c r="AC3" s="100" t="s">
        <v>39</v>
      </c>
      <c r="AE3" s="100">
        <v>2</v>
      </c>
      <c r="AF3" s="100">
        <v>7</v>
      </c>
      <c r="AG3" s="100">
        <f t="shared" ref="AG3:AG9" si="9">ROUND(C3/AF3,0)</f>
        <v>21</v>
      </c>
      <c r="AH3" s="100">
        <v>0.23</v>
      </c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  <c r="CD3" s="100"/>
      <c r="CE3" s="100"/>
      <c r="CF3" s="100"/>
      <c r="CG3" s="100"/>
      <c r="CH3" s="100"/>
      <c r="CI3" s="100"/>
      <c r="CJ3" s="100"/>
      <c r="CK3" s="100"/>
      <c r="CL3" s="100"/>
      <c r="CM3" s="100"/>
      <c r="CN3" s="100"/>
      <c r="CO3" s="100"/>
      <c r="CP3" s="100"/>
      <c r="CQ3" s="100"/>
      <c r="CR3" s="100"/>
      <c r="CS3" s="100"/>
      <c r="CT3" s="100"/>
      <c r="CU3" s="100"/>
      <c r="CV3" s="100"/>
      <c r="CW3" s="100"/>
      <c r="CX3" s="100"/>
      <c r="CY3" s="100"/>
      <c r="CZ3" s="100"/>
      <c r="DA3" s="100"/>
      <c r="DB3" s="100"/>
      <c r="DC3" s="100"/>
      <c r="DD3" s="100"/>
      <c r="DE3" s="100"/>
      <c r="DF3" s="100"/>
      <c r="DG3" s="100"/>
      <c r="DH3" s="100"/>
      <c r="DI3" s="100"/>
      <c r="DJ3" s="100"/>
      <c r="DK3" s="100"/>
      <c r="DL3" s="100"/>
      <c r="DM3" s="100"/>
      <c r="DN3" s="100"/>
      <c r="DO3" s="100"/>
      <c r="DP3" s="100"/>
      <c r="DQ3" s="100"/>
      <c r="DR3" s="100"/>
      <c r="DS3" s="100"/>
      <c r="DT3" s="100"/>
      <c r="DU3" s="100"/>
      <c r="DV3" s="100"/>
      <c r="DW3" s="100"/>
      <c r="DX3" s="100"/>
      <c r="DY3" s="100"/>
      <c r="DZ3" s="100"/>
      <c r="EA3" s="100"/>
      <c r="EB3" s="100"/>
      <c r="EC3" s="100"/>
      <c r="ED3" s="100"/>
      <c r="EE3" s="100"/>
      <c r="EF3" s="100"/>
      <c r="EG3" s="100"/>
      <c r="EH3" s="100"/>
      <c r="EI3" s="100"/>
      <c r="EJ3" s="100"/>
      <c r="EK3" s="100"/>
      <c r="EL3" s="100"/>
      <c r="EM3" s="100"/>
      <c r="EN3" s="100"/>
      <c r="EO3" s="100"/>
      <c r="EP3" s="100"/>
      <c r="EQ3" s="100"/>
      <c r="ER3" s="100"/>
      <c r="ES3" s="100"/>
      <c r="ET3" s="100"/>
      <c r="EU3" s="100"/>
      <c r="EV3" s="100"/>
      <c r="EW3" s="100"/>
      <c r="EX3" s="100"/>
      <c r="EY3" s="100"/>
      <c r="EZ3" s="100"/>
      <c r="FA3" s="100"/>
      <c r="FB3" s="100"/>
      <c r="FC3" s="100"/>
      <c r="FD3" s="100"/>
      <c r="FE3" s="100"/>
      <c r="FF3" s="100"/>
      <c r="FG3" s="100"/>
      <c r="FH3" s="100"/>
      <c r="FI3" s="100"/>
      <c r="FJ3" s="100"/>
      <c r="FK3" s="100"/>
      <c r="FL3" s="100"/>
      <c r="FM3" s="100"/>
      <c r="FN3" s="100"/>
      <c r="FO3" s="100"/>
      <c r="FP3" s="100"/>
      <c r="FQ3" s="100"/>
      <c r="FR3" s="100"/>
      <c r="FS3" s="100"/>
      <c r="FT3" s="100"/>
      <c r="FU3" s="100"/>
      <c r="FV3" s="100"/>
      <c r="FW3" s="100"/>
      <c r="FX3" s="100"/>
      <c r="FY3" s="100"/>
      <c r="FZ3" s="100"/>
      <c r="GA3" s="100"/>
      <c r="GB3" s="100"/>
      <c r="GC3" s="100"/>
      <c r="GD3" s="100"/>
      <c r="GE3" s="100"/>
      <c r="GF3" s="100"/>
      <c r="GG3" s="100"/>
      <c r="GH3" s="100"/>
      <c r="GI3" s="100"/>
      <c r="GJ3" s="100"/>
      <c r="GK3" s="100"/>
      <c r="GL3" s="100"/>
      <c r="GM3" s="100"/>
      <c r="GN3" s="100"/>
      <c r="GO3" s="100"/>
      <c r="GP3" s="100"/>
      <c r="GQ3" s="100"/>
      <c r="GR3" s="100"/>
      <c r="GS3" s="100"/>
      <c r="GT3" s="100"/>
      <c r="GU3" s="100"/>
      <c r="GV3" s="100"/>
      <c r="GW3" s="100"/>
      <c r="GX3" s="100"/>
      <c r="GY3" s="100"/>
      <c r="GZ3" s="100"/>
      <c r="HA3" s="100"/>
      <c r="HB3" s="100"/>
      <c r="HC3" s="100"/>
      <c r="HD3" s="100"/>
      <c r="HE3" s="100"/>
      <c r="HF3" s="100"/>
      <c r="HG3" s="100"/>
      <c r="HH3" s="100"/>
      <c r="HI3" s="100"/>
      <c r="HJ3" s="100"/>
      <c r="HK3" s="100"/>
      <c r="HL3" s="100"/>
      <c r="HM3" s="100"/>
      <c r="HN3" s="100"/>
      <c r="HO3" s="100"/>
      <c r="HP3" s="100"/>
      <c r="HQ3" s="100"/>
      <c r="HR3" s="100"/>
      <c r="HS3" s="100"/>
      <c r="HT3" s="100"/>
      <c r="HU3" s="100"/>
      <c r="HV3" s="100"/>
      <c r="HW3" s="100"/>
      <c r="HX3" s="100"/>
      <c r="HY3" s="100"/>
    </row>
    <row r="4" s="96" customFormat="1" spans="1:233">
      <c r="A4" s="100">
        <v>1</v>
      </c>
      <c r="B4" s="100">
        <v>3</v>
      </c>
      <c r="C4" s="100">
        <v>300</v>
      </c>
      <c r="D4" s="100">
        <v>18.144</v>
      </c>
      <c r="E4" s="100">
        <v>70</v>
      </c>
      <c r="F4" s="100">
        <f t="shared" si="0"/>
        <v>2.016</v>
      </c>
      <c r="G4" s="100"/>
      <c r="H4" s="100"/>
      <c r="I4" s="100"/>
      <c r="J4" s="100"/>
      <c r="K4" s="100">
        <v>0</v>
      </c>
      <c r="L4" s="100">
        <v>15</v>
      </c>
      <c r="M4" s="100">
        <v>0</v>
      </c>
      <c r="N4" s="100">
        <f t="shared" si="1"/>
        <v>0</v>
      </c>
      <c r="O4" s="100"/>
      <c r="P4" s="100">
        <v>9</v>
      </c>
      <c r="Q4" s="100">
        <f t="shared" si="5"/>
        <v>22</v>
      </c>
      <c r="R4" s="100">
        <v>50.4</v>
      </c>
      <c r="S4" s="100">
        <f t="shared" si="6"/>
        <v>106.4</v>
      </c>
      <c r="T4" s="100">
        <f>D4+G4+I4+T3</f>
        <v>46.264</v>
      </c>
      <c r="U4" s="100">
        <f t="shared" si="7"/>
        <v>155</v>
      </c>
      <c r="V4" s="100">
        <f t="shared" si="8"/>
        <v>1.008</v>
      </c>
      <c r="W4" s="100">
        <f t="shared" si="2"/>
        <v>2.016</v>
      </c>
      <c r="X4" s="100">
        <v>1.5</v>
      </c>
      <c r="Y4" s="100">
        <v>12</v>
      </c>
      <c r="Z4" s="100">
        <f t="shared" si="3"/>
        <v>33.3333333333333</v>
      </c>
      <c r="AA4" s="100">
        <f t="shared" si="4"/>
        <v>0.224</v>
      </c>
      <c r="AB4" s="100"/>
      <c r="AC4" s="100" t="s">
        <v>39</v>
      </c>
      <c r="AE4" s="100">
        <v>3</v>
      </c>
      <c r="AF4" s="100">
        <v>9</v>
      </c>
      <c r="AG4" s="100">
        <f t="shared" si="9"/>
        <v>33</v>
      </c>
      <c r="AH4" s="100">
        <v>0.21</v>
      </c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  <c r="BY4" s="100"/>
      <c r="BZ4" s="100"/>
      <c r="CA4" s="100"/>
      <c r="CB4" s="100"/>
      <c r="CC4" s="100"/>
      <c r="CD4" s="100"/>
      <c r="CE4" s="100"/>
      <c r="CF4" s="100"/>
      <c r="CG4" s="100"/>
      <c r="CH4" s="100"/>
      <c r="CI4" s="100"/>
      <c r="CJ4" s="100"/>
      <c r="CK4" s="100"/>
      <c r="CL4" s="100"/>
      <c r="CM4" s="100"/>
      <c r="CN4" s="100"/>
      <c r="CO4" s="100"/>
      <c r="CP4" s="100"/>
      <c r="CQ4" s="100"/>
      <c r="CR4" s="100"/>
      <c r="CS4" s="100"/>
      <c r="CT4" s="100"/>
      <c r="CU4" s="100"/>
      <c r="CV4" s="100"/>
      <c r="CW4" s="100"/>
      <c r="CX4" s="100"/>
      <c r="CY4" s="100"/>
      <c r="CZ4" s="100"/>
      <c r="DA4" s="100"/>
      <c r="DB4" s="100"/>
      <c r="DC4" s="100"/>
      <c r="DD4" s="100"/>
      <c r="DE4" s="100"/>
      <c r="DF4" s="100"/>
      <c r="DG4" s="100"/>
      <c r="DH4" s="100"/>
      <c r="DI4" s="100"/>
      <c r="DJ4" s="100"/>
      <c r="DK4" s="100"/>
      <c r="DL4" s="100"/>
      <c r="DM4" s="100"/>
      <c r="DN4" s="100"/>
      <c r="DO4" s="100"/>
      <c r="DP4" s="100"/>
      <c r="DQ4" s="100"/>
      <c r="DR4" s="100"/>
      <c r="DS4" s="100"/>
      <c r="DT4" s="100"/>
      <c r="DU4" s="100"/>
      <c r="DV4" s="100"/>
      <c r="DW4" s="100"/>
      <c r="DX4" s="100"/>
      <c r="DY4" s="100"/>
      <c r="DZ4" s="100"/>
      <c r="EA4" s="100"/>
      <c r="EB4" s="100"/>
      <c r="EC4" s="100"/>
      <c r="ED4" s="100"/>
      <c r="EE4" s="100"/>
      <c r="EF4" s="100"/>
      <c r="EG4" s="100"/>
      <c r="EH4" s="100"/>
      <c r="EI4" s="100"/>
      <c r="EJ4" s="100"/>
      <c r="EK4" s="100"/>
      <c r="EL4" s="100"/>
      <c r="EM4" s="100"/>
      <c r="EN4" s="100"/>
      <c r="EO4" s="100"/>
      <c r="EP4" s="100"/>
      <c r="EQ4" s="100"/>
      <c r="ER4" s="100"/>
      <c r="ES4" s="100"/>
      <c r="ET4" s="100"/>
      <c r="EU4" s="100"/>
      <c r="EV4" s="100"/>
      <c r="EW4" s="100"/>
      <c r="EX4" s="100"/>
      <c r="EY4" s="100"/>
      <c r="EZ4" s="100"/>
      <c r="FA4" s="100"/>
      <c r="FB4" s="100"/>
      <c r="FC4" s="100"/>
      <c r="FD4" s="100"/>
      <c r="FE4" s="100"/>
      <c r="FF4" s="100"/>
      <c r="FG4" s="100"/>
      <c r="FH4" s="100"/>
      <c r="FI4" s="100"/>
      <c r="FJ4" s="100"/>
      <c r="FK4" s="100"/>
      <c r="FL4" s="100"/>
      <c r="FM4" s="100"/>
      <c r="FN4" s="100"/>
      <c r="FO4" s="100"/>
      <c r="FP4" s="100"/>
      <c r="FQ4" s="100"/>
      <c r="FR4" s="100"/>
      <c r="FS4" s="100"/>
      <c r="FT4" s="100"/>
      <c r="FU4" s="100"/>
      <c r="FV4" s="100"/>
      <c r="FW4" s="100"/>
      <c r="FX4" s="100"/>
      <c r="FY4" s="100"/>
      <c r="FZ4" s="100"/>
      <c r="GA4" s="100"/>
      <c r="GB4" s="100"/>
      <c r="GC4" s="100"/>
      <c r="GD4" s="100"/>
      <c r="GE4" s="100"/>
      <c r="GF4" s="100"/>
      <c r="GG4" s="100"/>
      <c r="GH4" s="100"/>
      <c r="GI4" s="100"/>
      <c r="GJ4" s="100"/>
      <c r="GK4" s="100"/>
      <c r="GL4" s="100"/>
      <c r="GM4" s="100"/>
      <c r="GN4" s="100"/>
      <c r="GO4" s="100"/>
      <c r="GP4" s="100"/>
      <c r="GQ4" s="100"/>
      <c r="GR4" s="100"/>
      <c r="GS4" s="100"/>
      <c r="GT4" s="100"/>
      <c r="GU4" s="100"/>
      <c r="GV4" s="100"/>
      <c r="GW4" s="100"/>
      <c r="GX4" s="100"/>
      <c r="GY4" s="100"/>
      <c r="GZ4" s="100"/>
      <c r="HA4" s="100"/>
      <c r="HB4" s="100"/>
      <c r="HC4" s="100"/>
      <c r="HD4" s="100"/>
      <c r="HE4" s="100"/>
      <c r="HF4" s="100"/>
      <c r="HG4" s="100"/>
      <c r="HH4" s="100"/>
      <c r="HI4" s="100"/>
      <c r="HJ4" s="100"/>
      <c r="HK4" s="100"/>
      <c r="HL4" s="100"/>
      <c r="HM4" s="100"/>
      <c r="HN4" s="100"/>
      <c r="HO4" s="100"/>
      <c r="HP4" s="100"/>
      <c r="HQ4" s="100"/>
      <c r="HR4" s="100"/>
      <c r="HS4" s="100"/>
      <c r="HT4" s="100"/>
      <c r="HU4" s="100"/>
      <c r="HV4" s="100"/>
      <c r="HW4" s="100"/>
      <c r="HX4" s="100"/>
      <c r="HY4" s="100"/>
    </row>
    <row r="5" s="96" customFormat="1" spans="1:233">
      <c r="A5" s="100">
        <v>1</v>
      </c>
      <c r="B5" s="100">
        <v>4</v>
      </c>
      <c r="C5" s="100">
        <v>600</v>
      </c>
      <c r="D5" s="100">
        <v>27.216</v>
      </c>
      <c r="E5" s="100">
        <v>90</v>
      </c>
      <c r="F5" s="100">
        <f t="shared" si="0"/>
        <v>3.024</v>
      </c>
      <c r="G5" s="100"/>
      <c r="H5" s="100"/>
      <c r="I5" s="100"/>
      <c r="J5" s="100"/>
      <c r="K5" s="100">
        <v>0</v>
      </c>
      <c r="L5" s="100">
        <v>17</v>
      </c>
      <c r="M5" s="100">
        <v>1</v>
      </c>
      <c r="N5" s="100">
        <f t="shared" si="1"/>
        <v>0.0769230769230769</v>
      </c>
      <c r="O5" s="100"/>
      <c r="P5" s="100">
        <v>13</v>
      </c>
      <c r="Q5" s="100">
        <f t="shared" si="5"/>
        <v>35</v>
      </c>
      <c r="R5" s="100">
        <v>0</v>
      </c>
      <c r="S5" s="100">
        <f t="shared" si="6"/>
        <v>106.4</v>
      </c>
      <c r="T5" s="100">
        <f>D5+G5+I5+T4</f>
        <v>73.48</v>
      </c>
      <c r="U5" s="100">
        <f t="shared" si="7"/>
        <v>245</v>
      </c>
      <c r="V5" s="100">
        <f t="shared" si="8"/>
        <v>1.512</v>
      </c>
      <c r="W5" s="100">
        <f t="shared" si="2"/>
        <v>3.024</v>
      </c>
      <c r="X5" s="100">
        <v>1.5</v>
      </c>
      <c r="Y5" s="100">
        <v>12</v>
      </c>
      <c r="Z5" s="100">
        <f t="shared" si="3"/>
        <v>46.1538461538462</v>
      </c>
      <c r="AA5" s="100">
        <f t="shared" si="4"/>
        <v>0.232615384615385</v>
      </c>
      <c r="AB5" s="100" t="s">
        <v>41</v>
      </c>
      <c r="AC5" s="100" t="s">
        <v>39</v>
      </c>
      <c r="AE5" s="100">
        <v>4</v>
      </c>
      <c r="AF5" s="100">
        <v>22</v>
      </c>
      <c r="AG5" s="100">
        <f t="shared" si="9"/>
        <v>27</v>
      </c>
      <c r="AH5" s="100">
        <v>0.18</v>
      </c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  <c r="CD5" s="100"/>
      <c r="CE5" s="100"/>
      <c r="CF5" s="100"/>
      <c r="CG5" s="100"/>
      <c r="CH5" s="100"/>
      <c r="CI5" s="100"/>
      <c r="CJ5" s="100"/>
      <c r="CK5" s="100"/>
      <c r="CL5" s="100"/>
      <c r="CM5" s="100"/>
      <c r="CN5" s="100"/>
      <c r="CO5" s="100"/>
      <c r="CP5" s="100"/>
      <c r="CQ5" s="100"/>
      <c r="CR5" s="100"/>
      <c r="CS5" s="100"/>
      <c r="CT5" s="100"/>
      <c r="CU5" s="100"/>
      <c r="CV5" s="100"/>
      <c r="CW5" s="100"/>
      <c r="CX5" s="100"/>
      <c r="CY5" s="100"/>
      <c r="CZ5" s="100"/>
      <c r="DA5" s="100"/>
      <c r="DB5" s="100"/>
      <c r="DC5" s="100"/>
      <c r="DD5" s="100"/>
      <c r="DE5" s="100"/>
      <c r="DF5" s="100"/>
      <c r="DG5" s="100"/>
      <c r="DH5" s="100"/>
      <c r="DI5" s="100"/>
      <c r="DJ5" s="100"/>
      <c r="DK5" s="100"/>
      <c r="DL5" s="100"/>
      <c r="DM5" s="100"/>
      <c r="DN5" s="100"/>
      <c r="DO5" s="100"/>
      <c r="DP5" s="100"/>
      <c r="DQ5" s="100"/>
      <c r="DR5" s="100"/>
      <c r="DS5" s="100"/>
      <c r="DT5" s="100"/>
      <c r="DU5" s="100"/>
      <c r="DV5" s="100"/>
      <c r="DW5" s="100"/>
      <c r="DX5" s="100"/>
      <c r="DY5" s="100"/>
      <c r="DZ5" s="100"/>
      <c r="EA5" s="100"/>
      <c r="EB5" s="100"/>
      <c r="EC5" s="100"/>
      <c r="ED5" s="100"/>
      <c r="EE5" s="100"/>
      <c r="EF5" s="100"/>
      <c r="EG5" s="100"/>
      <c r="EH5" s="100"/>
      <c r="EI5" s="100"/>
      <c r="EJ5" s="100"/>
      <c r="EK5" s="100"/>
      <c r="EL5" s="100"/>
      <c r="EM5" s="100"/>
      <c r="EN5" s="100"/>
      <c r="EO5" s="100"/>
      <c r="EP5" s="100"/>
      <c r="EQ5" s="100"/>
      <c r="ER5" s="100"/>
      <c r="ES5" s="100"/>
      <c r="ET5" s="100"/>
      <c r="EU5" s="100"/>
      <c r="EV5" s="100"/>
      <c r="EW5" s="100"/>
      <c r="EX5" s="100"/>
      <c r="EY5" s="100"/>
      <c r="EZ5" s="100"/>
      <c r="FA5" s="100"/>
      <c r="FB5" s="100"/>
      <c r="FC5" s="100"/>
      <c r="FD5" s="100"/>
      <c r="FE5" s="100"/>
      <c r="FF5" s="100"/>
      <c r="FG5" s="100"/>
      <c r="FH5" s="100"/>
      <c r="FI5" s="100"/>
      <c r="FJ5" s="100"/>
      <c r="FK5" s="100"/>
      <c r="FL5" s="100"/>
      <c r="FM5" s="100"/>
      <c r="FN5" s="100"/>
      <c r="FO5" s="100"/>
      <c r="FP5" s="100"/>
      <c r="FQ5" s="100"/>
      <c r="FR5" s="100"/>
      <c r="FS5" s="100"/>
      <c r="FT5" s="100"/>
      <c r="FU5" s="100"/>
      <c r="FV5" s="100"/>
      <c r="FW5" s="100"/>
      <c r="FX5" s="100"/>
      <c r="FY5" s="100"/>
      <c r="FZ5" s="100"/>
      <c r="GA5" s="100"/>
      <c r="GB5" s="100"/>
      <c r="GC5" s="100"/>
      <c r="GD5" s="100"/>
      <c r="GE5" s="100"/>
      <c r="GF5" s="100"/>
      <c r="GG5" s="100"/>
      <c r="GH5" s="100"/>
      <c r="GI5" s="100"/>
      <c r="GJ5" s="100"/>
      <c r="GK5" s="100"/>
      <c r="GL5" s="100"/>
      <c r="GM5" s="100"/>
      <c r="GN5" s="100"/>
      <c r="GO5" s="100"/>
      <c r="GP5" s="100"/>
      <c r="GQ5" s="100"/>
      <c r="GR5" s="100"/>
      <c r="GS5" s="100"/>
      <c r="GT5" s="100"/>
      <c r="GU5" s="100"/>
      <c r="GV5" s="100"/>
      <c r="GW5" s="100"/>
      <c r="GX5" s="100"/>
      <c r="GY5" s="100"/>
      <c r="GZ5" s="100"/>
      <c r="HA5" s="100"/>
      <c r="HB5" s="100"/>
      <c r="HC5" s="100"/>
      <c r="HD5" s="100"/>
      <c r="HE5" s="100"/>
      <c r="HF5" s="100"/>
      <c r="HG5" s="100"/>
      <c r="HH5" s="100"/>
      <c r="HI5" s="100"/>
      <c r="HJ5" s="100"/>
      <c r="HK5" s="100"/>
      <c r="HL5" s="100"/>
      <c r="HM5" s="100"/>
      <c r="HN5" s="100"/>
      <c r="HO5" s="100"/>
      <c r="HP5" s="100"/>
      <c r="HQ5" s="100"/>
      <c r="HR5" s="100"/>
      <c r="HS5" s="100"/>
      <c r="HT5" s="100"/>
      <c r="HU5" s="100"/>
      <c r="HV5" s="100"/>
      <c r="HW5" s="100"/>
      <c r="HX5" s="100"/>
      <c r="HY5" s="100"/>
    </row>
    <row r="6" s="96" customFormat="1" spans="1:233">
      <c r="A6" s="100">
        <v>1</v>
      </c>
      <c r="B6" s="100">
        <v>5</v>
      </c>
      <c r="C6" s="100">
        <v>1200</v>
      </c>
      <c r="D6" s="100">
        <v>40.824</v>
      </c>
      <c r="E6" s="100">
        <v>110</v>
      </c>
      <c r="F6" s="100">
        <f t="shared" si="0"/>
        <v>4.536</v>
      </c>
      <c r="G6" s="100"/>
      <c r="H6" s="100"/>
      <c r="I6" s="100">
        <v>16.7</v>
      </c>
      <c r="J6" s="100"/>
      <c r="K6" s="100">
        <v>1</v>
      </c>
      <c r="L6" s="100">
        <f>60+43</f>
        <v>103</v>
      </c>
      <c r="M6" s="100">
        <v>39</v>
      </c>
      <c r="N6" s="100">
        <f t="shared" si="1"/>
        <v>1.3448275862069</v>
      </c>
      <c r="O6" s="100"/>
      <c r="P6" s="100">
        <v>29</v>
      </c>
      <c r="Q6" s="100">
        <f t="shared" si="5"/>
        <v>64</v>
      </c>
      <c r="R6" s="100">
        <v>169.9</v>
      </c>
      <c r="S6" s="100">
        <f t="shared" si="6"/>
        <v>276.3</v>
      </c>
      <c r="T6" s="100">
        <f>D6+G6+I6+T5</f>
        <v>131.004</v>
      </c>
      <c r="U6" s="100">
        <f t="shared" si="7"/>
        <v>355</v>
      </c>
      <c r="V6" s="100">
        <f t="shared" si="8"/>
        <v>2.7392380952381</v>
      </c>
      <c r="W6" s="100">
        <f t="shared" si="2"/>
        <v>5.47847619047619</v>
      </c>
      <c r="X6" s="100">
        <v>1.5</v>
      </c>
      <c r="Y6" s="100">
        <v>14</v>
      </c>
      <c r="Z6" s="100">
        <f t="shared" si="3"/>
        <v>41.3793103448276</v>
      </c>
      <c r="AA6" s="100">
        <f t="shared" si="4"/>
        <v>0.188912972085386</v>
      </c>
      <c r="AB6" s="100"/>
      <c r="AC6" s="100" t="s">
        <v>42</v>
      </c>
      <c r="AE6" s="100">
        <v>5</v>
      </c>
      <c r="AF6" s="100">
        <v>40</v>
      </c>
      <c r="AG6" s="100">
        <f t="shared" si="9"/>
        <v>30</v>
      </c>
      <c r="AH6" s="100">
        <v>0.16</v>
      </c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00"/>
      <c r="BM6" s="100"/>
      <c r="BN6" s="100"/>
      <c r="BO6" s="100"/>
      <c r="BP6" s="100"/>
      <c r="BQ6" s="100"/>
      <c r="BR6" s="100"/>
      <c r="BS6" s="100"/>
      <c r="BT6" s="100"/>
      <c r="BU6" s="100"/>
      <c r="BV6" s="100"/>
      <c r="BW6" s="100"/>
      <c r="BX6" s="100"/>
      <c r="BY6" s="100"/>
      <c r="BZ6" s="100"/>
      <c r="CA6" s="100"/>
      <c r="CB6" s="100"/>
      <c r="CC6" s="100"/>
      <c r="CD6" s="100"/>
      <c r="CE6" s="100"/>
      <c r="CF6" s="100"/>
      <c r="CG6" s="100"/>
      <c r="CH6" s="100"/>
      <c r="CI6" s="100"/>
      <c r="CJ6" s="100"/>
      <c r="CK6" s="100"/>
      <c r="CL6" s="100"/>
      <c r="CM6" s="100"/>
      <c r="CN6" s="100"/>
      <c r="CO6" s="100"/>
      <c r="CP6" s="100"/>
      <c r="CQ6" s="100"/>
      <c r="CR6" s="100"/>
      <c r="CS6" s="100"/>
      <c r="CT6" s="100"/>
      <c r="CU6" s="100"/>
      <c r="CV6" s="100"/>
      <c r="CW6" s="100"/>
      <c r="CX6" s="100"/>
      <c r="CY6" s="100"/>
      <c r="CZ6" s="100"/>
      <c r="DA6" s="100"/>
      <c r="DB6" s="100"/>
      <c r="DC6" s="100"/>
      <c r="DD6" s="100"/>
      <c r="DE6" s="100"/>
      <c r="DF6" s="100"/>
      <c r="DG6" s="100"/>
      <c r="DH6" s="100"/>
      <c r="DI6" s="100"/>
      <c r="DJ6" s="100"/>
      <c r="DK6" s="100"/>
      <c r="DL6" s="100"/>
      <c r="DM6" s="100"/>
      <c r="DN6" s="100"/>
      <c r="DO6" s="100"/>
      <c r="DP6" s="100"/>
      <c r="DQ6" s="100"/>
      <c r="DR6" s="100"/>
      <c r="DS6" s="100"/>
      <c r="DT6" s="100"/>
      <c r="DU6" s="100"/>
      <c r="DV6" s="100"/>
      <c r="DW6" s="100"/>
      <c r="DX6" s="100"/>
      <c r="DY6" s="100"/>
      <c r="DZ6" s="100"/>
      <c r="EA6" s="100"/>
      <c r="EB6" s="100"/>
      <c r="EC6" s="100"/>
      <c r="ED6" s="100"/>
      <c r="EE6" s="100"/>
      <c r="EF6" s="100"/>
      <c r="EG6" s="100"/>
      <c r="EH6" s="100"/>
      <c r="EI6" s="100"/>
      <c r="EJ6" s="100"/>
      <c r="EK6" s="100"/>
      <c r="EL6" s="100"/>
      <c r="EM6" s="100"/>
      <c r="EN6" s="100"/>
      <c r="EO6" s="100"/>
      <c r="EP6" s="100"/>
      <c r="EQ6" s="100"/>
      <c r="ER6" s="100"/>
      <c r="ES6" s="100"/>
      <c r="ET6" s="100"/>
      <c r="EU6" s="100"/>
      <c r="EV6" s="100"/>
      <c r="EW6" s="100"/>
      <c r="EX6" s="100"/>
      <c r="EY6" s="100"/>
      <c r="EZ6" s="100"/>
      <c r="FA6" s="100"/>
      <c r="FB6" s="100"/>
      <c r="FC6" s="100"/>
      <c r="FD6" s="100"/>
      <c r="FE6" s="100"/>
      <c r="FF6" s="100"/>
      <c r="FG6" s="100"/>
      <c r="FH6" s="100"/>
      <c r="FI6" s="100"/>
      <c r="FJ6" s="100"/>
      <c r="FK6" s="100"/>
      <c r="FL6" s="100"/>
      <c r="FM6" s="100"/>
      <c r="FN6" s="100"/>
      <c r="FO6" s="100"/>
      <c r="FP6" s="100"/>
      <c r="FQ6" s="100"/>
      <c r="FR6" s="100"/>
      <c r="FS6" s="100"/>
      <c r="FT6" s="100"/>
      <c r="FU6" s="100"/>
      <c r="FV6" s="100"/>
      <c r="FW6" s="100"/>
      <c r="FX6" s="100"/>
      <c r="FY6" s="100"/>
      <c r="FZ6" s="100"/>
      <c r="GA6" s="100"/>
      <c r="GB6" s="100"/>
      <c r="GC6" s="100"/>
      <c r="GD6" s="100"/>
      <c r="GE6" s="100"/>
      <c r="GF6" s="100"/>
      <c r="GG6" s="100"/>
      <c r="GH6" s="100"/>
      <c r="GI6" s="100"/>
      <c r="GJ6" s="100"/>
      <c r="GK6" s="100"/>
      <c r="GL6" s="100"/>
      <c r="GM6" s="100"/>
      <c r="GN6" s="100"/>
      <c r="GO6" s="100"/>
      <c r="GP6" s="100"/>
      <c r="GQ6" s="100"/>
      <c r="GR6" s="100"/>
      <c r="GS6" s="100"/>
      <c r="GT6" s="100"/>
      <c r="GU6" s="100"/>
      <c r="GV6" s="100"/>
      <c r="GW6" s="100"/>
      <c r="GX6" s="100"/>
      <c r="GY6" s="100"/>
      <c r="GZ6" s="100"/>
      <c r="HA6" s="100"/>
      <c r="HB6" s="100"/>
      <c r="HC6" s="100"/>
      <c r="HD6" s="100"/>
      <c r="HE6" s="100"/>
      <c r="HF6" s="100"/>
      <c r="HG6" s="100"/>
      <c r="HH6" s="100"/>
      <c r="HI6" s="100"/>
      <c r="HJ6" s="100"/>
      <c r="HK6" s="100"/>
      <c r="HL6" s="100"/>
      <c r="HM6" s="100"/>
      <c r="HN6" s="100"/>
      <c r="HO6" s="100"/>
      <c r="HP6" s="100"/>
      <c r="HQ6" s="100"/>
      <c r="HR6" s="100"/>
      <c r="HS6" s="100"/>
      <c r="HT6" s="100"/>
      <c r="HU6" s="100"/>
      <c r="HV6" s="100"/>
      <c r="HW6" s="100"/>
      <c r="HX6" s="100"/>
      <c r="HY6" s="100"/>
    </row>
    <row r="7" s="96" customFormat="1" spans="1:233">
      <c r="A7" s="100">
        <v>1</v>
      </c>
      <c r="B7" s="100">
        <v>6</v>
      </c>
      <c r="C7" s="100">
        <v>2500</v>
      </c>
      <c r="D7" s="100">
        <v>58.968</v>
      </c>
      <c r="E7" s="100">
        <v>130</v>
      </c>
      <c r="F7" s="100">
        <f t="shared" si="0"/>
        <v>6.552</v>
      </c>
      <c r="G7" s="100">
        <v>5.44</v>
      </c>
      <c r="H7" s="100">
        <f>60+20</f>
        <v>80</v>
      </c>
      <c r="I7" s="100"/>
      <c r="J7" s="100">
        <v>20</v>
      </c>
      <c r="K7" s="100">
        <v>4</v>
      </c>
      <c r="L7" s="100">
        <v>338</v>
      </c>
      <c r="M7" s="100">
        <f>72+2</f>
        <v>74</v>
      </c>
      <c r="N7" s="100">
        <f t="shared" si="1"/>
        <v>1.27586206896552</v>
      </c>
      <c r="O7" s="100">
        <v>27.2</v>
      </c>
      <c r="P7" s="100">
        <f>45+12+1</f>
        <v>58</v>
      </c>
      <c r="Q7" s="100">
        <f t="shared" si="5"/>
        <v>122</v>
      </c>
      <c r="R7" s="100">
        <v>247.3</v>
      </c>
      <c r="S7" s="100">
        <f t="shared" si="6"/>
        <v>523.6</v>
      </c>
      <c r="T7" s="100">
        <f t="shared" ref="T7:T10" si="10">D7+G7+I7+T6+O7</f>
        <v>222.612</v>
      </c>
      <c r="U7" s="100">
        <f t="shared" si="7"/>
        <v>585</v>
      </c>
      <c r="V7" s="100">
        <f t="shared" si="8"/>
        <v>4.36228571428571</v>
      </c>
      <c r="W7" s="100">
        <f t="shared" si="2"/>
        <v>8.72457142857143</v>
      </c>
      <c r="X7" s="100">
        <v>1.5</v>
      </c>
      <c r="Y7" s="100">
        <v>14</v>
      </c>
      <c r="Z7" s="100">
        <f t="shared" si="3"/>
        <v>43.1034482758621</v>
      </c>
      <c r="AA7" s="100">
        <f t="shared" si="4"/>
        <v>0.150423645320197</v>
      </c>
      <c r="AB7" s="100" t="s">
        <v>43</v>
      </c>
      <c r="AC7" s="100" t="s">
        <v>44</v>
      </c>
      <c r="AE7" s="100">
        <v>6</v>
      </c>
      <c r="AF7" s="100">
        <v>64</v>
      </c>
      <c r="AG7" s="100">
        <f t="shared" si="9"/>
        <v>39</v>
      </c>
      <c r="AH7" s="100">
        <v>0.13</v>
      </c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00"/>
      <c r="BM7" s="100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0"/>
      <c r="BY7" s="100"/>
      <c r="BZ7" s="100"/>
      <c r="CA7" s="100"/>
      <c r="CB7" s="100"/>
      <c r="CC7" s="100"/>
      <c r="CD7" s="100"/>
      <c r="CE7" s="100"/>
      <c r="CF7" s="100"/>
      <c r="CG7" s="100"/>
      <c r="CH7" s="100"/>
      <c r="CI7" s="100"/>
      <c r="CJ7" s="100"/>
      <c r="CK7" s="100"/>
      <c r="CL7" s="100"/>
      <c r="CM7" s="100"/>
      <c r="CN7" s="100"/>
      <c r="CO7" s="100"/>
      <c r="CP7" s="100"/>
      <c r="CQ7" s="100"/>
      <c r="CR7" s="100"/>
      <c r="CS7" s="100"/>
      <c r="CT7" s="100"/>
      <c r="CU7" s="100"/>
      <c r="CV7" s="100"/>
      <c r="CW7" s="100"/>
      <c r="CX7" s="100"/>
      <c r="CY7" s="100"/>
      <c r="CZ7" s="100"/>
      <c r="DA7" s="100"/>
      <c r="DB7" s="100"/>
      <c r="DC7" s="100"/>
      <c r="DD7" s="100"/>
      <c r="DE7" s="100"/>
      <c r="DF7" s="100"/>
      <c r="DG7" s="100"/>
      <c r="DH7" s="100"/>
      <c r="DI7" s="100"/>
      <c r="DJ7" s="100"/>
      <c r="DK7" s="100"/>
      <c r="DL7" s="100"/>
      <c r="DM7" s="100"/>
      <c r="DN7" s="100"/>
      <c r="DO7" s="100"/>
      <c r="DP7" s="100"/>
      <c r="DQ7" s="100"/>
      <c r="DR7" s="100"/>
      <c r="DS7" s="100"/>
      <c r="DT7" s="100"/>
      <c r="DU7" s="100"/>
      <c r="DV7" s="100"/>
      <c r="DW7" s="100"/>
      <c r="DX7" s="100"/>
      <c r="DY7" s="100"/>
      <c r="DZ7" s="100"/>
      <c r="EA7" s="100"/>
      <c r="EB7" s="100"/>
      <c r="EC7" s="100"/>
      <c r="ED7" s="100"/>
      <c r="EE7" s="100"/>
      <c r="EF7" s="100"/>
      <c r="EG7" s="100"/>
      <c r="EH7" s="100"/>
      <c r="EI7" s="100"/>
      <c r="EJ7" s="100"/>
      <c r="EK7" s="100"/>
      <c r="EL7" s="100"/>
      <c r="EM7" s="100"/>
      <c r="EN7" s="100"/>
      <c r="EO7" s="100"/>
      <c r="EP7" s="100"/>
      <c r="EQ7" s="100"/>
      <c r="ER7" s="100"/>
      <c r="ES7" s="100"/>
      <c r="ET7" s="100"/>
      <c r="EU7" s="100"/>
      <c r="EV7" s="100"/>
      <c r="EW7" s="100"/>
      <c r="EX7" s="100"/>
      <c r="EY7" s="100"/>
      <c r="EZ7" s="100"/>
      <c r="FA7" s="100"/>
      <c r="FB7" s="100"/>
      <c r="FC7" s="100"/>
      <c r="FD7" s="100"/>
      <c r="FE7" s="100"/>
      <c r="FF7" s="100"/>
      <c r="FG7" s="100"/>
      <c r="FH7" s="100"/>
      <c r="FI7" s="100"/>
      <c r="FJ7" s="100"/>
      <c r="FK7" s="100"/>
      <c r="FL7" s="100"/>
      <c r="FM7" s="100"/>
      <c r="FN7" s="100"/>
      <c r="FO7" s="100"/>
      <c r="FP7" s="100"/>
      <c r="FQ7" s="100"/>
      <c r="FR7" s="100"/>
      <c r="FS7" s="100"/>
      <c r="FT7" s="100"/>
      <c r="FU7" s="100"/>
      <c r="FV7" s="100"/>
      <c r="FW7" s="100"/>
      <c r="FX7" s="100"/>
      <c r="FY7" s="100"/>
      <c r="FZ7" s="100"/>
      <c r="GA7" s="100"/>
      <c r="GB7" s="100"/>
      <c r="GC7" s="100"/>
      <c r="GD7" s="100"/>
      <c r="GE7" s="100"/>
      <c r="GF7" s="100"/>
      <c r="GG7" s="100"/>
      <c r="GH7" s="100"/>
      <c r="GI7" s="100"/>
      <c r="GJ7" s="100"/>
      <c r="GK7" s="100"/>
      <c r="GL7" s="100"/>
      <c r="GM7" s="100"/>
      <c r="GN7" s="100"/>
      <c r="GO7" s="100"/>
      <c r="GP7" s="100"/>
      <c r="GQ7" s="100"/>
      <c r="GR7" s="100"/>
      <c r="GS7" s="100"/>
      <c r="GT7" s="100"/>
      <c r="GU7" s="100"/>
      <c r="GV7" s="100"/>
      <c r="GW7" s="100"/>
      <c r="GX7" s="100"/>
      <c r="GY7" s="100"/>
      <c r="GZ7" s="100"/>
      <c r="HA7" s="100"/>
      <c r="HB7" s="100"/>
      <c r="HC7" s="100"/>
      <c r="HD7" s="100"/>
      <c r="HE7" s="100"/>
      <c r="HF7" s="100"/>
      <c r="HG7" s="100"/>
      <c r="HH7" s="100"/>
      <c r="HI7" s="100"/>
      <c r="HJ7" s="100"/>
      <c r="HK7" s="100"/>
      <c r="HL7" s="100"/>
      <c r="HM7" s="100"/>
      <c r="HN7" s="100"/>
      <c r="HO7" s="100"/>
      <c r="HP7" s="100"/>
      <c r="HQ7" s="100"/>
      <c r="HR7" s="100"/>
      <c r="HS7" s="100"/>
      <c r="HT7" s="100"/>
      <c r="HU7" s="100"/>
      <c r="HV7" s="100"/>
      <c r="HW7" s="100"/>
      <c r="HX7" s="100"/>
      <c r="HY7" s="100"/>
    </row>
    <row r="8" s="96" customFormat="1" spans="1:233">
      <c r="A8" s="100">
        <v>1</v>
      </c>
      <c r="B8" s="100">
        <v>7</v>
      </c>
      <c r="C8" s="100">
        <v>4000</v>
      </c>
      <c r="D8" s="100">
        <v>81.648</v>
      </c>
      <c r="E8" s="100">
        <v>150</v>
      </c>
      <c r="F8" s="100">
        <f t="shared" si="0"/>
        <v>9.072</v>
      </c>
      <c r="G8" s="100">
        <f>16.7+16.7+16.7</f>
        <v>50.1</v>
      </c>
      <c r="H8" s="100">
        <f>60+5</f>
        <v>65</v>
      </c>
      <c r="I8" s="100">
        <f>50.8+50.8</f>
        <v>101.6</v>
      </c>
      <c r="J8" s="100">
        <f>5+20+5+20</f>
        <v>50</v>
      </c>
      <c r="K8" s="100">
        <v>11</v>
      </c>
      <c r="L8" s="100">
        <v>728</v>
      </c>
      <c r="M8" s="100">
        <f>30+60+53+20</f>
        <v>163</v>
      </c>
      <c r="N8" s="100">
        <f t="shared" si="1"/>
        <v>1.08666666666667</v>
      </c>
      <c r="O8" s="100"/>
      <c r="P8" s="100">
        <f>17+14+54+51+14</f>
        <v>150</v>
      </c>
      <c r="Q8" s="100">
        <f t="shared" si="5"/>
        <v>272</v>
      </c>
      <c r="R8" s="100">
        <f>123+264+181+51</f>
        <v>619</v>
      </c>
      <c r="S8" s="100">
        <f t="shared" si="6"/>
        <v>1142.6</v>
      </c>
      <c r="T8" s="100">
        <f t="shared" si="10"/>
        <v>455.96</v>
      </c>
      <c r="U8" s="100">
        <f t="shared" si="7"/>
        <v>850</v>
      </c>
      <c r="V8" s="100">
        <f t="shared" si="8"/>
        <v>5.8337</v>
      </c>
      <c r="W8" s="100">
        <f t="shared" si="2"/>
        <v>11.6674</v>
      </c>
      <c r="X8" s="100">
        <v>2.5</v>
      </c>
      <c r="Y8" s="100">
        <v>16</v>
      </c>
      <c r="Z8" s="100">
        <f t="shared" si="3"/>
        <v>26.6666666666667</v>
      </c>
      <c r="AA8" s="100">
        <f t="shared" si="4"/>
        <v>0.0777826666666667</v>
      </c>
      <c r="AB8" s="100" t="s">
        <v>45</v>
      </c>
      <c r="AC8" s="100" t="s">
        <v>46</v>
      </c>
      <c r="AE8" s="100">
        <v>7</v>
      </c>
      <c r="AF8" s="100">
        <v>92</v>
      </c>
      <c r="AG8" s="100">
        <f t="shared" si="9"/>
        <v>43</v>
      </c>
      <c r="AH8" s="100">
        <v>0.11</v>
      </c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0"/>
      <c r="BY8" s="100"/>
      <c r="BZ8" s="100"/>
      <c r="CA8" s="100"/>
      <c r="CB8" s="100"/>
      <c r="CC8" s="100"/>
      <c r="CD8" s="100"/>
      <c r="CE8" s="100"/>
      <c r="CF8" s="100"/>
      <c r="CG8" s="100"/>
      <c r="CH8" s="100"/>
      <c r="CI8" s="100"/>
      <c r="CJ8" s="100"/>
      <c r="CK8" s="100"/>
      <c r="CL8" s="100"/>
      <c r="CM8" s="100"/>
      <c r="CN8" s="100"/>
      <c r="CO8" s="100"/>
      <c r="CP8" s="100"/>
      <c r="CQ8" s="100"/>
      <c r="CR8" s="100"/>
      <c r="CS8" s="100"/>
      <c r="CT8" s="100"/>
      <c r="CU8" s="100"/>
      <c r="CV8" s="100"/>
      <c r="CW8" s="100"/>
      <c r="CX8" s="100"/>
      <c r="CY8" s="100"/>
      <c r="CZ8" s="100"/>
      <c r="DA8" s="100"/>
      <c r="DB8" s="100"/>
      <c r="DC8" s="100"/>
      <c r="DD8" s="100"/>
      <c r="DE8" s="100"/>
      <c r="DF8" s="100"/>
      <c r="DG8" s="100"/>
      <c r="DH8" s="100"/>
      <c r="DI8" s="100"/>
      <c r="DJ8" s="100"/>
      <c r="DK8" s="100"/>
      <c r="DL8" s="100"/>
      <c r="DM8" s="100"/>
      <c r="DN8" s="100"/>
      <c r="DO8" s="100"/>
      <c r="DP8" s="100"/>
      <c r="DQ8" s="100"/>
      <c r="DR8" s="100"/>
      <c r="DS8" s="100"/>
      <c r="DT8" s="100"/>
      <c r="DU8" s="100"/>
      <c r="DV8" s="100"/>
      <c r="DW8" s="100"/>
      <c r="DX8" s="100"/>
      <c r="DY8" s="100"/>
      <c r="DZ8" s="100"/>
      <c r="EA8" s="100"/>
      <c r="EB8" s="100"/>
      <c r="EC8" s="100"/>
      <c r="ED8" s="100"/>
      <c r="EE8" s="100"/>
      <c r="EF8" s="100"/>
      <c r="EG8" s="100"/>
      <c r="EH8" s="100"/>
      <c r="EI8" s="100"/>
      <c r="EJ8" s="100"/>
      <c r="EK8" s="100"/>
      <c r="EL8" s="100"/>
      <c r="EM8" s="100"/>
      <c r="EN8" s="100"/>
      <c r="EO8" s="100"/>
      <c r="EP8" s="100"/>
      <c r="EQ8" s="100"/>
      <c r="ER8" s="100"/>
      <c r="ES8" s="100"/>
      <c r="ET8" s="100"/>
      <c r="EU8" s="100"/>
      <c r="EV8" s="100"/>
      <c r="EW8" s="100"/>
      <c r="EX8" s="100"/>
      <c r="EY8" s="100"/>
      <c r="EZ8" s="100"/>
      <c r="FA8" s="100"/>
      <c r="FB8" s="100"/>
      <c r="FC8" s="100"/>
      <c r="FD8" s="100"/>
      <c r="FE8" s="100"/>
      <c r="FF8" s="100"/>
      <c r="FG8" s="100"/>
      <c r="FH8" s="100"/>
      <c r="FI8" s="100"/>
      <c r="FJ8" s="100"/>
      <c r="FK8" s="100"/>
      <c r="FL8" s="100"/>
      <c r="FM8" s="100"/>
      <c r="FN8" s="100"/>
      <c r="FO8" s="100"/>
      <c r="FP8" s="100"/>
      <c r="FQ8" s="100"/>
      <c r="FR8" s="100"/>
      <c r="FS8" s="100"/>
      <c r="FT8" s="100"/>
      <c r="FU8" s="100"/>
      <c r="FV8" s="100"/>
      <c r="FW8" s="100"/>
      <c r="FX8" s="100"/>
      <c r="FY8" s="100"/>
      <c r="FZ8" s="100"/>
      <c r="GA8" s="100"/>
      <c r="GB8" s="100"/>
      <c r="GC8" s="100"/>
      <c r="GD8" s="100"/>
      <c r="GE8" s="100"/>
      <c r="GF8" s="100"/>
      <c r="GG8" s="100"/>
      <c r="GH8" s="100"/>
      <c r="GI8" s="100"/>
      <c r="GJ8" s="100"/>
      <c r="GK8" s="100"/>
      <c r="GL8" s="100"/>
      <c r="GM8" s="100"/>
      <c r="GN8" s="100"/>
      <c r="GO8" s="100"/>
      <c r="GP8" s="100"/>
      <c r="GQ8" s="100"/>
      <c r="GR8" s="100"/>
      <c r="GS8" s="100"/>
      <c r="GT8" s="100"/>
      <c r="GU8" s="100"/>
      <c r="GV8" s="100"/>
      <c r="GW8" s="100"/>
      <c r="GX8" s="100"/>
      <c r="GY8" s="100"/>
      <c r="GZ8" s="100"/>
      <c r="HA8" s="100"/>
      <c r="HB8" s="100"/>
      <c r="HC8" s="100"/>
      <c r="HD8" s="100"/>
      <c r="HE8" s="100"/>
      <c r="HF8" s="100"/>
      <c r="HG8" s="100"/>
      <c r="HH8" s="100"/>
      <c r="HI8" s="100"/>
      <c r="HJ8" s="100"/>
      <c r="HK8" s="100"/>
      <c r="HL8" s="100"/>
      <c r="HM8" s="100"/>
      <c r="HN8" s="100"/>
      <c r="HO8" s="100"/>
      <c r="HP8" s="100"/>
      <c r="HQ8" s="100"/>
      <c r="HR8" s="100"/>
      <c r="HS8" s="100"/>
      <c r="HT8" s="100"/>
      <c r="HU8" s="100"/>
      <c r="HV8" s="100"/>
      <c r="HW8" s="100"/>
      <c r="HX8" s="100"/>
      <c r="HY8" s="100"/>
    </row>
    <row r="9" s="96" customFormat="1" spans="1:233">
      <c r="A9" s="100">
        <v>1</v>
      </c>
      <c r="B9" s="100">
        <v>8</v>
      </c>
      <c r="C9" s="100">
        <v>6000</v>
      </c>
      <c r="D9" s="100">
        <v>113.4</v>
      </c>
      <c r="E9" s="100">
        <v>170</v>
      </c>
      <c r="F9" s="100">
        <f t="shared" si="0"/>
        <v>12.6</v>
      </c>
      <c r="G9" s="100">
        <v>5.44</v>
      </c>
      <c r="H9" s="100">
        <f>60+20+60+5+60+5</f>
        <v>210</v>
      </c>
      <c r="I9" s="100">
        <f>50.8+5.44+50.8</f>
        <v>107.04</v>
      </c>
      <c r="J9" s="100"/>
      <c r="K9" s="100">
        <v>10</v>
      </c>
      <c r="L9" s="100">
        <v>705</v>
      </c>
      <c r="M9" s="100">
        <f>66+76+52</f>
        <v>194</v>
      </c>
      <c r="N9" s="100">
        <f t="shared" si="1"/>
        <v>1.28476821192053</v>
      </c>
      <c r="O9" s="100">
        <v>27.2</v>
      </c>
      <c r="P9" s="100">
        <f>37+11+57+57-11</f>
        <v>151</v>
      </c>
      <c r="Q9" s="100">
        <f t="shared" si="5"/>
        <v>423</v>
      </c>
      <c r="R9" s="100">
        <v>514</v>
      </c>
      <c r="S9" s="100">
        <f t="shared" si="6"/>
        <v>1656.6</v>
      </c>
      <c r="T9" s="100">
        <f t="shared" si="10"/>
        <v>709.04</v>
      </c>
      <c r="U9" s="100">
        <f t="shared" si="7"/>
        <v>1230</v>
      </c>
      <c r="V9" s="100">
        <f t="shared" si="8"/>
        <v>5.624</v>
      </c>
      <c r="W9" s="100">
        <f t="shared" si="2"/>
        <v>11.248</v>
      </c>
      <c r="X9" s="100">
        <v>2.5</v>
      </c>
      <c r="Y9" s="100">
        <v>18</v>
      </c>
      <c r="Z9" s="100">
        <f t="shared" si="3"/>
        <v>39.7350993377483</v>
      </c>
      <c r="AA9" s="100">
        <f t="shared" si="4"/>
        <v>0.0744900662251656</v>
      </c>
      <c r="AB9" s="100" t="s">
        <v>47</v>
      </c>
      <c r="AC9" s="100" t="s">
        <v>48</v>
      </c>
      <c r="AE9" s="100">
        <v>8</v>
      </c>
      <c r="AF9" s="100">
        <v>126</v>
      </c>
      <c r="AG9" s="100">
        <f t="shared" si="9"/>
        <v>48</v>
      </c>
      <c r="AH9" s="100">
        <v>0.08</v>
      </c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100"/>
      <c r="CJ9" s="100"/>
      <c r="CK9" s="100"/>
      <c r="CL9" s="100"/>
      <c r="CM9" s="100"/>
      <c r="CN9" s="100"/>
      <c r="CO9" s="100"/>
      <c r="CP9" s="100"/>
      <c r="CQ9" s="100"/>
      <c r="CR9" s="100"/>
      <c r="CS9" s="100"/>
      <c r="CT9" s="100"/>
      <c r="CU9" s="100"/>
      <c r="CV9" s="100"/>
      <c r="CW9" s="100"/>
      <c r="CX9" s="100"/>
      <c r="CY9" s="100"/>
      <c r="CZ9" s="100"/>
      <c r="DA9" s="100"/>
      <c r="DB9" s="100"/>
      <c r="DC9" s="100"/>
      <c r="DD9" s="100"/>
      <c r="DE9" s="100"/>
      <c r="DF9" s="100"/>
      <c r="DG9" s="100"/>
      <c r="DH9" s="100"/>
      <c r="DI9" s="100"/>
      <c r="DJ9" s="100"/>
      <c r="DK9" s="100"/>
      <c r="DL9" s="100"/>
      <c r="DM9" s="100"/>
      <c r="DN9" s="100"/>
      <c r="DO9" s="100"/>
      <c r="DP9" s="100"/>
      <c r="DQ9" s="100"/>
      <c r="DR9" s="100"/>
      <c r="DS9" s="100"/>
      <c r="DT9" s="100"/>
      <c r="DU9" s="100"/>
      <c r="DV9" s="100"/>
      <c r="DW9" s="100"/>
      <c r="DX9" s="100"/>
      <c r="DY9" s="100"/>
      <c r="DZ9" s="100"/>
      <c r="EA9" s="100"/>
      <c r="EB9" s="100"/>
      <c r="EC9" s="100"/>
      <c r="ED9" s="100"/>
      <c r="EE9" s="100"/>
      <c r="EF9" s="100"/>
      <c r="EG9" s="100"/>
      <c r="EH9" s="100"/>
      <c r="EI9" s="100"/>
      <c r="EJ9" s="100"/>
      <c r="EK9" s="100"/>
      <c r="EL9" s="100"/>
      <c r="EM9" s="100"/>
      <c r="EN9" s="100"/>
      <c r="EO9" s="100"/>
      <c r="EP9" s="100"/>
      <c r="EQ9" s="100"/>
      <c r="ER9" s="100"/>
      <c r="ES9" s="100"/>
      <c r="ET9" s="100"/>
      <c r="EU9" s="100"/>
      <c r="EV9" s="100"/>
      <c r="EW9" s="100"/>
      <c r="EX9" s="100"/>
      <c r="EY9" s="100"/>
      <c r="EZ9" s="100"/>
      <c r="FA9" s="100"/>
      <c r="FB9" s="100"/>
      <c r="FC9" s="100"/>
      <c r="FD9" s="100"/>
      <c r="FE9" s="100"/>
      <c r="FF9" s="100"/>
      <c r="FG9" s="100"/>
      <c r="FH9" s="100"/>
      <c r="FI9" s="100"/>
      <c r="FJ9" s="100"/>
      <c r="FK9" s="100"/>
      <c r="FL9" s="100"/>
      <c r="FM9" s="100"/>
      <c r="FN9" s="100"/>
      <c r="FO9" s="100"/>
      <c r="FP9" s="100"/>
      <c r="FQ9" s="100"/>
      <c r="FR9" s="100"/>
      <c r="FS9" s="100"/>
      <c r="FT9" s="100"/>
      <c r="FU9" s="100"/>
      <c r="FV9" s="100"/>
      <c r="FW9" s="100"/>
      <c r="FX9" s="100"/>
      <c r="FY9" s="100"/>
      <c r="FZ9" s="100"/>
      <c r="GA9" s="100"/>
      <c r="GB9" s="100"/>
      <c r="GC9" s="100"/>
      <c r="GD9" s="100"/>
      <c r="GE9" s="100"/>
      <c r="GF9" s="100"/>
      <c r="GG9" s="100"/>
      <c r="GH9" s="100"/>
      <c r="GI9" s="100"/>
      <c r="GJ9" s="100"/>
      <c r="GK9" s="100"/>
      <c r="GL9" s="100"/>
      <c r="GM9" s="100"/>
      <c r="GN9" s="100"/>
      <c r="GO9" s="100"/>
      <c r="GP9" s="100"/>
      <c r="GQ9" s="100"/>
      <c r="GR9" s="100"/>
      <c r="GS9" s="100"/>
      <c r="GT9" s="100"/>
      <c r="GU9" s="100"/>
      <c r="GV9" s="100"/>
      <c r="GW9" s="100"/>
      <c r="GX9" s="100"/>
      <c r="GY9" s="100"/>
      <c r="GZ9" s="100"/>
      <c r="HA9" s="100"/>
      <c r="HB9" s="100"/>
      <c r="HC9" s="100"/>
      <c r="HD9" s="100"/>
      <c r="HE9" s="100"/>
      <c r="HF9" s="100"/>
      <c r="HG9" s="100"/>
      <c r="HH9" s="100"/>
      <c r="HI9" s="100"/>
      <c r="HJ9" s="100"/>
      <c r="HK9" s="100"/>
      <c r="HL9" s="100"/>
      <c r="HM9" s="100"/>
      <c r="HN9" s="100"/>
      <c r="HO9" s="100"/>
      <c r="HP9" s="100"/>
      <c r="HQ9" s="100"/>
      <c r="HR9" s="100"/>
      <c r="HS9" s="100"/>
      <c r="HT9" s="100"/>
      <c r="HU9" s="100"/>
      <c r="HV9" s="100"/>
      <c r="HW9" s="100"/>
      <c r="HX9" s="100"/>
      <c r="HY9" s="100"/>
    </row>
    <row r="10" s="96" customFormat="1" spans="1:233">
      <c r="A10" s="100">
        <v>1</v>
      </c>
      <c r="B10" s="100" t="s">
        <v>49</v>
      </c>
      <c r="C10" s="100"/>
      <c r="D10" s="100">
        <v>272.16</v>
      </c>
      <c r="E10" s="100">
        <v>600</v>
      </c>
      <c r="F10" s="100">
        <f t="shared" si="0"/>
        <v>30.24</v>
      </c>
      <c r="G10" s="100"/>
      <c r="H10" s="100"/>
      <c r="I10" s="100"/>
      <c r="J10" s="100"/>
      <c r="K10" s="100"/>
      <c r="L10" s="100"/>
      <c r="M10" s="100"/>
      <c r="N10" s="100"/>
      <c r="O10" s="100"/>
      <c r="P10" s="100">
        <v>0</v>
      </c>
      <c r="Q10" s="100">
        <f t="shared" si="5"/>
        <v>423</v>
      </c>
      <c r="R10" s="100">
        <v>0</v>
      </c>
      <c r="S10" s="100">
        <f t="shared" si="6"/>
        <v>1656.6</v>
      </c>
      <c r="T10" s="100">
        <f t="shared" si="10"/>
        <v>981.2</v>
      </c>
      <c r="U10" s="100">
        <f t="shared" si="7"/>
        <v>1830</v>
      </c>
      <c r="V10" s="100">
        <f t="shared" si="8"/>
        <v>6.048</v>
      </c>
      <c r="W10" s="100">
        <f t="shared" si="2"/>
        <v>12.096</v>
      </c>
      <c r="X10" s="100">
        <v>2.5</v>
      </c>
      <c r="Y10" s="100">
        <v>18</v>
      </c>
      <c r="Z10" s="100"/>
      <c r="AA10" s="100">
        <f>70/Q10</f>
        <v>0.16548463356974</v>
      </c>
      <c r="AB10" s="100"/>
      <c r="AC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K10" s="100"/>
      <c r="CL10" s="100"/>
      <c r="CM10" s="100"/>
      <c r="CN10" s="100"/>
      <c r="CO10" s="100"/>
      <c r="CP10" s="100"/>
      <c r="CQ10" s="100"/>
      <c r="CR10" s="100"/>
      <c r="CS10" s="100"/>
      <c r="CT10" s="100"/>
      <c r="CU10" s="100"/>
      <c r="CV10" s="100"/>
      <c r="CW10" s="100"/>
      <c r="CX10" s="100"/>
      <c r="CY10" s="100"/>
      <c r="CZ10" s="100"/>
      <c r="DA10" s="100"/>
      <c r="DB10" s="100"/>
      <c r="DC10" s="100"/>
      <c r="DD10" s="100"/>
      <c r="DE10" s="100"/>
      <c r="DF10" s="100"/>
      <c r="DG10" s="100"/>
      <c r="DH10" s="100"/>
      <c r="DI10" s="100"/>
      <c r="DJ10" s="100"/>
      <c r="DK10" s="100"/>
      <c r="DL10" s="100"/>
      <c r="DM10" s="100"/>
      <c r="DN10" s="100"/>
      <c r="DO10" s="100"/>
      <c r="DP10" s="100"/>
      <c r="DQ10" s="100"/>
      <c r="DR10" s="100"/>
      <c r="DS10" s="100"/>
      <c r="DT10" s="100"/>
      <c r="DU10" s="100"/>
      <c r="DV10" s="100"/>
      <c r="DW10" s="100"/>
      <c r="DX10" s="100"/>
      <c r="DY10" s="100"/>
      <c r="DZ10" s="100"/>
      <c r="EA10" s="100"/>
      <c r="EB10" s="100"/>
      <c r="EC10" s="100"/>
      <c r="ED10" s="100"/>
      <c r="EE10" s="100"/>
      <c r="EF10" s="100"/>
      <c r="EG10" s="100"/>
      <c r="EH10" s="100"/>
      <c r="EI10" s="100"/>
      <c r="EJ10" s="100"/>
      <c r="EK10" s="100"/>
      <c r="EL10" s="100"/>
      <c r="EM10" s="100"/>
      <c r="EN10" s="100"/>
      <c r="EO10" s="100"/>
      <c r="EP10" s="100"/>
      <c r="EQ10" s="100"/>
      <c r="ER10" s="100"/>
      <c r="ES10" s="100"/>
      <c r="ET10" s="100"/>
      <c r="EU10" s="100"/>
      <c r="EV10" s="100"/>
      <c r="EW10" s="100"/>
      <c r="EX10" s="100"/>
      <c r="EY10" s="100"/>
      <c r="EZ10" s="100"/>
      <c r="FA10" s="100"/>
      <c r="FB10" s="100"/>
      <c r="FC10" s="100"/>
      <c r="FD10" s="100"/>
      <c r="FE10" s="100"/>
      <c r="FF10" s="100"/>
      <c r="FG10" s="100"/>
      <c r="FH10" s="100"/>
      <c r="FI10" s="100"/>
      <c r="FJ10" s="100"/>
      <c r="FK10" s="100"/>
      <c r="FL10" s="100"/>
      <c r="FM10" s="100"/>
      <c r="FN10" s="100"/>
      <c r="FO10" s="100"/>
      <c r="FP10" s="100"/>
      <c r="FQ10" s="100"/>
      <c r="FR10" s="100"/>
      <c r="FS10" s="100"/>
      <c r="FT10" s="100"/>
      <c r="FU10" s="100"/>
      <c r="FV10" s="100"/>
      <c r="FW10" s="100"/>
      <c r="FX10" s="100"/>
      <c r="FY10" s="100"/>
      <c r="FZ10" s="100"/>
      <c r="GA10" s="100"/>
      <c r="GB10" s="100"/>
      <c r="GC10" s="100"/>
      <c r="GD10" s="100"/>
      <c r="GE10" s="100"/>
      <c r="GF10" s="100"/>
      <c r="GG10" s="100"/>
      <c r="GH10" s="100"/>
      <c r="GI10" s="100"/>
      <c r="GJ10" s="100"/>
      <c r="GK10" s="100"/>
      <c r="GL10" s="100"/>
      <c r="GM10" s="100"/>
      <c r="GN10" s="100"/>
      <c r="GO10" s="100"/>
      <c r="GP10" s="100"/>
      <c r="GQ10" s="100"/>
      <c r="GR10" s="100"/>
      <c r="GS10" s="100"/>
      <c r="GT10" s="100"/>
      <c r="GU10" s="100"/>
      <c r="GV10" s="100"/>
      <c r="GW10" s="100"/>
      <c r="GX10" s="100"/>
      <c r="GY10" s="100"/>
      <c r="GZ10" s="100"/>
      <c r="HA10" s="100"/>
      <c r="HB10" s="100"/>
      <c r="HC10" s="100"/>
      <c r="HD10" s="100"/>
      <c r="HE10" s="100"/>
      <c r="HF10" s="100"/>
      <c r="HG10" s="100"/>
      <c r="HH10" s="100"/>
      <c r="HI10" s="100"/>
      <c r="HJ10" s="100"/>
      <c r="HK10" s="100"/>
      <c r="HL10" s="100"/>
      <c r="HM10" s="100"/>
      <c r="HN10" s="100"/>
      <c r="HO10" s="100"/>
      <c r="HP10" s="100"/>
      <c r="HQ10" s="100"/>
      <c r="HR10" s="100"/>
      <c r="HS10" s="100"/>
      <c r="HT10" s="100"/>
      <c r="HU10" s="100"/>
      <c r="HV10" s="100"/>
      <c r="HW10" s="100"/>
      <c r="HX10" s="100"/>
      <c r="HY10" s="100"/>
    </row>
    <row r="11" s="96" customFormat="1" spans="1:233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 cm="1">
        <f t="array" ref="N11">SUMPRODUCT(N6:N9,P6:P9)/SUM(P6:P9)</f>
        <v>1.21134020618557</v>
      </c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E11" s="100"/>
      <c r="AF11" s="100"/>
      <c r="AG11" s="100"/>
      <c r="AH11" s="100" cm="1">
        <f t="array" ref="AH11">SUMPRODUCT(AH2:AH9,AF2:AF9)/SUM(AF2:AF9)</f>
        <v>0.119671232876712</v>
      </c>
      <c r="AI11" s="100">
        <v>0.16548463356974</v>
      </c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100"/>
      <c r="CA11" s="100"/>
      <c r="CB11" s="100"/>
      <c r="CC11" s="100"/>
      <c r="CD11" s="100"/>
      <c r="CE11" s="100"/>
      <c r="CF11" s="100"/>
      <c r="CG11" s="100"/>
      <c r="CH11" s="100"/>
      <c r="CI11" s="100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  <c r="CU11" s="100"/>
      <c r="CV11" s="100"/>
      <c r="CW11" s="100"/>
      <c r="CX11" s="100"/>
      <c r="CY11" s="100"/>
      <c r="CZ11" s="100"/>
      <c r="DA11" s="100"/>
      <c r="DB11" s="100"/>
      <c r="DC11" s="100"/>
      <c r="DD11" s="100"/>
      <c r="DE11" s="100"/>
      <c r="DF11" s="100"/>
      <c r="DG11" s="100"/>
      <c r="DH11" s="100"/>
      <c r="DI11" s="100"/>
      <c r="DJ11" s="100"/>
      <c r="DK11" s="100"/>
      <c r="DL11" s="100"/>
      <c r="DM11" s="100"/>
      <c r="DN11" s="100"/>
      <c r="DO11" s="100"/>
      <c r="DP11" s="100"/>
      <c r="DQ11" s="100"/>
      <c r="DR11" s="100"/>
      <c r="DS11" s="100"/>
      <c r="DT11" s="100"/>
      <c r="DU11" s="100"/>
      <c r="DV11" s="100"/>
      <c r="DW11" s="100"/>
      <c r="DX11" s="100"/>
      <c r="DY11" s="100"/>
      <c r="DZ11" s="100"/>
      <c r="EA11" s="100"/>
      <c r="EB11" s="100"/>
      <c r="EC11" s="100"/>
      <c r="ED11" s="100"/>
      <c r="EE11" s="100"/>
      <c r="EF11" s="100"/>
      <c r="EG11" s="100"/>
      <c r="EH11" s="100"/>
      <c r="EI11" s="100"/>
      <c r="EJ11" s="100"/>
      <c r="EK11" s="100"/>
      <c r="EL11" s="100"/>
      <c r="EM11" s="100"/>
      <c r="EN11" s="100"/>
      <c r="EO11" s="100"/>
      <c r="EP11" s="100"/>
      <c r="EQ11" s="100"/>
      <c r="ER11" s="100"/>
      <c r="ES11" s="100"/>
      <c r="ET11" s="100"/>
      <c r="EU11" s="100"/>
      <c r="EV11" s="100"/>
      <c r="EW11" s="100"/>
      <c r="EX11" s="100"/>
      <c r="EY11" s="100"/>
      <c r="EZ11" s="100"/>
      <c r="FA11" s="100"/>
      <c r="FB11" s="100"/>
      <c r="FC11" s="100"/>
      <c r="FD11" s="100"/>
      <c r="FE11" s="100"/>
      <c r="FF11" s="100"/>
      <c r="FG11" s="100"/>
      <c r="FH11" s="100"/>
      <c r="FI11" s="100"/>
      <c r="FJ11" s="100"/>
      <c r="FK11" s="100"/>
      <c r="FL11" s="100"/>
      <c r="FM11" s="100"/>
      <c r="FN11" s="100"/>
      <c r="FO11" s="100"/>
      <c r="FP11" s="100"/>
      <c r="FQ11" s="100"/>
      <c r="FR11" s="100"/>
      <c r="FS11" s="100"/>
      <c r="FT11" s="100"/>
      <c r="FU11" s="100"/>
      <c r="FV11" s="100"/>
      <c r="FW11" s="100"/>
      <c r="FX11" s="100"/>
      <c r="FY11" s="100"/>
      <c r="FZ11" s="100"/>
      <c r="GA11" s="100"/>
      <c r="GB11" s="100"/>
      <c r="GC11" s="100"/>
      <c r="GD11" s="100"/>
      <c r="GE11" s="100"/>
      <c r="GF11" s="100"/>
      <c r="GG11" s="100"/>
      <c r="GH11" s="100"/>
      <c r="GI11" s="100"/>
      <c r="GJ11" s="100"/>
      <c r="GK11" s="100"/>
      <c r="GL11" s="100"/>
      <c r="GM11" s="100"/>
      <c r="GN11" s="100"/>
      <c r="GO11" s="100"/>
      <c r="GP11" s="100"/>
      <c r="GQ11" s="100"/>
      <c r="GR11" s="100"/>
      <c r="GS11" s="100"/>
      <c r="GT11" s="100"/>
      <c r="GU11" s="100"/>
      <c r="GV11" s="100"/>
      <c r="GW11" s="100"/>
      <c r="GX11" s="100"/>
      <c r="GY11" s="100"/>
      <c r="GZ11" s="100"/>
      <c r="HA11" s="100"/>
      <c r="HB11" s="100"/>
      <c r="HC11" s="100"/>
      <c r="HD11" s="100"/>
      <c r="HE11" s="100"/>
      <c r="HF11" s="100"/>
      <c r="HG11" s="100"/>
      <c r="HH11" s="100"/>
      <c r="HI11" s="100"/>
      <c r="HJ11" s="100"/>
      <c r="HK11" s="100"/>
      <c r="HL11" s="100"/>
      <c r="HM11" s="100"/>
      <c r="HN11" s="100"/>
      <c r="HO11" s="100"/>
      <c r="HP11" s="100"/>
      <c r="HQ11" s="100"/>
      <c r="HR11" s="100"/>
      <c r="HS11" s="100"/>
      <c r="HT11" s="100"/>
      <c r="HU11" s="100"/>
      <c r="HV11" s="100"/>
      <c r="HW11" s="100"/>
      <c r="HX11" s="100"/>
      <c r="HY11" s="100"/>
    </row>
  </sheetData>
  <mergeCells count="4">
    <mergeCell ref="D1:E1"/>
    <mergeCell ref="G1:H1"/>
    <mergeCell ref="I1:J1"/>
    <mergeCell ref="T1:U1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9"/>
  <sheetViews>
    <sheetView tabSelected="1" workbookViewId="0">
      <selection activeCell="I26" sqref="I26"/>
    </sheetView>
  </sheetViews>
  <sheetFormatPr defaultColWidth="9" defaultRowHeight="13.5"/>
  <cols>
    <col min="1" max="1" width="9" style="7"/>
    <col min="2" max="2" width="14.2166666666667" style="7" customWidth="1"/>
    <col min="3" max="3" width="12.625" style="38" customWidth="1"/>
    <col min="4" max="5" width="12.625" style="7" customWidth="1"/>
    <col min="6" max="6" width="11.725" style="7"/>
    <col min="7" max="14" width="12.8833333333333" style="7" customWidth="1"/>
    <col min="15" max="15" width="15.2666666666667" style="39" customWidth="1"/>
    <col min="16" max="16" width="12.625" style="39" customWidth="1"/>
    <col min="17" max="17" width="11.8166666666667" style="39" customWidth="1"/>
    <col min="18" max="18" width="11.5" style="39" customWidth="1"/>
    <col min="19" max="20" width="11.3666666666667" style="39" customWidth="1"/>
    <col min="21" max="21" width="11.3666666666667" style="40" customWidth="1"/>
    <col min="22" max="23" width="11.5" style="39" customWidth="1"/>
    <col min="24" max="24" width="12.625" style="39" customWidth="1"/>
    <col min="25" max="25" width="16.275" style="40" customWidth="1"/>
    <col min="26" max="27" width="16.275" style="39" customWidth="1"/>
    <col min="28" max="30" width="16.275" style="7" customWidth="1"/>
    <col min="31" max="32" width="9" style="7"/>
    <col min="33" max="33" width="11.8166666666667" style="7" customWidth="1"/>
    <col min="34" max="34" width="9.54166666666667" style="7" customWidth="1"/>
    <col min="35" max="35" width="11.8166666666667" style="7" customWidth="1"/>
    <col min="36" max="37" width="12.9083333333333" style="7" customWidth="1"/>
    <col min="38" max="38" width="14" style="7" customWidth="1"/>
    <col min="39" max="39" width="11.8166666666667" style="7" customWidth="1"/>
    <col min="40" max="40" width="9.54166666666667" style="7" customWidth="1"/>
    <col min="41" max="42" width="11.8166666666667" style="7" customWidth="1"/>
    <col min="43" max="16384" width="9" style="7"/>
  </cols>
  <sheetData>
    <row r="1" spans="1:42">
      <c r="A1" s="41" t="s">
        <v>9</v>
      </c>
      <c r="B1" s="42" t="s">
        <v>50</v>
      </c>
      <c r="C1" s="43" t="s">
        <v>51</v>
      </c>
      <c r="D1" s="44" t="s">
        <v>52</v>
      </c>
      <c r="E1" s="45" t="s">
        <v>53</v>
      </c>
      <c r="F1" s="41" t="s">
        <v>54</v>
      </c>
      <c r="G1" s="46" t="s">
        <v>55</v>
      </c>
      <c r="H1" s="41" t="s">
        <v>56</v>
      </c>
      <c r="I1" s="46" t="s">
        <v>57</v>
      </c>
      <c r="J1" s="46" t="s">
        <v>58</v>
      </c>
      <c r="K1" s="41" t="s">
        <v>59</v>
      </c>
      <c r="L1" s="47" t="s">
        <v>60</v>
      </c>
      <c r="M1" s="47" t="s">
        <v>61</v>
      </c>
      <c r="N1" s="41" t="s">
        <v>9</v>
      </c>
      <c r="O1" s="48" t="s">
        <v>62</v>
      </c>
      <c r="P1" s="49"/>
      <c r="Q1" s="49"/>
      <c r="R1" s="49"/>
      <c r="S1" s="49"/>
      <c r="T1" s="49"/>
      <c r="U1" s="50"/>
      <c r="V1" s="49"/>
      <c r="W1" s="49"/>
      <c r="X1" s="49"/>
      <c r="Y1" s="50"/>
      <c r="Z1" s="49"/>
      <c r="AA1" s="49"/>
      <c r="AF1" s="41" t="s">
        <v>9</v>
      </c>
      <c r="AG1" s="7" t="s">
        <v>63</v>
      </c>
    </row>
    <row r="2" spans="1:42">
      <c r="A2" s="41"/>
      <c r="B2" s="42"/>
      <c r="C2" s="43"/>
      <c r="D2" s="51"/>
      <c r="E2" s="45"/>
      <c r="F2" s="41"/>
      <c r="G2" s="52"/>
      <c r="H2" s="41"/>
      <c r="I2" s="52"/>
      <c r="J2" s="52"/>
      <c r="K2" s="41"/>
      <c r="L2" s="47"/>
      <c r="M2" s="47"/>
      <c r="N2" s="41"/>
      <c r="O2" s="53">
        <v>1</v>
      </c>
      <c r="P2" s="53">
        <v>2</v>
      </c>
      <c r="Q2" s="53">
        <v>3</v>
      </c>
      <c r="R2" s="53">
        <v>4</v>
      </c>
      <c r="S2" s="53">
        <v>5</v>
      </c>
      <c r="T2" s="53">
        <v>6</v>
      </c>
      <c r="U2" s="54">
        <v>7</v>
      </c>
      <c r="V2" s="53">
        <v>8</v>
      </c>
      <c r="W2" s="53">
        <v>9</v>
      </c>
      <c r="X2" s="53">
        <v>10</v>
      </c>
      <c r="Y2" s="54">
        <v>11</v>
      </c>
      <c r="Z2" s="53">
        <v>12</v>
      </c>
      <c r="AA2" s="53">
        <v>13</v>
      </c>
      <c r="AB2" s="53">
        <v>14</v>
      </c>
      <c r="AC2" s="53">
        <v>15</v>
      </c>
      <c r="AD2" s="53">
        <v>16</v>
      </c>
      <c r="AF2" s="41"/>
      <c r="AG2" s="53">
        <v>17</v>
      </c>
      <c r="AH2" s="53">
        <v>18</v>
      </c>
      <c r="AI2" s="53">
        <v>28</v>
      </c>
      <c r="AJ2" s="53">
        <v>29</v>
      </c>
      <c r="AK2" s="53">
        <v>32</v>
      </c>
      <c r="AL2" s="53">
        <v>95</v>
      </c>
      <c r="AM2" s="53">
        <v>108</v>
      </c>
      <c r="AN2" s="53">
        <v>109</v>
      </c>
      <c r="AO2" s="53">
        <v>110</v>
      </c>
      <c r="AP2" s="53">
        <v>111</v>
      </c>
    </row>
    <row r="3" spans="1:42">
      <c r="A3" s="41"/>
      <c r="B3" s="42"/>
      <c r="C3" s="43"/>
      <c r="D3" s="55"/>
      <c r="E3" s="45"/>
      <c r="F3" s="41"/>
      <c r="G3" s="56"/>
      <c r="H3" s="41"/>
      <c r="I3" s="56"/>
      <c r="J3" s="56"/>
      <c r="K3" s="41"/>
      <c r="L3" s="47"/>
      <c r="M3" s="47"/>
      <c r="N3" s="41"/>
      <c r="O3" s="53">
        <f>SUMIF(bet对应表!$A:$A,"="&amp;O2,bet对应表!$C:$C)</f>
        <v>10000</v>
      </c>
      <c r="P3" s="53">
        <f>SUMIF(bet对应表!$A:$A,"="&amp;P2,bet对应表!$C:$C)</f>
        <v>30000</v>
      </c>
      <c r="Q3" s="53">
        <f>SUMIF(bet对应表!$A:$A,"="&amp;Q2,bet对应表!$C:$C)</f>
        <v>90000</v>
      </c>
      <c r="R3" s="53">
        <f>SUMIF(bet对应表!$A:$A,"="&amp;R2,bet对应表!$C:$C)</f>
        <v>100000</v>
      </c>
      <c r="S3" s="53">
        <f>SUMIF(bet对应表!$A:$A,"="&amp;S2,bet对应表!$C:$C)</f>
        <v>150000</v>
      </c>
      <c r="T3" s="53">
        <f>SUMIF(bet对应表!$A:$A,"="&amp;T2,bet对应表!$C:$C)</f>
        <v>200000</v>
      </c>
      <c r="U3" s="54">
        <f>SUMIF(bet对应表!$A:$A,"="&amp;U2,bet对应表!$C:$C)</f>
        <v>300000</v>
      </c>
      <c r="V3" s="53">
        <f>SUMIF(bet对应表!$A:$A,"="&amp;V2,bet对应表!$C:$C)</f>
        <v>500000</v>
      </c>
      <c r="W3" s="53">
        <f>SUMIF(bet对应表!$A:$A,"="&amp;W2,bet对应表!$C:$C)</f>
        <v>750000</v>
      </c>
      <c r="X3" s="53">
        <f>SUMIF(bet对应表!$A:$A,"="&amp;X2,bet对应表!$C:$C)</f>
        <v>1000000</v>
      </c>
      <c r="Y3" s="54">
        <f>SUMIF(bet对应表!$A:$A,"="&amp;Y2,bet对应表!$C:$C)</f>
        <v>1500000</v>
      </c>
      <c r="Z3" s="53">
        <f>SUMIF(bet对应表!$A:$A,"="&amp;Z2,bet对应表!$C:$C)</f>
        <v>2000000</v>
      </c>
      <c r="AA3" s="53">
        <f>SUMIF(bet对应表!$A:$A,"="&amp;AA2,bet对应表!$C:$C)</f>
        <v>3000000</v>
      </c>
      <c r="AB3" s="53">
        <f>SUMIF(bet对应表!$A:$A,"="&amp;AB2,bet对应表!$C:$C)</f>
        <v>4000000</v>
      </c>
      <c r="AC3" s="53">
        <f>SUMIF(bet对应表!$A:$A,"="&amp;AC2,bet对应表!$C:$C)</f>
        <v>6000000</v>
      </c>
      <c r="AD3" s="53">
        <f>SUMIF(bet对应表!$A:$A,"="&amp;AD2,bet对应表!$C:$C)</f>
        <v>9000000</v>
      </c>
      <c r="AF3" s="41"/>
      <c r="AG3" s="53">
        <f>SUMIF(bet对应表!$A:$A,"="&amp;AG2,bet对应表!$C:$C)</f>
        <v>10000000</v>
      </c>
      <c r="AH3" s="53">
        <f>SUMIF(bet对应表!$A:$A,"="&amp;AH2,bet对应表!$C:$C)</f>
        <v>12000000</v>
      </c>
      <c r="AI3" s="53">
        <f>SUMIF(bet对应表!$A:$A,"="&amp;AI2,bet对应表!$C:$C)</f>
        <v>225000000</v>
      </c>
      <c r="AJ3" s="53">
        <f>SUMIF(bet对应表!$A:$A,"="&amp;AJ2,bet对应表!$C:$C)</f>
        <v>300000000</v>
      </c>
      <c r="AK3" s="53">
        <f>SUMIF(bet对应表!$A:$A,"="&amp;AK2,bet对应表!$C:$C)</f>
        <v>500000000</v>
      </c>
      <c r="AL3" s="53">
        <f>SUMIF(bet对应表!$A:$A,"="&amp;AL2,bet对应表!$C:$C)</f>
        <v>0</v>
      </c>
      <c r="AM3" s="53">
        <f>SUMIF(bet对应表!$A:$A,"="&amp;AM2,bet对应表!$C:$C)</f>
        <v>0</v>
      </c>
      <c r="AN3" s="53">
        <f>SUMIF(bet对应表!$A:$A,"="&amp;AN2,bet对应表!$C:$C)</f>
        <v>0</v>
      </c>
      <c r="AO3" s="53">
        <f>SUMIF(bet对应表!$A:$A,"="&amp;AO2,bet对应表!$C:$C)</f>
        <v>0</v>
      </c>
      <c r="AP3" s="53">
        <f>SUMIF(bet对应表!$A:$A,"="&amp;AP2,bet对应表!$C:$C)</f>
        <v>0</v>
      </c>
    </row>
    <row r="4" spans="1:42">
      <c r="A4" s="57">
        <v>1</v>
      </c>
      <c r="B4" s="58">
        <v>9</v>
      </c>
      <c r="C4" s="59">
        <v>1</v>
      </c>
      <c r="D4" s="58">
        <f>70/C30</f>
        <v>70</v>
      </c>
      <c r="E4" s="58">
        <f>100/$D$30</f>
        <v>5</v>
      </c>
      <c r="F4" s="60">
        <f>ROUND(D4/G4,0)</f>
        <v>3</v>
      </c>
      <c r="G4" s="59">
        <f>WeightCalculate!S3</f>
        <v>21.7647058823529</v>
      </c>
      <c r="H4" s="57">
        <f>SUM($F$4:F4)</f>
        <v>3</v>
      </c>
      <c r="I4" s="61">
        <f>IF(B4=1,E4/bet对应表!M7,IF(B4=9,E4/100,0))</f>
        <v>0.05</v>
      </c>
      <c r="J4" s="61">
        <f>SUM($I$4:I4)</f>
        <v>0.05</v>
      </c>
      <c r="K4" s="57">
        <f>F4*QuestGetLevel!$D$51</f>
        <v>3000</v>
      </c>
      <c r="L4" s="57">
        <f>K4</f>
        <v>3000</v>
      </c>
      <c r="M4" s="61">
        <f>J4/H4</f>
        <v>0.0166666666666667</v>
      </c>
      <c r="N4" s="62">
        <v>1</v>
      </c>
      <c r="O4" s="53" t="e" cm="1">
        <f t="array" ref="O4">$L$4/(INDEX(bet对应表!$F:$F,MATCH(O2,bet对应表!$A:$A,0),0))</f>
        <v>#N/A</v>
      </c>
      <c r="P4" s="53" t="e" cm="1">
        <f t="array" ref="P4">L4/(INDEX(bet对应表!$F:$F,MATCH($P$2,bet对应表!$A:$A,0),0))</f>
        <v>#N/A</v>
      </c>
      <c r="Q4" s="53" t="e" cm="1">
        <f t="array" ref="Q4">L4/(INDEX(bet对应表!$F:$F,MATCH($Q$2,bet对应表!$A:$A,0),0))</f>
        <v>#N/A</v>
      </c>
      <c r="R4" s="53" t="e" cm="1">
        <f t="array" ref="R4">L4/(INDEX(bet对应表!$F:$F,MATCH($R$2,bet对应表!$A:$A,0),0))</f>
        <v>#N/A</v>
      </c>
      <c r="S4" s="53" t="e" cm="1">
        <f t="array" ref="S4">L4/(INDEX(bet对应表!$F:$F,MATCH($S$2,bet对应表!$A:$A,0),0))</f>
        <v>#N/A</v>
      </c>
      <c r="T4" s="53" t="e" cm="1">
        <f t="array" ref="T4">L4/(INDEX(bet对应表!$F:$F,MATCH($T$2,bet对应表!$A:$A,0),0))</f>
        <v>#N/A</v>
      </c>
      <c r="U4" s="53" t="e" cm="1">
        <f t="array" ref="U4">L4/(INDEX(bet对应表!$F:$F,MATCH($U$2,bet对应表!$A:$A,0),0))</f>
        <v>#N/A</v>
      </c>
      <c r="V4" s="53" t="e" cm="1">
        <f t="array" ref="V4">L4/(INDEX(bet对应表!$F:$F,MATCH($V$2,bet对应表!$A:$A,0),0))</f>
        <v>#N/A</v>
      </c>
      <c r="W4" s="53" t="e" cm="1">
        <f t="array" ref="W4">L4/(INDEX(bet对应表!$F:$F,MATCH($W$2,bet对应表!$A:$A,0),0))</f>
        <v>#N/A</v>
      </c>
      <c r="X4" s="53" t="e" cm="1">
        <f t="array" ref="X4">L4/(INDEX(bet对应表!$F:$F,MATCH($X$2,bet对应表!$A:$A,0),0))</f>
        <v>#N/A</v>
      </c>
      <c r="Y4" s="53" t="e" cm="1">
        <f t="array" ref="Y4">L4/(INDEX(bet对应表!$F:$F,MATCH($Y$2,bet对应表!$A:$A,0),0))</f>
        <v>#N/A</v>
      </c>
      <c r="Z4" s="53" t="e" cm="1">
        <f t="array" ref="Z4">L4/(INDEX(bet对应表!$F:$F,MATCH($Z$2,bet对应表!$A:$A,0),0))</f>
        <v>#N/A</v>
      </c>
      <c r="AA4" s="53" t="e" cm="1">
        <f t="array" ref="AA4">L4/(INDEX(bet对应表!$F:$F,MATCH($AA$2,bet对应表!$A:$A,0),0))</f>
        <v>#N/A</v>
      </c>
      <c r="AB4" s="53" t="e" cm="1">
        <f t="array" ref="AB4">L4/(INDEX(bet对应表!$F:$F,MATCH($AB$2,bet对应表!$A:$A,0),0))</f>
        <v>#N/A</v>
      </c>
      <c r="AC4" s="53" t="e" cm="1">
        <f t="array" ref="AC4">L4/(INDEX(bet对应表!$F:$F,MATCH($AC$2,bet对应表!$A:$A,0),0))</f>
        <v>#N/A</v>
      </c>
      <c r="AD4" s="53" t="e" cm="1">
        <f t="array" ref="AD4">L4/(INDEX(bet对应表!$F:$F,MATCH($AD$2,bet对应表!$A:$A,0),0))</f>
        <v>#N/A</v>
      </c>
      <c r="AF4" s="62">
        <v>1</v>
      </c>
      <c r="AG4" s="53" t="e" cm="1">
        <f t="array" ref="AG4">L4/(INDEX(bet对应表!$F:$F,MATCH($AG$2,bet对应表!$A:$A,0),0))</f>
        <v>#N/A</v>
      </c>
      <c r="AH4" s="53" t="e" cm="1">
        <f t="array" ref="AH4">L4/(INDEX(bet对应表!$F:$F,MATCH($AH$2,bet对应表!$A:$A,0),0))</f>
        <v>#N/A</v>
      </c>
      <c r="AI4" s="53" t="e" cm="1">
        <f t="array" ref="AI4">L4/(INDEX(bet对应表!$F:$F,MATCH($AI$2,bet对应表!$A:$A,0),0))</f>
        <v>#DIV/0!</v>
      </c>
      <c r="AJ4" s="53" t="e" cm="1">
        <f t="array" ref="AJ4">L4/(INDEX(bet对应表!$F:$F,MATCH($AJ$2,bet对应表!$A:$A,0),0))</f>
        <v>#DIV/0!</v>
      </c>
      <c r="AK4" s="53" t="e" cm="1">
        <f t="array" ref="AK4">L4/(INDEX(bet对应表!$F:$F,MATCH($AK$2,bet对应表!$A:$A,0),0))</f>
        <v>#DIV/0!</v>
      </c>
      <c r="AL4" s="53" t="e" cm="1">
        <f t="array" ref="AL4">L4/(INDEX(bet对应表!$F:$F,MATCH($AL$2,bet对应表!$A:$A,0),0))</f>
        <v>#N/A</v>
      </c>
      <c r="AM4" s="53" t="e" cm="1">
        <f t="array" ref="AM4">L4/(INDEX(bet对应表!$F:$F,MATCH($AM$2,bet对应表!$A:$A,0),0))</f>
        <v>#N/A</v>
      </c>
      <c r="AN4" s="53" t="e" cm="1">
        <f t="array" ref="AN4">L4/(INDEX(bet对应表!$F:$F,MATCH($AN$2,bet对应表!$A:$A,0),0))</f>
        <v>#N/A</v>
      </c>
      <c r="AO4" s="53" t="e" cm="1">
        <f t="array" ref="AO4">L4/(INDEX(bet对应表!$F:$F,MATCH($AO$2,bet对应表!$A:$A,0),0))</f>
        <v>#N/A</v>
      </c>
      <c r="AP4" s="53" t="e" cm="1">
        <f t="array" ref="AP4">L4/(INDEX(bet对应表!$F:$F,MATCH($AP$2,bet对应表!$A:$A,0),0))</f>
        <v>#N/A</v>
      </c>
    </row>
    <row r="5" spans="1:42">
      <c r="A5" s="57">
        <v>2</v>
      </c>
      <c r="B5" s="58">
        <v>9</v>
      </c>
      <c r="C5" s="59">
        <v>1</v>
      </c>
      <c r="D5" s="58">
        <f>150/C30</f>
        <v>150</v>
      </c>
      <c r="E5" s="58">
        <f>150/$D$30</f>
        <v>7.5</v>
      </c>
      <c r="F5" s="60">
        <f t="shared" ref="F4:F27" si="0">ROUND(D5/G5,0)</f>
        <v>6</v>
      </c>
      <c r="G5" s="59">
        <f>WeightCalculate!S4</f>
        <v>24.3547044129892</v>
      </c>
      <c r="H5" s="57">
        <f>SUM($F$4:F5)</f>
        <v>9</v>
      </c>
      <c r="I5" s="61">
        <f>IF(B5=1,E5/bet对应表!M8,IF(B5=9,E5/100,0))</f>
        <v>0.075</v>
      </c>
      <c r="J5" s="61">
        <f>SUM($I$4:I5)</f>
        <v>0.125</v>
      </c>
      <c r="K5" s="57">
        <f>F5*QuestGetLevel!$D$51</f>
        <v>6000</v>
      </c>
      <c r="L5" s="57">
        <f>K5+L4</f>
        <v>9000</v>
      </c>
      <c r="M5" s="61">
        <f t="shared" ref="M5:M27" si="1">J5/H5</f>
        <v>0.0138888888888889</v>
      </c>
      <c r="N5" s="62">
        <v>2</v>
      </c>
      <c r="O5" s="53" t="e" cm="1">
        <f t="array" ref="O5">L5/(INDEX(bet对应表!F:F,MATCH($O$2,bet对应表!A:A,0),0))</f>
        <v>#N/A</v>
      </c>
      <c r="P5" s="53" t="e" cm="1">
        <f t="array" ref="P5">L5/(INDEX(bet对应表!$F:$F,MATCH($P$2,bet对应表!$A:$A,0),0))</f>
        <v>#N/A</v>
      </c>
      <c r="Q5" s="53" t="e" cm="1">
        <f t="array" ref="Q5">L5/(INDEX(bet对应表!$F:$F,MATCH($Q$2,bet对应表!$A:$A,0),0))</f>
        <v>#N/A</v>
      </c>
      <c r="R5" s="53" t="e" cm="1">
        <f t="array" ref="R5">L5/(INDEX(bet对应表!$F:$F,MATCH($R$2,bet对应表!$A:$A,0),0))</f>
        <v>#N/A</v>
      </c>
      <c r="S5" s="53" t="e" cm="1">
        <f t="array" ref="S5">L5/(INDEX(bet对应表!$F:$F,MATCH($S$2,bet对应表!$A:$A,0),0))</f>
        <v>#N/A</v>
      </c>
      <c r="T5" s="53" t="e" cm="1">
        <f t="array" ref="T5">L5/(INDEX(bet对应表!$F:$F,MATCH($T$2,bet对应表!$A:$A,0),0))</f>
        <v>#N/A</v>
      </c>
      <c r="U5" s="53" t="e" cm="1">
        <f t="array" ref="U5">L5/(INDEX(bet对应表!$F:$F,MATCH($U$2,bet对应表!$A:$A,0),0))</f>
        <v>#N/A</v>
      </c>
      <c r="V5" s="53" t="e" cm="1">
        <f t="array" ref="V5">L5/(INDEX(bet对应表!$F:$F,MATCH($V$2,bet对应表!$A:$A,0),0))</f>
        <v>#N/A</v>
      </c>
      <c r="W5" s="53" t="e" cm="1">
        <f t="array" ref="W5">L5/(INDEX(bet对应表!$F:$F,MATCH($W$2,bet对应表!$A:$A,0),0))</f>
        <v>#N/A</v>
      </c>
      <c r="X5" s="53" t="e" cm="1">
        <f t="array" ref="X5">L5/(INDEX(bet对应表!$F:$F,MATCH($X$2,bet对应表!$A:$A,0),0))</f>
        <v>#N/A</v>
      </c>
      <c r="Y5" s="53" t="e" cm="1">
        <f t="array" ref="Y5">L5/(INDEX(bet对应表!$F:$F,MATCH($Y$2,bet对应表!$A:$A,0),0))</f>
        <v>#N/A</v>
      </c>
      <c r="Z5" s="53" t="e" cm="1">
        <f t="array" ref="Z5">L5/(INDEX(bet对应表!$F:$F,MATCH($Z$2,bet对应表!$A:$A,0),0))</f>
        <v>#N/A</v>
      </c>
      <c r="AA5" s="53" t="e" cm="1">
        <f t="array" ref="AA5">L5/(INDEX(bet对应表!$F:$F,MATCH($AA$2,bet对应表!$A:$A,0),0))</f>
        <v>#N/A</v>
      </c>
      <c r="AB5" s="53" t="e" cm="1">
        <f t="array" ref="AB5">L5/(INDEX(bet对应表!$F:$F,MATCH($AB$2,bet对应表!$A:$A,0),0))</f>
        <v>#N/A</v>
      </c>
      <c r="AC5" s="53" t="e" cm="1">
        <f t="array" ref="AC5">L5/(INDEX(bet对应表!$F:$F,MATCH($AC$2,bet对应表!$A:$A,0),0))</f>
        <v>#N/A</v>
      </c>
      <c r="AD5" s="53" t="e" cm="1">
        <f t="array" ref="AD5">L5/(INDEX(bet对应表!$F:$F,MATCH($AD$2,bet对应表!$A:$A,0),0))</f>
        <v>#N/A</v>
      </c>
      <c r="AF5" s="62">
        <v>2</v>
      </c>
      <c r="AG5" s="53" t="e" cm="1">
        <f t="array" ref="AG5">L5/(INDEX(bet对应表!$F:$F,MATCH($AG$2,bet对应表!$A:$A,0),0))</f>
        <v>#N/A</v>
      </c>
      <c r="AH5" s="53" t="e" cm="1">
        <f t="array" ref="AH5">L5/(INDEX(bet对应表!$F:$F,MATCH($AH$2,bet对应表!$A:$A,0),0))</f>
        <v>#N/A</v>
      </c>
      <c r="AI5" s="53" t="e" cm="1">
        <f t="array" ref="AI5">L5/(INDEX(bet对应表!$F:$F,MATCH($AI$2,bet对应表!$A:$A,0),0))</f>
        <v>#DIV/0!</v>
      </c>
      <c r="AJ5" s="53" t="e" cm="1">
        <f t="array" ref="AJ5">L5/(INDEX(bet对应表!$F:$F,MATCH($AJ$2,bet对应表!$A:$A,0),0))</f>
        <v>#DIV/0!</v>
      </c>
      <c r="AK5" s="53" t="e" cm="1">
        <f t="array" ref="AK5">L5/(INDEX(bet对应表!$F:$F,MATCH($AK$2,bet对应表!$A:$A,0),0))</f>
        <v>#DIV/0!</v>
      </c>
      <c r="AL5" s="53" t="e" cm="1">
        <f t="array" ref="AL5">L5/(INDEX(bet对应表!$F:$F,MATCH($AL$2,bet对应表!$A:$A,0),0))</f>
        <v>#N/A</v>
      </c>
      <c r="AM5" s="53" t="e" cm="1">
        <f t="array" ref="AM5">L5/(INDEX(bet对应表!$F:$F,MATCH($AM$2,bet对应表!$A:$A,0),0))</f>
        <v>#N/A</v>
      </c>
      <c r="AN5" s="53" t="e" cm="1">
        <f t="array" ref="AN5">L5/(INDEX(bet对应表!$F:$F,MATCH($AN$2,bet对应表!$A:$A,0),0))</f>
        <v>#N/A</v>
      </c>
      <c r="AO5" s="53" t="e" cm="1">
        <f t="array" ref="AO5">L5/(INDEX(bet对应表!$F:$F,MATCH($AO$2,bet对应表!$A:$A,0),0))</f>
        <v>#N/A</v>
      </c>
      <c r="AP5" s="53" t="e" cm="1">
        <f t="array" ref="AP5">L5/(INDEX(bet对应表!$F:$F,MATCH($AP$2,bet对应表!$A:$A,0),0))</f>
        <v>#N/A</v>
      </c>
    </row>
    <row r="6" spans="1:42">
      <c r="A6" s="57">
        <v>3</v>
      </c>
      <c r="B6" s="58">
        <v>9</v>
      </c>
      <c r="C6" s="59">
        <v>1</v>
      </c>
      <c r="D6" s="58">
        <f>300/C30</f>
        <v>300</v>
      </c>
      <c r="E6" s="58">
        <f>200/$D$30</f>
        <v>10</v>
      </c>
      <c r="F6" s="60">
        <f t="shared" si="0"/>
        <v>11</v>
      </c>
      <c r="G6" s="63">
        <f>WeightCalculate!S5</f>
        <v>28.0044409478125</v>
      </c>
      <c r="H6" s="57">
        <f>SUM($F$4:F6)</f>
        <v>20</v>
      </c>
      <c r="I6" s="61">
        <f>IF(B6=1,E6/bet对应表!M9,IF(B6=9,E6/100,0))</f>
        <v>0.1</v>
      </c>
      <c r="J6" s="61">
        <f>SUM($I$4:I6)</f>
        <v>0.225</v>
      </c>
      <c r="K6" s="57">
        <f>F6*QuestGetLevel!$D$51</f>
        <v>11000</v>
      </c>
      <c r="L6" s="57">
        <f t="shared" ref="L6:L12" si="2">K6+L5</f>
        <v>20000</v>
      </c>
      <c r="M6" s="61">
        <f t="shared" si="1"/>
        <v>0.01125</v>
      </c>
      <c r="N6" s="62">
        <v>3</v>
      </c>
      <c r="O6" s="53" t="e" cm="1">
        <f t="array" ref="O6">L6/(INDEX(bet对应表!F:F,MATCH($O$2,bet对应表!A:A,0),0))</f>
        <v>#N/A</v>
      </c>
      <c r="P6" s="53" t="e" cm="1">
        <f t="array" ref="P6">L6/(INDEX(bet对应表!$F:$F,MATCH($P$2,bet对应表!$A:$A,0),0))</f>
        <v>#N/A</v>
      </c>
      <c r="Q6" s="53" t="e" cm="1">
        <f t="array" ref="Q6">L6/(INDEX(bet对应表!$F:$F,MATCH($Q$2,bet对应表!$A:$A,0),0))</f>
        <v>#N/A</v>
      </c>
      <c r="R6" s="53" t="e" cm="1">
        <f t="array" ref="R6">L6/(INDEX(bet对应表!$F:$F,MATCH($R$2,bet对应表!$A:$A,0),0))</f>
        <v>#N/A</v>
      </c>
      <c r="S6" s="53" t="e" cm="1">
        <f t="array" ref="S6">L6/(INDEX(bet对应表!$F:$F,MATCH($S$2,bet对应表!$A:$A,0),0))</f>
        <v>#N/A</v>
      </c>
      <c r="T6" s="53" t="e" cm="1">
        <f t="array" ref="T6">L6/(INDEX(bet对应表!$F:$F,MATCH($T$2,bet对应表!$A:$A,0),0))</f>
        <v>#N/A</v>
      </c>
      <c r="U6" s="53" t="e" cm="1">
        <f t="array" ref="U6">L6/(INDEX(bet对应表!$F:$F,MATCH($U$2,bet对应表!$A:$A,0),0))</f>
        <v>#N/A</v>
      </c>
      <c r="V6" s="53" t="e" cm="1">
        <f t="array" ref="V6">L6/(INDEX(bet对应表!$F:$F,MATCH($V$2,bet对应表!$A:$A,0),0))</f>
        <v>#N/A</v>
      </c>
      <c r="W6" s="53" t="e" cm="1">
        <f t="array" ref="W6">L6/(INDEX(bet对应表!$F:$F,MATCH($W$2,bet对应表!$A:$A,0),0))</f>
        <v>#N/A</v>
      </c>
      <c r="X6" s="53" t="e" cm="1">
        <f t="array" ref="X6">L6/(INDEX(bet对应表!$F:$F,MATCH($X$2,bet对应表!$A:$A,0),0))</f>
        <v>#N/A</v>
      </c>
      <c r="Y6" s="53" t="e" cm="1">
        <f t="array" ref="Y6">L6/(INDEX(bet对应表!$F:$F,MATCH($Y$2,bet对应表!$A:$A,0),0))</f>
        <v>#N/A</v>
      </c>
      <c r="Z6" s="53" t="e" cm="1">
        <f t="array" ref="Z6">L6/(INDEX(bet对应表!$F:$F,MATCH($Z$2,bet对应表!$A:$A,0),0))</f>
        <v>#N/A</v>
      </c>
      <c r="AA6" s="53" t="e" cm="1">
        <f t="array" ref="AA6">L6/(INDEX(bet对应表!$F:$F,MATCH($AA$2,bet对应表!$A:$A,0),0))</f>
        <v>#N/A</v>
      </c>
      <c r="AB6" s="53" t="e" cm="1">
        <f t="array" ref="AB6">L6/(INDEX(bet对应表!$F:$F,MATCH($AB$2,bet对应表!$A:$A,0),0))</f>
        <v>#N/A</v>
      </c>
      <c r="AC6" s="53" t="e" cm="1">
        <f t="array" ref="AC6">L6/(INDEX(bet对应表!$F:$F,MATCH($AC$2,bet对应表!$A:$A,0),0))</f>
        <v>#N/A</v>
      </c>
      <c r="AD6" s="53" t="e" cm="1">
        <f t="array" ref="AD6">L6/(INDEX(bet对应表!$F:$F,MATCH($AD$2,bet对应表!$A:$A,0),0))</f>
        <v>#N/A</v>
      </c>
      <c r="AF6" s="62">
        <v>3</v>
      </c>
      <c r="AG6" s="53" t="e" cm="1">
        <f t="array" ref="AG6">L6/(INDEX(bet对应表!$F:$F,MATCH($AG$2,bet对应表!$A:$A,0),0))</f>
        <v>#N/A</v>
      </c>
      <c r="AH6" s="53" t="e" cm="1">
        <f t="array" ref="AH6">L6/(INDEX(bet对应表!$F:$F,MATCH($AH$2,bet对应表!$A:$A,0),0))</f>
        <v>#N/A</v>
      </c>
      <c r="AI6" s="53" t="e" cm="1">
        <f t="array" ref="AI6">L6/(INDEX(bet对应表!$F:$F,MATCH($AI$2,bet对应表!$A:$A,0),0))</f>
        <v>#DIV/0!</v>
      </c>
      <c r="AJ6" s="53" t="e" cm="1">
        <f t="array" ref="AJ6">L6/(INDEX(bet对应表!$F:$F,MATCH($AJ$2,bet对应表!$A:$A,0),0))</f>
        <v>#DIV/0!</v>
      </c>
      <c r="AK6" s="53" t="e" cm="1">
        <f t="array" ref="AK6">L6/(INDEX(bet对应表!$F:$F,MATCH($AK$2,bet对应表!$A:$A,0),0))</f>
        <v>#DIV/0!</v>
      </c>
      <c r="AL6" s="53" t="e" cm="1">
        <f t="array" ref="AL6">L6/(INDEX(bet对应表!$F:$F,MATCH($AL$2,bet对应表!$A:$A,0),0))</f>
        <v>#N/A</v>
      </c>
      <c r="AM6" s="53" t="e" cm="1">
        <f t="array" ref="AM6">L6/(INDEX(bet对应表!$F:$F,MATCH($AM$2,bet对应表!$A:$A,0),0))</f>
        <v>#N/A</v>
      </c>
      <c r="AN6" s="53" t="e" cm="1">
        <f t="array" ref="AN6">L6/(INDEX(bet对应表!$F:$F,MATCH($AN$2,bet对应表!$A:$A,0),0))</f>
        <v>#N/A</v>
      </c>
      <c r="AO6" s="53" t="e" cm="1">
        <f t="array" ref="AO6">L6/(INDEX(bet对应表!$F:$F,MATCH($AO$2,bet对应表!$A:$A,0),0))</f>
        <v>#N/A</v>
      </c>
      <c r="AP6" s="53" t="e" cm="1">
        <f t="array" ref="AP6">L6/(INDEX(bet对应表!$F:$F,MATCH($AP$2,bet对应表!$A:$A,0),0))</f>
        <v>#N/A</v>
      </c>
    </row>
    <row r="7" spans="1:42">
      <c r="A7" s="57">
        <v>4</v>
      </c>
      <c r="B7" s="58">
        <v>9</v>
      </c>
      <c r="C7" s="59">
        <v>1</v>
      </c>
      <c r="D7" s="58">
        <f>600/C30</f>
        <v>600</v>
      </c>
      <c r="E7" s="58">
        <f>300/$D$30</f>
        <v>15</v>
      </c>
      <c r="F7" s="60">
        <f t="shared" si="0"/>
        <v>18</v>
      </c>
      <c r="G7" s="59">
        <f>WeightCalculate!S8</f>
        <v>33.1623093070444</v>
      </c>
      <c r="H7" s="57">
        <f>SUM($F$4:F7)</f>
        <v>38</v>
      </c>
      <c r="I7" s="61">
        <f>IF(B7=1,E7/bet对应表!M10,IF(B7=9,E7/100,0))</f>
        <v>0.15</v>
      </c>
      <c r="J7" s="61">
        <f>SUM($I$4:I7)</f>
        <v>0.375</v>
      </c>
      <c r="K7" s="57">
        <f>F7*QuestGetLevel!$D$51</f>
        <v>18000</v>
      </c>
      <c r="L7" s="57">
        <f t="shared" si="2"/>
        <v>38000</v>
      </c>
      <c r="M7" s="61">
        <f t="shared" si="1"/>
        <v>0.00986842105263158</v>
      </c>
      <c r="N7" s="62">
        <v>4</v>
      </c>
      <c r="O7" s="53" t="e" cm="1">
        <f t="array" ref="O7">L7/(INDEX(bet对应表!F:F,MATCH($O$2,bet对应表!A:A,0),0))</f>
        <v>#N/A</v>
      </c>
      <c r="P7" s="53" t="e" cm="1">
        <f t="array" ref="P7">L7/(INDEX(bet对应表!$F:$F,MATCH($P$2,bet对应表!$A:$A,0),0))</f>
        <v>#N/A</v>
      </c>
      <c r="Q7" s="53" t="e" cm="1">
        <f t="array" ref="Q7">L7/(INDEX(bet对应表!$F:$F,MATCH($Q$2,bet对应表!$A:$A,0),0))</f>
        <v>#N/A</v>
      </c>
      <c r="R7" s="53" t="e" cm="1">
        <f t="array" ref="R7">L7/(INDEX(bet对应表!$F:$F,MATCH($R$2,bet对应表!$A:$A,0),0))</f>
        <v>#N/A</v>
      </c>
      <c r="S7" s="53" t="e" cm="1">
        <f t="array" ref="S7">L7/(INDEX(bet对应表!$F:$F,MATCH($S$2,bet对应表!$A:$A,0),0))</f>
        <v>#N/A</v>
      </c>
      <c r="T7" s="53" t="e" cm="1">
        <f t="array" ref="T7">L7/(INDEX(bet对应表!$F:$F,MATCH($T$2,bet对应表!$A:$A,0),0))</f>
        <v>#N/A</v>
      </c>
      <c r="U7" s="53" t="e" cm="1">
        <f t="array" ref="U7">L7/(INDEX(bet对应表!$F:$F,MATCH($U$2,bet对应表!$A:$A,0),0))</f>
        <v>#N/A</v>
      </c>
      <c r="V7" s="53" t="e" cm="1">
        <f t="array" ref="V7">L7/(INDEX(bet对应表!$F:$F,MATCH($V$2,bet对应表!$A:$A,0),0))</f>
        <v>#N/A</v>
      </c>
      <c r="W7" s="53" t="e" cm="1">
        <f t="array" ref="W7">L7/(INDEX(bet对应表!$F:$F,MATCH($W$2,bet对应表!$A:$A,0),0))</f>
        <v>#N/A</v>
      </c>
      <c r="X7" s="53" t="e" cm="1">
        <f t="array" ref="X7">L7/(INDEX(bet对应表!$F:$F,MATCH($X$2,bet对应表!$A:$A,0),0))</f>
        <v>#N/A</v>
      </c>
      <c r="Y7" s="53" t="e" cm="1">
        <f t="array" ref="Y7">L7/(INDEX(bet对应表!$F:$F,MATCH($Y$2,bet对应表!$A:$A,0),0))</f>
        <v>#N/A</v>
      </c>
      <c r="Z7" s="53" t="e" cm="1">
        <f t="array" ref="Z7">L7/(INDEX(bet对应表!$F:$F,MATCH($Z$2,bet对应表!$A:$A,0),0))</f>
        <v>#N/A</v>
      </c>
      <c r="AA7" s="53" t="e" cm="1">
        <f t="array" ref="AA7">L7/(INDEX(bet对应表!$F:$F,MATCH($AA$2,bet对应表!$A:$A,0),0))</f>
        <v>#N/A</v>
      </c>
      <c r="AB7" s="53" t="e" cm="1">
        <f t="array" ref="AB7">L7/(INDEX(bet对应表!$F:$F,MATCH($AB$2,bet对应表!$A:$A,0),0))</f>
        <v>#N/A</v>
      </c>
      <c r="AC7" s="53" t="e" cm="1">
        <f t="array" ref="AC7">L7/(INDEX(bet对应表!$F:$F,MATCH($AC$2,bet对应表!$A:$A,0),0))</f>
        <v>#N/A</v>
      </c>
      <c r="AD7" s="53" t="e" cm="1">
        <f t="array" ref="AD7">L7/(INDEX(bet对应表!$F:$F,MATCH($AD$2,bet对应表!$A:$A,0),0))</f>
        <v>#N/A</v>
      </c>
      <c r="AF7" s="62">
        <v>4</v>
      </c>
      <c r="AG7" s="53" t="e" cm="1">
        <f t="array" ref="AG7">L7/(INDEX(bet对应表!$F:$F,MATCH($AG$2,bet对应表!$A:$A,0),0))</f>
        <v>#N/A</v>
      </c>
      <c r="AH7" s="53" t="e" cm="1">
        <f t="array" ref="AH7">L7/(INDEX(bet对应表!$F:$F,MATCH($AH$2,bet对应表!$A:$A,0),0))</f>
        <v>#N/A</v>
      </c>
      <c r="AI7" s="53" t="e" cm="1">
        <f t="array" ref="AI7">L7/(INDEX(bet对应表!$F:$F,MATCH($AI$2,bet对应表!$A:$A,0),0))</f>
        <v>#DIV/0!</v>
      </c>
      <c r="AJ7" s="53" t="e" cm="1">
        <f t="array" ref="AJ7">L7/(INDEX(bet对应表!$F:$F,MATCH($AJ$2,bet对应表!$A:$A,0),0))</f>
        <v>#DIV/0!</v>
      </c>
      <c r="AK7" s="53" t="e" cm="1">
        <f t="array" ref="AK7">L7/(INDEX(bet对应表!$F:$F,MATCH($AK$2,bet对应表!$A:$A,0),0))</f>
        <v>#DIV/0!</v>
      </c>
      <c r="AL7" s="53" t="e" cm="1">
        <f t="array" ref="AL7">L7/(INDEX(bet对应表!$F:$F,MATCH($AL$2,bet对应表!$A:$A,0),0))</f>
        <v>#N/A</v>
      </c>
      <c r="AM7" s="53" t="e" cm="1">
        <f t="array" ref="AM7">L7/(INDEX(bet对应表!$F:$F,MATCH($AM$2,bet对应表!$A:$A,0),0))</f>
        <v>#N/A</v>
      </c>
      <c r="AN7" s="53" t="e" cm="1">
        <f t="array" ref="AN7">L7/(INDEX(bet对应表!$F:$F,MATCH($AN$2,bet对应表!$A:$A,0),0))</f>
        <v>#N/A</v>
      </c>
      <c r="AO7" s="53" t="e" cm="1">
        <f t="array" ref="AO7">L7/(INDEX(bet对应表!$F:$F,MATCH($AO$2,bet对应表!$A:$A,0),0))</f>
        <v>#N/A</v>
      </c>
      <c r="AP7" s="53" t="e" cm="1">
        <f t="array" ref="AP7">L7/(INDEX(bet对应表!$F:$F,MATCH($AP$2,bet对应表!$A:$A,0),0))</f>
        <v>#N/A</v>
      </c>
    </row>
    <row r="8" spans="1:42">
      <c r="A8" s="57">
        <v>5</v>
      </c>
      <c r="B8" s="58">
        <v>9</v>
      </c>
      <c r="C8" s="59">
        <v>1</v>
      </c>
      <c r="D8" s="58">
        <v>1000</v>
      </c>
      <c r="E8" s="58">
        <v>20</v>
      </c>
      <c r="F8" s="60">
        <f t="shared" si="0"/>
        <v>28</v>
      </c>
      <c r="G8" s="59">
        <f>WeightCalculate!S11</f>
        <v>36.130733951103</v>
      </c>
      <c r="H8" s="57">
        <f>SUM($F$4:F8)</f>
        <v>66</v>
      </c>
      <c r="I8" s="61">
        <f>IF(B8=1,E8/bet对应表!M11,IF(B8=9,E8/100,0))</f>
        <v>0.2</v>
      </c>
      <c r="J8" s="61">
        <f>SUM($I$4:I8)</f>
        <v>0.575</v>
      </c>
      <c r="K8" s="57">
        <f>F8*QuestGetLevel!$D$51</f>
        <v>28000</v>
      </c>
      <c r="L8" s="57">
        <f t="shared" si="2"/>
        <v>66000</v>
      </c>
      <c r="M8" s="61">
        <f t="shared" si="1"/>
        <v>0.00871212121212121</v>
      </c>
      <c r="N8" s="62">
        <v>5</v>
      </c>
      <c r="O8" s="53" t="e" cm="1">
        <f t="array" ref="O8">L8/(INDEX(bet对应表!F:F,MATCH($O$2,bet对应表!A:A,0),0))</f>
        <v>#N/A</v>
      </c>
      <c r="P8" s="53" t="e" cm="1">
        <f t="array" ref="P8">L8/(INDEX(bet对应表!$F:$F,MATCH($P$2,bet对应表!$A:$A,0),0))</f>
        <v>#N/A</v>
      </c>
      <c r="Q8" s="53" t="e" cm="1">
        <f t="array" ref="Q8">L8/(INDEX(bet对应表!$F:$F,MATCH($Q$2,bet对应表!$A:$A,0),0))</f>
        <v>#N/A</v>
      </c>
      <c r="R8" s="53" t="e" cm="1">
        <f t="array" ref="R8">L8/(INDEX(bet对应表!$F:$F,MATCH($R$2,bet对应表!$A:$A,0),0))</f>
        <v>#N/A</v>
      </c>
      <c r="S8" s="53" t="e" cm="1">
        <f t="array" ref="S8">L8/(INDEX(bet对应表!$F:$F,MATCH($S$2,bet对应表!$A:$A,0),0))</f>
        <v>#N/A</v>
      </c>
      <c r="T8" s="53" t="e" cm="1">
        <f t="array" ref="T8">L8/(INDEX(bet对应表!$F:$F,MATCH($T$2,bet对应表!$A:$A,0),0))</f>
        <v>#N/A</v>
      </c>
      <c r="U8" s="53" t="e" cm="1">
        <f t="array" ref="U8">L8/(INDEX(bet对应表!$F:$F,MATCH($U$2,bet对应表!$A:$A,0),0))</f>
        <v>#N/A</v>
      </c>
      <c r="V8" s="53" t="e" cm="1">
        <f t="array" ref="V8">L8/(INDEX(bet对应表!$F:$F,MATCH($V$2,bet对应表!$A:$A,0),0))</f>
        <v>#N/A</v>
      </c>
      <c r="W8" s="53" t="e" cm="1">
        <f t="array" ref="W8">L8/(INDEX(bet对应表!$F:$F,MATCH($W$2,bet对应表!$A:$A,0),0))</f>
        <v>#N/A</v>
      </c>
      <c r="X8" s="53" t="e" cm="1">
        <f t="array" ref="X8">L8/(INDEX(bet对应表!$F:$F,MATCH($X$2,bet对应表!$A:$A,0),0))</f>
        <v>#N/A</v>
      </c>
      <c r="Y8" s="53" t="e" cm="1">
        <f t="array" ref="Y8">L8/(INDEX(bet对应表!$F:$F,MATCH($Y$2,bet对应表!$A:$A,0),0))</f>
        <v>#N/A</v>
      </c>
      <c r="Z8" s="53" t="e" cm="1">
        <f t="array" ref="Z8">L8/(INDEX(bet对应表!$F:$F,MATCH($Z$2,bet对应表!$A:$A,0),0))</f>
        <v>#N/A</v>
      </c>
      <c r="AA8" s="53" t="e" cm="1">
        <f t="array" ref="AA8">L8/(INDEX(bet对应表!$F:$F,MATCH($AA$2,bet对应表!$A:$A,0),0))</f>
        <v>#N/A</v>
      </c>
      <c r="AB8" s="53" t="e" cm="1">
        <f t="array" ref="AB8">L8/(INDEX(bet对应表!$F:$F,MATCH($AB$2,bet对应表!$A:$A,0),0))</f>
        <v>#N/A</v>
      </c>
      <c r="AC8" s="53" t="e" cm="1">
        <f t="array" ref="AC8">L8/(INDEX(bet对应表!$F:$F,MATCH($AC$2,bet对应表!$A:$A,0),0))</f>
        <v>#N/A</v>
      </c>
      <c r="AD8" s="53" t="e" cm="1">
        <f t="array" ref="AD8">L8/(INDEX(bet对应表!$F:$F,MATCH($AD$2,bet对应表!$A:$A,0),0))</f>
        <v>#N/A</v>
      </c>
      <c r="AF8" s="62">
        <v>5</v>
      </c>
      <c r="AG8" s="53" t="e" cm="1">
        <f t="array" ref="AG8">L8/(INDEX(bet对应表!$F:$F,MATCH($AG$2,bet对应表!$A:$A,0),0))</f>
        <v>#N/A</v>
      </c>
      <c r="AH8" s="53" t="e" cm="1">
        <f t="array" ref="AH8">L8/(INDEX(bet对应表!$F:$F,MATCH($AH$2,bet对应表!$A:$A,0),0))</f>
        <v>#N/A</v>
      </c>
      <c r="AI8" s="53" t="e" cm="1">
        <f t="array" ref="AI8">L8/(INDEX(bet对应表!$F:$F,MATCH($AI$2,bet对应表!$A:$A,0),0))</f>
        <v>#DIV/0!</v>
      </c>
      <c r="AJ8" s="53" t="e" cm="1">
        <f t="array" ref="AJ8">L8/(INDEX(bet对应表!$F:$F,MATCH($AJ$2,bet对应表!$A:$A,0),0))</f>
        <v>#DIV/0!</v>
      </c>
      <c r="AK8" s="53" t="e" cm="1">
        <f t="array" ref="AK8">L8/(INDEX(bet对应表!$F:$F,MATCH($AK$2,bet对应表!$A:$A,0),0))</f>
        <v>#DIV/0!</v>
      </c>
      <c r="AL8" s="53" t="e" cm="1">
        <f t="array" ref="AL8">L8/(INDEX(bet对应表!$F:$F,MATCH($AL$2,bet对应表!$A:$A,0),0))</f>
        <v>#N/A</v>
      </c>
      <c r="AM8" s="53" t="e" cm="1">
        <f t="array" ref="AM8">L8/(INDEX(bet对应表!$F:$F,MATCH($AM$2,bet对应表!$A:$A,0),0))</f>
        <v>#N/A</v>
      </c>
      <c r="AN8" s="53" t="e" cm="1">
        <f t="array" ref="AN8">L8/(INDEX(bet对应表!$F:$F,MATCH($AN$2,bet对应表!$A:$A,0),0))</f>
        <v>#N/A</v>
      </c>
      <c r="AO8" s="53" t="e" cm="1">
        <f t="array" ref="AO8">L8/(INDEX(bet对应表!$F:$F,MATCH($AO$2,bet对应表!$A:$A,0),0))</f>
        <v>#N/A</v>
      </c>
      <c r="AP8" s="53" t="e" cm="1">
        <f t="array" ref="AP8">L8/(INDEX(bet对应表!$F:$F,MATCH($AP$2,bet对应表!$A:$A,0),0))</f>
        <v>#N/A</v>
      </c>
    </row>
    <row r="9" spans="1:42">
      <c r="A9" s="57">
        <v>6</v>
      </c>
      <c r="B9" s="58">
        <v>9</v>
      </c>
      <c r="C9" s="59">
        <v>1</v>
      </c>
      <c r="D9" s="58">
        <v>2000</v>
      </c>
      <c r="E9" s="58">
        <v>30</v>
      </c>
      <c r="F9" s="60">
        <f t="shared" si="0"/>
        <v>45</v>
      </c>
      <c r="G9" s="59">
        <f>WeightCalculate!S14</f>
        <v>44.5730142359536</v>
      </c>
      <c r="H9" s="57">
        <f>SUM($F$4:F9)</f>
        <v>111</v>
      </c>
      <c r="I9" s="61">
        <f>IF(B9=1,E9/bet对应表!M12,IF(B9=9,E9/100,0))</f>
        <v>0.3</v>
      </c>
      <c r="J9" s="61">
        <f>SUM($I$4:I9)</f>
        <v>0.875</v>
      </c>
      <c r="K9" s="57">
        <f>F9*QuestGetLevel!$D$51</f>
        <v>45000</v>
      </c>
      <c r="L9" s="57">
        <f t="shared" si="2"/>
        <v>111000</v>
      </c>
      <c r="M9" s="61">
        <f t="shared" si="1"/>
        <v>0.00788288288288288</v>
      </c>
      <c r="N9" s="62">
        <v>6</v>
      </c>
      <c r="O9" s="53" t="e" cm="1">
        <f t="array" ref="O9">L9/(INDEX(bet对应表!F:F,MATCH($O$2,bet对应表!A:A,0),0))</f>
        <v>#N/A</v>
      </c>
      <c r="P9" s="53" t="e" cm="1">
        <f t="array" ref="P9">L9/(INDEX(bet对应表!$F:$F,MATCH($P$2,bet对应表!$A:$A,0),0))</f>
        <v>#N/A</v>
      </c>
      <c r="Q9" s="53" t="e" cm="1">
        <f t="array" ref="Q9">L9/(INDEX(bet对应表!$F:$F,MATCH($Q$2,bet对应表!$A:$A,0),0))</f>
        <v>#N/A</v>
      </c>
      <c r="R9" s="53" t="e" cm="1">
        <f t="array" ref="R9">L9/(INDEX(bet对应表!$F:$F,MATCH($R$2,bet对应表!$A:$A,0),0))</f>
        <v>#N/A</v>
      </c>
      <c r="S9" s="53" t="e" cm="1">
        <f t="array" ref="S9">L9/(INDEX(bet对应表!$F:$F,MATCH($S$2,bet对应表!$A:$A,0),0))</f>
        <v>#N/A</v>
      </c>
      <c r="T9" s="53" t="e" cm="1">
        <f t="array" ref="T9">L9/(INDEX(bet对应表!$F:$F,MATCH($T$2,bet对应表!$A:$A,0),0))</f>
        <v>#N/A</v>
      </c>
      <c r="U9" s="53" t="e" cm="1">
        <f t="array" ref="U9">L9/(INDEX(bet对应表!$F:$F,MATCH($U$2,bet对应表!$A:$A,0),0))</f>
        <v>#N/A</v>
      </c>
      <c r="V9" s="53" t="e" cm="1">
        <f t="array" ref="V9">L9/(INDEX(bet对应表!$F:$F,MATCH($V$2,bet对应表!$A:$A,0),0))</f>
        <v>#N/A</v>
      </c>
      <c r="W9" s="53" t="e" cm="1">
        <f t="array" ref="W9">L9/(INDEX(bet对应表!$F:$F,MATCH($W$2,bet对应表!$A:$A,0),0))</f>
        <v>#N/A</v>
      </c>
      <c r="X9" s="53" t="e" cm="1">
        <f t="array" ref="X9">L9/(INDEX(bet对应表!$F:$F,MATCH($X$2,bet对应表!$A:$A,0),0))</f>
        <v>#N/A</v>
      </c>
      <c r="Y9" s="53" t="e" cm="1">
        <f t="array" ref="Y9">L9/(INDEX(bet对应表!$F:$F,MATCH($Y$2,bet对应表!$A:$A,0),0))</f>
        <v>#N/A</v>
      </c>
      <c r="Z9" s="53" t="e" cm="1">
        <f t="array" ref="Z9">L9/(INDEX(bet对应表!$F:$F,MATCH($Z$2,bet对应表!$A:$A,0),0))</f>
        <v>#N/A</v>
      </c>
      <c r="AA9" s="53" t="e" cm="1">
        <f t="array" ref="AA9">L9/(INDEX(bet对应表!$F:$F,MATCH($AA$2,bet对应表!$A:$A,0),0))</f>
        <v>#N/A</v>
      </c>
      <c r="AB9" s="53" t="e" cm="1">
        <f t="array" ref="AB9">L9/(INDEX(bet对应表!$F:$F,MATCH($AB$2,bet对应表!$A:$A,0),0))</f>
        <v>#N/A</v>
      </c>
      <c r="AC9" s="53" t="e" cm="1">
        <f t="array" ref="AC9">L9/(INDEX(bet对应表!$F:$F,MATCH($AC$2,bet对应表!$A:$A,0),0))</f>
        <v>#N/A</v>
      </c>
      <c r="AD9" s="53" t="e" cm="1">
        <f t="array" ref="AD9">L9/(INDEX(bet对应表!$F:$F,MATCH($AD$2,bet对应表!$A:$A,0),0))</f>
        <v>#N/A</v>
      </c>
      <c r="AF9" s="62">
        <v>6</v>
      </c>
      <c r="AG9" s="53" t="e" cm="1">
        <f t="array" ref="AG9">L9/(INDEX(bet对应表!$F:$F,MATCH($AG$2,bet对应表!$A:$A,0),0))</f>
        <v>#N/A</v>
      </c>
      <c r="AH9" s="53" t="e" cm="1">
        <f t="array" ref="AH9">L9/(INDEX(bet对应表!$F:$F,MATCH($AH$2,bet对应表!$A:$A,0),0))</f>
        <v>#N/A</v>
      </c>
      <c r="AI9" s="53" t="e" cm="1">
        <f t="array" ref="AI9">L9/(INDEX(bet对应表!$F:$F,MATCH($AI$2,bet对应表!$A:$A,0),0))</f>
        <v>#DIV/0!</v>
      </c>
      <c r="AJ9" s="53" t="e" cm="1">
        <f t="array" ref="AJ9">L9/(INDEX(bet对应表!$F:$F,MATCH($AJ$2,bet对应表!$A:$A,0),0))</f>
        <v>#DIV/0!</v>
      </c>
      <c r="AK9" s="53" t="e" cm="1">
        <f t="array" ref="AK9">L9/(INDEX(bet对应表!$F:$F,MATCH($AK$2,bet对应表!$A:$A,0),0))</f>
        <v>#DIV/0!</v>
      </c>
      <c r="AL9" s="53" t="e" cm="1">
        <f t="array" ref="AL9">L9/(INDEX(bet对应表!$F:$F,MATCH($AL$2,bet对应表!$A:$A,0),0))</f>
        <v>#N/A</v>
      </c>
      <c r="AM9" s="53" t="e" cm="1">
        <f t="array" ref="AM9">L9/(INDEX(bet对应表!$F:$F,MATCH($AM$2,bet对应表!$A:$A,0),0))</f>
        <v>#N/A</v>
      </c>
      <c r="AN9" s="53" t="e" cm="1">
        <f t="array" ref="AN9">L9/(INDEX(bet对应表!$F:$F,MATCH($AN$2,bet对应表!$A:$A,0),0))</f>
        <v>#N/A</v>
      </c>
      <c r="AO9" s="53" t="e" cm="1">
        <f t="array" ref="AO9">L9/(INDEX(bet对应表!$F:$F,MATCH($AO$2,bet对应表!$A:$A,0),0))</f>
        <v>#N/A</v>
      </c>
      <c r="AP9" s="53" t="e" cm="1">
        <f t="array" ref="AP9">L9/(INDEX(bet对应表!$F:$F,MATCH($AP$2,bet对应表!$A:$A,0),0))</f>
        <v>#N/A</v>
      </c>
    </row>
    <row r="10" spans="1:42">
      <c r="A10" s="57">
        <v>7</v>
      </c>
      <c r="B10" s="58">
        <v>9</v>
      </c>
      <c r="C10" s="59">
        <v>1</v>
      </c>
      <c r="D10" s="58">
        <v>3000</v>
      </c>
      <c r="E10" s="58">
        <f>900/$D$30</f>
        <v>45</v>
      </c>
      <c r="F10" s="60">
        <f t="shared" si="0"/>
        <v>62</v>
      </c>
      <c r="G10" s="59">
        <f>WeightCalculate!S17</f>
        <v>48.3878097194082</v>
      </c>
      <c r="H10" s="57">
        <f>SUM($F$4:F10)</f>
        <v>173</v>
      </c>
      <c r="I10" s="61">
        <f>IF(B10=1,E10/bet对应表!M13,IF(B10=9,E10/100,0))</f>
        <v>0.45</v>
      </c>
      <c r="J10" s="61">
        <f>SUM($I$4:I10)</f>
        <v>1.325</v>
      </c>
      <c r="K10" s="57">
        <f>F10*QuestGetLevel!$D$51</f>
        <v>62000</v>
      </c>
      <c r="L10" s="57">
        <f t="shared" si="2"/>
        <v>173000</v>
      </c>
      <c r="M10" s="61">
        <f t="shared" si="1"/>
        <v>0.00765895953757225</v>
      </c>
      <c r="N10" s="62">
        <v>7</v>
      </c>
      <c r="O10" s="53" t="e" cm="1">
        <f t="array" ref="O10">L10/(INDEX(bet对应表!F:F,MATCH($O$2,bet对应表!A:A,0),0))</f>
        <v>#N/A</v>
      </c>
      <c r="P10" s="53" t="e" cm="1">
        <f t="array" ref="P10">L10/(INDEX(bet对应表!$F:$F,MATCH($P$2,bet对应表!$A:$A,0),0))</f>
        <v>#N/A</v>
      </c>
      <c r="Q10" s="53" t="e" cm="1">
        <f t="array" ref="Q10">L10/(INDEX(bet对应表!$F:$F,MATCH($Q$2,bet对应表!$A:$A,0),0))</f>
        <v>#N/A</v>
      </c>
      <c r="R10" s="53" t="e" cm="1">
        <f t="array" ref="R10">L10/(INDEX(bet对应表!$F:$F,MATCH($R$2,bet对应表!$A:$A,0),0))</f>
        <v>#N/A</v>
      </c>
      <c r="S10" s="53" t="e" cm="1">
        <f t="array" ref="S10">L10/(INDEX(bet对应表!$F:$F,MATCH($S$2,bet对应表!$A:$A,0),0))</f>
        <v>#N/A</v>
      </c>
      <c r="T10" s="53" t="e" cm="1">
        <f t="array" ref="T10">L10/(INDEX(bet对应表!$F:$F,MATCH($T$2,bet对应表!$A:$A,0),0))</f>
        <v>#N/A</v>
      </c>
      <c r="U10" s="53" t="e" cm="1">
        <f t="array" ref="U10">L10/(INDEX(bet对应表!$F:$F,MATCH($U$2,bet对应表!$A:$A,0),0))</f>
        <v>#N/A</v>
      </c>
      <c r="V10" s="53" t="e" cm="1">
        <f t="array" ref="V10">L10/(INDEX(bet对应表!$F:$F,MATCH($V$2,bet对应表!$A:$A,0),0))</f>
        <v>#N/A</v>
      </c>
      <c r="W10" s="53" t="e" cm="1">
        <f t="array" ref="W10">L10/(INDEX(bet对应表!$F:$F,MATCH($W$2,bet对应表!$A:$A,0),0))</f>
        <v>#N/A</v>
      </c>
      <c r="X10" s="53" t="e" cm="1">
        <f t="array" ref="X10">L10/(INDEX(bet对应表!$F:$F,MATCH($X$2,bet对应表!$A:$A,0),0))</f>
        <v>#N/A</v>
      </c>
      <c r="Y10" s="53" t="e" cm="1">
        <f t="array" ref="Y10">L10/(INDEX(bet对应表!$F:$F,MATCH($Y$2,bet对应表!$A:$A,0),0))</f>
        <v>#N/A</v>
      </c>
      <c r="Z10" s="53" t="e" cm="1">
        <f t="array" ref="Z10">L10/(INDEX(bet对应表!$F:$F,MATCH($Z$2,bet对应表!$A:$A,0),0))</f>
        <v>#N/A</v>
      </c>
      <c r="AA10" s="53" t="e" cm="1">
        <f t="array" ref="AA10">L10/(INDEX(bet对应表!$F:$F,MATCH($AA$2,bet对应表!$A:$A,0),0))</f>
        <v>#N/A</v>
      </c>
      <c r="AB10" s="53" t="e" cm="1">
        <f t="array" ref="AB10">L10/(INDEX(bet对应表!$F:$F,MATCH($AB$2,bet对应表!$A:$A,0),0))</f>
        <v>#N/A</v>
      </c>
      <c r="AC10" s="53" t="e" cm="1">
        <f t="array" ref="AC10">L10/(INDEX(bet对应表!$F:$F,MATCH($AC$2,bet对应表!$A:$A,0),0))</f>
        <v>#N/A</v>
      </c>
      <c r="AD10" s="53" t="e" cm="1">
        <f t="array" ref="AD10">L10/(INDEX(bet对应表!$F:$F,MATCH($AD$2,bet对应表!$A:$A,0),0))</f>
        <v>#N/A</v>
      </c>
      <c r="AF10" s="62">
        <v>7</v>
      </c>
      <c r="AG10" s="53" t="e" cm="1">
        <f t="array" ref="AG10">L10/(INDEX(bet对应表!$F:$F,MATCH($AG$2,bet对应表!$A:$A,0),0))</f>
        <v>#N/A</v>
      </c>
      <c r="AH10" s="53" t="e" cm="1">
        <f t="array" ref="AH10">L10/(INDEX(bet对应表!$F:$F,MATCH($AH$2,bet对应表!$A:$A,0),0))</f>
        <v>#N/A</v>
      </c>
      <c r="AI10" s="53" t="e" cm="1">
        <f t="array" ref="AI10">L10/(INDEX(bet对应表!$F:$F,MATCH($AI$2,bet对应表!$A:$A,0),0))</f>
        <v>#DIV/0!</v>
      </c>
      <c r="AJ10" s="53" t="e" cm="1">
        <f t="array" ref="AJ10">L10/(INDEX(bet对应表!$F:$F,MATCH($AJ$2,bet对应表!$A:$A,0),0))</f>
        <v>#DIV/0!</v>
      </c>
      <c r="AK10" s="53" t="e" cm="1">
        <f t="array" ref="AK10">L10/(INDEX(bet对应表!$F:$F,MATCH($AK$2,bet对应表!$A:$A,0),0))</f>
        <v>#DIV/0!</v>
      </c>
      <c r="AL10" s="53" t="e" cm="1">
        <f t="array" ref="AL10">L10/(INDEX(bet对应表!$F:$F,MATCH($AL$2,bet对应表!$A:$A,0),0))</f>
        <v>#N/A</v>
      </c>
      <c r="AM10" s="53" t="e" cm="1">
        <f t="array" ref="AM10">L10/(INDEX(bet对应表!$F:$F,MATCH($AM$2,bet对应表!$A:$A,0),0))</f>
        <v>#N/A</v>
      </c>
      <c r="AN10" s="53" t="e" cm="1">
        <f t="array" ref="AN10">L10/(INDEX(bet对应表!$F:$F,MATCH($AN$2,bet对应表!$A:$A,0),0))</f>
        <v>#N/A</v>
      </c>
      <c r="AO10" s="53" t="e" cm="1">
        <f t="array" ref="AO10">L10/(INDEX(bet对应表!$F:$F,MATCH($AO$2,bet对应表!$A:$A,0),0))</f>
        <v>#N/A</v>
      </c>
      <c r="AP10" s="53" t="e" cm="1">
        <f t="array" ref="AP10">L10/(INDEX(bet对应表!$F:$F,MATCH($AP$2,bet对应表!$A:$A,0),0))</f>
        <v>#N/A</v>
      </c>
    </row>
    <row r="11" spans="1:42">
      <c r="A11" s="57">
        <v>8</v>
      </c>
      <c r="B11" s="58">
        <v>9</v>
      </c>
      <c r="C11" s="59">
        <v>1</v>
      </c>
      <c r="D11" s="58">
        <v>5000</v>
      </c>
      <c r="E11" s="58">
        <f>1200/$D$30</f>
        <v>60</v>
      </c>
      <c r="F11" s="60">
        <f t="shared" si="0"/>
        <v>99</v>
      </c>
      <c r="G11" s="59">
        <f>WeightCalculate!S20</f>
        <v>50.543605471068</v>
      </c>
      <c r="H11" s="57">
        <f>SUM($F$4:F11)</f>
        <v>272</v>
      </c>
      <c r="I11" s="61">
        <f>IF(B11=1,E11/bet对应表!M14,IF(B11=9,E11/100,0))</f>
        <v>0.6</v>
      </c>
      <c r="J11" s="61">
        <f>SUM($I$4:I11)+E30</f>
        <v>2.925</v>
      </c>
      <c r="K11" s="57">
        <f>F11*QuestGetLevel!$D$51</f>
        <v>99000</v>
      </c>
      <c r="L11" s="57">
        <f t="shared" si="2"/>
        <v>272000</v>
      </c>
      <c r="M11" s="61">
        <f t="shared" si="1"/>
        <v>0.0107536764705882</v>
      </c>
      <c r="N11" s="62">
        <v>8</v>
      </c>
      <c r="O11" s="53" t="e" cm="1">
        <f t="array" ref="O11">L11/(INDEX(bet对应表!F:F,MATCH($O$2,bet对应表!A:A,0),0))</f>
        <v>#N/A</v>
      </c>
      <c r="P11" s="53" t="e" cm="1">
        <f t="array" ref="P11">L11/(INDEX(bet对应表!$F:$F,MATCH($P$2,bet对应表!$A:$A,0),0))</f>
        <v>#N/A</v>
      </c>
      <c r="Q11" s="53" t="e" cm="1">
        <f t="array" ref="Q11">L11/(INDEX(bet对应表!$F:$F,MATCH($Q$2,bet对应表!$A:$A,0),0))</f>
        <v>#N/A</v>
      </c>
      <c r="R11" s="53" t="e" cm="1">
        <f t="array" ref="R11">L11/(INDEX(bet对应表!$F:$F,MATCH($R$2,bet对应表!$A:$A,0),0))</f>
        <v>#N/A</v>
      </c>
      <c r="S11" s="53" t="e" cm="1">
        <f t="array" ref="S11">L11/(INDEX(bet对应表!$F:$F,MATCH($S$2,bet对应表!$A:$A,0),0))</f>
        <v>#N/A</v>
      </c>
      <c r="T11" s="53" t="e" cm="1">
        <f t="array" ref="T11">L11/(INDEX(bet对应表!$F:$F,MATCH($T$2,bet对应表!$A:$A,0),0))</f>
        <v>#N/A</v>
      </c>
      <c r="U11" s="53" t="e" cm="1">
        <f t="array" ref="U11">L11/(INDEX(bet对应表!$F:$F,MATCH($U$2,bet对应表!$A:$A,0),0))</f>
        <v>#N/A</v>
      </c>
      <c r="V11" s="53" t="e" cm="1">
        <f t="array" ref="V11">L11/(INDEX(bet对应表!$F:$F,MATCH($V$2,bet对应表!$A:$A,0),0))</f>
        <v>#N/A</v>
      </c>
      <c r="W11" s="53" t="e" cm="1">
        <f t="array" ref="W11">L11/(INDEX(bet对应表!$F:$F,MATCH($W$2,bet对应表!$A:$A,0),0))</f>
        <v>#N/A</v>
      </c>
      <c r="X11" s="53" t="e" cm="1">
        <f t="array" ref="X11">L11/(INDEX(bet对应表!$F:$F,MATCH($X$2,bet对应表!$A:$A,0),0))</f>
        <v>#N/A</v>
      </c>
      <c r="Y11" s="53" t="e" cm="1">
        <f t="array" ref="Y11">L11/(INDEX(bet对应表!$F:$F,MATCH($Y$2,bet对应表!$A:$A,0),0))</f>
        <v>#N/A</v>
      </c>
      <c r="Z11" s="53" t="e" cm="1">
        <f t="array" ref="Z11">L11/(INDEX(bet对应表!$F:$F,MATCH($Z$2,bet对应表!$A:$A,0),0))</f>
        <v>#N/A</v>
      </c>
      <c r="AA11" s="53" t="e" cm="1">
        <f t="array" ref="AA11">L11/(INDEX(bet对应表!$F:$F,MATCH($AA$2,bet对应表!$A:$A,0),0))</f>
        <v>#N/A</v>
      </c>
      <c r="AB11" s="53" t="e" cm="1">
        <f t="array" ref="AB11">L11/(INDEX(bet对应表!$F:$F,MATCH($AB$2,bet对应表!$A:$A,0),0))</f>
        <v>#N/A</v>
      </c>
      <c r="AC11" s="53" t="e" cm="1">
        <f t="array" ref="AC11">L11/(INDEX(bet对应表!$F:$F,MATCH($AC$2,bet对应表!$A:$A,0),0))</f>
        <v>#N/A</v>
      </c>
      <c r="AD11" s="53" t="e" cm="1">
        <f t="array" ref="AD11">L11/(INDEX(bet对应表!$F:$F,MATCH($AD$2,bet对应表!$A:$A,0),0))</f>
        <v>#N/A</v>
      </c>
      <c r="AF11" s="62">
        <v>8</v>
      </c>
      <c r="AG11" s="53" t="e" cm="1">
        <f t="array" ref="AG11">L11/(INDEX(bet对应表!$F:$F,MATCH($AG$2,bet对应表!$A:$A,0),0))</f>
        <v>#N/A</v>
      </c>
      <c r="AH11" s="53" t="e" cm="1">
        <f t="array" ref="AH11">L11/(INDEX(bet对应表!$F:$F,MATCH($AH$2,bet对应表!$A:$A,0),0))</f>
        <v>#N/A</v>
      </c>
      <c r="AI11" s="53" t="e" cm="1">
        <f t="array" ref="AI11">L11/(INDEX(bet对应表!$F:$F,MATCH($AI$2,bet对应表!$A:$A,0),0))</f>
        <v>#DIV/0!</v>
      </c>
      <c r="AJ11" s="53" t="e" cm="1">
        <f t="array" ref="AJ11">L11/(INDEX(bet对应表!$F:$F,MATCH($AJ$2,bet对应表!$A:$A,0),0))</f>
        <v>#DIV/0!</v>
      </c>
      <c r="AK11" s="53" t="e" cm="1">
        <f t="array" ref="AK11">L11/(INDEX(bet对应表!$F:$F,MATCH($AK$2,bet对应表!$A:$A,0),0))</f>
        <v>#DIV/0!</v>
      </c>
      <c r="AL11" s="53" t="e" cm="1">
        <f t="array" ref="AL11">L11/(INDEX(bet对应表!$F:$F,MATCH($AL$2,bet对应表!$A:$A,0),0))</f>
        <v>#N/A</v>
      </c>
      <c r="AM11" s="53" t="e" cm="1">
        <f t="array" ref="AM11">L11/(INDEX(bet对应表!$F:$F,MATCH($AM$2,bet对应表!$A:$A,0),0))</f>
        <v>#N/A</v>
      </c>
      <c r="AN11" s="53" t="e" cm="1">
        <f t="array" ref="AN11">L11/(INDEX(bet对应表!$F:$F,MATCH($AN$2,bet对应表!$A:$A,0),0))</f>
        <v>#N/A</v>
      </c>
      <c r="AO11" s="53" t="e" cm="1">
        <f t="array" ref="AO11">L11/(INDEX(bet对应表!$F:$F,MATCH($AO$2,bet对应表!$A:$A,0),0))</f>
        <v>#N/A</v>
      </c>
      <c r="AP11" s="53" t="e" cm="1">
        <f t="array" ref="AP11">L11/(INDEX(bet对应表!$F:$F,MATCH($AP$2,bet对应表!$A:$A,0),0))</f>
        <v>#N/A</v>
      </c>
    </row>
    <row r="12" spans="1:42">
      <c r="A12" s="64">
        <v>1</v>
      </c>
      <c r="B12" s="65">
        <v>9</v>
      </c>
      <c r="C12" s="66">
        <v>1</v>
      </c>
      <c r="D12" s="65">
        <v>70</v>
      </c>
      <c r="E12" s="65">
        <f>ROUND(E4*3,0)</f>
        <v>15</v>
      </c>
      <c r="F12" s="67">
        <f t="shared" si="0"/>
        <v>3</v>
      </c>
      <c r="G12" s="66">
        <f>WeightCalculate!S3</f>
        <v>21.7647058823529</v>
      </c>
      <c r="H12" s="64">
        <f>F12+H11</f>
        <v>275</v>
      </c>
      <c r="I12" s="68">
        <f>IF(B12=1,E12/bet对应表!M15,IF(B12=9,E12/100,0))</f>
        <v>0.15</v>
      </c>
      <c r="J12" s="68">
        <f>I12+J11</f>
        <v>3.075</v>
      </c>
      <c r="K12" s="64">
        <f>F12*QuestGetLevel!$D$149</f>
        <v>9000</v>
      </c>
      <c r="L12" s="64">
        <f t="shared" si="2"/>
        <v>281000</v>
      </c>
      <c r="M12" s="68">
        <f t="shared" si="1"/>
        <v>0.0111818181818182</v>
      </c>
      <c r="N12" s="62">
        <v>9</v>
      </c>
      <c r="O12" s="53" t="e" cm="1">
        <f t="array" ref="O12">L12/(INDEX(bet对应表!F:F,MATCH($O$2,bet对应表!A:A,0),0))</f>
        <v>#N/A</v>
      </c>
      <c r="P12" s="53" t="e" cm="1">
        <f t="array" ref="P12">L12/(INDEX(bet对应表!$F:$F,MATCH($P$2,bet对应表!$A:$A,0),0))</f>
        <v>#N/A</v>
      </c>
      <c r="Q12" s="53" t="e" cm="1">
        <f t="array" ref="Q12">L12/(INDEX(bet对应表!$F:$F,MATCH($Q$2,bet对应表!$A:$A,0),0))</f>
        <v>#N/A</v>
      </c>
      <c r="R12" s="53" t="e" cm="1">
        <f t="array" ref="R12">L12/(INDEX(bet对应表!$F:$F,MATCH($R$2,bet对应表!$A:$A,0),0))</f>
        <v>#N/A</v>
      </c>
      <c r="S12" s="53" t="e" cm="1">
        <f t="array" ref="S12">L12/(INDEX(bet对应表!$F:$F,MATCH($S$2,bet对应表!$A:$A,0),0))</f>
        <v>#N/A</v>
      </c>
      <c r="T12" s="53" t="e" cm="1">
        <f t="array" ref="T12">L12/(INDEX(bet对应表!$F:$F,MATCH($T$2,bet对应表!$A:$A,0),0))</f>
        <v>#N/A</v>
      </c>
      <c r="U12" s="53" t="e" cm="1">
        <f t="array" ref="U12">L12/(INDEX(bet对应表!$F:$F,MATCH($U$2,bet对应表!$A:$A,0),0))</f>
        <v>#N/A</v>
      </c>
      <c r="V12" s="53" t="e" cm="1">
        <f t="array" ref="V12">L12/(INDEX(bet对应表!$F:$F,MATCH($V$2,bet对应表!$A:$A,0),0))</f>
        <v>#N/A</v>
      </c>
      <c r="W12" s="53" t="e" cm="1">
        <f t="array" ref="W12">L12/(INDEX(bet对应表!$F:$F,MATCH($W$2,bet对应表!$A:$A,0),0))</f>
        <v>#N/A</v>
      </c>
      <c r="X12" s="53" t="e" cm="1">
        <f t="array" ref="X12">L12/(INDEX(bet对应表!$F:$F,MATCH($X$2,bet对应表!$A:$A,0),0))</f>
        <v>#N/A</v>
      </c>
      <c r="Y12" s="53" t="e" cm="1">
        <f t="array" ref="Y12">L12/(INDEX(bet对应表!$F:$F,MATCH($Y$2,bet对应表!$A:$A,0),0))</f>
        <v>#N/A</v>
      </c>
      <c r="Z12" s="53" t="e" cm="1">
        <f t="array" ref="Z12">L12/(INDEX(bet对应表!$F:$F,MATCH($Z$2,bet对应表!$A:$A,0),0))</f>
        <v>#N/A</v>
      </c>
      <c r="AA12" s="53" t="e" cm="1">
        <f t="array" ref="AA12">L12/(INDEX(bet对应表!$F:$F,MATCH($AA$2,bet对应表!$A:$A,0),0))</f>
        <v>#N/A</v>
      </c>
      <c r="AB12" s="53" t="e" cm="1">
        <f t="array" ref="AB12">L12/(INDEX(bet对应表!$F:$F,MATCH($AB$2,bet对应表!$A:$A,0),0))</f>
        <v>#N/A</v>
      </c>
      <c r="AC12" s="53" t="e" cm="1">
        <f t="array" ref="AC12">L12/(INDEX(bet对应表!$F:$F,MATCH($AC$2,bet对应表!$A:$A,0),0))</f>
        <v>#N/A</v>
      </c>
      <c r="AD12" s="53" t="e" cm="1">
        <f t="array" ref="AD12">L12/(INDEX(bet对应表!$F:$F,MATCH($AD$2,bet对应表!$A:$A,0),0))</f>
        <v>#N/A</v>
      </c>
      <c r="AF12" s="62">
        <v>9</v>
      </c>
      <c r="AG12" s="53" t="e" cm="1">
        <f t="array" ref="AG12">L12/(INDEX(bet对应表!$F:$F,MATCH($AG$2,bet对应表!$A:$A,0),0))</f>
        <v>#N/A</v>
      </c>
      <c r="AH12" s="53" t="e" cm="1">
        <f t="array" ref="AH12">L12/(INDEX(bet对应表!$F:$F,MATCH($AH$2,bet对应表!$A:$A,0),0))</f>
        <v>#N/A</v>
      </c>
      <c r="AI12" s="53" t="e" cm="1">
        <f t="array" ref="AI12">L12/(INDEX(bet对应表!$F:$F,MATCH($AI$2,bet对应表!$A:$A,0),0))</f>
        <v>#DIV/0!</v>
      </c>
      <c r="AJ12" s="53" t="e" cm="1">
        <f t="array" ref="AJ12">L12/(INDEX(bet对应表!$F:$F,MATCH($AJ$2,bet对应表!$A:$A,0),0))</f>
        <v>#DIV/0!</v>
      </c>
      <c r="AK12" s="53" t="e" cm="1">
        <f t="array" ref="AK12">L12/(INDEX(bet对应表!$F:$F,MATCH($AK$2,bet对应表!$A:$A,0),0))</f>
        <v>#DIV/0!</v>
      </c>
      <c r="AL12" s="53" t="e" cm="1">
        <f t="array" ref="AL12">L12/(INDEX(bet对应表!$F:$F,MATCH($AL$2,bet对应表!$A:$A,0),0))</f>
        <v>#N/A</v>
      </c>
      <c r="AM12" s="53" t="e" cm="1">
        <f t="array" ref="AM12">L12/(INDEX(bet对应表!$F:$F,MATCH($AM$2,bet对应表!$A:$A,0),0))</f>
        <v>#N/A</v>
      </c>
      <c r="AN12" s="53" t="e" cm="1">
        <f t="array" ref="AN12">L12/(INDEX(bet对应表!$F:$F,MATCH($AN$2,bet对应表!$A:$A,0),0))</f>
        <v>#N/A</v>
      </c>
      <c r="AO12" s="53" t="e" cm="1">
        <f t="array" ref="AO12">L12/(INDEX(bet对应表!$F:$F,MATCH($AO$2,bet对应表!$A:$A,0),0))</f>
        <v>#N/A</v>
      </c>
      <c r="AP12" s="53" t="e" cm="1">
        <f t="array" ref="AP12">L12/(INDEX(bet对应表!$F:$F,MATCH($AP$2,bet对应表!$A:$A,0),0))</f>
        <v>#N/A</v>
      </c>
    </row>
    <row r="13" spans="1:42">
      <c r="A13" s="64">
        <v>2</v>
      </c>
      <c r="B13" s="65">
        <v>9</v>
      </c>
      <c r="C13" s="66">
        <v>1</v>
      </c>
      <c r="D13" s="65">
        <v>150</v>
      </c>
      <c r="E13" s="65">
        <f t="shared" ref="E13:E19" si="3">ROUND(E5*3,0)</f>
        <v>23</v>
      </c>
      <c r="F13" s="67">
        <f t="shared" si="0"/>
        <v>6</v>
      </c>
      <c r="G13" s="66">
        <f>WeightCalculate!S4</f>
        <v>24.3547044129892</v>
      </c>
      <c r="H13" s="64">
        <f t="shared" ref="H13:H27" si="4">F13+H12</f>
        <v>281</v>
      </c>
      <c r="I13" s="68">
        <f>IF(B13=1,E13/bet对应表!M16,IF(B13=9,E13/100,0))</f>
        <v>0.23</v>
      </c>
      <c r="J13" s="68">
        <f t="shared" ref="J13:J19" si="5">I13+J12</f>
        <v>3.305</v>
      </c>
      <c r="K13" s="64">
        <f>F13*QuestGetLevel!$D$149</f>
        <v>18000</v>
      </c>
      <c r="L13" s="64">
        <f t="shared" ref="L13:L27" si="6">K13+L12</f>
        <v>299000</v>
      </c>
      <c r="M13" s="68">
        <f t="shared" si="1"/>
        <v>0.0117615658362989</v>
      </c>
      <c r="N13" s="62">
        <v>10</v>
      </c>
      <c r="O13" s="53" t="e" cm="1">
        <f t="array" ref="O13">L13/(INDEX(bet对应表!F:F,MATCH($O$2,bet对应表!A:A,0),0))</f>
        <v>#N/A</v>
      </c>
      <c r="P13" s="53" t="e" cm="1">
        <f t="array" ref="P13">L13/(INDEX(bet对应表!$F:$F,MATCH($P$2,bet对应表!$A:$A,0),0))</f>
        <v>#N/A</v>
      </c>
      <c r="Q13" s="53" t="e" cm="1">
        <f t="array" ref="Q13">L13/(INDEX(bet对应表!$F:$F,MATCH($Q$2,bet对应表!$A:$A,0),0))</f>
        <v>#N/A</v>
      </c>
      <c r="R13" s="53" t="e" cm="1">
        <f t="array" ref="R13">L13/(INDEX(bet对应表!$F:$F,MATCH($R$2,bet对应表!$A:$A,0),0))</f>
        <v>#N/A</v>
      </c>
      <c r="S13" s="53" t="e" cm="1">
        <f t="array" ref="S13">L13/(INDEX(bet对应表!$F:$F,MATCH($S$2,bet对应表!$A:$A,0),0))</f>
        <v>#N/A</v>
      </c>
      <c r="T13" s="53" t="e" cm="1">
        <f t="array" ref="T13">L13/(INDEX(bet对应表!$F:$F,MATCH($T$2,bet对应表!$A:$A,0),0))</f>
        <v>#N/A</v>
      </c>
      <c r="U13" s="53" t="e" cm="1">
        <f t="array" ref="U13">L13/(INDEX(bet对应表!$F:$F,MATCH($U$2,bet对应表!$A:$A,0),0))</f>
        <v>#N/A</v>
      </c>
      <c r="V13" s="53" t="e" cm="1">
        <f t="array" ref="V13">L13/(INDEX(bet对应表!$F:$F,MATCH($V$2,bet对应表!$A:$A,0),0))</f>
        <v>#N/A</v>
      </c>
      <c r="W13" s="53" t="e" cm="1">
        <f t="array" ref="W13">L13/(INDEX(bet对应表!$F:$F,MATCH($W$2,bet对应表!$A:$A,0),0))</f>
        <v>#N/A</v>
      </c>
      <c r="X13" s="53" t="e" cm="1">
        <f t="array" ref="X13">L13/(INDEX(bet对应表!$F:$F,MATCH($X$2,bet对应表!$A:$A,0),0))</f>
        <v>#N/A</v>
      </c>
      <c r="Y13" s="53" t="e" cm="1">
        <f t="array" ref="Y13">L13/(INDEX(bet对应表!$F:$F,MATCH($Y$2,bet对应表!$A:$A,0),0))</f>
        <v>#N/A</v>
      </c>
      <c r="Z13" s="53" t="e" cm="1">
        <f t="array" ref="Z13">L13/(INDEX(bet对应表!$F:$F,MATCH($Z$2,bet对应表!$A:$A,0),0))</f>
        <v>#N/A</v>
      </c>
      <c r="AA13" s="53" t="e" cm="1">
        <f t="array" ref="AA13">L13/(INDEX(bet对应表!$F:$F,MATCH($AA$2,bet对应表!$A:$A,0),0))</f>
        <v>#N/A</v>
      </c>
      <c r="AB13" s="53" t="e" cm="1">
        <f t="array" ref="AB13">L13/(INDEX(bet对应表!$F:$F,MATCH($AB$2,bet对应表!$A:$A,0),0))</f>
        <v>#N/A</v>
      </c>
      <c r="AC13" s="53" t="e" cm="1">
        <f t="array" ref="AC13">L13/(INDEX(bet对应表!$F:$F,MATCH($AC$2,bet对应表!$A:$A,0),0))</f>
        <v>#N/A</v>
      </c>
      <c r="AD13" s="53" t="e" cm="1">
        <f t="array" ref="AD13">L13/(INDEX(bet对应表!$F:$F,MATCH($AD$2,bet对应表!$A:$A,0),0))</f>
        <v>#N/A</v>
      </c>
      <c r="AF13" s="62">
        <v>10</v>
      </c>
      <c r="AG13" s="53" t="e" cm="1">
        <f t="array" ref="AG13">L13/(INDEX(bet对应表!$F:$F,MATCH($AG$2,bet对应表!$A:$A,0),0))</f>
        <v>#N/A</v>
      </c>
      <c r="AH13" s="53" t="e" cm="1">
        <f t="array" ref="AH13">L13/(INDEX(bet对应表!$F:$F,MATCH($AH$2,bet对应表!$A:$A,0),0))</f>
        <v>#N/A</v>
      </c>
      <c r="AI13" s="53" t="e" cm="1">
        <f t="array" ref="AI13">L13/(INDEX(bet对应表!$F:$F,MATCH($AI$2,bet对应表!$A:$A,0),0))</f>
        <v>#DIV/0!</v>
      </c>
      <c r="AJ13" s="53" t="e" cm="1">
        <f t="array" ref="AJ13">L13/(INDEX(bet对应表!$F:$F,MATCH($AJ$2,bet对应表!$A:$A,0),0))</f>
        <v>#DIV/0!</v>
      </c>
      <c r="AK13" s="53" t="e" cm="1">
        <f t="array" ref="AK13">L13/(INDEX(bet对应表!$F:$F,MATCH($AK$2,bet对应表!$A:$A,0),0))</f>
        <v>#DIV/0!</v>
      </c>
      <c r="AL13" s="53" t="e" cm="1">
        <f t="array" ref="AL13">L13/(INDEX(bet对应表!$F:$F,MATCH($AL$2,bet对应表!$A:$A,0),0))</f>
        <v>#N/A</v>
      </c>
      <c r="AM13" s="53" t="e" cm="1">
        <f t="array" ref="AM13">L13/(INDEX(bet对应表!$F:$F,MATCH($AM$2,bet对应表!$A:$A,0),0))</f>
        <v>#N/A</v>
      </c>
      <c r="AN13" s="53" t="e" cm="1">
        <f t="array" ref="AN13">L13/(INDEX(bet对应表!$F:$F,MATCH($AN$2,bet对应表!$A:$A,0),0))</f>
        <v>#N/A</v>
      </c>
      <c r="AO13" s="53" t="e" cm="1">
        <f t="array" ref="AO13">L13/(INDEX(bet对应表!$F:$F,MATCH($AO$2,bet对应表!$A:$A,0),0))</f>
        <v>#N/A</v>
      </c>
      <c r="AP13" s="53" t="e" cm="1">
        <f t="array" ref="AP13">L13/(INDEX(bet对应表!$F:$F,MATCH($AP$2,bet对应表!$A:$A,0),0))</f>
        <v>#N/A</v>
      </c>
    </row>
    <row r="14" spans="1:42">
      <c r="A14" s="64">
        <v>3</v>
      </c>
      <c r="B14" s="65">
        <v>9</v>
      </c>
      <c r="C14" s="66">
        <v>1</v>
      </c>
      <c r="D14" s="65">
        <v>300</v>
      </c>
      <c r="E14" s="65">
        <f t="shared" si="3"/>
        <v>30</v>
      </c>
      <c r="F14" s="67">
        <f t="shared" si="0"/>
        <v>11</v>
      </c>
      <c r="G14" s="69">
        <f>WeightCalculate!S5</f>
        <v>28.0044409478125</v>
      </c>
      <c r="H14" s="64">
        <f t="shared" si="4"/>
        <v>292</v>
      </c>
      <c r="I14" s="68">
        <f>IF(B14=1,E14/bet对应表!M17,IF(B14=9,E14/100,0))</f>
        <v>0.3</v>
      </c>
      <c r="J14" s="68">
        <f t="shared" si="5"/>
        <v>3.605</v>
      </c>
      <c r="K14" s="64">
        <f>F14*QuestGetLevel!$D$149</f>
        <v>33000</v>
      </c>
      <c r="L14" s="64">
        <f t="shared" si="6"/>
        <v>332000</v>
      </c>
      <c r="M14" s="68">
        <f t="shared" si="1"/>
        <v>0.0123458904109589</v>
      </c>
      <c r="N14" s="62">
        <v>11</v>
      </c>
      <c r="O14" s="53" t="e" cm="1">
        <f t="array" ref="O14">L14/(INDEX(bet对应表!F:F,MATCH($O$2,bet对应表!A:A,0),0))</f>
        <v>#N/A</v>
      </c>
      <c r="P14" s="53" t="e" cm="1">
        <f t="array" ref="P14">L14/(INDEX(bet对应表!$F:$F,MATCH($P$2,bet对应表!$A:$A,0),0))</f>
        <v>#N/A</v>
      </c>
      <c r="Q14" s="53" t="e" cm="1">
        <f t="array" ref="Q14">L14/(INDEX(bet对应表!$F:$F,MATCH($Q$2,bet对应表!$A:$A,0),0))</f>
        <v>#N/A</v>
      </c>
      <c r="R14" s="53" t="e" cm="1">
        <f t="array" ref="R14">L14/(INDEX(bet对应表!$F:$F,MATCH($R$2,bet对应表!$A:$A,0),0))</f>
        <v>#N/A</v>
      </c>
      <c r="S14" s="53" t="e" cm="1">
        <f t="array" ref="S14">L14/(INDEX(bet对应表!$F:$F,MATCH($S$2,bet对应表!$A:$A,0),0))</f>
        <v>#N/A</v>
      </c>
      <c r="T14" s="53" t="e" cm="1">
        <f t="array" ref="T14">L14/(INDEX(bet对应表!$F:$F,MATCH($T$2,bet对应表!$A:$A,0),0))</f>
        <v>#N/A</v>
      </c>
      <c r="U14" s="53" t="e" cm="1">
        <f t="array" ref="U14">L14/(INDEX(bet对应表!$F:$F,MATCH($U$2,bet对应表!$A:$A,0),0))</f>
        <v>#N/A</v>
      </c>
      <c r="V14" s="53" t="e" cm="1">
        <f t="array" ref="V14">L14/(INDEX(bet对应表!$F:$F,MATCH($V$2,bet对应表!$A:$A,0),0))</f>
        <v>#N/A</v>
      </c>
      <c r="W14" s="53" t="e" cm="1">
        <f t="array" ref="W14">L14/(INDEX(bet对应表!$F:$F,MATCH($W$2,bet对应表!$A:$A,0),0))</f>
        <v>#N/A</v>
      </c>
      <c r="X14" s="53" t="e" cm="1">
        <f t="array" ref="X14">L14/(INDEX(bet对应表!$F:$F,MATCH($X$2,bet对应表!$A:$A,0),0))</f>
        <v>#N/A</v>
      </c>
      <c r="Y14" s="53" t="e" cm="1">
        <f t="array" ref="Y14">L14/(INDEX(bet对应表!$F:$F,MATCH($Y$2,bet对应表!$A:$A,0),0))</f>
        <v>#N/A</v>
      </c>
      <c r="Z14" s="53" t="e" cm="1">
        <f t="array" ref="Z14">L14/(INDEX(bet对应表!$F:$F,MATCH($Z$2,bet对应表!$A:$A,0),0))</f>
        <v>#N/A</v>
      </c>
      <c r="AA14" s="53" t="e" cm="1">
        <f t="array" ref="AA14">L14/(INDEX(bet对应表!$F:$F,MATCH($AA$2,bet对应表!$A:$A,0),0))</f>
        <v>#N/A</v>
      </c>
      <c r="AB14" s="53" t="e" cm="1">
        <f t="array" ref="AB14">L14/(INDEX(bet对应表!$F:$F,MATCH($AB$2,bet对应表!$A:$A,0),0))</f>
        <v>#N/A</v>
      </c>
      <c r="AC14" s="53" t="e" cm="1">
        <f t="array" ref="AC14">L14/(INDEX(bet对应表!$F:$F,MATCH($AC$2,bet对应表!$A:$A,0),0))</f>
        <v>#N/A</v>
      </c>
      <c r="AD14" s="53" t="e" cm="1">
        <f t="array" ref="AD14">L14/(INDEX(bet对应表!$F:$F,MATCH($AD$2,bet对应表!$A:$A,0),0))</f>
        <v>#N/A</v>
      </c>
      <c r="AF14" s="62">
        <v>11</v>
      </c>
      <c r="AG14" s="53" t="e" cm="1">
        <f t="array" ref="AG14">L14/(INDEX(bet对应表!$F:$F,MATCH($AG$2,bet对应表!$A:$A,0),0))</f>
        <v>#N/A</v>
      </c>
      <c r="AH14" s="53" t="e" cm="1">
        <f t="array" ref="AH14">L14/(INDEX(bet对应表!$F:$F,MATCH($AH$2,bet对应表!$A:$A,0),0))</f>
        <v>#N/A</v>
      </c>
      <c r="AI14" s="53" t="e" cm="1">
        <f t="array" ref="AI14">L14/(INDEX(bet对应表!$F:$F,MATCH($AI$2,bet对应表!$A:$A,0),0))</f>
        <v>#DIV/0!</v>
      </c>
      <c r="AJ14" s="53" t="e" cm="1">
        <f t="array" ref="AJ14">L14/(INDEX(bet对应表!$F:$F,MATCH($AJ$2,bet对应表!$A:$A,0),0))</f>
        <v>#DIV/0!</v>
      </c>
      <c r="AK14" s="53" t="e" cm="1">
        <f t="array" ref="AK14">L14/(INDEX(bet对应表!$F:$F,MATCH($AK$2,bet对应表!$A:$A,0),0))</f>
        <v>#DIV/0!</v>
      </c>
      <c r="AL14" s="53" t="e" cm="1">
        <f t="array" ref="AL14">L14/(INDEX(bet对应表!$F:$F,MATCH($AL$2,bet对应表!$A:$A,0),0))</f>
        <v>#N/A</v>
      </c>
      <c r="AM14" s="53" t="e" cm="1">
        <f t="array" ref="AM14">L14/(INDEX(bet对应表!$F:$F,MATCH($AM$2,bet对应表!$A:$A,0),0))</f>
        <v>#N/A</v>
      </c>
      <c r="AN14" s="53" t="e" cm="1">
        <f t="array" ref="AN14">L14/(INDEX(bet对应表!$F:$F,MATCH($AN$2,bet对应表!$A:$A,0),0))</f>
        <v>#N/A</v>
      </c>
      <c r="AO14" s="53" t="e" cm="1">
        <f t="array" ref="AO14">L14/(INDEX(bet对应表!$F:$F,MATCH($AO$2,bet对应表!$A:$A,0),0))</f>
        <v>#N/A</v>
      </c>
      <c r="AP14" s="53" t="e" cm="1">
        <f t="array" ref="AP14">L14/(INDEX(bet对应表!$F:$F,MATCH($AP$2,bet对应表!$A:$A,0),0))</f>
        <v>#N/A</v>
      </c>
    </row>
    <row r="15" spans="1:42">
      <c r="A15" s="64">
        <v>4</v>
      </c>
      <c r="B15" s="65">
        <v>9</v>
      </c>
      <c r="C15" s="66">
        <v>1</v>
      </c>
      <c r="D15" s="65">
        <v>600</v>
      </c>
      <c r="E15" s="65">
        <f t="shared" si="3"/>
        <v>45</v>
      </c>
      <c r="F15" s="67">
        <f t="shared" si="0"/>
        <v>18</v>
      </c>
      <c r="G15" s="66">
        <f>WeightCalculate!S8</f>
        <v>33.1623093070444</v>
      </c>
      <c r="H15" s="64">
        <f t="shared" si="4"/>
        <v>310</v>
      </c>
      <c r="I15" s="68">
        <f>IF(B15=1,E15/bet对应表!M18,IF(B15=9,E15/100,0))</f>
        <v>0.45</v>
      </c>
      <c r="J15" s="68">
        <f t="shared" si="5"/>
        <v>4.055</v>
      </c>
      <c r="K15" s="64">
        <f>F15*QuestGetLevel!$D$149</f>
        <v>54000</v>
      </c>
      <c r="L15" s="64">
        <f t="shared" si="6"/>
        <v>386000</v>
      </c>
      <c r="M15" s="68">
        <f t="shared" si="1"/>
        <v>0.0130806451612903</v>
      </c>
      <c r="N15" s="62">
        <v>12</v>
      </c>
      <c r="O15" s="53" t="e" cm="1">
        <f t="array" ref="O15">L15/(INDEX(bet对应表!F:F,MATCH($O$2,bet对应表!A:A,0),0))</f>
        <v>#N/A</v>
      </c>
      <c r="P15" s="53" t="e" cm="1">
        <f t="array" ref="P15">L15/(INDEX(bet对应表!$F:$F,MATCH($P$2,bet对应表!$A:$A,0),0))</f>
        <v>#N/A</v>
      </c>
      <c r="Q15" s="53" t="e" cm="1">
        <f t="array" ref="Q15">L15/(INDEX(bet对应表!$F:$F,MATCH($Q$2,bet对应表!$A:$A,0),0))</f>
        <v>#N/A</v>
      </c>
      <c r="R15" s="53" t="e" cm="1">
        <f t="array" ref="R15">L15/(INDEX(bet对应表!$F:$F,MATCH($R$2,bet对应表!$A:$A,0),0))</f>
        <v>#N/A</v>
      </c>
      <c r="S15" s="53" t="e" cm="1">
        <f t="array" ref="S15">L15/(INDEX(bet对应表!$F:$F,MATCH($S$2,bet对应表!$A:$A,0),0))</f>
        <v>#N/A</v>
      </c>
      <c r="T15" s="53" t="e" cm="1">
        <f t="array" ref="T15">L15/(INDEX(bet对应表!$F:$F,MATCH($T$2,bet对应表!$A:$A,0),0))</f>
        <v>#N/A</v>
      </c>
      <c r="U15" s="53" t="e" cm="1">
        <f t="array" ref="U15">L15/(INDEX(bet对应表!$F:$F,MATCH($U$2,bet对应表!$A:$A,0),0))</f>
        <v>#N/A</v>
      </c>
      <c r="V15" s="53" t="e" cm="1">
        <f t="array" ref="V15">L15/(INDEX(bet对应表!$F:$F,MATCH($V$2,bet对应表!$A:$A,0),0))</f>
        <v>#N/A</v>
      </c>
      <c r="W15" s="53" t="e" cm="1">
        <f t="array" ref="W15">L15/(INDEX(bet对应表!$F:$F,MATCH($W$2,bet对应表!$A:$A,0),0))</f>
        <v>#N/A</v>
      </c>
      <c r="X15" s="53" t="e" cm="1">
        <f t="array" ref="X15">L15/(INDEX(bet对应表!$F:$F,MATCH($X$2,bet对应表!$A:$A,0),0))</f>
        <v>#N/A</v>
      </c>
      <c r="Y15" s="53" t="e" cm="1">
        <f t="array" ref="Y15">L15/(INDEX(bet对应表!$F:$F,MATCH($Y$2,bet对应表!$A:$A,0),0))</f>
        <v>#N/A</v>
      </c>
      <c r="Z15" s="53" t="e" cm="1">
        <f t="array" ref="Z15">L15/(INDEX(bet对应表!$F:$F,MATCH($Z$2,bet对应表!$A:$A,0),0))</f>
        <v>#N/A</v>
      </c>
      <c r="AA15" s="53" t="e" cm="1">
        <f t="array" ref="AA15">L15/(INDEX(bet对应表!$F:$F,MATCH($AA$2,bet对应表!$A:$A,0),0))</f>
        <v>#N/A</v>
      </c>
      <c r="AB15" s="53" t="e" cm="1">
        <f t="array" ref="AB15">L15/(INDEX(bet对应表!$F:$F,MATCH($AB$2,bet对应表!$A:$A,0),0))</f>
        <v>#N/A</v>
      </c>
      <c r="AC15" s="53" t="e" cm="1">
        <f t="array" ref="AC15">L15/(INDEX(bet对应表!$F:$F,MATCH($AC$2,bet对应表!$A:$A,0),0))</f>
        <v>#N/A</v>
      </c>
      <c r="AD15" s="53" t="e" cm="1">
        <f t="array" ref="AD15">L15/(INDEX(bet对应表!$F:$F,MATCH($AD$2,bet对应表!$A:$A,0),0))</f>
        <v>#N/A</v>
      </c>
      <c r="AF15" s="62">
        <v>12</v>
      </c>
      <c r="AG15" s="53" t="e" cm="1">
        <f t="array" ref="AG15">L15/(INDEX(bet对应表!$F:$F,MATCH($AG$2,bet对应表!$A:$A,0),0))</f>
        <v>#N/A</v>
      </c>
      <c r="AH15" s="53" t="e" cm="1">
        <f t="array" ref="AH15">L15/(INDEX(bet对应表!$F:$F,MATCH($AH$2,bet对应表!$A:$A,0),0))</f>
        <v>#N/A</v>
      </c>
      <c r="AI15" s="53" t="e" cm="1">
        <f t="array" ref="AI15">L15/(INDEX(bet对应表!$F:$F,MATCH($AI$2,bet对应表!$A:$A,0),0))</f>
        <v>#DIV/0!</v>
      </c>
      <c r="AJ15" s="53" t="e" cm="1">
        <f t="array" ref="AJ15">L15/(INDEX(bet对应表!$F:$F,MATCH($AJ$2,bet对应表!$A:$A,0),0))</f>
        <v>#DIV/0!</v>
      </c>
      <c r="AK15" s="53" t="e" cm="1">
        <f t="array" ref="AK15">L15/(INDEX(bet对应表!$F:$F,MATCH($AK$2,bet对应表!$A:$A,0),0))</f>
        <v>#DIV/0!</v>
      </c>
      <c r="AL15" s="53" t="e" cm="1">
        <f t="array" ref="AL15">L15/(INDEX(bet对应表!$F:$F,MATCH($AL$2,bet对应表!$A:$A,0),0))</f>
        <v>#N/A</v>
      </c>
      <c r="AM15" s="53" t="e" cm="1">
        <f t="array" ref="AM15">L15/(INDEX(bet对应表!$F:$F,MATCH($AM$2,bet对应表!$A:$A,0),0))</f>
        <v>#N/A</v>
      </c>
      <c r="AN15" s="53" t="e" cm="1">
        <f t="array" ref="AN15">L15/(INDEX(bet对应表!$F:$F,MATCH($AN$2,bet对应表!$A:$A,0),0))</f>
        <v>#N/A</v>
      </c>
      <c r="AO15" s="53" t="e" cm="1">
        <f t="array" ref="AO15">L15/(INDEX(bet对应表!$F:$F,MATCH($AO$2,bet对应表!$A:$A,0),0))</f>
        <v>#N/A</v>
      </c>
      <c r="AP15" s="53" t="e" cm="1">
        <f t="array" ref="AP15">L15/(INDEX(bet对应表!$F:$F,MATCH($AP$2,bet对应表!$A:$A,0),0))</f>
        <v>#N/A</v>
      </c>
    </row>
    <row r="16" spans="1:42">
      <c r="A16" s="64">
        <v>5</v>
      </c>
      <c r="B16" s="65">
        <v>9</v>
      </c>
      <c r="C16" s="66">
        <v>1</v>
      </c>
      <c r="D16" s="65">
        <v>1200</v>
      </c>
      <c r="E16" s="65">
        <f t="shared" si="3"/>
        <v>60</v>
      </c>
      <c r="F16" s="67">
        <f t="shared" si="0"/>
        <v>33</v>
      </c>
      <c r="G16" s="66">
        <f>WeightCalculate!S11</f>
        <v>36.130733951103</v>
      </c>
      <c r="H16" s="64">
        <f t="shared" si="4"/>
        <v>343</v>
      </c>
      <c r="I16" s="68">
        <f>IF(B16=1,E16/bet对应表!M19,IF(B16=9,E16/100,0))</f>
        <v>0.6</v>
      </c>
      <c r="J16" s="68">
        <f t="shared" si="5"/>
        <v>4.655</v>
      </c>
      <c r="K16" s="64">
        <f>F16*QuestGetLevel!$D$149</f>
        <v>99000</v>
      </c>
      <c r="L16" s="64">
        <f t="shared" si="6"/>
        <v>485000</v>
      </c>
      <c r="M16" s="68">
        <f t="shared" si="1"/>
        <v>0.0135714285714286</v>
      </c>
      <c r="N16" s="62">
        <v>13</v>
      </c>
      <c r="O16" s="53" t="e" cm="1">
        <f t="array" ref="O16">L16/(INDEX(bet对应表!F:F,MATCH($O$2,bet对应表!A:A,0),0))</f>
        <v>#N/A</v>
      </c>
      <c r="P16" s="53" t="e" cm="1">
        <f t="array" ref="P16">L16/(INDEX(bet对应表!$F:$F,MATCH($P$2,bet对应表!$A:$A,0),0))</f>
        <v>#N/A</v>
      </c>
      <c r="Q16" s="53" t="e" cm="1">
        <f t="array" ref="Q16">L16/(INDEX(bet对应表!$F:$F,MATCH($Q$2,bet对应表!$A:$A,0),0))</f>
        <v>#N/A</v>
      </c>
      <c r="R16" s="53" t="e" cm="1">
        <f t="array" ref="R16">L16/(INDEX(bet对应表!$F:$F,MATCH($R$2,bet对应表!$A:$A,0),0))</f>
        <v>#N/A</v>
      </c>
      <c r="S16" s="53" t="e" cm="1">
        <f t="array" ref="S16">L16/(INDEX(bet对应表!$F:$F,MATCH($S$2,bet对应表!$A:$A,0),0))</f>
        <v>#N/A</v>
      </c>
      <c r="T16" s="53" t="e" cm="1">
        <f t="array" ref="T16">L16/(INDEX(bet对应表!$F:$F,MATCH($T$2,bet对应表!$A:$A,0),0))</f>
        <v>#N/A</v>
      </c>
      <c r="U16" s="53" t="e" cm="1">
        <f t="array" ref="U16">L16/(INDEX(bet对应表!$F:$F,MATCH($U$2,bet对应表!$A:$A,0),0))</f>
        <v>#N/A</v>
      </c>
      <c r="V16" s="53" t="e" cm="1">
        <f t="array" ref="V16">L16/(INDEX(bet对应表!$F:$F,MATCH($V$2,bet对应表!$A:$A,0),0))</f>
        <v>#N/A</v>
      </c>
      <c r="W16" s="53" t="e" cm="1">
        <f t="array" ref="W16">L16/(INDEX(bet对应表!$F:$F,MATCH($W$2,bet对应表!$A:$A,0),0))</f>
        <v>#N/A</v>
      </c>
      <c r="X16" s="53" t="e" cm="1">
        <f t="array" ref="X16">L16/(INDEX(bet对应表!$F:$F,MATCH($X$2,bet对应表!$A:$A,0),0))</f>
        <v>#N/A</v>
      </c>
      <c r="Y16" s="53" t="e" cm="1">
        <f t="array" ref="Y16">L16/(INDEX(bet对应表!$F:$F,MATCH($Y$2,bet对应表!$A:$A,0),0))</f>
        <v>#N/A</v>
      </c>
      <c r="Z16" s="53" t="e" cm="1">
        <f t="array" ref="Z16">L16/(INDEX(bet对应表!$F:$F,MATCH($Z$2,bet对应表!$A:$A,0),0))</f>
        <v>#N/A</v>
      </c>
      <c r="AA16" s="53" t="e" cm="1">
        <f t="array" ref="AA16">L16/(INDEX(bet对应表!$F:$F,MATCH($AA$2,bet对应表!$A:$A,0),0))</f>
        <v>#N/A</v>
      </c>
      <c r="AB16" s="53" t="e" cm="1">
        <f t="array" ref="AB16">L16/(INDEX(bet对应表!$F:$F,MATCH($AB$2,bet对应表!$A:$A,0),0))</f>
        <v>#N/A</v>
      </c>
      <c r="AC16" s="53" t="e" cm="1">
        <f t="array" ref="AC16">L16/(INDEX(bet对应表!$F:$F,MATCH($AC$2,bet对应表!$A:$A,0),0))</f>
        <v>#N/A</v>
      </c>
      <c r="AD16" s="53" t="e" cm="1">
        <f t="array" ref="AD16">L16/(INDEX(bet对应表!$F:$F,MATCH($AD$2,bet对应表!$A:$A,0),0))</f>
        <v>#N/A</v>
      </c>
      <c r="AF16" s="62">
        <v>13</v>
      </c>
      <c r="AG16" s="53" t="e" cm="1">
        <f t="array" ref="AG16">L16/(INDEX(bet对应表!$F:$F,MATCH($AG$2,bet对应表!$A:$A,0),0))</f>
        <v>#N/A</v>
      </c>
      <c r="AH16" s="53" t="e" cm="1">
        <f t="array" ref="AH16">L16/(INDEX(bet对应表!$F:$F,MATCH($AH$2,bet对应表!$A:$A,0),0))</f>
        <v>#N/A</v>
      </c>
      <c r="AI16" s="53" t="e" cm="1">
        <f t="array" ref="AI16">L16/(INDEX(bet对应表!$F:$F,MATCH($AI$2,bet对应表!$A:$A,0),0))</f>
        <v>#DIV/0!</v>
      </c>
      <c r="AJ16" s="53" t="e" cm="1">
        <f t="array" ref="AJ16">L16/(INDEX(bet对应表!$F:$F,MATCH($AJ$2,bet对应表!$A:$A,0),0))</f>
        <v>#DIV/0!</v>
      </c>
      <c r="AK16" s="53" t="e" cm="1">
        <f t="array" ref="AK16">L16/(INDEX(bet对应表!$F:$F,MATCH($AK$2,bet对应表!$A:$A,0),0))</f>
        <v>#DIV/0!</v>
      </c>
      <c r="AL16" s="53" t="e" cm="1">
        <f t="array" ref="AL16">L16/(INDEX(bet对应表!$F:$F,MATCH($AL$2,bet对应表!$A:$A,0),0))</f>
        <v>#N/A</v>
      </c>
      <c r="AM16" s="53" t="e" cm="1">
        <f t="array" ref="AM16">L16/(INDEX(bet对应表!$F:$F,MATCH($AM$2,bet对应表!$A:$A,0),0))</f>
        <v>#N/A</v>
      </c>
      <c r="AN16" s="53" t="e" cm="1">
        <f t="array" ref="AN16">L16/(INDEX(bet对应表!$F:$F,MATCH($AN$2,bet对应表!$A:$A,0),0))</f>
        <v>#N/A</v>
      </c>
      <c r="AO16" s="53" t="e" cm="1">
        <f t="array" ref="AO16">L16/(INDEX(bet对应表!$F:$F,MATCH($AO$2,bet对应表!$A:$A,0),0))</f>
        <v>#N/A</v>
      </c>
      <c r="AP16" s="53" t="e" cm="1">
        <f t="array" ref="AP16">L16/(INDEX(bet对应表!$F:$F,MATCH($AP$2,bet对应表!$A:$A,0),0))</f>
        <v>#N/A</v>
      </c>
    </row>
    <row r="17" spans="1:42">
      <c r="A17" s="64">
        <v>6</v>
      </c>
      <c r="B17" s="65">
        <v>9</v>
      </c>
      <c r="C17" s="66">
        <v>1</v>
      </c>
      <c r="D17" s="65">
        <v>2500</v>
      </c>
      <c r="E17" s="65">
        <f t="shared" si="3"/>
        <v>90</v>
      </c>
      <c r="F17" s="67">
        <f t="shared" si="0"/>
        <v>56</v>
      </c>
      <c r="G17" s="66">
        <f>WeightCalculate!S14</f>
        <v>44.5730142359536</v>
      </c>
      <c r="H17" s="64">
        <f t="shared" si="4"/>
        <v>399</v>
      </c>
      <c r="I17" s="68">
        <f>IF(B17=1,E17/bet对应表!M20,IF(B17=9,E17/100,0))</f>
        <v>0.9</v>
      </c>
      <c r="J17" s="68">
        <f t="shared" si="5"/>
        <v>5.555</v>
      </c>
      <c r="K17" s="64">
        <f>F17*QuestGetLevel!$D$149</f>
        <v>168000</v>
      </c>
      <c r="L17" s="64">
        <f t="shared" si="6"/>
        <v>653000</v>
      </c>
      <c r="M17" s="68">
        <f t="shared" si="1"/>
        <v>0.013922305764411</v>
      </c>
      <c r="N17" s="62">
        <v>14</v>
      </c>
      <c r="O17" s="53" t="e" cm="1">
        <f t="array" ref="O17">L17/(INDEX(bet对应表!F:F,MATCH($O$2,bet对应表!A:A,0),0))</f>
        <v>#N/A</v>
      </c>
      <c r="P17" s="53" t="e" cm="1">
        <f t="array" ref="P17">L17/(INDEX(bet对应表!$F:$F,MATCH($P$2,bet对应表!$A:$A,0),0))</f>
        <v>#N/A</v>
      </c>
      <c r="Q17" s="53" t="e" cm="1">
        <f t="array" ref="Q17">L17/(INDEX(bet对应表!$F:$F,MATCH($Q$2,bet对应表!$A:$A,0),0))</f>
        <v>#N/A</v>
      </c>
      <c r="R17" s="53" t="e" cm="1">
        <f t="array" ref="R17">L17/(INDEX(bet对应表!$F:$F,MATCH($R$2,bet对应表!$A:$A,0),0))</f>
        <v>#N/A</v>
      </c>
      <c r="S17" s="53" t="e" cm="1">
        <f t="array" ref="S17">L17/(INDEX(bet对应表!$F:$F,MATCH($S$2,bet对应表!$A:$A,0),0))</f>
        <v>#N/A</v>
      </c>
      <c r="T17" s="53" t="e" cm="1">
        <f t="array" ref="T17">L17/(INDEX(bet对应表!$F:$F,MATCH($T$2,bet对应表!$A:$A,0),0))</f>
        <v>#N/A</v>
      </c>
      <c r="U17" s="53" t="e" cm="1">
        <f t="array" ref="U17">L17/(INDEX(bet对应表!$F:$F,MATCH($U$2,bet对应表!$A:$A,0),0))</f>
        <v>#N/A</v>
      </c>
      <c r="V17" s="53" t="e" cm="1">
        <f t="array" ref="V17">L17/(INDEX(bet对应表!$F:$F,MATCH($V$2,bet对应表!$A:$A,0),0))</f>
        <v>#N/A</v>
      </c>
      <c r="W17" s="53" t="e" cm="1">
        <f t="array" ref="W17">L17/(INDEX(bet对应表!$F:$F,MATCH($W$2,bet对应表!$A:$A,0),0))</f>
        <v>#N/A</v>
      </c>
      <c r="X17" s="53" t="e" cm="1">
        <f t="array" ref="X17">L17/(INDEX(bet对应表!$F:$F,MATCH($X$2,bet对应表!$A:$A,0),0))</f>
        <v>#N/A</v>
      </c>
      <c r="Y17" s="53" t="e" cm="1">
        <f t="array" ref="Y17">L17/(INDEX(bet对应表!$F:$F,MATCH($Y$2,bet对应表!$A:$A,0),0))</f>
        <v>#N/A</v>
      </c>
      <c r="Z17" s="53" t="e" cm="1">
        <f t="array" ref="Z17">L17/(INDEX(bet对应表!$F:$F,MATCH($Z$2,bet对应表!$A:$A,0),0))</f>
        <v>#N/A</v>
      </c>
      <c r="AA17" s="53" t="e" cm="1">
        <f t="array" ref="AA17">L17/(INDEX(bet对应表!$F:$F,MATCH($AA$2,bet对应表!$A:$A,0),0))</f>
        <v>#N/A</v>
      </c>
      <c r="AB17" s="53" t="e" cm="1">
        <f t="array" ref="AB17">L17/(INDEX(bet对应表!$F:$F,MATCH($AB$2,bet对应表!$A:$A,0),0))</f>
        <v>#N/A</v>
      </c>
      <c r="AC17" s="53" t="e" cm="1">
        <f t="array" ref="AC17">L17/(INDEX(bet对应表!$F:$F,MATCH($AC$2,bet对应表!$A:$A,0),0))</f>
        <v>#N/A</v>
      </c>
      <c r="AD17" s="53" t="e" cm="1">
        <f t="array" ref="AD17">L17/(INDEX(bet对应表!$F:$F,MATCH($AD$2,bet对应表!$A:$A,0),0))</f>
        <v>#N/A</v>
      </c>
      <c r="AF17" s="62">
        <v>14</v>
      </c>
      <c r="AG17" s="53" t="e" cm="1">
        <f t="array" ref="AG17">L17/(INDEX(bet对应表!$F:$F,MATCH($AG$2,bet对应表!$A:$A,0),0))</f>
        <v>#N/A</v>
      </c>
      <c r="AH17" s="53" t="e" cm="1">
        <f t="array" ref="AH17">L17/(INDEX(bet对应表!$F:$F,MATCH($AH$2,bet对应表!$A:$A,0),0))</f>
        <v>#N/A</v>
      </c>
      <c r="AI17" s="53" t="e" cm="1">
        <f t="array" ref="AI17">L17/(INDEX(bet对应表!$F:$F,MATCH($AI$2,bet对应表!$A:$A,0),0))</f>
        <v>#DIV/0!</v>
      </c>
      <c r="AJ17" s="53" t="e" cm="1">
        <f t="array" ref="AJ17">L17/(INDEX(bet对应表!$F:$F,MATCH($AJ$2,bet对应表!$A:$A,0),0))</f>
        <v>#DIV/0!</v>
      </c>
      <c r="AK17" s="53" t="e" cm="1">
        <f t="array" ref="AK17">L17/(INDEX(bet对应表!$F:$F,MATCH($AK$2,bet对应表!$A:$A,0),0))</f>
        <v>#DIV/0!</v>
      </c>
      <c r="AL17" s="53" t="e" cm="1">
        <f t="array" ref="AL17">L17/(INDEX(bet对应表!$F:$F,MATCH($AL$2,bet对应表!$A:$A,0),0))</f>
        <v>#N/A</v>
      </c>
      <c r="AM17" s="53" t="e" cm="1">
        <f t="array" ref="AM17">L17/(INDEX(bet对应表!$F:$F,MATCH($AM$2,bet对应表!$A:$A,0),0))</f>
        <v>#N/A</v>
      </c>
      <c r="AN17" s="53" t="e" cm="1">
        <f t="array" ref="AN17">L17/(INDEX(bet对应表!$F:$F,MATCH($AN$2,bet对应表!$A:$A,0),0))</f>
        <v>#N/A</v>
      </c>
      <c r="AO17" s="53" t="e" cm="1">
        <f t="array" ref="AO17">L17/(INDEX(bet对应表!$F:$F,MATCH($AO$2,bet对应表!$A:$A,0),0))</f>
        <v>#N/A</v>
      </c>
      <c r="AP17" s="53" t="e" cm="1">
        <f t="array" ref="AP17">L17/(INDEX(bet对应表!$F:$F,MATCH($AP$2,bet对应表!$A:$A,0),0))</f>
        <v>#N/A</v>
      </c>
    </row>
    <row r="18" spans="1:42">
      <c r="A18" s="64">
        <v>7</v>
      </c>
      <c r="B18" s="65">
        <v>9</v>
      </c>
      <c r="C18" s="66">
        <v>1</v>
      </c>
      <c r="D18" s="65">
        <v>4000</v>
      </c>
      <c r="E18" s="65">
        <f t="shared" si="3"/>
        <v>135</v>
      </c>
      <c r="F18" s="67">
        <f t="shared" si="0"/>
        <v>83</v>
      </c>
      <c r="G18" s="66">
        <f>WeightCalculate!S17</f>
        <v>48.3878097194082</v>
      </c>
      <c r="H18" s="64">
        <f t="shared" si="4"/>
        <v>482</v>
      </c>
      <c r="I18" s="68">
        <f>IF(B18=1,E18/bet对应表!M21,IF(B18=9,E18/100,0))</f>
        <v>1.35</v>
      </c>
      <c r="J18" s="68">
        <f t="shared" si="5"/>
        <v>6.905</v>
      </c>
      <c r="K18" s="64">
        <f>F18*QuestGetLevel!$D$149</f>
        <v>249000</v>
      </c>
      <c r="L18" s="64">
        <f t="shared" si="6"/>
        <v>902000</v>
      </c>
      <c r="M18" s="68">
        <f t="shared" si="1"/>
        <v>0.0143257261410788</v>
      </c>
      <c r="N18" s="62">
        <v>15</v>
      </c>
      <c r="O18" s="53" t="e" cm="1">
        <f t="array" ref="O18">L18/(INDEX(bet对应表!F:F,MATCH($O$2,bet对应表!A:A,0),0))</f>
        <v>#N/A</v>
      </c>
      <c r="P18" s="53" t="e" cm="1">
        <f t="array" ref="P18">L18/(INDEX(bet对应表!$F:$F,MATCH($P$2,bet对应表!$A:$A,0),0))</f>
        <v>#N/A</v>
      </c>
      <c r="Q18" s="53" t="e" cm="1">
        <f t="array" ref="Q18">L18/(INDEX(bet对应表!$F:$F,MATCH($Q$2,bet对应表!$A:$A,0),0))</f>
        <v>#N/A</v>
      </c>
      <c r="R18" s="53" t="e" cm="1">
        <f t="array" ref="R18">L18/(INDEX(bet对应表!$F:$F,MATCH($R$2,bet对应表!$A:$A,0),0))</f>
        <v>#N/A</v>
      </c>
      <c r="S18" s="53" t="e" cm="1">
        <f t="array" ref="S18">L18/(INDEX(bet对应表!$F:$F,MATCH($S$2,bet对应表!$A:$A,0),0))</f>
        <v>#N/A</v>
      </c>
      <c r="T18" s="53" t="e" cm="1">
        <f t="array" ref="T18">L18/(INDEX(bet对应表!$F:$F,MATCH($T$2,bet对应表!$A:$A,0),0))</f>
        <v>#N/A</v>
      </c>
      <c r="U18" s="53" t="e" cm="1">
        <f t="array" ref="U18">L18/(INDEX(bet对应表!$F:$F,MATCH($U$2,bet对应表!$A:$A,0),0))</f>
        <v>#N/A</v>
      </c>
      <c r="V18" s="53" t="e" cm="1">
        <f t="array" ref="V18">L18/(INDEX(bet对应表!$F:$F,MATCH($V$2,bet对应表!$A:$A,0),0))</f>
        <v>#N/A</v>
      </c>
      <c r="W18" s="53" t="e" cm="1">
        <f t="array" ref="W18">L18/(INDEX(bet对应表!$F:$F,MATCH($W$2,bet对应表!$A:$A,0),0))</f>
        <v>#N/A</v>
      </c>
      <c r="X18" s="53" t="e" cm="1">
        <f t="array" ref="X18">L18/(INDEX(bet对应表!$F:$F,MATCH($X$2,bet对应表!$A:$A,0),0))</f>
        <v>#N/A</v>
      </c>
      <c r="Y18" s="53" t="e" cm="1">
        <f t="array" ref="Y18">L18/(INDEX(bet对应表!$F:$F,MATCH($Y$2,bet对应表!$A:$A,0),0))</f>
        <v>#N/A</v>
      </c>
      <c r="Z18" s="53" t="e" cm="1">
        <f t="array" ref="Z18">L18/(INDEX(bet对应表!$F:$F,MATCH($Z$2,bet对应表!$A:$A,0),0))</f>
        <v>#N/A</v>
      </c>
      <c r="AA18" s="53" t="e" cm="1">
        <f t="array" ref="AA18">L18/(INDEX(bet对应表!$F:$F,MATCH($AA$2,bet对应表!$A:$A,0),0))</f>
        <v>#N/A</v>
      </c>
      <c r="AB18" s="53" t="e" cm="1">
        <f t="array" ref="AB18">L18/(INDEX(bet对应表!$F:$F,MATCH($AB$2,bet对应表!$A:$A,0),0))</f>
        <v>#N/A</v>
      </c>
      <c r="AC18" s="53" t="e" cm="1">
        <f t="array" ref="AC18">L18/(INDEX(bet对应表!$F:$F,MATCH($AC$2,bet对应表!$A:$A,0),0))</f>
        <v>#N/A</v>
      </c>
      <c r="AD18" s="53" t="e" cm="1">
        <f t="array" ref="AD18">L18/(INDEX(bet对应表!$F:$F,MATCH($AD$2,bet对应表!$A:$A,0),0))</f>
        <v>#N/A</v>
      </c>
      <c r="AF18" s="62">
        <v>15</v>
      </c>
      <c r="AG18" s="53" t="e" cm="1">
        <f t="array" ref="AG18">L18/(INDEX(bet对应表!$F:$F,MATCH($AG$2,bet对应表!$A:$A,0),0))</f>
        <v>#N/A</v>
      </c>
      <c r="AH18" s="53" t="e" cm="1">
        <f t="array" ref="AH18">L18/(INDEX(bet对应表!$F:$F,MATCH($AH$2,bet对应表!$A:$A,0),0))</f>
        <v>#N/A</v>
      </c>
      <c r="AI18" s="53" t="e" cm="1">
        <f t="array" ref="AI18">L18/(INDEX(bet对应表!$F:$F,MATCH($AI$2,bet对应表!$A:$A,0),0))</f>
        <v>#DIV/0!</v>
      </c>
      <c r="AJ18" s="53" t="e" cm="1">
        <f t="array" ref="AJ18">L18/(INDEX(bet对应表!$F:$F,MATCH($AJ$2,bet对应表!$A:$A,0),0))</f>
        <v>#DIV/0!</v>
      </c>
      <c r="AK18" s="53" t="e" cm="1">
        <f t="array" ref="AK18">L18/(INDEX(bet对应表!$F:$F,MATCH($AK$2,bet对应表!$A:$A,0),0))</f>
        <v>#DIV/0!</v>
      </c>
      <c r="AL18" s="53" t="e" cm="1">
        <f t="array" ref="AL18">L18/(INDEX(bet对应表!$F:$F,MATCH($AL$2,bet对应表!$A:$A,0),0))</f>
        <v>#N/A</v>
      </c>
      <c r="AM18" s="53" t="e" cm="1">
        <f t="array" ref="AM18">L18/(INDEX(bet对应表!$F:$F,MATCH($AM$2,bet对应表!$A:$A,0),0))</f>
        <v>#N/A</v>
      </c>
      <c r="AN18" s="53" t="e" cm="1">
        <f t="array" ref="AN18">L18/(INDEX(bet对应表!$F:$F,MATCH($AN$2,bet对应表!$A:$A,0),0))</f>
        <v>#N/A</v>
      </c>
      <c r="AO18" s="53" t="e" cm="1">
        <f t="array" ref="AO18">L18/(INDEX(bet对应表!$F:$F,MATCH($AO$2,bet对应表!$A:$A,0),0))</f>
        <v>#N/A</v>
      </c>
      <c r="AP18" s="53" t="e" cm="1">
        <f t="array" ref="AP18">L18/(INDEX(bet对应表!$F:$F,MATCH($AP$2,bet对应表!$A:$A,0),0))</f>
        <v>#N/A</v>
      </c>
    </row>
    <row r="19" spans="1:42">
      <c r="A19" s="64">
        <v>8</v>
      </c>
      <c r="B19" s="65">
        <v>9</v>
      </c>
      <c r="C19" s="66">
        <v>1</v>
      </c>
      <c r="D19" s="65">
        <v>6000</v>
      </c>
      <c r="E19" s="65">
        <f t="shared" si="3"/>
        <v>180</v>
      </c>
      <c r="F19" s="67">
        <f t="shared" si="0"/>
        <v>119</v>
      </c>
      <c r="G19" s="66">
        <f>WeightCalculate!S20</f>
        <v>50.543605471068</v>
      </c>
      <c r="H19" s="64">
        <f t="shared" si="4"/>
        <v>601</v>
      </c>
      <c r="I19" s="68">
        <f>IF(B19=1,E19/bet对应表!M22,IF(B19=9,E19/100,0))</f>
        <v>1.8</v>
      </c>
      <c r="J19" s="68">
        <f>I19+J18+E31</f>
        <v>11.705</v>
      </c>
      <c r="K19" s="64">
        <f>F19*QuestGetLevel!$D$149</f>
        <v>357000</v>
      </c>
      <c r="L19" s="64">
        <f t="shared" si="6"/>
        <v>1259000</v>
      </c>
      <c r="M19" s="68">
        <f t="shared" si="1"/>
        <v>0.0194758735440932</v>
      </c>
      <c r="N19" s="62">
        <v>16</v>
      </c>
      <c r="O19" s="53" t="e" cm="1">
        <f t="array" ref="O19">L19/(INDEX(bet对应表!F:F,MATCH($O$2,bet对应表!A:A,0),0))</f>
        <v>#N/A</v>
      </c>
      <c r="P19" s="53" t="e" cm="1">
        <f t="array" ref="P19">L19/(INDEX(bet对应表!$F:$F,MATCH($P$2,bet对应表!$A:$A,0),0))</f>
        <v>#N/A</v>
      </c>
      <c r="Q19" s="53" t="e" cm="1">
        <f t="array" ref="Q19">L19/(INDEX(bet对应表!$F:$F,MATCH($Q$2,bet对应表!$A:$A,0),0))</f>
        <v>#N/A</v>
      </c>
      <c r="R19" s="53" t="e" cm="1">
        <f t="array" ref="R19">L19/(INDEX(bet对应表!$F:$F,MATCH($R$2,bet对应表!$A:$A,0),0))</f>
        <v>#N/A</v>
      </c>
      <c r="S19" s="53" t="e" cm="1">
        <f t="array" ref="S19">L19/(INDEX(bet对应表!$F:$F,MATCH($S$2,bet对应表!$A:$A,0),0))</f>
        <v>#N/A</v>
      </c>
      <c r="T19" s="53" t="e" cm="1">
        <f t="array" ref="T19">L19/(INDEX(bet对应表!$F:$F,MATCH($T$2,bet对应表!$A:$A,0),0))</f>
        <v>#N/A</v>
      </c>
      <c r="U19" s="53" t="e" cm="1">
        <f t="array" ref="U19">L19/(INDEX(bet对应表!$F:$F,MATCH($U$2,bet对应表!$A:$A,0),0))</f>
        <v>#N/A</v>
      </c>
      <c r="V19" s="53" t="e" cm="1">
        <f t="array" ref="V19">L19/(INDEX(bet对应表!$F:$F,MATCH($V$2,bet对应表!$A:$A,0),0))</f>
        <v>#N/A</v>
      </c>
      <c r="W19" s="53" t="e" cm="1">
        <f t="array" ref="W19">L19/(INDEX(bet对应表!$F:$F,MATCH($W$2,bet对应表!$A:$A,0),0))</f>
        <v>#N/A</v>
      </c>
      <c r="X19" s="53" t="e" cm="1">
        <f t="array" ref="X19">L19/(INDEX(bet对应表!$F:$F,MATCH($X$2,bet对应表!$A:$A,0),0))</f>
        <v>#N/A</v>
      </c>
      <c r="Y19" s="53" t="e" cm="1">
        <f t="array" ref="Y19">L19/(INDEX(bet对应表!$F:$F,MATCH($Y$2,bet对应表!$A:$A,0),0))</f>
        <v>#N/A</v>
      </c>
      <c r="Z19" s="53" t="e" cm="1">
        <f t="array" ref="Z19">L19/(INDEX(bet对应表!$F:$F,MATCH($Z$2,bet对应表!$A:$A,0),0))</f>
        <v>#N/A</v>
      </c>
      <c r="AA19" s="53" t="e" cm="1">
        <f t="array" ref="AA19">L19/(INDEX(bet对应表!$F:$F,MATCH($AA$2,bet对应表!$A:$A,0),0))</f>
        <v>#N/A</v>
      </c>
      <c r="AB19" s="53" t="e" cm="1">
        <f t="array" ref="AB19">L19/(INDEX(bet对应表!$F:$F,MATCH($AB$2,bet对应表!$A:$A,0),0))</f>
        <v>#N/A</v>
      </c>
      <c r="AC19" s="53" t="e" cm="1">
        <f t="array" ref="AC19">L19/(INDEX(bet对应表!$F:$F,MATCH($AC$2,bet对应表!$A:$A,0),0))</f>
        <v>#N/A</v>
      </c>
      <c r="AD19" s="53" t="e" cm="1">
        <f t="array" ref="AD19">L19/(INDEX(bet对应表!$F:$F,MATCH($AD$2,bet对应表!$A:$A,0),0))</f>
        <v>#N/A</v>
      </c>
      <c r="AF19" s="62">
        <v>16</v>
      </c>
      <c r="AG19" s="53" t="e" cm="1">
        <f t="array" ref="AG19">L19/(INDEX(bet对应表!$F:$F,MATCH($AG$2,bet对应表!$A:$A,0),0))</f>
        <v>#N/A</v>
      </c>
      <c r="AH19" s="53" t="e" cm="1">
        <f t="array" ref="AH19">L19/(INDEX(bet对应表!$F:$F,MATCH($AH$2,bet对应表!$A:$A,0),0))</f>
        <v>#N/A</v>
      </c>
      <c r="AI19" s="53" t="e" cm="1">
        <f t="array" ref="AI19">L19/(INDEX(bet对应表!$F:$F,MATCH($AI$2,bet对应表!$A:$A,0),0))</f>
        <v>#DIV/0!</v>
      </c>
      <c r="AJ19" s="53" t="e" cm="1">
        <f t="array" ref="AJ19">L19/(INDEX(bet对应表!$F:$F,MATCH($AJ$2,bet对应表!$A:$A,0),0))</f>
        <v>#DIV/0!</v>
      </c>
      <c r="AK19" s="53" t="e" cm="1">
        <f t="array" ref="AK19">L19/(INDEX(bet对应表!$F:$F,MATCH($AK$2,bet对应表!$A:$A,0),0))</f>
        <v>#DIV/0!</v>
      </c>
      <c r="AL19" s="53" t="e" cm="1">
        <f t="array" ref="AL19">L19/(INDEX(bet对应表!$F:$F,MATCH($AL$2,bet对应表!$A:$A,0),0))</f>
        <v>#N/A</v>
      </c>
      <c r="AM19" s="53" t="e" cm="1">
        <f t="array" ref="AM19">L19/(INDEX(bet对应表!$F:$F,MATCH($AM$2,bet对应表!$A:$A,0),0))</f>
        <v>#N/A</v>
      </c>
      <c r="AN19" s="53" t="e" cm="1">
        <f t="array" ref="AN19">L19/(INDEX(bet对应表!$F:$F,MATCH($AN$2,bet对应表!$A:$A,0),0))</f>
        <v>#N/A</v>
      </c>
      <c r="AO19" s="53" t="e" cm="1">
        <f t="array" ref="AO19">L19/(INDEX(bet对应表!$F:$F,MATCH($AO$2,bet对应表!$A:$A,0),0))</f>
        <v>#N/A</v>
      </c>
      <c r="AP19" s="53" t="e" cm="1">
        <f t="array" ref="AP19">L19/(INDEX(bet对应表!$F:$F,MATCH($AP$2,bet对应表!$A:$A,0),0))</f>
        <v>#N/A</v>
      </c>
    </row>
    <row r="20" spans="1:42">
      <c r="A20" s="70">
        <v>1</v>
      </c>
      <c r="B20" s="71">
        <v>9</v>
      </c>
      <c r="C20" s="72">
        <v>1</v>
      </c>
      <c r="D20" s="71">
        <v>70</v>
      </c>
      <c r="E20" s="71">
        <f>ROUND(E4*10,0)</f>
        <v>50</v>
      </c>
      <c r="F20" s="73">
        <f t="shared" si="0"/>
        <v>3</v>
      </c>
      <c r="G20" s="72">
        <f>WeightCalculate!S3</f>
        <v>21.7647058823529</v>
      </c>
      <c r="H20" s="70">
        <f t="shared" si="4"/>
        <v>604</v>
      </c>
      <c r="I20" s="74">
        <f>IF(B20=1,E20/bet对应表!M23,IF(B20=9,E20/100,0))</f>
        <v>0.5</v>
      </c>
      <c r="J20" s="74">
        <f t="shared" ref="J20:J26" si="7">I20+J19</f>
        <v>12.205</v>
      </c>
      <c r="K20" s="70">
        <f>F20*QuestGetLevel!$D$274</f>
        <v>45000</v>
      </c>
      <c r="L20" s="70">
        <f t="shared" si="6"/>
        <v>1304000</v>
      </c>
      <c r="M20" s="74">
        <f t="shared" si="1"/>
        <v>0.0202069536423841</v>
      </c>
      <c r="N20" s="62">
        <v>17</v>
      </c>
      <c r="O20" s="53" t="e" cm="1">
        <f t="array" ref="O20">L20/(INDEX(bet对应表!F:F,MATCH($O$2,bet对应表!A:A,0),0))</f>
        <v>#N/A</v>
      </c>
      <c r="P20" s="53" t="e" cm="1">
        <f t="array" ref="P20">L20/(INDEX(bet对应表!$F:$F,MATCH($P$2,bet对应表!$A:$A,0),0))</f>
        <v>#N/A</v>
      </c>
      <c r="Q20" s="53" t="e" cm="1">
        <f t="array" ref="Q20">L20/(INDEX(bet对应表!$F:$F,MATCH($Q$2,bet对应表!$A:$A,0),0))</f>
        <v>#N/A</v>
      </c>
      <c r="R20" s="53" t="e" cm="1">
        <f t="array" ref="R20">L20/(INDEX(bet对应表!$F:$F,MATCH($R$2,bet对应表!$A:$A,0),0))</f>
        <v>#N/A</v>
      </c>
      <c r="S20" s="53" t="e" cm="1">
        <f t="array" ref="S20">L20/(INDEX(bet对应表!$F:$F,MATCH($S$2,bet对应表!$A:$A,0),0))</f>
        <v>#N/A</v>
      </c>
      <c r="T20" s="53" t="e" cm="1">
        <f t="array" ref="T20">L20/(INDEX(bet对应表!$F:$F,MATCH($T$2,bet对应表!$A:$A,0),0))</f>
        <v>#N/A</v>
      </c>
      <c r="U20" s="53" t="e" cm="1">
        <f t="array" ref="U20">L20/(INDEX(bet对应表!$F:$F,MATCH($U$2,bet对应表!$A:$A,0),0))</f>
        <v>#N/A</v>
      </c>
      <c r="V20" s="53" t="e" cm="1">
        <f t="array" ref="V20">L20/(INDEX(bet对应表!$F:$F,MATCH($V$2,bet对应表!$A:$A,0),0))</f>
        <v>#N/A</v>
      </c>
      <c r="W20" s="53" t="e" cm="1">
        <f t="array" ref="W20">L20/(INDEX(bet对应表!$F:$F,MATCH($W$2,bet对应表!$A:$A,0),0))</f>
        <v>#N/A</v>
      </c>
      <c r="X20" s="53" t="e" cm="1">
        <f t="array" ref="X20">L20/(INDEX(bet对应表!$F:$F,MATCH($X$2,bet对应表!$A:$A,0),0))</f>
        <v>#N/A</v>
      </c>
      <c r="Y20" s="53" t="e" cm="1">
        <f t="array" ref="Y20">L20/(INDEX(bet对应表!$F:$F,MATCH($Y$2,bet对应表!$A:$A,0),0))</f>
        <v>#N/A</v>
      </c>
      <c r="Z20" s="53" t="e" cm="1">
        <f t="array" ref="Z20">L20/(INDEX(bet对应表!$F:$F,MATCH($Z$2,bet对应表!$A:$A,0),0))</f>
        <v>#N/A</v>
      </c>
      <c r="AA20" s="53" t="e" cm="1">
        <f t="array" ref="AA20">L20/(INDEX(bet对应表!$F:$F,MATCH($AA$2,bet对应表!$A:$A,0),0))</f>
        <v>#N/A</v>
      </c>
      <c r="AB20" s="53" t="e" cm="1">
        <f t="array" ref="AB20">L20/(INDEX(bet对应表!$F:$F,MATCH($AB$2,bet对应表!$A:$A,0),0))</f>
        <v>#N/A</v>
      </c>
      <c r="AC20" s="53" t="e" cm="1">
        <f t="array" ref="AC20">L20/(INDEX(bet对应表!$F:$F,MATCH($AC$2,bet对应表!$A:$A,0),0))</f>
        <v>#N/A</v>
      </c>
      <c r="AD20" s="53" t="e" cm="1">
        <f t="array" ref="AD20">L20/(INDEX(bet对应表!$F:$F,MATCH($AD$2,bet对应表!$A:$A,0),0))</f>
        <v>#N/A</v>
      </c>
      <c r="AF20" s="62">
        <v>17</v>
      </c>
      <c r="AG20" s="53" t="e" cm="1">
        <f t="array" ref="AG20">L20/(INDEX(bet对应表!$F:$F,MATCH($AG$2,bet对应表!$A:$A,0),0))</f>
        <v>#N/A</v>
      </c>
      <c r="AH20" s="53" t="e" cm="1">
        <f t="array" ref="AH20">L20/(INDEX(bet对应表!$F:$F,MATCH($AH$2,bet对应表!$A:$A,0),0))</f>
        <v>#N/A</v>
      </c>
      <c r="AI20" s="53" t="e" cm="1">
        <f t="array" ref="AI20">L20/(INDEX(bet对应表!$F:$F,MATCH($AI$2,bet对应表!$A:$A,0),0))</f>
        <v>#DIV/0!</v>
      </c>
      <c r="AJ20" s="53" t="e" cm="1">
        <f t="array" ref="AJ20">L20/(INDEX(bet对应表!$F:$F,MATCH($AJ$2,bet对应表!$A:$A,0),0))</f>
        <v>#DIV/0!</v>
      </c>
      <c r="AK20" s="53" t="e" cm="1">
        <f t="array" ref="AK20">L20/(INDEX(bet对应表!$F:$F,MATCH($AK$2,bet对应表!$A:$A,0),0))</f>
        <v>#DIV/0!</v>
      </c>
      <c r="AL20" s="53" t="e" cm="1">
        <f t="array" ref="AL20">L20/(INDEX(bet对应表!$F:$F,MATCH($AL$2,bet对应表!$A:$A,0),0))</f>
        <v>#N/A</v>
      </c>
      <c r="AM20" s="53" t="e" cm="1">
        <f t="array" ref="AM20">L20/(INDEX(bet对应表!$F:$F,MATCH($AM$2,bet对应表!$A:$A,0),0))</f>
        <v>#N/A</v>
      </c>
      <c r="AN20" s="53" t="e" cm="1">
        <f t="array" ref="AN20">L20/(INDEX(bet对应表!$F:$F,MATCH($AN$2,bet对应表!$A:$A,0),0))</f>
        <v>#N/A</v>
      </c>
      <c r="AO20" s="53" t="e" cm="1">
        <f t="array" ref="AO20">L20/(INDEX(bet对应表!$F:$F,MATCH($AO$2,bet对应表!$A:$A,0),0))</f>
        <v>#N/A</v>
      </c>
      <c r="AP20" s="53" t="e" cm="1">
        <f t="array" ref="AP20">L20/(INDEX(bet对应表!$F:$F,MATCH($AP$2,bet对应表!$A:$A,0),0))</f>
        <v>#N/A</v>
      </c>
    </row>
    <row r="21" spans="1:42">
      <c r="A21" s="70">
        <v>2</v>
      </c>
      <c r="B21" s="71">
        <v>9</v>
      </c>
      <c r="C21" s="72">
        <v>1</v>
      </c>
      <c r="D21" s="71">
        <v>150</v>
      </c>
      <c r="E21" s="71">
        <f t="shared" ref="E21:E27" si="8">ROUND(E5*10,0)</f>
        <v>75</v>
      </c>
      <c r="F21" s="73">
        <f t="shared" si="0"/>
        <v>6</v>
      </c>
      <c r="G21" s="72">
        <f>WeightCalculate!S4</f>
        <v>24.3547044129892</v>
      </c>
      <c r="H21" s="70">
        <f t="shared" si="4"/>
        <v>610</v>
      </c>
      <c r="I21" s="74">
        <f>IF(B21=1,E21/bet对应表!M24,IF(B21=9,E21/100,0))</f>
        <v>0.75</v>
      </c>
      <c r="J21" s="74">
        <f t="shared" si="7"/>
        <v>12.955</v>
      </c>
      <c r="K21" s="70">
        <f>F21*QuestGetLevel!$D$274</f>
        <v>90000</v>
      </c>
      <c r="L21" s="70">
        <f t="shared" si="6"/>
        <v>1394000</v>
      </c>
      <c r="M21" s="74">
        <f t="shared" si="1"/>
        <v>0.0212377049180328</v>
      </c>
      <c r="N21" s="62">
        <v>18</v>
      </c>
      <c r="O21" s="53" t="e" cm="1">
        <f t="array" ref="O21">L21/(INDEX(bet对应表!F:F,MATCH($O$2,bet对应表!A:A,0),0))</f>
        <v>#N/A</v>
      </c>
      <c r="P21" s="53" t="e" cm="1">
        <f t="array" ref="P21">L21/(INDEX(bet对应表!$F:$F,MATCH($P$2,bet对应表!$A:$A,0),0))</f>
        <v>#N/A</v>
      </c>
      <c r="Q21" s="53" t="e" cm="1">
        <f t="array" ref="Q21">L21/(INDEX(bet对应表!$F:$F,MATCH($Q$2,bet对应表!$A:$A,0),0))</f>
        <v>#N/A</v>
      </c>
      <c r="R21" s="53" t="e" cm="1">
        <f t="array" ref="R21">L21/(INDEX(bet对应表!$F:$F,MATCH($R$2,bet对应表!$A:$A,0),0))</f>
        <v>#N/A</v>
      </c>
      <c r="S21" s="53" t="e" cm="1">
        <f t="array" ref="S21">L21/(INDEX(bet对应表!$F:$F,MATCH($S$2,bet对应表!$A:$A,0),0))</f>
        <v>#N/A</v>
      </c>
      <c r="T21" s="53" t="e" cm="1">
        <f t="array" ref="T21">L21/(INDEX(bet对应表!$F:$F,MATCH($T$2,bet对应表!$A:$A,0),0))</f>
        <v>#N/A</v>
      </c>
      <c r="U21" s="53" t="e" cm="1">
        <f t="array" ref="U21">L21/(INDEX(bet对应表!$F:$F,MATCH($U$2,bet对应表!$A:$A,0),0))</f>
        <v>#N/A</v>
      </c>
      <c r="V21" s="53" t="e" cm="1">
        <f t="array" ref="V21">L21/(INDEX(bet对应表!$F:$F,MATCH($V$2,bet对应表!$A:$A,0),0))</f>
        <v>#N/A</v>
      </c>
      <c r="W21" s="53" t="e" cm="1">
        <f t="array" ref="W21">L21/(INDEX(bet对应表!$F:$F,MATCH($W$2,bet对应表!$A:$A,0),0))</f>
        <v>#N/A</v>
      </c>
      <c r="X21" s="53" t="e" cm="1">
        <f t="array" ref="X21">L21/(INDEX(bet对应表!$F:$F,MATCH($X$2,bet对应表!$A:$A,0),0))</f>
        <v>#N/A</v>
      </c>
      <c r="Y21" s="53" t="e" cm="1">
        <f t="array" ref="Y21">L21/(INDEX(bet对应表!$F:$F,MATCH($Y$2,bet对应表!$A:$A,0),0))</f>
        <v>#N/A</v>
      </c>
      <c r="Z21" s="53" t="e" cm="1">
        <f t="array" ref="Z21">L21/(INDEX(bet对应表!$F:$F,MATCH($Z$2,bet对应表!$A:$A,0),0))</f>
        <v>#N/A</v>
      </c>
      <c r="AA21" s="53" t="e" cm="1">
        <f t="array" ref="AA21">L21/(INDEX(bet对应表!$F:$F,MATCH($AA$2,bet对应表!$A:$A,0),0))</f>
        <v>#N/A</v>
      </c>
      <c r="AB21" s="53" t="e" cm="1">
        <f t="array" ref="AB21">L21/(INDEX(bet对应表!$F:$F,MATCH($AB$2,bet对应表!$A:$A,0),0))</f>
        <v>#N/A</v>
      </c>
      <c r="AC21" s="53" t="e" cm="1">
        <f t="array" ref="AC21">L21/(INDEX(bet对应表!$F:$F,MATCH($AC$2,bet对应表!$A:$A,0),0))</f>
        <v>#N/A</v>
      </c>
      <c r="AD21" s="53" t="e" cm="1">
        <f t="array" ref="AD21">L21/(INDEX(bet对应表!$F:$F,MATCH($AD$2,bet对应表!$A:$A,0),0))</f>
        <v>#N/A</v>
      </c>
      <c r="AF21" s="62">
        <v>18</v>
      </c>
      <c r="AG21" s="53" t="e" cm="1">
        <f t="array" ref="AG21">L21/(INDEX(bet对应表!$F:$F,MATCH($AG$2,bet对应表!$A:$A,0),0))</f>
        <v>#N/A</v>
      </c>
      <c r="AH21" s="53" t="e" cm="1">
        <f t="array" ref="AH21">L21/(INDEX(bet对应表!$F:$F,MATCH($AH$2,bet对应表!$A:$A,0),0))</f>
        <v>#N/A</v>
      </c>
      <c r="AI21" s="53" t="e" cm="1">
        <f t="array" ref="AI21">L21/(INDEX(bet对应表!$F:$F,MATCH($AI$2,bet对应表!$A:$A,0),0))</f>
        <v>#DIV/0!</v>
      </c>
      <c r="AJ21" s="53" t="e" cm="1">
        <f t="array" ref="AJ21">L21/(INDEX(bet对应表!$F:$F,MATCH($AJ$2,bet对应表!$A:$A,0),0))</f>
        <v>#DIV/0!</v>
      </c>
      <c r="AK21" s="53" t="e" cm="1">
        <f t="array" ref="AK21">L21/(INDEX(bet对应表!$F:$F,MATCH($AK$2,bet对应表!$A:$A,0),0))</f>
        <v>#DIV/0!</v>
      </c>
      <c r="AL21" s="53" t="e" cm="1">
        <f t="array" ref="AL21">L21/(INDEX(bet对应表!$F:$F,MATCH($AL$2,bet对应表!$A:$A,0),0))</f>
        <v>#N/A</v>
      </c>
      <c r="AM21" s="53" t="e" cm="1">
        <f t="array" ref="AM21">L21/(INDEX(bet对应表!$F:$F,MATCH($AM$2,bet对应表!$A:$A,0),0))</f>
        <v>#N/A</v>
      </c>
      <c r="AN21" s="53" t="e" cm="1">
        <f t="array" ref="AN21">L21/(INDEX(bet对应表!$F:$F,MATCH($AN$2,bet对应表!$A:$A,0),0))</f>
        <v>#N/A</v>
      </c>
      <c r="AO21" s="53" t="e" cm="1">
        <f t="array" ref="AO21">L21/(INDEX(bet对应表!$F:$F,MATCH($AO$2,bet对应表!$A:$A,0),0))</f>
        <v>#N/A</v>
      </c>
      <c r="AP21" s="53" t="e" cm="1">
        <f t="array" ref="AP21">L21/(INDEX(bet对应表!$F:$F,MATCH($AP$2,bet对应表!$A:$A,0),0))</f>
        <v>#N/A</v>
      </c>
    </row>
    <row r="22" spans="1:42">
      <c r="A22" s="70">
        <v>3</v>
      </c>
      <c r="B22" s="71">
        <v>9</v>
      </c>
      <c r="C22" s="72">
        <v>1</v>
      </c>
      <c r="D22" s="71">
        <v>300</v>
      </c>
      <c r="E22" s="71">
        <f t="shared" si="8"/>
        <v>100</v>
      </c>
      <c r="F22" s="73">
        <f t="shared" si="0"/>
        <v>11</v>
      </c>
      <c r="G22" s="75">
        <f>WeightCalculate!S5</f>
        <v>28.0044409478125</v>
      </c>
      <c r="H22" s="70">
        <f t="shared" si="4"/>
        <v>621</v>
      </c>
      <c r="I22" s="74">
        <f>IF(B22=1,E22/bet对应表!M25,IF(B22=9,E22/100,0))</f>
        <v>1</v>
      </c>
      <c r="J22" s="74">
        <f t="shared" si="7"/>
        <v>13.955</v>
      </c>
      <c r="K22" s="70">
        <f>F22*QuestGetLevel!$D$274</f>
        <v>165000</v>
      </c>
      <c r="L22" s="70">
        <f t="shared" si="6"/>
        <v>1559000</v>
      </c>
      <c r="M22" s="74">
        <f t="shared" si="1"/>
        <v>0.0224718196457327</v>
      </c>
      <c r="N22" s="62">
        <v>19</v>
      </c>
      <c r="O22" s="53" t="e" cm="1">
        <f t="array" ref="O22">L22/(INDEX(bet对应表!F:F,MATCH($O$2,bet对应表!A:A,0),0))</f>
        <v>#N/A</v>
      </c>
      <c r="P22" s="53" t="e" cm="1">
        <f t="array" ref="P22">L22/(INDEX(bet对应表!$F:$F,MATCH($P$2,bet对应表!$A:$A,0),0))</f>
        <v>#N/A</v>
      </c>
      <c r="Q22" s="53" t="e" cm="1">
        <f t="array" ref="Q22">L22/(INDEX(bet对应表!$F:$F,MATCH($Q$2,bet对应表!$A:$A,0),0))</f>
        <v>#N/A</v>
      </c>
      <c r="R22" s="53" t="e" cm="1">
        <f t="array" ref="R22">L22/(INDEX(bet对应表!$F:$F,MATCH($R$2,bet对应表!$A:$A,0),0))</f>
        <v>#N/A</v>
      </c>
      <c r="S22" s="53" t="e" cm="1">
        <f t="array" ref="S22">L22/(INDEX(bet对应表!$F:$F,MATCH($S$2,bet对应表!$A:$A,0),0))</f>
        <v>#N/A</v>
      </c>
      <c r="T22" s="53" t="e" cm="1">
        <f t="array" ref="T22">L22/(INDEX(bet对应表!$F:$F,MATCH($T$2,bet对应表!$A:$A,0),0))</f>
        <v>#N/A</v>
      </c>
      <c r="U22" s="53" t="e" cm="1">
        <f t="array" ref="U22">L22/(INDEX(bet对应表!$F:$F,MATCH($U$2,bet对应表!$A:$A,0),0))</f>
        <v>#N/A</v>
      </c>
      <c r="V22" s="53" t="e" cm="1">
        <f t="array" ref="V22">L22/(INDEX(bet对应表!$F:$F,MATCH($V$2,bet对应表!$A:$A,0),0))</f>
        <v>#N/A</v>
      </c>
      <c r="W22" s="53" t="e" cm="1">
        <f t="array" ref="W22">L22/(INDEX(bet对应表!$F:$F,MATCH($W$2,bet对应表!$A:$A,0),0))</f>
        <v>#N/A</v>
      </c>
      <c r="X22" s="53" t="e" cm="1">
        <f t="array" ref="X22">L22/(INDEX(bet对应表!$F:$F,MATCH($X$2,bet对应表!$A:$A,0),0))</f>
        <v>#N/A</v>
      </c>
      <c r="Y22" s="53" t="e" cm="1">
        <f t="array" ref="Y22">L22/(INDEX(bet对应表!$F:$F,MATCH($Y$2,bet对应表!$A:$A,0),0))</f>
        <v>#N/A</v>
      </c>
      <c r="Z22" s="53" t="e" cm="1">
        <f t="array" ref="Z22">L22/(INDEX(bet对应表!$F:$F,MATCH($Z$2,bet对应表!$A:$A,0),0))</f>
        <v>#N/A</v>
      </c>
      <c r="AA22" s="53" t="e" cm="1">
        <f t="array" ref="AA22">L22/(INDEX(bet对应表!$F:$F,MATCH($AA$2,bet对应表!$A:$A,0),0))</f>
        <v>#N/A</v>
      </c>
      <c r="AB22" s="53" t="e" cm="1">
        <f t="array" ref="AB22">L22/(INDEX(bet对应表!$F:$F,MATCH($AB$2,bet对应表!$A:$A,0),0))</f>
        <v>#N/A</v>
      </c>
      <c r="AC22" s="53" t="e" cm="1">
        <f t="array" ref="AC22">L22/(INDEX(bet对应表!$F:$F,MATCH($AC$2,bet对应表!$A:$A,0),0))</f>
        <v>#N/A</v>
      </c>
      <c r="AD22" s="53" t="e" cm="1">
        <f t="array" ref="AD22">L22/(INDEX(bet对应表!$F:$F,MATCH($AD$2,bet对应表!$A:$A,0),0))</f>
        <v>#N/A</v>
      </c>
      <c r="AF22" s="62">
        <v>19</v>
      </c>
      <c r="AG22" s="53" t="e" cm="1">
        <f t="array" ref="AG22">L22/(INDEX(bet对应表!$F:$F,MATCH($AG$2,bet对应表!$A:$A,0),0))</f>
        <v>#N/A</v>
      </c>
      <c r="AH22" s="53" t="e" cm="1">
        <f t="array" ref="AH22">L22/(INDEX(bet对应表!$F:$F,MATCH($AH$2,bet对应表!$A:$A,0),0))</f>
        <v>#N/A</v>
      </c>
      <c r="AI22" s="53" t="e" cm="1">
        <f t="array" ref="AI22">L22/(INDEX(bet对应表!$F:$F,MATCH($AI$2,bet对应表!$A:$A,0),0))</f>
        <v>#DIV/0!</v>
      </c>
      <c r="AJ22" s="53" t="e" cm="1">
        <f t="array" ref="AJ22">L22/(INDEX(bet对应表!$F:$F,MATCH($AJ$2,bet对应表!$A:$A,0),0))</f>
        <v>#DIV/0!</v>
      </c>
      <c r="AK22" s="53" t="e" cm="1">
        <f t="array" ref="AK22">L22/(INDEX(bet对应表!$F:$F,MATCH($AK$2,bet对应表!$A:$A,0),0))</f>
        <v>#DIV/0!</v>
      </c>
      <c r="AL22" s="53" t="e" cm="1">
        <f t="array" ref="AL22">L22/(INDEX(bet对应表!$F:$F,MATCH($AL$2,bet对应表!$A:$A,0),0))</f>
        <v>#N/A</v>
      </c>
      <c r="AM22" s="53" t="e" cm="1">
        <f t="array" ref="AM22">L22/(INDEX(bet对应表!$F:$F,MATCH($AM$2,bet对应表!$A:$A,0),0))</f>
        <v>#N/A</v>
      </c>
      <c r="AN22" s="53" t="e" cm="1">
        <f t="array" ref="AN22">L22/(INDEX(bet对应表!$F:$F,MATCH($AN$2,bet对应表!$A:$A,0),0))</f>
        <v>#N/A</v>
      </c>
      <c r="AO22" s="53" t="e" cm="1">
        <f t="array" ref="AO22">L22/(INDEX(bet对应表!$F:$F,MATCH($AO$2,bet对应表!$A:$A,0),0))</f>
        <v>#N/A</v>
      </c>
      <c r="AP22" s="53" t="e" cm="1">
        <f t="array" ref="AP22">L22/(INDEX(bet对应表!$F:$F,MATCH($AP$2,bet对应表!$A:$A,0),0))</f>
        <v>#N/A</v>
      </c>
    </row>
    <row r="23" spans="1:42">
      <c r="A23" s="70">
        <v>4</v>
      </c>
      <c r="B23" s="71">
        <v>9</v>
      </c>
      <c r="C23" s="72">
        <v>1</v>
      </c>
      <c r="D23" s="71">
        <v>600</v>
      </c>
      <c r="E23" s="71">
        <f t="shared" si="8"/>
        <v>150</v>
      </c>
      <c r="F23" s="73">
        <f t="shared" si="0"/>
        <v>18</v>
      </c>
      <c r="G23" s="72">
        <f>WeightCalculate!S8</f>
        <v>33.1623093070444</v>
      </c>
      <c r="H23" s="70">
        <f t="shared" si="4"/>
        <v>639</v>
      </c>
      <c r="I23" s="74">
        <f>IF(B23=1,E23/bet对应表!M26,IF(B23=9,E23/100,0))</f>
        <v>1.5</v>
      </c>
      <c r="J23" s="74">
        <f t="shared" si="7"/>
        <v>15.455</v>
      </c>
      <c r="K23" s="70">
        <f>F23*QuestGetLevel!$D$274</f>
        <v>270000</v>
      </c>
      <c r="L23" s="70">
        <f t="shared" si="6"/>
        <v>1829000</v>
      </c>
      <c r="M23" s="74">
        <f t="shared" si="1"/>
        <v>0.0241862284820031</v>
      </c>
      <c r="N23" s="62">
        <v>20</v>
      </c>
      <c r="O23" s="53" t="e" cm="1">
        <f t="array" ref="O23">L23/(INDEX(bet对应表!F:F,MATCH($O$2,bet对应表!A:A,0),0))</f>
        <v>#N/A</v>
      </c>
      <c r="P23" s="53" t="e" cm="1">
        <f t="array" ref="P23">L23/(INDEX(bet对应表!$F:$F,MATCH($P$2,bet对应表!$A:$A,0),0))</f>
        <v>#N/A</v>
      </c>
      <c r="Q23" s="53" t="e" cm="1">
        <f t="array" ref="Q23">L23/(INDEX(bet对应表!$F:$F,MATCH($Q$2,bet对应表!$A:$A,0),0))</f>
        <v>#N/A</v>
      </c>
      <c r="R23" s="53" t="e" cm="1">
        <f t="array" ref="R23">L23/(INDEX(bet对应表!$F:$F,MATCH($R$2,bet对应表!$A:$A,0),0))</f>
        <v>#N/A</v>
      </c>
      <c r="S23" s="53" t="e" cm="1">
        <f t="array" ref="S23">L23/(INDEX(bet对应表!$F:$F,MATCH($S$2,bet对应表!$A:$A,0),0))</f>
        <v>#N/A</v>
      </c>
      <c r="T23" s="53" t="e" cm="1">
        <f t="array" ref="T23">L23/(INDEX(bet对应表!$F:$F,MATCH($T$2,bet对应表!$A:$A,0),0))</f>
        <v>#N/A</v>
      </c>
      <c r="U23" s="53" t="e" cm="1">
        <f t="array" ref="U23">L23/(INDEX(bet对应表!$F:$F,MATCH($U$2,bet对应表!$A:$A,0),0))</f>
        <v>#N/A</v>
      </c>
      <c r="V23" s="53" t="e" cm="1">
        <f t="array" ref="V23">L23/(INDEX(bet对应表!$F:$F,MATCH($V$2,bet对应表!$A:$A,0),0))</f>
        <v>#N/A</v>
      </c>
      <c r="W23" s="53" t="e" cm="1">
        <f t="array" ref="W23">L23/(INDEX(bet对应表!$F:$F,MATCH($W$2,bet对应表!$A:$A,0),0))</f>
        <v>#N/A</v>
      </c>
      <c r="X23" s="53" t="e" cm="1">
        <f t="array" ref="X23">L23/(INDEX(bet对应表!$F:$F,MATCH($X$2,bet对应表!$A:$A,0),0))</f>
        <v>#N/A</v>
      </c>
      <c r="Y23" s="53" t="e" cm="1">
        <f t="array" ref="Y23">L23/(INDEX(bet对应表!$F:$F,MATCH($Y$2,bet对应表!$A:$A,0),0))</f>
        <v>#N/A</v>
      </c>
      <c r="Z23" s="53" t="e" cm="1">
        <f t="array" ref="Z23">L23/(INDEX(bet对应表!$F:$F,MATCH($Z$2,bet对应表!$A:$A,0),0))</f>
        <v>#N/A</v>
      </c>
      <c r="AA23" s="53" t="e" cm="1">
        <f t="array" ref="AA23">L23/(INDEX(bet对应表!$F:$F,MATCH($AA$2,bet对应表!$A:$A,0),0))</f>
        <v>#N/A</v>
      </c>
      <c r="AB23" s="53" t="e" cm="1">
        <f t="array" ref="AB23">L23/(INDEX(bet对应表!$F:$F,MATCH($AB$2,bet对应表!$A:$A,0),0))</f>
        <v>#N/A</v>
      </c>
      <c r="AC23" s="53" t="e" cm="1">
        <f t="array" ref="AC23">L23/(INDEX(bet对应表!$F:$F,MATCH($AC$2,bet对应表!$A:$A,0),0))</f>
        <v>#N/A</v>
      </c>
      <c r="AD23" s="53" t="e" cm="1">
        <f t="array" ref="AD23">L23/(INDEX(bet对应表!$F:$F,MATCH($AD$2,bet对应表!$A:$A,0),0))</f>
        <v>#N/A</v>
      </c>
      <c r="AF23" s="62">
        <v>20</v>
      </c>
      <c r="AG23" s="53" t="e" cm="1">
        <f t="array" ref="AG23">L23/(INDEX(bet对应表!$F:$F,MATCH($AG$2,bet对应表!$A:$A,0),0))</f>
        <v>#N/A</v>
      </c>
      <c r="AH23" s="53" t="e" cm="1">
        <f t="array" ref="AH23">L23/(INDEX(bet对应表!$F:$F,MATCH($AH$2,bet对应表!$A:$A,0),0))</f>
        <v>#N/A</v>
      </c>
      <c r="AI23" s="53" t="e" cm="1">
        <f t="array" ref="AI23">L23/(INDEX(bet对应表!$F:$F,MATCH($AI$2,bet对应表!$A:$A,0),0))</f>
        <v>#DIV/0!</v>
      </c>
      <c r="AJ23" s="53" t="e" cm="1">
        <f t="array" ref="AJ23">L23/(INDEX(bet对应表!$F:$F,MATCH($AJ$2,bet对应表!$A:$A,0),0))</f>
        <v>#DIV/0!</v>
      </c>
      <c r="AK23" s="53" t="e" cm="1">
        <f t="array" ref="AK23">L23/(INDEX(bet对应表!$F:$F,MATCH($AK$2,bet对应表!$A:$A,0),0))</f>
        <v>#DIV/0!</v>
      </c>
      <c r="AL23" s="53" t="e" cm="1">
        <f t="array" ref="AL23">L23/(INDEX(bet对应表!$F:$F,MATCH($AL$2,bet对应表!$A:$A,0),0))</f>
        <v>#N/A</v>
      </c>
      <c r="AM23" s="53" t="e" cm="1">
        <f t="array" ref="AM23">L23/(INDEX(bet对应表!$F:$F,MATCH($AM$2,bet对应表!$A:$A,0),0))</f>
        <v>#N/A</v>
      </c>
      <c r="AN23" s="53" t="e" cm="1">
        <f t="array" ref="AN23">L23/(INDEX(bet对应表!$F:$F,MATCH($AN$2,bet对应表!$A:$A,0),0))</f>
        <v>#N/A</v>
      </c>
      <c r="AO23" s="53" t="e" cm="1">
        <f t="array" ref="AO23">L23/(INDEX(bet对应表!$F:$F,MATCH($AO$2,bet对应表!$A:$A,0),0))</f>
        <v>#N/A</v>
      </c>
      <c r="AP23" s="53" t="e" cm="1">
        <f t="array" ref="AP23">L23/(INDEX(bet对应表!$F:$F,MATCH($AP$2,bet对应表!$A:$A,0),0))</f>
        <v>#N/A</v>
      </c>
    </row>
    <row r="24" spans="1:42">
      <c r="A24" s="70">
        <v>5</v>
      </c>
      <c r="B24" s="71">
        <v>9</v>
      </c>
      <c r="C24" s="72">
        <v>1</v>
      </c>
      <c r="D24" s="71">
        <v>1500</v>
      </c>
      <c r="E24" s="71">
        <f t="shared" si="8"/>
        <v>200</v>
      </c>
      <c r="F24" s="73">
        <f t="shared" si="0"/>
        <v>42</v>
      </c>
      <c r="G24" s="72">
        <f>WeightCalculate!S11</f>
        <v>36.130733951103</v>
      </c>
      <c r="H24" s="70">
        <f t="shared" si="4"/>
        <v>681</v>
      </c>
      <c r="I24" s="74">
        <f>IF(B24=1,E24/bet对应表!M27,IF(B24=9,E24/100,0))</f>
        <v>2</v>
      </c>
      <c r="J24" s="74">
        <f t="shared" si="7"/>
        <v>17.455</v>
      </c>
      <c r="K24" s="70">
        <f>F24*QuestGetLevel!$D$274</f>
        <v>630000</v>
      </c>
      <c r="L24" s="70">
        <f t="shared" si="6"/>
        <v>2459000</v>
      </c>
      <c r="M24" s="74">
        <f t="shared" si="1"/>
        <v>0.0256314243759178</v>
      </c>
      <c r="N24" s="62">
        <v>21</v>
      </c>
      <c r="O24" s="53" t="e" cm="1">
        <f t="array" ref="O24">L24/(INDEX(bet对应表!F:F,MATCH($O$2,bet对应表!A:A,0),0))</f>
        <v>#N/A</v>
      </c>
      <c r="P24" s="53" t="e" cm="1">
        <f t="array" ref="P24">L24/(INDEX(bet对应表!$F:$F,MATCH($P$2,bet对应表!$A:$A,0),0))</f>
        <v>#N/A</v>
      </c>
      <c r="Q24" s="53" t="e" cm="1">
        <f t="array" ref="Q24">L24/(INDEX(bet对应表!$F:$F,MATCH($Q$2,bet对应表!$A:$A,0),0))</f>
        <v>#N/A</v>
      </c>
      <c r="R24" s="53" t="e" cm="1">
        <f t="array" ref="R24">L24/(INDEX(bet对应表!$F:$F,MATCH($R$2,bet对应表!$A:$A,0),0))</f>
        <v>#N/A</v>
      </c>
      <c r="S24" s="53" t="e" cm="1">
        <f t="array" ref="S24">L24/(INDEX(bet对应表!$F:$F,MATCH($S$2,bet对应表!$A:$A,0),0))</f>
        <v>#N/A</v>
      </c>
      <c r="T24" s="53" t="e" cm="1">
        <f t="array" ref="T24">L24/(INDEX(bet对应表!$F:$F,MATCH($T$2,bet对应表!$A:$A,0),0))</f>
        <v>#N/A</v>
      </c>
      <c r="U24" s="53" t="e" cm="1">
        <f t="array" ref="U24">L24/(INDEX(bet对应表!$F:$F,MATCH($U$2,bet对应表!$A:$A,0),0))</f>
        <v>#N/A</v>
      </c>
      <c r="V24" s="53" t="e" cm="1">
        <f t="array" ref="V24">L24/(INDEX(bet对应表!$F:$F,MATCH($V$2,bet对应表!$A:$A,0),0))</f>
        <v>#N/A</v>
      </c>
      <c r="W24" s="53" t="e" cm="1">
        <f t="array" ref="W24">L24/(INDEX(bet对应表!$F:$F,MATCH($W$2,bet对应表!$A:$A,0),0))</f>
        <v>#N/A</v>
      </c>
      <c r="X24" s="53" t="e" cm="1">
        <f t="array" ref="X24">L24/(INDEX(bet对应表!$F:$F,MATCH($X$2,bet对应表!$A:$A,0),0))</f>
        <v>#N/A</v>
      </c>
      <c r="Y24" s="53" t="e" cm="1">
        <f t="array" ref="Y24">L24/(INDEX(bet对应表!$F:$F,MATCH($Y$2,bet对应表!$A:$A,0),0))</f>
        <v>#N/A</v>
      </c>
      <c r="Z24" s="53" t="e" cm="1">
        <f t="array" ref="Z24">L24/(INDEX(bet对应表!$F:$F,MATCH($Z$2,bet对应表!$A:$A,0),0))</f>
        <v>#N/A</v>
      </c>
      <c r="AA24" s="53" t="e" cm="1">
        <f t="array" ref="AA24">L24/(INDEX(bet对应表!$F:$F,MATCH($AA$2,bet对应表!$A:$A,0),0))</f>
        <v>#N/A</v>
      </c>
      <c r="AB24" s="53" t="e" cm="1">
        <f t="array" ref="AB24">L24/(INDEX(bet对应表!$F:$F,MATCH($AB$2,bet对应表!$A:$A,0),0))</f>
        <v>#N/A</v>
      </c>
      <c r="AC24" s="53" t="e" cm="1">
        <f t="array" ref="AC24">L24/(INDEX(bet对应表!$F:$F,MATCH($AC$2,bet对应表!$A:$A,0),0))</f>
        <v>#N/A</v>
      </c>
      <c r="AD24" s="53" t="e" cm="1">
        <f t="array" ref="AD24">L24/(INDEX(bet对应表!$F:$F,MATCH($AD$2,bet对应表!$A:$A,0),0))</f>
        <v>#N/A</v>
      </c>
      <c r="AF24" s="62">
        <v>21</v>
      </c>
      <c r="AG24" s="53" t="e" cm="1">
        <f t="array" ref="AG24">L24/(INDEX(bet对应表!$F:$F,MATCH($AG$2,bet对应表!$A:$A,0),0))</f>
        <v>#N/A</v>
      </c>
      <c r="AH24" s="53" t="e" cm="1">
        <f t="array" ref="AH24">L24/(INDEX(bet对应表!$F:$F,MATCH($AH$2,bet对应表!$A:$A,0),0))</f>
        <v>#N/A</v>
      </c>
      <c r="AI24" s="53" t="e" cm="1">
        <f t="array" ref="AI24">L24/(INDEX(bet对应表!$F:$F,MATCH($AI$2,bet对应表!$A:$A,0),0))</f>
        <v>#DIV/0!</v>
      </c>
      <c r="AJ24" s="53" t="e" cm="1">
        <f t="array" ref="AJ24">L24/(INDEX(bet对应表!$F:$F,MATCH($AJ$2,bet对应表!$A:$A,0),0))</f>
        <v>#DIV/0!</v>
      </c>
      <c r="AK24" s="53" t="e" cm="1">
        <f t="array" ref="AK24">L24/(INDEX(bet对应表!$F:$F,MATCH($AK$2,bet对应表!$A:$A,0),0))</f>
        <v>#DIV/0!</v>
      </c>
      <c r="AL24" s="53" t="e" cm="1">
        <f t="array" ref="AL24">L24/(INDEX(bet对应表!$F:$F,MATCH($AL$2,bet对应表!$A:$A,0),0))</f>
        <v>#N/A</v>
      </c>
      <c r="AM24" s="53" t="e" cm="1">
        <f t="array" ref="AM24">L24/(INDEX(bet对应表!$F:$F,MATCH($AM$2,bet对应表!$A:$A,0),0))</f>
        <v>#N/A</v>
      </c>
      <c r="AN24" s="53" t="e" cm="1">
        <f t="array" ref="AN24">L24/(INDEX(bet对应表!$F:$F,MATCH($AN$2,bet对应表!$A:$A,0),0))</f>
        <v>#N/A</v>
      </c>
      <c r="AO24" s="53" t="e" cm="1">
        <f t="array" ref="AO24">L24/(INDEX(bet对应表!$F:$F,MATCH($AO$2,bet对应表!$A:$A,0),0))</f>
        <v>#N/A</v>
      </c>
      <c r="AP24" s="53" t="e" cm="1">
        <f t="array" ref="AP24">L24/(INDEX(bet对应表!$F:$F,MATCH($AP$2,bet对应表!$A:$A,0),0))</f>
        <v>#N/A</v>
      </c>
    </row>
    <row r="25" spans="1:42">
      <c r="A25" s="70">
        <v>6</v>
      </c>
      <c r="B25" s="71">
        <v>9</v>
      </c>
      <c r="C25" s="72">
        <v>1</v>
      </c>
      <c r="D25" s="71">
        <v>3000</v>
      </c>
      <c r="E25" s="71">
        <f t="shared" si="8"/>
        <v>300</v>
      </c>
      <c r="F25" s="73">
        <f t="shared" si="0"/>
        <v>67</v>
      </c>
      <c r="G25" s="72">
        <f>WeightCalculate!S14</f>
        <v>44.5730142359536</v>
      </c>
      <c r="H25" s="70">
        <f t="shared" si="4"/>
        <v>748</v>
      </c>
      <c r="I25" s="74">
        <f>IF(B25=1,E25/bet对应表!M28,IF(B25=9,E25/100,0))</f>
        <v>3</v>
      </c>
      <c r="J25" s="74">
        <f t="shared" si="7"/>
        <v>20.455</v>
      </c>
      <c r="K25" s="70">
        <f>F25*QuestGetLevel!$D$274</f>
        <v>1005000</v>
      </c>
      <c r="L25" s="70">
        <f t="shared" si="6"/>
        <v>3464000</v>
      </c>
      <c r="M25" s="74">
        <f t="shared" si="1"/>
        <v>0.027346256684492</v>
      </c>
      <c r="N25" s="62">
        <v>22</v>
      </c>
      <c r="O25" s="53" t="e" cm="1">
        <f t="array" ref="O25">L25/(INDEX(bet对应表!F:F,MATCH($O$2,bet对应表!A:A,0),0))</f>
        <v>#N/A</v>
      </c>
      <c r="P25" s="53" t="e" cm="1">
        <f t="array" ref="P25">L25/(INDEX(bet对应表!$F:$F,MATCH($P$2,bet对应表!$A:$A,0),0))</f>
        <v>#N/A</v>
      </c>
      <c r="Q25" s="53" t="e" cm="1">
        <f t="array" ref="Q25">L25/(INDEX(bet对应表!$F:$F,MATCH($Q$2,bet对应表!$A:$A,0),0))</f>
        <v>#N/A</v>
      </c>
      <c r="R25" s="53" t="e" cm="1">
        <f t="array" ref="R25">L25/(INDEX(bet对应表!$F:$F,MATCH($R$2,bet对应表!$A:$A,0),0))</f>
        <v>#N/A</v>
      </c>
      <c r="S25" s="53" t="e" cm="1">
        <f t="array" ref="S25">L25/(INDEX(bet对应表!$F:$F,MATCH($S$2,bet对应表!$A:$A,0),0))</f>
        <v>#N/A</v>
      </c>
      <c r="T25" s="53" t="e" cm="1">
        <f t="array" ref="T25">L25/(INDEX(bet对应表!$F:$F,MATCH($T$2,bet对应表!$A:$A,0),0))</f>
        <v>#N/A</v>
      </c>
      <c r="U25" s="53" t="e" cm="1">
        <f t="array" ref="U25">L25/(INDEX(bet对应表!$F:$F,MATCH($U$2,bet对应表!$A:$A,0),0))</f>
        <v>#N/A</v>
      </c>
      <c r="V25" s="53" t="e" cm="1">
        <f t="array" ref="V25">L25/(INDEX(bet对应表!$F:$F,MATCH($V$2,bet对应表!$A:$A,0),0))</f>
        <v>#N/A</v>
      </c>
      <c r="W25" s="53" t="e" cm="1">
        <f t="array" ref="W25">L25/(INDEX(bet对应表!$F:$F,MATCH($W$2,bet对应表!$A:$A,0),0))</f>
        <v>#N/A</v>
      </c>
      <c r="X25" s="53" t="e" cm="1">
        <f t="array" ref="X25">L25/(INDEX(bet对应表!$F:$F,MATCH($X$2,bet对应表!$A:$A,0),0))</f>
        <v>#N/A</v>
      </c>
      <c r="Y25" s="53" t="e" cm="1">
        <f t="array" ref="Y25">L25/(INDEX(bet对应表!$F:$F,MATCH($Y$2,bet对应表!$A:$A,0),0))</f>
        <v>#N/A</v>
      </c>
      <c r="Z25" s="53" t="e" cm="1">
        <f t="array" ref="Z25">L25/(INDEX(bet对应表!$F:$F,MATCH($Z$2,bet对应表!$A:$A,0),0))</f>
        <v>#N/A</v>
      </c>
      <c r="AA25" s="53" t="e" cm="1">
        <f t="array" ref="AA25">L25/(INDEX(bet对应表!$F:$F,MATCH($AA$2,bet对应表!$A:$A,0),0))</f>
        <v>#N/A</v>
      </c>
      <c r="AB25" s="53" t="e" cm="1">
        <f t="array" ref="AB25">L25/(INDEX(bet对应表!$F:$F,MATCH($AB$2,bet对应表!$A:$A,0),0))</f>
        <v>#N/A</v>
      </c>
      <c r="AC25" s="53" t="e" cm="1">
        <f t="array" ref="AC25">L25/(INDEX(bet对应表!$F:$F,MATCH($AC$2,bet对应表!$A:$A,0),0))</f>
        <v>#N/A</v>
      </c>
      <c r="AD25" s="53" t="e" cm="1">
        <f t="array" ref="AD25">L25/(INDEX(bet对应表!$F:$F,MATCH($AD$2,bet对应表!$A:$A,0),0))</f>
        <v>#N/A</v>
      </c>
      <c r="AF25" s="62">
        <v>22</v>
      </c>
      <c r="AG25" s="53" t="e" cm="1">
        <f t="array" ref="AG25">L25/(INDEX(bet对应表!$F:$F,MATCH($AG$2,bet对应表!$A:$A,0),0))</f>
        <v>#N/A</v>
      </c>
      <c r="AH25" s="53" t="e" cm="1">
        <f t="array" ref="AH25">L25/(INDEX(bet对应表!$F:$F,MATCH($AH$2,bet对应表!$A:$A,0),0))</f>
        <v>#N/A</v>
      </c>
      <c r="AI25" s="53" t="e" cm="1">
        <f t="array" ref="AI25">L25/(INDEX(bet对应表!$F:$F,MATCH($AI$2,bet对应表!$A:$A,0),0))</f>
        <v>#DIV/0!</v>
      </c>
      <c r="AJ25" s="53" t="e" cm="1">
        <f t="array" ref="AJ25">L25/(INDEX(bet对应表!$F:$F,MATCH($AJ$2,bet对应表!$A:$A,0),0))</f>
        <v>#DIV/0!</v>
      </c>
      <c r="AK25" s="53" t="e" cm="1">
        <f t="array" ref="AK25">L25/(INDEX(bet对应表!$F:$F,MATCH($AK$2,bet对应表!$A:$A,0),0))</f>
        <v>#DIV/0!</v>
      </c>
      <c r="AL25" s="53" t="e" cm="1">
        <f t="array" ref="AL25">L25/(INDEX(bet对应表!$F:$F,MATCH($AL$2,bet对应表!$A:$A,0),0))</f>
        <v>#N/A</v>
      </c>
      <c r="AM25" s="53" t="e" cm="1">
        <f t="array" ref="AM25">L25/(INDEX(bet对应表!$F:$F,MATCH($AM$2,bet对应表!$A:$A,0),0))</f>
        <v>#N/A</v>
      </c>
      <c r="AN25" s="53" t="e" cm="1">
        <f t="array" ref="AN25">L25/(INDEX(bet对应表!$F:$F,MATCH($AN$2,bet对应表!$A:$A,0),0))</f>
        <v>#N/A</v>
      </c>
      <c r="AO25" s="53" t="e" cm="1">
        <f t="array" ref="AO25">L25/(INDEX(bet对应表!$F:$F,MATCH($AO$2,bet对应表!$A:$A,0),0))</f>
        <v>#N/A</v>
      </c>
      <c r="AP25" s="53" t="e" cm="1">
        <f t="array" ref="AP25">L25/(INDEX(bet对应表!$F:$F,MATCH($AP$2,bet对应表!$A:$A,0),0))</f>
        <v>#N/A</v>
      </c>
    </row>
    <row r="26" spans="1:42">
      <c r="A26" s="70">
        <v>7</v>
      </c>
      <c r="B26" s="71">
        <v>9</v>
      </c>
      <c r="C26" s="72">
        <v>1</v>
      </c>
      <c r="D26" s="71">
        <v>5000</v>
      </c>
      <c r="E26" s="71">
        <f t="shared" si="8"/>
        <v>450</v>
      </c>
      <c r="F26" s="73">
        <f t="shared" si="0"/>
        <v>103</v>
      </c>
      <c r="G26" s="72">
        <f>WeightCalculate!S17</f>
        <v>48.3878097194082</v>
      </c>
      <c r="H26" s="70">
        <f t="shared" si="4"/>
        <v>851</v>
      </c>
      <c r="I26" s="74">
        <f>IF(B26=1,E26/bet对应表!M29,IF(B26=9,E26/100,0))</f>
        <v>4.5</v>
      </c>
      <c r="J26" s="74">
        <f t="shared" si="7"/>
        <v>24.955</v>
      </c>
      <c r="K26" s="70">
        <f>F26*QuestGetLevel!$D$274</f>
        <v>1545000</v>
      </c>
      <c r="L26" s="70">
        <f t="shared" si="6"/>
        <v>5009000</v>
      </c>
      <c r="M26" s="74">
        <f t="shared" si="1"/>
        <v>0.0293243243243243</v>
      </c>
      <c r="N26" s="62">
        <v>23</v>
      </c>
      <c r="O26" s="53" t="e" cm="1">
        <f t="array" ref="O26">L26/(INDEX(bet对应表!F:F,MATCH($O$2,bet对应表!A:A,0),0))</f>
        <v>#N/A</v>
      </c>
      <c r="P26" s="53" t="e" cm="1">
        <f t="array" ref="P26">L26/(INDEX(bet对应表!$F:$F,MATCH($P$2,bet对应表!$A:$A,0),0))</f>
        <v>#N/A</v>
      </c>
      <c r="Q26" s="53" t="e" cm="1">
        <f t="array" ref="Q26">L26/(INDEX(bet对应表!$F:$F,MATCH($Q$2,bet对应表!$A:$A,0),0))</f>
        <v>#N/A</v>
      </c>
      <c r="R26" s="53" t="e" cm="1">
        <f t="array" ref="R26">L26/(INDEX(bet对应表!$F:$F,MATCH($R$2,bet对应表!$A:$A,0),0))</f>
        <v>#N/A</v>
      </c>
      <c r="S26" s="53" t="e" cm="1">
        <f t="array" ref="S26">L26/(INDEX(bet对应表!$F:$F,MATCH($S$2,bet对应表!$A:$A,0),0))</f>
        <v>#N/A</v>
      </c>
      <c r="T26" s="53" t="e" cm="1">
        <f t="array" ref="T26">L26/(INDEX(bet对应表!$F:$F,MATCH($T$2,bet对应表!$A:$A,0),0))</f>
        <v>#N/A</v>
      </c>
      <c r="U26" s="53" t="e" cm="1">
        <f t="array" ref="U26">L26/(INDEX(bet对应表!$F:$F,MATCH($U$2,bet对应表!$A:$A,0),0))</f>
        <v>#N/A</v>
      </c>
      <c r="V26" s="53" t="e" cm="1">
        <f t="array" ref="V26">L26/(INDEX(bet对应表!$F:$F,MATCH($V$2,bet对应表!$A:$A,0),0))</f>
        <v>#N/A</v>
      </c>
      <c r="W26" s="53" t="e" cm="1">
        <f t="array" ref="W26">L26/(INDEX(bet对应表!$F:$F,MATCH($W$2,bet对应表!$A:$A,0),0))</f>
        <v>#N/A</v>
      </c>
      <c r="X26" s="53" t="e" cm="1">
        <f t="array" ref="X26">L26/(INDEX(bet对应表!$F:$F,MATCH($X$2,bet对应表!$A:$A,0),0))</f>
        <v>#N/A</v>
      </c>
      <c r="Y26" s="53" t="e" cm="1">
        <f t="array" ref="Y26">L26/(INDEX(bet对应表!$F:$F,MATCH($Y$2,bet对应表!$A:$A,0),0))</f>
        <v>#N/A</v>
      </c>
      <c r="Z26" s="53" t="e" cm="1">
        <f t="array" ref="Z26">L26/(INDEX(bet对应表!$F:$F,MATCH($Z$2,bet对应表!$A:$A,0),0))</f>
        <v>#N/A</v>
      </c>
      <c r="AA26" s="53" t="e" cm="1">
        <f t="array" ref="AA26">L26/(INDEX(bet对应表!$F:$F,MATCH($AA$2,bet对应表!$A:$A,0),0))</f>
        <v>#N/A</v>
      </c>
      <c r="AB26" s="53" t="e" cm="1">
        <f t="array" ref="AB26">L26/(INDEX(bet对应表!$F:$F,MATCH($AB$2,bet对应表!$A:$A,0),0))</f>
        <v>#N/A</v>
      </c>
      <c r="AC26" s="53" t="e" cm="1">
        <f t="array" ref="AC26">L26/(INDEX(bet对应表!$F:$F,MATCH($AC$2,bet对应表!$A:$A,0),0))</f>
        <v>#N/A</v>
      </c>
      <c r="AD26" s="53" t="e" cm="1">
        <f t="array" ref="AD26">L26/(INDEX(bet对应表!$F:$F,MATCH($AD$2,bet对应表!$A:$A,0),0))</f>
        <v>#N/A</v>
      </c>
      <c r="AF26" s="62">
        <v>23</v>
      </c>
      <c r="AG26" s="53" t="e" cm="1">
        <f t="array" ref="AG26">L26/(INDEX(bet对应表!$F:$F,MATCH($AG$2,bet对应表!$A:$A,0),0))</f>
        <v>#N/A</v>
      </c>
      <c r="AH26" s="53" t="e" cm="1">
        <f t="array" ref="AH26">L26/(INDEX(bet对应表!$F:$F,MATCH($AH$2,bet对应表!$A:$A,0),0))</f>
        <v>#N/A</v>
      </c>
      <c r="AI26" s="53" t="e" cm="1">
        <f t="array" ref="AI26">L26/(INDEX(bet对应表!$F:$F,MATCH($AI$2,bet对应表!$A:$A,0),0))</f>
        <v>#DIV/0!</v>
      </c>
      <c r="AJ26" s="53" t="e" cm="1">
        <f t="array" ref="AJ26">L26/(INDEX(bet对应表!$F:$F,MATCH($AJ$2,bet对应表!$A:$A,0),0))</f>
        <v>#DIV/0!</v>
      </c>
      <c r="AK26" s="53" t="e" cm="1">
        <f t="array" ref="AK26">L26/(INDEX(bet对应表!$F:$F,MATCH($AK$2,bet对应表!$A:$A,0),0))</f>
        <v>#DIV/0!</v>
      </c>
      <c r="AL26" s="53" t="e" cm="1">
        <f t="array" ref="AL26">L26/(INDEX(bet对应表!$F:$F,MATCH($AL$2,bet对应表!$A:$A,0),0))</f>
        <v>#N/A</v>
      </c>
      <c r="AM26" s="53" t="e" cm="1">
        <f t="array" ref="AM26">L26/(INDEX(bet对应表!$F:$F,MATCH($AM$2,bet对应表!$A:$A,0),0))</f>
        <v>#N/A</v>
      </c>
      <c r="AN26" s="53" t="e" cm="1">
        <f t="array" ref="AN26">L26/(INDEX(bet对应表!$F:$F,MATCH($AN$2,bet对应表!$A:$A,0),0))</f>
        <v>#N/A</v>
      </c>
      <c r="AO26" s="53" t="e" cm="1">
        <f t="array" ref="AO26">L26/(INDEX(bet对应表!$F:$F,MATCH($AO$2,bet对应表!$A:$A,0),0))</f>
        <v>#N/A</v>
      </c>
      <c r="AP26" s="53" t="e" cm="1">
        <f t="array" ref="AP26">L26/(INDEX(bet对应表!$F:$F,MATCH($AP$2,bet对应表!$A:$A,0),0))</f>
        <v>#N/A</v>
      </c>
    </row>
    <row r="27" spans="1:42">
      <c r="A27" s="70">
        <v>8</v>
      </c>
      <c r="B27" s="71">
        <v>9</v>
      </c>
      <c r="C27" s="72">
        <v>1</v>
      </c>
      <c r="D27" s="71">
        <v>7500</v>
      </c>
      <c r="E27" s="71">
        <f t="shared" si="8"/>
        <v>600</v>
      </c>
      <c r="F27" s="73">
        <f t="shared" si="0"/>
        <v>148</v>
      </c>
      <c r="G27" s="72">
        <f>WeightCalculate!S20</f>
        <v>50.543605471068</v>
      </c>
      <c r="H27" s="70">
        <f t="shared" si="4"/>
        <v>999</v>
      </c>
      <c r="I27" s="74">
        <f>IF(B27=1,E27/bet对应表!M30,IF(B27=9,E27/100,0))</f>
        <v>6</v>
      </c>
      <c r="J27" s="74">
        <f>I27+J26+E32</f>
        <v>55.955</v>
      </c>
      <c r="K27" s="70">
        <f>F27*QuestGetLevel!$D$274</f>
        <v>2220000</v>
      </c>
      <c r="L27" s="70">
        <f t="shared" si="6"/>
        <v>7229000</v>
      </c>
      <c r="M27" s="74">
        <f t="shared" si="1"/>
        <v>0.056011011011011</v>
      </c>
      <c r="N27" s="62">
        <v>24</v>
      </c>
      <c r="O27" s="53" t="e" cm="1">
        <f t="array" ref="O27">L27/(INDEX(bet对应表!F:F,MATCH($O$2,bet对应表!A:A,0),0))</f>
        <v>#N/A</v>
      </c>
      <c r="P27" s="53" t="e" cm="1">
        <f t="array" ref="P27">L27/(INDEX(bet对应表!$F:$F,MATCH($P$2,bet对应表!$A:$A,0),0))</f>
        <v>#N/A</v>
      </c>
      <c r="Q27" s="53" t="e" cm="1">
        <f t="array" ref="Q27">L27/(INDEX(bet对应表!$F:$F,MATCH($Q$2,bet对应表!$A:$A,0),0))</f>
        <v>#N/A</v>
      </c>
      <c r="R27" s="53" t="e" cm="1">
        <f t="array" ref="R27">L27/(INDEX(bet对应表!$F:$F,MATCH($R$2,bet对应表!$A:$A,0),0))</f>
        <v>#N/A</v>
      </c>
      <c r="S27" s="53" t="e" cm="1">
        <f t="array" ref="S27">L27/(INDEX(bet对应表!$F:$F,MATCH($S$2,bet对应表!$A:$A,0),0))</f>
        <v>#N/A</v>
      </c>
      <c r="T27" s="53" t="e" cm="1">
        <f t="array" ref="T27">L27/(INDEX(bet对应表!$F:$F,MATCH($T$2,bet对应表!$A:$A,0),0))</f>
        <v>#N/A</v>
      </c>
      <c r="U27" s="53" t="e" cm="1">
        <f t="array" ref="U27">L27/(INDEX(bet对应表!$F:$F,MATCH($U$2,bet对应表!$A:$A,0),0))</f>
        <v>#N/A</v>
      </c>
      <c r="V27" s="53" t="e" cm="1">
        <f t="array" ref="V27">L27/(INDEX(bet对应表!$F:$F,MATCH($V$2,bet对应表!$A:$A,0),0))</f>
        <v>#N/A</v>
      </c>
      <c r="W27" s="53" t="e" cm="1">
        <f t="array" ref="W27">L27/(INDEX(bet对应表!$F:$F,MATCH($W$2,bet对应表!$A:$A,0),0))</f>
        <v>#N/A</v>
      </c>
      <c r="X27" s="53" t="e" cm="1">
        <f t="array" ref="X27">L27/(INDEX(bet对应表!$F:$F,MATCH($X$2,bet对应表!$A:$A,0),0))</f>
        <v>#N/A</v>
      </c>
      <c r="Y27" s="53" t="e" cm="1">
        <f t="array" ref="Y27">L27/(INDEX(bet对应表!$F:$F,MATCH($Y$2,bet对应表!$A:$A,0),0))</f>
        <v>#N/A</v>
      </c>
      <c r="Z27" s="53" t="e" cm="1">
        <f t="array" ref="Z27">L27/(INDEX(bet对应表!$F:$F,MATCH($Z$2,bet对应表!$A:$A,0),0))</f>
        <v>#N/A</v>
      </c>
      <c r="AA27" s="53" t="e" cm="1">
        <f t="array" ref="AA27">L27/(INDEX(bet对应表!$F:$F,MATCH($AA$2,bet对应表!$A:$A,0),0))</f>
        <v>#N/A</v>
      </c>
      <c r="AB27" s="53" t="e" cm="1">
        <f t="array" ref="AB27">L27/(INDEX(bet对应表!$F:$F,MATCH($AB$2,bet对应表!$A:$A,0),0))</f>
        <v>#N/A</v>
      </c>
      <c r="AC27" s="53" t="e" cm="1">
        <f t="array" ref="AC27">L27/(INDEX(bet对应表!$F:$F,MATCH($AC$2,bet对应表!$A:$A,0),0))</f>
        <v>#N/A</v>
      </c>
      <c r="AD27" s="53" t="e" cm="1">
        <f t="array" ref="AD27">L27/(INDEX(bet对应表!$F:$F,MATCH($AD$2,bet对应表!$A:$A,0),0))</f>
        <v>#N/A</v>
      </c>
      <c r="AF27" s="62">
        <v>24</v>
      </c>
      <c r="AG27" s="53" t="e" cm="1">
        <f t="array" ref="AG27">L27/(INDEX(bet对应表!$F:$F,MATCH($AG$2,bet对应表!$A:$A,0),0))</f>
        <v>#N/A</v>
      </c>
      <c r="AH27" s="53" t="e" cm="1">
        <f t="array" ref="AH27">L27/(INDEX(bet对应表!$F:$F,MATCH($AH$2,bet对应表!$A:$A,0),0))</f>
        <v>#N/A</v>
      </c>
      <c r="AI27" s="53" t="e" cm="1">
        <f t="array" ref="AI27">L27/(INDEX(bet对应表!$F:$F,MATCH($AI$2,bet对应表!$A:$A,0),0))</f>
        <v>#DIV/0!</v>
      </c>
      <c r="AJ27" s="53" t="e" cm="1">
        <f t="array" ref="AJ27">L27/(INDEX(bet对应表!$F:$F,MATCH($AJ$2,bet对应表!$A:$A,0),0))</f>
        <v>#DIV/0!</v>
      </c>
      <c r="AK27" s="53" t="e" cm="1">
        <f t="array" ref="AK27">L27/(INDEX(bet对应表!$F:$F,MATCH($AK$2,bet对应表!$A:$A,0),0))</f>
        <v>#DIV/0!</v>
      </c>
      <c r="AL27" s="53" t="e" cm="1">
        <f t="array" ref="AL27">L27/(INDEX(bet对应表!$F:$F,MATCH($AL$2,bet对应表!$A:$A,0),0))</f>
        <v>#N/A</v>
      </c>
      <c r="AM27" s="53" t="e" cm="1">
        <f t="array" ref="AM27">L27/(INDEX(bet对应表!$F:$F,MATCH($AM$2,bet对应表!$A:$A,0),0))</f>
        <v>#N/A</v>
      </c>
      <c r="AN27" s="53" t="e" cm="1">
        <f t="array" ref="AN27">L27/(INDEX(bet对应表!$F:$F,MATCH($AN$2,bet对应表!$A:$A,0),0))</f>
        <v>#N/A</v>
      </c>
      <c r="AO27" s="53" t="e" cm="1">
        <f t="array" ref="AO27">L27/(INDEX(bet对应表!$F:$F,MATCH($AO$2,bet对应表!$A:$A,0),0))</f>
        <v>#N/A</v>
      </c>
      <c r="AP27" s="53" t="e" cm="1">
        <f t="array" ref="AP27">L27/(INDEX(bet对应表!$F:$F,MATCH($AP$2,bet对应表!$A:$A,0),0))</f>
        <v>#N/A</v>
      </c>
    </row>
    <row r="29" spans="1:42">
      <c r="C29" s="47" t="s">
        <v>64</v>
      </c>
      <c r="D29" s="47" t="s">
        <v>65</v>
      </c>
      <c r="E29" s="47" t="s">
        <v>66</v>
      </c>
      <c r="J29" s="47" t="s">
        <v>67</v>
      </c>
      <c r="K29" s="47" t="s">
        <v>68</v>
      </c>
      <c r="L29" s="47" t="s">
        <v>69</v>
      </c>
      <c r="M29" s="47" t="s">
        <v>70</v>
      </c>
      <c r="N29" s="47"/>
      <c r="O29" s="76" t="s">
        <v>71</v>
      </c>
      <c r="P29" s="77"/>
      <c r="Q29" s="77"/>
      <c r="R29" s="77"/>
      <c r="S29" s="77"/>
      <c r="T29" s="77"/>
      <c r="U29" s="78"/>
      <c r="V29" s="77"/>
      <c r="W29" s="77"/>
      <c r="X29" s="77"/>
      <c r="Y29" s="78"/>
      <c r="Z29" s="77"/>
      <c r="AA29" s="77"/>
      <c r="AB29" s="77"/>
      <c r="AC29" s="77"/>
      <c r="AD29" s="77"/>
      <c r="AF29" s="47"/>
      <c r="AG29" s="48" t="s">
        <v>71</v>
      </c>
      <c r="AH29" s="49"/>
      <c r="AI29" s="49"/>
      <c r="AJ29" s="49"/>
      <c r="AK29" s="49"/>
      <c r="AL29" s="49"/>
      <c r="AM29" s="49"/>
      <c r="AN29" s="49"/>
      <c r="AO29" s="49"/>
      <c r="AP29" s="79"/>
    </row>
    <row r="30" spans="1:42">
      <c r="C30" s="47">
        <v>1</v>
      </c>
      <c r="D30" s="47">
        <v>20</v>
      </c>
      <c r="E30" s="80">
        <v>1</v>
      </c>
      <c r="J30" s="80">
        <v>0.7</v>
      </c>
      <c r="K30" s="81">
        <f>ROUND((E30*$J$30)*25000000,0)</f>
        <v>17500000</v>
      </c>
      <c r="L30" s="81">
        <f>ROUND(E30*(1-$J$30)*100,0)</f>
        <v>30</v>
      </c>
      <c r="M30" s="47">
        <f>AVERAGE(M4:M11)</f>
        <v>0.010835202088919</v>
      </c>
      <c r="N30" s="62">
        <v>1</v>
      </c>
      <c r="O30" s="82" t="e" cm="1">
        <f t="array" ref="O30">O4*INDEX(bet对应表!$E:$E,MATCH($O$2,bet对应表!$A:$A,0),0)</f>
        <v>#N/A</v>
      </c>
      <c r="P30" s="82" t="e" cm="1">
        <f t="array" ref="P30">P4*INDEX(bet对应表!$E:$E,MATCH($P$2,bet对应表!$A:$A,0),0)</f>
        <v>#N/A</v>
      </c>
      <c r="Q30" s="82" t="e" cm="1">
        <f t="array" ref="Q30">Q4*INDEX(bet对应表!$E:$E,MATCH($Q$2,bet对应表!$A:$A,0),0)</f>
        <v>#N/A</v>
      </c>
      <c r="R30" s="82" t="e" cm="1">
        <f t="array" ref="R30">R4*INDEX(bet对应表!$E:$E,MATCH($R$2,bet对应表!$A:$A,0),0)</f>
        <v>#N/A</v>
      </c>
      <c r="S30" s="82" t="e" cm="1">
        <f t="array" ref="S30">S4*INDEX(bet对应表!$E:$E,MATCH($S$2,bet对应表!$A:$A,0),0)</f>
        <v>#N/A</v>
      </c>
      <c r="T30" s="82" t="e" cm="1">
        <f t="array" ref="T30">T4*INDEX(bet对应表!$E:$E,MATCH($T$2,bet对应表!$A:$A,0),0)</f>
        <v>#N/A</v>
      </c>
      <c r="U30" s="82" t="e" cm="1">
        <f t="array" ref="U30">U4*INDEX(bet对应表!$E:$E,MATCH($U$2,bet对应表!$A:$A,0),0)</f>
        <v>#N/A</v>
      </c>
      <c r="V30" s="82" t="e" cm="1">
        <f t="array" ref="V30">V4*INDEX(bet对应表!$E:$E,MATCH($V$2,bet对应表!$A:$A,0),0)</f>
        <v>#N/A</v>
      </c>
      <c r="W30" s="82" t="e" cm="1">
        <f t="array" ref="W30">W4*INDEX(bet对应表!$E:$E,MATCH($W$2,bet对应表!$A:$A,0),0)</f>
        <v>#N/A</v>
      </c>
      <c r="X30" s="82" t="e" cm="1">
        <f t="array" ref="X30">X4*INDEX(bet对应表!$E:$E,MATCH($X$2,bet对应表!$A:$A,0),0)</f>
        <v>#N/A</v>
      </c>
      <c r="Y30" s="82" t="e" cm="1">
        <f t="array" ref="Y30">Y4*INDEX(bet对应表!$E:$E,MATCH($Y$2,bet对应表!$A:$A,0),0)</f>
        <v>#N/A</v>
      </c>
      <c r="Z30" s="82" t="e" cm="1">
        <f t="array" ref="Z30">Z4*INDEX(bet对应表!$E:$E,MATCH($Z$2,bet对应表!$A:$A,0),0)</f>
        <v>#N/A</v>
      </c>
      <c r="AA30" s="82" t="e" cm="1">
        <f t="array" ref="AA30">AA4*INDEX(bet对应表!$E:$E,MATCH($AA$2,bet对应表!$A:$A,0),0)</f>
        <v>#N/A</v>
      </c>
      <c r="AB30" s="82" t="e" cm="1">
        <f t="array" ref="AB30">AB4*INDEX(bet对应表!$E:$E,MATCH($AB$2,bet对应表!$A:$A,0),0)</f>
        <v>#N/A</v>
      </c>
      <c r="AC30" s="82" t="e" cm="1">
        <f t="array" ref="AC30">AC4*INDEX(bet对应表!$E:$E,MATCH($AC$2,bet对应表!$A:$A,0),0)</f>
        <v>#N/A</v>
      </c>
      <c r="AD30" s="82" t="e" cm="1">
        <f t="array" ref="AD30">AD4*INDEX(bet对应表!$E:$E,MATCH($AD$2,bet对应表!$A:$A,0),0)</f>
        <v>#N/A</v>
      </c>
      <c r="AF30" s="62">
        <v>1</v>
      </c>
      <c r="AG30" s="82" t="e" cm="1">
        <f t="array" ref="AG30">AG4*INDEX(bet对应表!$E:$E,MATCH($AG$2,bet对应表!$A:$A,0),0)</f>
        <v>#N/A</v>
      </c>
      <c r="AH30" s="82" t="e" cm="1">
        <f t="array" ref="AH30">AH4*INDEX(bet对应表!$E:$E,MATCH($AH$2,bet对应表!$A:$A,0),0)</f>
        <v>#N/A</v>
      </c>
      <c r="AI30" s="82" t="e" cm="1">
        <f t="array" ref="AI30">AI4*INDEX(bet对应表!$E:$E,MATCH($AI$2,bet对应表!$A:$A,0),0)</f>
        <v>#DIV/0!</v>
      </c>
      <c r="AJ30" s="82" t="e" cm="1">
        <f t="array" ref="AJ30">AJ4*INDEX(bet对应表!$E:$E,MATCH($AJ$2,bet对应表!$A:$A,0),0)</f>
        <v>#DIV/0!</v>
      </c>
      <c r="AK30" s="82" t="e" cm="1">
        <f t="array" ref="AK30">AK4*INDEX(bet对应表!$E:$E,MATCH($AK$2,bet对应表!$A:$A,0),0)</f>
        <v>#DIV/0!</v>
      </c>
      <c r="AL30" s="82" t="e" cm="1">
        <f t="array" ref="AL30">AL4*INDEX(bet对应表!$E:$E,MATCH($AL$2,bet对应表!$A:$A,0),0)</f>
        <v>#N/A</v>
      </c>
      <c r="AM30" s="82" t="e" cm="1">
        <f t="array" ref="AM30">AM4*INDEX(bet对应表!$E:$E,MATCH($AM$2,bet对应表!$A:$A,0),0)</f>
        <v>#N/A</v>
      </c>
      <c r="AN30" s="82" t="e" cm="1">
        <f t="array" ref="AN30">AN4*INDEX(bet对应表!$E:$E,MATCH($AN$2,bet对应表!$A:$A,0),0)</f>
        <v>#N/A</v>
      </c>
      <c r="AO30" s="82" t="e" cm="1">
        <f t="array" ref="AO30">AO4*INDEX(bet对应表!$E:$E,MATCH($AO$2,bet对应表!$A:$A,0),0)</f>
        <v>#N/A</v>
      </c>
      <c r="AP30" s="82" t="e" cm="1">
        <f t="array" ref="AP30">AP4*INDEX(bet对应表!$E:$E,MATCH($AP$2,bet对应表!$A:$A,0),0)</f>
        <v>#N/A</v>
      </c>
    </row>
    <row r="31" spans="1:42">
      <c r="E31" s="80">
        <v>3</v>
      </c>
      <c r="J31" s="47">
        <v>1</v>
      </c>
      <c r="K31" s="47">
        <f t="shared" ref="K31:K38" si="9">ROUND((I4*$J$31)*25000000,0)</f>
        <v>1250000</v>
      </c>
      <c r="L31" s="47">
        <f t="shared" ref="L31:L38" si="10">ROUND(I4*(1-$J$31)*100,0)</f>
        <v>0</v>
      </c>
      <c r="M31" s="47">
        <f>AVERAGE(M12:M19)</f>
        <v>0.0137081567014222</v>
      </c>
      <c r="N31" s="62">
        <v>2</v>
      </c>
      <c r="O31" s="82" t="e" cm="1">
        <f t="array" ref="O31">O5*INDEX(bet对应表!$E:$E,MATCH($O$2,bet对应表!$A:$A,0),0)</f>
        <v>#N/A</v>
      </c>
      <c r="P31" s="82" t="e" cm="1">
        <f t="array" ref="P31">P5*INDEX(bet对应表!$E:$E,MATCH($P$2,bet对应表!$A:$A,0),0)</f>
        <v>#N/A</v>
      </c>
      <c r="Q31" s="82" t="e" cm="1">
        <f t="array" ref="Q31">Q5*INDEX(bet对应表!$E:$E,MATCH($Q$2,bet对应表!$A:$A,0),0)</f>
        <v>#N/A</v>
      </c>
      <c r="R31" s="82" t="e" cm="1">
        <f t="array" ref="R31">R5*INDEX(bet对应表!$E:$E,MATCH($R$2,bet对应表!$A:$A,0),0)</f>
        <v>#N/A</v>
      </c>
      <c r="S31" s="82" t="e" cm="1">
        <f t="array" ref="S31">S5*INDEX(bet对应表!$E:$E,MATCH($S$2,bet对应表!$A:$A,0),0)</f>
        <v>#N/A</v>
      </c>
      <c r="T31" s="82" t="e" cm="1">
        <f t="array" ref="T31">T5*INDEX(bet对应表!$E:$E,MATCH($T$2,bet对应表!$A:$A,0),0)</f>
        <v>#N/A</v>
      </c>
      <c r="U31" s="82" t="e" cm="1">
        <f t="array" ref="U31">U5*INDEX(bet对应表!$E:$E,MATCH($U$2,bet对应表!$A:$A,0),0)</f>
        <v>#N/A</v>
      </c>
      <c r="V31" s="82" t="e" cm="1">
        <f t="array" ref="V31">V5*INDEX(bet对应表!$E:$E,MATCH($V$2,bet对应表!$A:$A,0),0)</f>
        <v>#N/A</v>
      </c>
      <c r="W31" s="82" t="e" cm="1">
        <f t="array" ref="W31">W5*INDEX(bet对应表!$E:$E,MATCH($W$2,bet对应表!$A:$A,0),0)</f>
        <v>#N/A</v>
      </c>
      <c r="X31" s="82" t="e" cm="1">
        <f t="array" ref="X31">X5*INDEX(bet对应表!$E:$E,MATCH($X$2,bet对应表!$A:$A,0),0)</f>
        <v>#N/A</v>
      </c>
      <c r="Y31" s="82" t="e" cm="1">
        <f t="array" ref="Y31">Y5*INDEX(bet对应表!$E:$E,MATCH($Y$2,bet对应表!$A:$A,0),0)</f>
        <v>#N/A</v>
      </c>
      <c r="Z31" s="82" t="e" cm="1">
        <f t="array" ref="Z31">Z5*INDEX(bet对应表!$E:$E,MATCH($Z$2,bet对应表!$A:$A,0),0)</f>
        <v>#N/A</v>
      </c>
      <c r="AA31" s="82" t="e" cm="1">
        <f t="array" ref="AA31">AA5*INDEX(bet对应表!$E:$E,MATCH($AA$2,bet对应表!$A:$A,0),0)</f>
        <v>#N/A</v>
      </c>
      <c r="AB31" s="82" t="e" cm="1">
        <f t="array" ref="AB31">AB5*INDEX(bet对应表!$E:$E,MATCH($AB$2,bet对应表!$A:$A,0),0)</f>
        <v>#N/A</v>
      </c>
      <c r="AC31" s="82" t="e" cm="1">
        <f t="array" ref="AC31">AC5*INDEX(bet对应表!$E:$E,MATCH($AC$2,bet对应表!$A:$A,0),0)</f>
        <v>#N/A</v>
      </c>
      <c r="AD31" s="82" t="e" cm="1">
        <f t="array" ref="AD31">AD5*INDEX(bet对应表!$E:$E,MATCH($AD$2,bet对应表!$A:$A,0),0)</f>
        <v>#N/A</v>
      </c>
      <c r="AF31" s="62">
        <v>2</v>
      </c>
      <c r="AG31" s="82" t="e" cm="1">
        <f t="array" ref="AG31">AG5*INDEX(bet对应表!$E:$E,MATCH($AG$2,bet对应表!$A:$A,0),0)</f>
        <v>#N/A</v>
      </c>
      <c r="AH31" s="82" t="e" cm="1">
        <f t="array" ref="AH31">AH5*INDEX(bet对应表!$E:$E,MATCH($AH$2,bet对应表!$A:$A,0),0)</f>
        <v>#N/A</v>
      </c>
      <c r="AI31" s="82" t="e" cm="1">
        <f t="array" ref="AI31">AI5*INDEX(bet对应表!$E:$E,MATCH($AI$2,bet对应表!$A:$A,0),0)</f>
        <v>#DIV/0!</v>
      </c>
      <c r="AJ31" s="82" t="e" cm="1">
        <f t="array" ref="AJ31">AJ5*INDEX(bet对应表!$E:$E,MATCH($AJ$2,bet对应表!$A:$A,0),0)</f>
        <v>#DIV/0!</v>
      </c>
      <c r="AK31" s="82" t="e" cm="1">
        <f t="array" ref="AK31">AK5*INDEX(bet对应表!$E:$E,MATCH($AK$2,bet对应表!$A:$A,0),0)</f>
        <v>#DIV/0!</v>
      </c>
      <c r="AL31" s="82" t="e" cm="1">
        <f t="array" ref="AL31">AL5*INDEX(bet对应表!$E:$E,MATCH($AL$2,bet对应表!$A:$A,0),0)</f>
        <v>#N/A</v>
      </c>
      <c r="AM31" s="82" t="e" cm="1">
        <f t="array" ref="AM31">AM5*INDEX(bet对应表!$E:$E,MATCH($AM$2,bet对应表!$A:$A,0),0)</f>
        <v>#N/A</v>
      </c>
      <c r="AN31" s="82" t="e" cm="1">
        <f t="array" ref="AN31">AN5*INDEX(bet对应表!$E:$E,MATCH($AN$2,bet对应表!$A:$A,0),0)</f>
        <v>#N/A</v>
      </c>
      <c r="AO31" s="82" t="e" cm="1">
        <f t="array" ref="AO31">AO5*INDEX(bet对应表!$E:$E,MATCH($AO$2,bet对应表!$A:$A,0),0)</f>
        <v>#N/A</v>
      </c>
      <c r="AP31" s="82" t="e" cm="1">
        <f t="array" ref="AP31">AP5*INDEX(bet对应表!$E:$E,MATCH($AP$2,bet对应表!$A:$A,0),0)</f>
        <v>#N/A</v>
      </c>
    </row>
    <row r="32" spans="1:42">
      <c r="E32" s="80">
        <v>25</v>
      </c>
      <c r="K32" s="47">
        <f t="shared" si="9"/>
        <v>1875000</v>
      </c>
      <c r="L32" s="47">
        <f t="shared" si="10"/>
        <v>0</v>
      </c>
      <c r="M32" s="47">
        <f>AVERAGE(M20:M27)</f>
        <v>0.0283019653854872</v>
      </c>
      <c r="N32" s="62">
        <v>3</v>
      </c>
      <c r="O32" s="82" t="e" cm="1">
        <f t="array" ref="O32">O6*INDEX(bet对应表!$E:$E,MATCH($O$2,bet对应表!$A:$A,0),0)</f>
        <v>#N/A</v>
      </c>
      <c r="P32" s="82" t="e" cm="1">
        <f t="array" ref="P32">P6*INDEX(bet对应表!$E:$E,MATCH($P$2,bet对应表!$A:$A,0),0)</f>
        <v>#N/A</v>
      </c>
      <c r="Q32" s="82" t="e" cm="1">
        <f t="array" ref="Q32">Q6*INDEX(bet对应表!$E:$E,MATCH($Q$2,bet对应表!$A:$A,0),0)</f>
        <v>#N/A</v>
      </c>
      <c r="R32" s="82" t="e" cm="1">
        <f t="array" ref="R32">R6*INDEX(bet对应表!$E:$E,MATCH($R$2,bet对应表!$A:$A,0),0)</f>
        <v>#N/A</v>
      </c>
      <c r="S32" s="82" t="e" cm="1">
        <f t="array" ref="S32">S6*INDEX(bet对应表!$E:$E,MATCH($S$2,bet对应表!$A:$A,0),0)</f>
        <v>#N/A</v>
      </c>
      <c r="T32" s="82" t="e" cm="1">
        <f t="array" ref="T32">T6*INDEX(bet对应表!$E:$E,MATCH($T$2,bet对应表!$A:$A,0),0)</f>
        <v>#N/A</v>
      </c>
      <c r="U32" s="82" t="e" cm="1">
        <f t="array" ref="U32">U6*INDEX(bet对应表!$E:$E,MATCH($U$2,bet对应表!$A:$A,0),0)</f>
        <v>#N/A</v>
      </c>
      <c r="V32" s="82" t="e" cm="1">
        <f t="array" ref="V32">V6*INDEX(bet对应表!$E:$E,MATCH($V$2,bet对应表!$A:$A,0),0)</f>
        <v>#N/A</v>
      </c>
      <c r="W32" s="82" t="e" cm="1">
        <f t="array" ref="W32">W6*INDEX(bet对应表!$E:$E,MATCH($W$2,bet对应表!$A:$A,0),0)</f>
        <v>#N/A</v>
      </c>
      <c r="X32" s="82" t="e" cm="1">
        <f t="array" ref="X32">X6*INDEX(bet对应表!$E:$E,MATCH($X$2,bet对应表!$A:$A,0),0)</f>
        <v>#N/A</v>
      </c>
      <c r="Y32" s="82" t="e" cm="1">
        <f t="array" ref="Y32">Y6*INDEX(bet对应表!$E:$E,MATCH($Y$2,bet对应表!$A:$A,0),0)</f>
        <v>#N/A</v>
      </c>
      <c r="Z32" s="82" t="e" cm="1">
        <f t="array" ref="Z32">Z6*INDEX(bet对应表!$E:$E,MATCH($Z$2,bet对应表!$A:$A,0),0)</f>
        <v>#N/A</v>
      </c>
      <c r="AA32" s="82" t="e" cm="1">
        <f t="array" ref="AA32">AA6*INDEX(bet对应表!$E:$E,MATCH($AA$2,bet对应表!$A:$A,0),0)</f>
        <v>#N/A</v>
      </c>
      <c r="AB32" s="82" t="e" cm="1">
        <f t="array" ref="AB32">AB6*INDEX(bet对应表!$E:$E,MATCH($AB$2,bet对应表!$A:$A,0),0)</f>
        <v>#N/A</v>
      </c>
      <c r="AC32" s="82" t="e" cm="1">
        <f t="array" ref="AC32">AC6*INDEX(bet对应表!$E:$E,MATCH($AC$2,bet对应表!$A:$A,0),0)</f>
        <v>#N/A</v>
      </c>
      <c r="AD32" s="82" t="e" cm="1">
        <f t="array" ref="AD32">AD6*INDEX(bet对应表!$E:$E,MATCH($AD$2,bet对应表!$A:$A,0),0)</f>
        <v>#N/A</v>
      </c>
      <c r="AF32" s="62">
        <v>3</v>
      </c>
      <c r="AG32" s="82" t="e" cm="1">
        <f t="array" ref="AG32">AG6*INDEX(bet对应表!$E:$E,MATCH($AG$2,bet对应表!$A:$A,0),0)</f>
        <v>#N/A</v>
      </c>
      <c r="AH32" s="82" t="e" cm="1">
        <f t="array" ref="AH32">AH6*INDEX(bet对应表!$E:$E,MATCH($AH$2,bet对应表!$A:$A,0),0)</f>
        <v>#N/A</v>
      </c>
      <c r="AI32" s="82" t="e" cm="1">
        <f t="array" ref="AI32">AI6*INDEX(bet对应表!$E:$E,MATCH($AI$2,bet对应表!$A:$A,0),0)</f>
        <v>#DIV/0!</v>
      </c>
      <c r="AJ32" s="82" t="e" cm="1">
        <f t="array" ref="AJ32">AJ6*INDEX(bet对应表!$E:$E,MATCH($AJ$2,bet对应表!$A:$A,0),0)</f>
        <v>#DIV/0!</v>
      </c>
      <c r="AK32" s="82" t="e" cm="1">
        <f t="array" ref="AK32">AK6*INDEX(bet对应表!$E:$E,MATCH($AK$2,bet对应表!$A:$A,0),0)</f>
        <v>#DIV/0!</v>
      </c>
      <c r="AL32" s="82" t="e" cm="1">
        <f t="array" ref="AL32">AL6*INDEX(bet对应表!$E:$E,MATCH($AL$2,bet对应表!$A:$A,0),0)</f>
        <v>#N/A</v>
      </c>
      <c r="AM32" s="82" t="e" cm="1">
        <f t="array" ref="AM32">AM6*INDEX(bet对应表!$E:$E,MATCH($AM$2,bet对应表!$A:$A,0),0)</f>
        <v>#N/A</v>
      </c>
      <c r="AN32" s="82" t="e" cm="1">
        <f t="array" ref="AN32">AN6*INDEX(bet对应表!$E:$E,MATCH($AN$2,bet对应表!$A:$A,0),0)</f>
        <v>#N/A</v>
      </c>
      <c r="AO32" s="82" t="e" cm="1">
        <f t="array" ref="AO32">AO6*INDEX(bet对应表!$E:$E,MATCH($AO$2,bet对应表!$A:$A,0),0)</f>
        <v>#N/A</v>
      </c>
      <c r="AP32" s="82" t="e" cm="1">
        <f t="array" ref="AP32">AP6*INDEX(bet对应表!$E:$E,MATCH($AP$2,bet对应表!$A:$A,0),0)</f>
        <v>#N/A</v>
      </c>
    </row>
    <row r="33" spans="11:42">
      <c r="K33" s="47">
        <f t="shared" si="9"/>
        <v>2500000</v>
      </c>
      <c r="L33" s="47">
        <f t="shared" si="10"/>
        <v>0</v>
      </c>
      <c r="N33" s="62">
        <v>4</v>
      </c>
      <c r="O33" s="82" t="e" cm="1">
        <f t="array" ref="O33">O7*INDEX(bet对应表!$E:$E,MATCH($O$2,bet对应表!$A:$A,0),0)</f>
        <v>#N/A</v>
      </c>
      <c r="P33" s="82" t="e" cm="1">
        <f t="array" ref="P33">P7*INDEX(bet对应表!$E:$E,MATCH($P$2,bet对应表!$A:$A,0),0)</f>
        <v>#N/A</v>
      </c>
      <c r="Q33" s="82" t="e" cm="1">
        <f t="array" ref="Q33">Q7*INDEX(bet对应表!$E:$E,MATCH($Q$2,bet对应表!$A:$A,0),0)</f>
        <v>#N/A</v>
      </c>
      <c r="R33" s="82" t="e" cm="1">
        <f t="array" ref="R33">R7*INDEX(bet对应表!$E:$E,MATCH($R$2,bet对应表!$A:$A,0),0)</f>
        <v>#N/A</v>
      </c>
      <c r="S33" s="82" t="e" cm="1">
        <f t="array" ref="S33">S7*INDEX(bet对应表!$E:$E,MATCH($S$2,bet对应表!$A:$A,0),0)</f>
        <v>#N/A</v>
      </c>
      <c r="T33" s="82" t="e" cm="1">
        <f t="array" ref="T33">T7*INDEX(bet对应表!$E:$E,MATCH($T$2,bet对应表!$A:$A,0),0)</f>
        <v>#N/A</v>
      </c>
      <c r="U33" s="82" t="e" cm="1">
        <f t="array" ref="U33">U7*INDEX(bet对应表!$E:$E,MATCH($U$2,bet对应表!$A:$A,0),0)</f>
        <v>#N/A</v>
      </c>
      <c r="V33" s="82" t="e" cm="1">
        <f t="array" ref="V33">V7*INDEX(bet对应表!$E:$E,MATCH($V$2,bet对应表!$A:$A,0),0)</f>
        <v>#N/A</v>
      </c>
      <c r="W33" s="82" t="e" cm="1">
        <f t="array" ref="W33">W7*INDEX(bet对应表!$E:$E,MATCH($W$2,bet对应表!$A:$A,0),0)</f>
        <v>#N/A</v>
      </c>
      <c r="X33" s="82" t="e" cm="1">
        <f t="array" ref="X33">X7*INDEX(bet对应表!$E:$E,MATCH($X$2,bet对应表!$A:$A,0),0)</f>
        <v>#N/A</v>
      </c>
      <c r="Y33" s="82" t="e" cm="1">
        <f t="array" ref="Y33">Y7*INDEX(bet对应表!$E:$E,MATCH($Y$2,bet对应表!$A:$A,0),0)</f>
        <v>#N/A</v>
      </c>
      <c r="Z33" s="82" t="e" cm="1">
        <f t="array" ref="Z33">Z7*INDEX(bet对应表!$E:$E,MATCH($Z$2,bet对应表!$A:$A,0),0)</f>
        <v>#N/A</v>
      </c>
      <c r="AA33" s="82" t="e" cm="1">
        <f t="array" ref="AA33">AA7*INDEX(bet对应表!$E:$E,MATCH($AA$2,bet对应表!$A:$A,0),0)</f>
        <v>#N/A</v>
      </c>
      <c r="AB33" s="82" t="e" cm="1">
        <f t="array" ref="AB33">AB7*INDEX(bet对应表!$E:$E,MATCH($AB$2,bet对应表!$A:$A,0),0)</f>
        <v>#N/A</v>
      </c>
      <c r="AC33" s="82" t="e" cm="1">
        <f t="array" ref="AC33">AC7*INDEX(bet对应表!$E:$E,MATCH($AC$2,bet对应表!$A:$A,0),0)</f>
        <v>#N/A</v>
      </c>
      <c r="AD33" s="82" t="e" cm="1">
        <f t="array" ref="AD33">AD7*INDEX(bet对应表!$E:$E,MATCH($AD$2,bet对应表!$A:$A,0),0)</f>
        <v>#N/A</v>
      </c>
      <c r="AF33" s="62">
        <v>4</v>
      </c>
      <c r="AG33" s="82" t="e" cm="1">
        <f t="array" ref="AG33">AG7*INDEX(bet对应表!$E:$E,MATCH($AG$2,bet对应表!$A:$A,0),0)</f>
        <v>#N/A</v>
      </c>
      <c r="AH33" s="82" t="e" cm="1">
        <f t="array" ref="AH33">AH7*INDEX(bet对应表!$E:$E,MATCH($AH$2,bet对应表!$A:$A,0),0)</f>
        <v>#N/A</v>
      </c>
      <c r="AI33" s="82" t="e" cm="1">
        <f t="array" ref="AI33">AI7*INDEX(bet对应表!$E:$E,MATCH($AI$2,bet对应表!$A:$A,0),0)</f>
        <v>#DIV/0!</v>
      </c>
      <c r="AJ33" s="82" t="e" cm="1">
        <f t="array" ref="AJ33">AJ7*INDEX(bet对应表!$E:$E,MATCH($AJ$2,bet对应表!$A:$A,0),0)</f>
        <v>#DIV/0!</v>
      </c>
      <c r="AK33" s="82" t="e" cm="1">
        <f t="array" ref="AK33">AK7*INDEX(bet对应表!$E:$E,MATCH($AK$2,bet对应表!$A:$A,0),0)</f>
        <v>#DIV/0!</v>
      </c>
      <c r="AL33" s="82" t="e" cm="1">
        <f t="array" ref="AL33">AL7*INDEX(bet对应表!$E:$E,MATCH($AL$2,bet对应表!$A:$A,0),0)</f>
        <v>#N/A</v>
      </c>
      <c r="AM33" s="82" t="e" cm="1">
        <f t="array" ref="AM33">AM7*INDEX(bet对应表!$E:$E,MATCH($AM$2,bet对应表!$A:$A,0),0)</f>
        <v>#N/A</v>
      </c>
      <c r="AN33" s="82" t="e" cm="1">
        <f t="array" ref="AN33">AN7*INDEX(bet对应表!$E:$E,MATCH($AN$2,bet对应表!$A:$A,0),0)</f>
        <v>#N/A</v>
      </c>
      <c r="AO33" s="82" t="e" cm="1">
        <f t="array" ref="AO33">AO7*INDEX(bet对应表!$E:$E,MATCH($AO$2,bet对应表!$A:$A,0),0)</f>
        <v>#N/A</v>
      </c>
      <c r="AP33" s="82" t="e" cm="1">
        <f t="array" ref="AP33">AP7*INDEX(bet对应表!$E:$E,MATCH($AP$2,bet对应表!$A:$A,0),0)</f>
        <v>#N/A</v>
      </c>
    </row>
    <row r="34" spans="11:42">
      <c r="K34" s="47">
        <f t="shared" si="9"/>
        <v>3750000</v>
      </c>
      <c r="L34" s="47">
        <f t="shared" si="10"/>
        <v>0</v>
      </c>
      <c r="N34" s="62">
        <v>5</v>
      </c>
      <c r="O34" s="82" t="e" cm="1">
        <f t="array" ref="O34">O8*INDEX(bet对应表!$E:$E,MATCH($O$2,bet对应表!$A:$A,0),0)</f>
        <v>#N/A</v>
      </c>
      <c r="P34" s="82" t="e" cm="1">
        <f t="array" ref="P34">P8*INDEX(bet对应表!$E:$E,MATCH($P$2,bet对应表!$A:$A,0),0)</f>
        <v>#N/A</v>
      </c>
      <c r="Q34" s="82" t="e" cm="1">
        <f t="array" ref="Q34">Q8*INDEX(bet对应表!$E:$E,MATCH($Q$2,bet对应表!$A:$A,0),0)</f>
        <v>#N/A</v>
      </c>
      <c r="R34" s="82" t="e" cm="1">
        <f t="array" ref="R34">R8*INDEX(bet对应表!$E:$E,MATCH($R$2,bet对应表!$A:$A,0),0)</f>
        <v>#N/A</v>
      </c>
      <c r="S34" s="82" t="e" cm="1">
        <f t="array" ref="S34">S8*INDEX(bet对应表!$E:$E,MATCH($S$2,bet对应表!$A:$A,0),0)</f>
        <v>#N/A</v>
      </c>
      <c r="T34" s="82" t="e" cm="1">
        <f t="array" ref="T34">T8*INDEX(bet对应表!$E:$E,MATCH($T$2,bet对应表!$A:$A,0),0)</f>
        <v>#N/A</v>
      </c>
      <c r="U34" s="82" t="e" cm="1">
        <f t="array" ref="U34">U8*INDEX(bet对应表!$E:$E,MATCH($U$2,bet对应表!$A:$A,0),0)</f>
        <v>#N/A</v>
      </c>
      <c r="V34" s="82" t="e" cm="1">
        <f t="array" ref="V34">V8*INDEX(bet对应表!$E:$E,MATCH($V$2,bet对应表!$A:$A,0),0)</f>
        <v>#N/A</v>
      </c>
      <c r="W34" s="82" t="e" cm="1">
        <f t="array" ref="W34">W8*INDEX(bet对应表!$E:$E,MATCH($W$2,bet对应表!$A:$A,0),0)</f>
        <v>#N/A</v>
      </c>
      <c r="X34" s="82" t="e" cm="1">
        <f t="array" ref="X34">X8*INDEX(bet对应表!$E:$E,MATCH($X$2,bet对应表!$A:$A,0),0)</f>
        <v>#N/A</v>
      </c>
      <c r="Y34" s="82" t="e" cm="1">
        <f t="array" ref="Y34">Y8*INDEX(bet对应表!$E:$E,MATCH($Y$2,bet对应表!$A:$A,0),0)</f>
        <v>#N/A</v>
      </c>
      <c r="Z34" s="82" t="e" cm="1">
        <f t="array" ref="Z34">Z8*INDEX(bet对应表!$E:$E,MATCH($Z$2,bet对应表!$A:$A,0),0)</f>
        <v>#N/A</v>
      </c>
      <c r="AA34" s="82" t="e" cm="1">
        <f t="array" ref="AA34">AA8*INDEX(bet对应表!$E:$E,MATCH($AA$2,bet对应表!$A:$A,0),0)</f>
        <v>#N/A</v>
      </c>
      <c r="AB34" s="82" t="e" cm="1">
        <f t="array" ref="AB34">AB8*INDEX(bet对应表!$E:$E,MATCH($AB$2,bet对应表!$A:$A,0),0)</f>
        <v>#N/A</v>
      </c>
      <c r="AC34" s="82" t="e" cm="1">
        <f t="array" ref="AC34">AC8*INDEX(bet对应表!$E:$E,MATCH($AC$2,bet对应表!$A:$A,0),0)</f>
        <v>#N/A</v>
      </c>
      <c r="AD34" s="82" t="e" cm="1">
        <f t="array" ref="AD34">AD8*INDEX(bet对应表!$E:$E,MATCH($AD$2,bet对应表!$A:$A,0),0)</f>
        <v>#N/A</v>
      </c>
      <c r="AF34" s="62">
        <v>5</v>
      </c>
      <c r="AG34" s="82" t="e" cm="1">
        <f t="array" ref="AG34">AG8*INDEX(bet对应表!$E:$E,MATCH($AG$2,bet对应表!$A:$A,0),0)</f>
        <v>#N/A</v>
      </c>
      <c r="AH34" s="82" t="e" cm="1">
        <f t="array" ref="AH34">AH8*INDEX(bet对应表!$E:$E,MATCH($AH$2,bet对应表!$A:$A,0),0)</f>
        <v>#N/A</v>
      </c>
      <c r="AI34" s="82" t="e" cm="1">
        <f t="array" ref="AI34">AI8*INDEX(bet对应表!$E:$E,MATCH($AI$2,bet对应表!$A:$A,0),0)</f>
        <v>#DIV/0!</v>
      </c>
      <c r="AJ34" s="82" t="e" cm="1">
        <f t="array" ref="AJ34">AJ8*INDEX(bet对应表!$E:$E,MATCH($AJ$2,bet对应表!$A:$A,0),0)</f>
        <v>#DIV/0!</v>
      </c>
      <c r="AK34" s="82" t="e" cm="1">
        <f t="array" ref="AK34">AK8*INDEX(bet对应表!$E:$E,MATCH($AK$2,bet对应表!$A:$A,0),0)</f>
        <v>#DIV/0!</v>
      </c>
      <c r="AL34" s="82" t="e" cm="1">
        <f t="array" ref="AL34">AL8*INDEX(bet对应表!$E:$E,MATCH($AL$2,bet对应表!$A:$A,0),0)</f>
        <v>#N/A</v>
      </c>
      <c r="AM34" s="82" t="e" cm="1">
        <f t="array" ref="AM34">AM8*INDEX(bet对应表!$E:$E,MATCH($AM$2,bet对应表!$A:$A,0),0)</f>
        <v>#N/A</v>
      </c>
      <c r="AN34" s="82" t="e" cm="1">
        <f t="array" ref="AN34">AN8*INDEX(bet对应表!$E:$E,MATCH($AN$2,bet对应表!$A:$A,0),0)</f>
        <v>#N/A</v>
      </c>
      <c r="AO34" s="82" t="e" cm="1">
        <f t="array" ref="AO34">AO8*INDEX(bet对应表!$E:$E,MATCH($AO$2,bet对应表!$A:$A,0),0)</f>
        <v>#N/A</v>
      </c>
      <c r="AP34" s="82" t="e" cm="1">
        <f t="array" ref="AP34">AP8*INDEX(bet对应表!$E:$E,MATCH($AP$2,bet对应表!$A:$A,0),0)</f>
        <v>#N/A</v>
      </c>
    </row>
    <row r="35" spans="11:42">
      <c r="K35" s="47">
        <f t="shared" si="9"/>
        <v>5000000</v>
      </c>
      <c r="L35" s="47">
        <f t="shared" si="10"/>
        <v>0</v>
      </c>
      <c r="N35" s="62">
        <v>6</v>
      </c>
      <c r="O35" s="82" t="e" cm="1">
        <f t="array" ref="O35">O9*INDEX(bet对应表!$E:$E,MATCH($O$2,bet对应表!$A:$A,0),0)</f>
        <v>#N/A</v>
      </c>
      <c r="P35" s="82" t="e" cm="1">
        <f t="array" ref="P35">P9*INDEX(bet对应表!$E:$E,MATCH($P$2,bet对应表!$A:$A,0),0)</f>
        <v>#N/A</v>
      </c>
      <c r="Q35" s="82" t="e" cm="1">
        <f t="array" ref="Q35">Q9*INDEX(bet对应表!$E:$E,MATCH($Q$2,bet对应表!$A:$A,0),0)</f>
        <v>#N/A</v>
      </c>
      <c r="R35" s="82" t="e" cm="1">
        <f t="array" ref="R35">R9*INDEX(bet对应表!$E:$E,MATCH($R$2,bet对应表!$A:$A,0),0)</f>
        <v>#N/A</v>
      </c>
      <c r="S35" s="82" t="e" cm="1">
        <f t="array" ref="S35">S9*INDEX(bet对应表!$E:$E,MATCH($S$2,bet对应表!$A:$A,0),0)</f>
        <v>#N/A</v>
      </c>
      <c r="T35" s="82" t="e" cm="1">
        <f t="array" ref="T35">T9*INDEX(bet对应表!$E:$E,MATCH($T$2,bet对应表!$A:$A,0),0)</f>
        <v>#N/A</v>
      </c>
      <c r="U35" s="82" t="e" cm="1">
        <f t="array" ref="U35">U9*INDEX(bet对应表!$E:$E,MATCH($U$2,bet对应表!$A:$A,0),0)</f>
        <v>#N/A</v>
      </c>
      <c r="V35" s="82" t="e" cm="1">
        <f t="array" ref="V35">V9*INDEX(bet对应表!$E:$E,MATCH($V$2,bet对应表!$A:$A,0),0)</f>
        <v>#N/A</v>
      </c>
      <c r="W35" s="82" t="e" cm="1">
        <f t="array" ref="W35">W9*INDEX(bet对应表!$E:$E,MATCH($W$2,bet对应表!$A:$A,0),0)</f>
        <v>#N/A</v>
      </c>
      <c r="X35" s="82" t="e" cm="1">
        <f t="array" ref="X35">X9*INDEX(bet对应表!$E:$E,MATCH($X$2,bet对应表!$A:$A,0),0)</f>
        <v>#N/A</v>
      </c>
      <c r="Y35" s="82" t="e" cm="1">
        <f t="array" ref="Y35">Y9*INDEX(bet对应表!$E:$E,MATCH($Y$2,bet对应表!$A:$A,0),0)</f>
        <v>#N/A</v>
      </c>
      <c r="Z35" s="82" t="e" cm="1">
        <f t="array" ref="Z35">Z9*INDEX(bet对应表!$E:$E,MATCH($Z$2,bet对应表!$A:$A,0),0)</f>
        <v>#N/A</v>
      </c>
      <c r="AA35" s="82" t="e" cm="1">
        <f t="array" ref="AA35">AA9*INDEX(bet对应表!$E:$E,MATCH($AA$2,bet对应表!$A:$A,0),0)</f>
        <v>#N/A</v>
      </c>
      <c r="AB35" s="82" t="e" cm="1">
        <f t="array" ref="AB35">AB9*INDEX(bet对应表!$E:$E,MATCH($AB$2,bet对应表!$A:$A,0),0)</f>
        <v>#N/A</v>
      </c>
      <c r="AC35" s="82" t="e" cm="1">
        <f t="array" ref="AC35">AC9*INDEX(bet对应表!$E:$E,MATCH($AC$2,bet对应表!$A:$A,0),0)</f>
        <v>#N/A</v>
      </c>
      <c r="AD35" s="82" t="e" cm="1">
        <f t="array" ref="AD35">AD9*INDEX(bet对应表!$E:$E,MATCH($AD$2,bet对应表!$A:$A,0),0)</f>
        <v>#N/A</v>
      </c>
      <c r="AF35" s="62">
        <v>6</v>
      </c>
      <c r="AG35" s="82" t="e" cm="1">
        <f t="array" ref="AG35">AG9*INDEX(bet对应表!$E:$E,MATCH($AG$2,bet对应表!$A:$A,0),0)</f>
        <v>#N/A</v>
      </c>
      <c r="AH35" s="82" t="e" cm="1">
        <f t="array" ref="AH35">AH9*INDEX(bet对应表!$E:$E,MATCH($AH$2,bet对应表!$A:$A,0),0)</f>
        <v>#N/A</v>
      </c>
      <c r="AI35" s="82" t="e" cm="1">
        <f t="array" ref="AI35">AI9*INDEX(bet对应表!$E:$E,MATCH($AI$2,bet对应表!$A:$A,0),0)</f>
        <v>#DIV/0!</v>
      </c>
      <c r="AJ35" s="82" t="e" cm="1">
        <f t="array" ref="AJ35">AJ9*INDEX(bet对应表!$E:$E,MATCH($AJ$2,bet对应表!$A:$A,0),0)</f>
        <v>#DIV/0!</v>
      </c>
      <c r="AK35" s="82" t="e" cm="1">
        <f t="array" ref="AK35">AK9*INDEX(bet对应表!$E:$E,MATCH($AK$2,bet对应表!$A:$A,0),0)</f>
        <v>#DIV/0!</v>
      </c>
      <c r="AL35" s="82" t="e" cm="1">
        <f t="array" ref="AL35">AL9*INDEX(bet对应表!$E:$E,MATCH($AL$2,bet对应表!$A:$A,0),0)</f>
        <v>#N/A</v>
      </c>
      <c r="AM35" s="82" t="e" cm="1">
        <f t="array" ref="AM35">AM9*INDEX(bet对应表!$E:$E,MATCH($AM$2,bet对应表!$A:$A,0),0)</f>
        <v>#N/A</v>
      </c>
      <c r="AN35" s="82" t="e" cm="1">
        <f t="array" ref="AN35">AN9*INDEX(bet对应表!$E:$E,MATCH($AN$2,bet对应表!$A:$A,0),0)</f>
        <v>#N/A</v>
      </c>
      <c r="AO35" s="82" t="e" cm="1">
        <f t="array" ref="AO35">AO9*INDEX(bet对应表!$E:$E,MATCH($AO$2,bet对应表!$A:$A,0),0)</f>
        <v>#N/A</v>
      </c>
      <c r="AP35" s="82" t="e" cm="1">
        <f t="array" ref="AP35">AP9*INDEX(bet对应表!$E:$E,MATCH($AP$2,bet对应表!$A:$A,0),0)</f>
        <v>#N/A</v>
      </c>
    </row>
    <row r="36" spans="11:42">
      <c r="K36" s="47">
        <f t="shared" si="9"/>
        <v>7500000</v>
      </c>
      <c r="L36" s="47">
        <f t="shared" si="10"/>
        <v>0</v>
      </c>
      <c r="N36" s="62">
        <v>7</v>
      </c>
      <c r="O36" s="82" t="e" cm="1">
        <f t="array" ref="O36">O10*INDEX(bet对应表!$E:$E,MATCH($O$2,bet对应表!$A:$A,0),0)</f>
        <v>#N/A</v>
      </c>
      <c r="P36" s="82" t="e" cm="1">
        <f t="array" ref="P36">P10*INDEX(bet对应表!$E:$E,MATCH($P$2,bet对应表!$A:$A,0),0)</f>
        <v>#N/A</v>
      </c>
      <c r="Q36" s="82" t="e" cm="1">
        <f t="array" ref="Q36">Q10*INDEX(bet对应表!$E:$E,MATCH($Q$2,bet对应表!$A:$A,0),0)</f>
        <v>#N/A</v>
      </c>
      <c r="R36" s="82" t="e" cm="1">
        <f t="array" ref="R36">R10*INDEX(bet对应表!$E:$E,MATCH($R$2,bet对应表!$A:$A,0),0)</f>
        <v>#N/A</v>
      </c>
      <c r="S36" s="82" t="e" cm="1">
        <f t="array" ref="S36">S10*INDEX(bet对应表!$E:$E,MATCH($S$2,bet对应表!$A:$A,0),0)</f>
        <v>#N/A</v>
      </c>
      <c r="T36" s="82" t="e" cm="1">
        <f t="array" ref="T36">T10*INDEX(bet对应表!$E:$E,MATCH($T$2,bet对应表!$A:$A,0),0)</f>
        <v>#N/A</v>
      </c>
      <c r="U36" s="82" t="e" cm="1">
        <f t="array" ref="U36">U10*INDEX(bet对应表!$E:$E,MATCH($U$2,bet对应表!$A:$A,0),0)</f>
        <v>#N/A</v>
      </c>
      <c r="V36" s="82" t="e" cm="1">
        <f t="array" ref="V36">V10*INDEX(bet对应表!$E:$E,MATCH($V$2,bet对应表!$A:$A,0),0)</f>
        <v>#N/A</v>
      </c>
      <c r="W36" s="82" t="e" cm="1">
        <f t="array" ref="W36">W10*INDEX(bet对应表!$E:$E,MATCH($W$2,bet对应表!$A:$A,0),0)</f>
        <v>#N/A</v>
      </c>
      <c r="X36" s="82" t="e" cm="1">
        <f t="array" ref="X36">X10*INDEX(bet对应表!$E:$E,MATCH($X$2,bet对应表!$A:$A,0),0)</f>
        <v>#N/A</v>
      </c>
      <c r="Y36" s="82" t="e" cm="1">
        <f t="array" ref="Y36">Y10*INDEX(bet对应表!$E:$E,MATCH($Y$2,bet对应表!$A:$A,0),0)</f>
        <v>#N/A</v>
      </c>
      <c r="Z36" s="82" t="e" cm="1">
        <f t="array" ref="Z36">Z10*INDEX(bet对应表!$E:$E,MATCH($Z$2,bet对应表!$A:$A,0),0)</f>
        <v>#N/A</v>
      </c>
      <c r="AA36" s="82" t="e" cm="1">
        <f t="array" ref="AA36">AA10*INDEX(bet对应表!$E:$E,MATCH($AA$2,bet对应表!$A:$A,0),0)</f>
        <v>#N/A</v>
      </c>
      <c r="AB36" s="82" t="e" cm="1">
        <f t="array" ref="AB36">AB10*INDEX(bet对应表!$E:$E,MATCH($AB$2,bet对应表!$A:$A,0),0)</f>
        <v>#N/A</v>
      </c>
      <c r="AC36" s="82" t="e" cm="1">
        <f t="array" ref="AC36">AC10*INDEX(bet对应表!$E:$E,MATCH($AC$2,bet对应表!$A:$A,0),0)</f>
        <v>#N/A</v>
      </c>
      <c r="AD36" s="82" t="e" cm="1">
        <f t="array" ref="AD36">AD10*INDEX(bet对应表!$E:$E,MATCH($AD$2,bet对应表!$A:$A,0),0)</f>
        <v>#N/A</v>
      </c>
      <c r="AF36" s="62">
        <v>7</v>
      </c>
      <c r="AG36" s="82" t="e" cm="1">
        <f t="array" ref="AG36">AG10*INDEX(bet对应表!$E:$E,MATCH($AG$2,bet对应表!$A:$A,0),0)</f>
        <v>#N/A</v>
      </c>
      <c r="AH36" s="82" t="e" cm="1">
        <f t="array" ref="AH36">AH10*INDEX(bet对应表!$E:$E,MATCH($AH$2,bet对应表!$A:$A,0),0)</f>
        <v>#N/A</v>
      </c>
      <c r="AI36" s="82" t="e" cm="1">
        <f t="array" ref="AI36">AI10*INDEX(bet对应表!$E:$E,MATCH($AI$2,bet对应表!$A:$A,0),0)</f>
        <v>#DIV/0!</v>
      </c>
      <c r="AJ36" s="82" t="e" cm="1">
        <f t="array" ref="AJ36">AJ10*INDEX(bet对应表!$E:$E,MATCH($AJ$2,bet对应表!$A:$A,0),0)</f>
        <v>#DIV/0!</v>
      </c>
      <c r="AK36" s="82" t="e" cm="1">
        <f t="array" ref="AK36">AK10*INDEX(bet对应表!$E:$E,MATCH($AK$2,bet对应表!$A:$A,0),0)</f>
        <v>#DIV/0!</v>
      </c>
      <c r="AL36" s="82" t="e" cm="1">
        <f t="array" ref="AL36">AL10*INDEX(bet对应表!$E:$E,MATCH($AL$2,bet对应表!$A:$A,0),0)</f>
        <v>#N/A</v>
      </c>
      <c r="AM36" s="82" t="e" cm="1">
        <f t="array" ref="AM36">AM10*INDEX(bet对应表!$E:$E,MATCH($AM$2,bet对应表!$A:$A,0),0)</f>
        <v>#N/A</v>
      </c>
      <c r="AN36" s="82" t="e" cm="1">
        <f t="array" ref="AN36">AN10*INDEX(bet对应表!$E:$E,MATCH($AN$2,bet对应表!$A:$A,0),0)</f>
        <v>#N/A</v>
      </c>
      <c r="AO36" s="82" t="e" cm="1">
        <f t="array" ref="AO36">AO10*INDEX(bet对应表!$E:$E,MATCH($AO$2,bet对应表!$A:$A,0),0)</f>
        <v>#N/A</v>
      </c>
      <c r="AP36" s="82" t="e" cm="1">
        <f t="array" ref="AP36">AP10*INDEX(bet对应表!$E:$E,MATCH($AP$2,bet对应表!$A:$A,0),0)</f>
        <v>#N/A</v>
      </c>
    </row>
    <row r="37" spans="11:42">
      <c r="K37" s="47">
        <f t="shared" si="9"/>
        <v>11250000</v>
      </c>
      <c r="L37" s="47">
        <f t="shared" si="10"/>
        <v>0</v>
      </c>
      <c r="N37" s="57">
        <v>8</v>
      </c>
      <c r="O37" s="83" t="e" cm="1">
        <f t="array" ref="O37">O11*INDEX(bet对应表!$E:$E,MATCH($O$2,bet对应表!$A:$A,0),0)</f>
        <v>#N/A</v>
      </c>
      <c r="P37" s="83" t="e" cm="1">
        <f t="array" ref="P37">P11*INDEX(bet对应表!$E:$E,MATCH($P$2,bet对应表!$A:$A,0),0)</f>
        <v>#N/A</v>
      </c>
      <c r="Q37" s="83" t="e" cm="1">
        <f t="array" ref="Q37">Q11*INDEX(bet对应表!$E:$E,MATCH($Q$2,bet对应表!$A:$A,0),0)</f>
        <v>#N/A</v>
      </c>
      <c r="R37" s="83" t="e" cm="1">
        <f t="array" ref="R37">R11*INDEX(bet对应表!$E:$E,MATCH($R$2,bet对应表!$A:$A,0),0)</f>
        <v>#N/A</v>
      </c>
      <c r="S37" s="83" t="e" cm="1">
        <f t="array" ref="S37">S11*INDEX(bet对应表!$E:$E,MATCH($S$2,bet对应表!$A:$A,0),0)</f>
        <v>#N/A</v>
      </c>
      <c r="T37" s="83" t="e" cm="1">
        <f t="array" ref="T37">T11*INDEX(bet对应表!$E:$E,MATCH($T$2,bet对应表!$A:$A,0),0)</f>
        <v>#N/A</v>
      </c>
      <c r="U37" s="83" t="e" cm="1">
        <f t="array" ref="U37">U11*INDEX(bet对应表!$E:$E,MATCH($U$2,bet对应表!$A:$A,0),0)</f>
        <v>#N/A</v>
      </c>
      <c r="V37" s="83" t="e" cm="1">
        <f t="array" ref="V37">V11*INDEX(bet对应表!$E:$E,MATCH($V$2,bet对应表!$A:$A,0),0)</f>
        <v>#N/A</v>
      </c>
      <c r="W37" s="83" t="e" cm="1">
        <f t="array" ref="W37">W11*INDEX(bet对应表!$E:$E,MATCH($W$2,bet对应表!$A:$A,0),0)</f>
        <v>#N/A</v>
      </c>
      <c r="X37" s="83" t="e" cm="1">
        <f t="array" ref="X37">X11*INDEX(bet对应表!$E:$E,MATCH($X$2,bet对应表!$A:$A,0),0)</f>
        <v>#N/A</v>
      </c>
      <c r="Y37" s="83" t="e" cm="1">
        <f t="array" ref="Y37">Y11*INDEX(bet对应表!$E:$E,MATCH($Y$2,bet对应表!$A:$A,0),0)</f>
        <v>#N/A</v>
      </c>
      <c r="Z37" s="83" t="e" cm="1">
        <f t="array" ref="Z37">Z11*INDEX(bet对应表!$E:$E,MATCH($Z$2,bet对应表!$A:$A,0),0)</f>
        <v>#N/A</v>
      </c>
      <c r="AA37" s="83" t="e" cm="1">
        <f t="array" ref="AA37">AA11*INDEX(bet对应表!$E:$E,MATCH($AA$2,bet对应表!$A:$A,0),0)</f>
        <v>#N/A</v>
      </c>
      <c r="AB37" s="83" t="e" cm="1">
        <f t="array" ref="AB37">AB11*INDEX(bet对应表!$E:$E,MATCH($AB$2,bet对应表!$A:$A,0),0)</f>
        <v>#N/A</v>
      </c>
      <c r="AC37" s="83" t="e" cm="1">
        <f t="array" ref="AC37">AC11*INDEX(bet对应表!$E:$E,MATCH($AC$2,bet对应表!$A:$A,0),0)</f>
        <v>#N/A</v>
      </c>
      <c r="AD37" s="83" t="e" cm="1">
        <f t="array" ref="AD37">AD11*INDEX(bet对应表!$E:$E,MATCH($AD$2,bet对应表!$A:$A,0),0)</f>
        <v>#N/A</v>
      </c>
      <c r="AF37" s="57">
        <v>8</v>
      </c>
      <c r="AG37" s="83" t="e" cm="1">
        <f t="array" ref="AG37">AG11*INDEX(bet对应表!$E:$E,MATCH($AG$2,bet对应表!$A:$A,0),0)</f>
        <v>#N/A</v>
      </c>
      <c r="AH37" s="83" t="e" cm="1">
        <f t="array" ref="AH37">AH11*INDEX(bet对应表!$E:$E,MATCH($AH$2,bet对应表!$A:$A,0),0)</f>
        <v>#N/A</v>
      </c>
      <c r="AI37" s="83" t="e" cm="1">
        <f t="array" ref="AI37">AI11*INDEX(bet对应表!$E:$E,MATCH($AI$2,bet对应表!$A:$A,0),0)</f>
        <v>#DIV/0!</v>
      </c>
      <c r="AJ37" s="83" t="e" cm="1">
        <f t="array" ref="AJ37">AJ11*INDEX(bet对应表!$E:$E,MATCH($AJ$2,bet对应表!$A:$A,0),0)</f>
        <v>#DIV/0!</v>
      </c>
      <c r="AK37" s="83" t="e" cm="1">
        <f t="array" ref="AK37">AK11*INDEX(bet对应表!$E:$E,MATCH($AK$2,bet对应表!$A:$A,0),0)</f>
        <v>#DIV/0!</v>
      </c>
      <c r="AL37" s="83" t="e" cm="1">
        <f t="array" ref="AL37">AL11*INDEX(bet对应表!$E:$E,MATCH($AL$2,bet对应表!$A:$A,0),0)</f>
        <v>#N/A</v>
      </c>
      <c r="AM37" s="83" t="e" cm="1">
        <f t="array" ref="AM37">AM11*INDEX(bet对应表!$E:$E,MATCH($AM$2,bet对应表!$A:$A,0),0)</f>
        <v>#N/A</v>
      </c>
      <c r="AN37" s="83" t="e" cm="1">
        <f t="array" ref="AN37">AN11*INDEX(bet对应表!$E:$E,MATCH($AN$2,bet对应表!$A:$A,0),0)</f>
        <v>#N/A</v>
      </c>
      <c r="AO37" s="83" t="e" cm="1">
        <f t="array" ref="AO37">AO11*INDEX(bet对应表!$E:$E,MATCH($AO$2,bet对应表!$A:$A,0),0)</f>
        <v>#N/A</v>
      </c>
      <c r="AP37" s="83" t="e" cm="1">
        <f t="array" ref="AP37">AP11*INDEX(bet对应表!$E:$E,MATCH($AP$2,bet对应表!$A:$A,0),0)</f>
        <v>#N/A</v>
      </c>
    </row>
    <row r="38" spans="11:42">
      <c r="K38" s="47">
        <f t="shared" si="9"/>
        <v>15000000</v>
      </c>
      <c r="L38" s="47">
        <f t="shared" si="10"/>
        <v>0</v>
      </c>
      <c r="N38" s="84">
        <v>9</v>
      </c>
      <c r="O38" s="85" t="e" cm="1">
        <f t="array" ref="O38">O12*INDEX(bet对应表!$E:$E,MATCH($O$2,bet对应表!$A:$A,0),0)</f>
        <v>#N/A</v>
      </c>
      <c r="P38" s="85" t="e" cm="1">
        <f t="array" ref="P38">P12*INDEX(bet对应表!$E:$E,MATCH($P$2,bet对应表!$A:$A,0),0)</f>
        <v>#N/A</v>
      </c>
      <c r="Q38" s="85" t="e" cm="1">
        <f t="array" ref="Q38">Q12*INDEX(bet对应表!$E:$E,MATCH($Q$2,bet对应表!$A:$A,0),0)</f>
        <v>#N/A</v>
      </c>
      <c r="R38" s="85" t="e" cm="1">
        <f t="array" ref="R38">R12*INDEX(bet对应表!$E:$E,MATCH($R$2,bet对应表!$A:$A,0),0)</f>
        <v>#N/A</v>
      </c>
      <c r="S38" s="85" t="e" cm="1">
        <f t="array" ref="S38">S12*INDEX(bet对应表!$E:$E,MATCH($S$2,bet对应表!$A:$A,0),0)</f>
        <v>#N/A</v>
      </c>
      <c r="T38" s="85" t="e" cm="1">
        <f t="array" ref="T38">T12*INDEX(bet对应表!$E:$E,MATCH($T$2,bet对应表!$A:$A,0),0)</f>
        <v>#N/A</v>
      </c>
      <c r="U38" s="85" t="e" cm="1">
        <f t="array" ref="U38">U12*INDEX(bet对应表!$E:$E,MATCH($U$2,bet对应表!$A:$A,0),0)</f>
        <v>#N/A</v>
      </c>
      <c r="V38" s="85" t="e" cm="1">
        <f t="array" ref="V38">V12*INDEX(bet对应表!$E:$E,MATCH($V$2,bet对应表!$A:$A,0),0)</f>
        <v>#N/A</v>
      </c>
      <c r="W38" s="85" t="e" cm="1">
        <f t="array" ref="W38">W12*INDEX(bet对应表!$E:$E,MATCH($W$2,bet对应表!$A:$A,0),0)</f>
        <v>#N/A</v>
      </c>
      <c r="X38" s="85" t="e" cm="1">
        <f t="array" ref="X38">X12*INDEX(bet对应表!$E:$E,MATCH($X$2,bet对应表!$A:$A,0),0)</f>
        <v>#N/A</v>
      </c>
      <c r="Y38" s="85" t="e" cm="1">
        <f t="array" ref="Y38">Y12*INDEX(bet对应表!$E:$E,MATCH($Y$2,bet对应表!$A:$A,0),0)</f>
        <v>#N/A</v>
      </c>
      <c r="Z38" s="85" t="e" cm="1">
        <f t="array" ref="Z38">Z12*INDEX(bet对应表!$E:$E,MATCH($Z$2,bet对应表!$A:$A,0),0)</f>
        <v>#N/A</v>
      </c>
      <c r="AA38" s="85" t="e" cm="1">
        <f t="array" ref="AA38">AA12*INDEX(bet对应表!$E:$E,MATCH($AA$2,bet对应表!$A:$A,0),0)</f>
        <v>#N/A</v>
      </c>
      <c r="AB38" s="85" t="e" cm="1">
        <f t="array" ref="AB38">AB12*INDEX(bet对应表!$E:$E,MATCH($AB$2,bet对应表!$A:$A,0),0)</f>
        <v>#N/A</v>
      </c>
      <c r="AC38" s="85" t="e" cm="1">
        <f t="array" ref="AC38">AC12*INDEX(bet对应表!$E:$E,MATCH($AC$2,bet对应表!$A:$A,0),0)</f>
        <v>#N/A</v>
      </c>
      <c r="AD38" s="85" t="e" cm="1">
        <f t="array" ref="AD38">AD12*INDEX(bet对应表!$E:$E,MATCH($AD$2,bet对应表!$A:$A,0),0)</f>
        <v>#N/A</v>
      </c>
      <c r="AF38" s="62">
        <v>9</v>
      </c>
      <c r="AG38" s="82" t="e" cm="1">
        <f t="array" ref="AG38">AG12*INDEX(bet对应表!$E:$E,MATCH($AG$2,bet对应表!$A:$A,0),0)</f>
        <v>#N/A</v>
      </c>
      <c r="AH38" s="82" t="e" cm="1">
        <f t="array" ref="AH38">AH12*INDEX(bet对应表!$E:$E,MATCH($AH$2,bet对应表!$A:$A,0),0)</f>
        <v>#N/A</v>
      </c>
      <c r="AI38" s="82" t="e" cm="1">
        <f t="array" ref="AI38">AI12*INDEX(bet对应表!$E:$E,MATCH($AI$2,bet对应表!$A:$A,0),0)</f>
        <v>#DIV/0!</v>
      </c>
      <c r="AJ38" s="82" t="e" cm="1">
        <f t="array" ref="AJ38">AJ12*INDEX(bet对应表!$E:$E,MATCH($AJ$2,bet对应表!$A:$A,0),0)</f>
        <v>#DIV/0!</v>
      </c>
      <c r="AK38" s="82" t="e" cm="1">
        <f t="array" ref="AK38">AK12*INDEX(bet对应表!$E:$E,MATCH($AK$2,bet对应表!$A:$A,0),0)</f>
        <v>#DIV/0!</v>
      </c>
      <c r="AL38" s="82" t="e" cm="1">
        <f t="array" ref="AL38">AL12*INDEX(bet对应表!$E:$E,MATCH($AL$2,bet对应表!$A:$A,0),0)</f>
        <v>#N/A</v>
      </c>
      <c r="AM38" s="82" t="e" cm="1">
        <f t="array" ref="AM38">AM12*INDEX(bet对应表!$E:$E,MATCH($AM$2,bet对应表!$A:$A,0),0)</f>
        <v>#N/A</v>
      </c>
      <c r="AN38" s="82" t="e" cm="1">
        <f t="array" ref="AN38">AN12*INDEX(bet对应表!$E:$E,MATCH($AN$2,bet对应表!$A:$A,0),0)</f>
        <v>#N/A</v>
      </c>
      <c r="AO38" s="82" t="e" cm="1">
        <f t="array" ref="AO38">AO12*INDEX(bet对应表!$E:$E,MATCH($AO$2,bet对应表!$A:$A,0),0)</f>
        <v>#N/A</v>
      </c>
      <c r="AP38" s="82" t="e" cm="1">
        <f t="array" ref="AP38">AP12*INDEX(bet对应表!$E:$E,MATCH($AP$2,bet对应表!$A:$A,0),0)</f>
        <v>#N/A</v>
      </c>
    </row>
    <row r="39" spans="11:42">
      <c r="K39" s="80">
        <f>ROUND((E31*$J$30)*25000000,0)</f>
        <v>52500000</v>
      </c>
      <c r="L39" s="80">
        <f>ROUND(E31*(1-$J$30)*100,0)</f>
        <v>90</v>
      </c>
      <c r="N39" s="62">
        <v>10</v>
      </c>
      <c r="O39" s="82" t="e" cm="1">
        <f t="array" ref="O39">O13*INDEX(bet对应表!$E:$E,MATCH($O$2,bet对应表!$A:$A,0),0)</f>
        <v>#N/A</v>
      </c>
      <c r="P39" s="82" t="e" cm="1">
        <f t="array" ref="P39">P13*INDEX(bet对应表!$E:$E,MATCH($P$2,bet对应表!$A:$A,0),0)</f>
        <v>#N/A</v>
      </c>
      <c r="Q39" s="82" t="e" cm="1">
        <f t="array" ref="Q39">Q13*INDEX(bet对应表!$E:$E,MATCH($Q$2,bet对应表!$A:$A,0),0)</f>
        <v>#N/A</v>
      </c>
      <c r="R39" s="82" t="e" cm="1">
        <f t="array" ref="R39">R13*INDEX(bet对应表!$E:$E,MATCH($R$2,bet对应表!$A:$A,0),0)</f>
        <v>#N/A</v>
      </c>
      <c r="S39" s="82" t="e" cm="1">
        <f t="array" ref="S39">S13*INDEX(bet对应表!$E:$E,MATCH($S$2,bet对应表!$A:$A,0),0)</f>
        <v>#N/A</v>
      </c>
      <c r="T39" s="82" t="e" cm="1">
        <f t="array" ref="T39">T13*INDEX(bet对应表!$E:$E,MATCH($T$2,bet对应表!$A:$A,0),0)</f>
        <v>#N/A</v>
      </c>
      <c r="U39" s="82" t="e" cm="1">
        <f t="array" ref="U39">U13*INDEX(bet对应表!$E:$E,MATCH($U$2,bet对应表!$A:$A,0),0)</f>
        <v>#N/A</v>
      </c>
      <c r="V39" s="82" t="e" cm="1">
        <f t="array" ref="V39">V13*INDEX(bet对应表!$E:$E,MATCH($V$2,bet对应表!$A:$A,0),0)</f>
        <v>#N/A</v>
      </c>
      <c r="W39" s="82" t="e" cm="1">
        <f t="array" ref="W39">W13*INDEX(bet对应表!$E:$E,MATCH($W$2,bet对应表!$A:$A,0),0)</f>
        <v>#N/A</v>
      </c>
      <c r="X39" s="82" t="e" cm="1">
        <f t="array" ref="X39">X13*INDEX(bet对应表!$E:$E,MATCH($X$2,bet对应表!$A:$A,0),0)</f>
        <v>#N/A</v>
      </c>
      <c r="Y39" s="82" t="e" cm="1">
        <f t="array" ref="Y39">Y13*INDEX(bet对应表!$E:$E,MATCH($Y$2,bet对应表!$A:$A,0),0)</f>
        <v>#N/A</v>
      </c>
      <c r="Z39" s="82" t="e" cm="1">
        <f t="array" ref="Z39">Z13*INDEX(bet对应表!$E:$E,MATCH($Z$2,bet对应表!$A:$A,0),0)</f>
        <v>#N/A</v>
      </c>
      <c r="AA39" s="82" t="e" cm="1">
        <f t="array" ref="AA39">AA13*INDEX(bet对应表!$E:$E,MATCH($AA$2,bet对应表!$A:$A,0),0)</f>
        <v>#N/A</v>
      </c>
      <c r="AB39" s="82" t="e" cm="1">
        <f t="array" ref="AB39">AB13*INDEX(bet对应表!$E:$E,MATCH($AB$2,bet对应表!$A:$A,0),0)</f>
        <v>#N/A</v>
      </c>
      <c r="AC39" s="82" t="e" cm="1">
        <f t="array" ref="AC39">AC13*INDEX(bet对应表!$E:$E,MATCH($AC$2,bet对应表!$A:$A,0),0)</f>
        <v>#N/A</v>
      </c>
      <c r="AD39" s="82" t="e" cm="1">
        <f t="array" ref="AD39">AD13*INDEX(bet对应表!$E:$E,MATCH($AD$2,bet对应表!$A:$A,0),0)</f>
        <v>#N/A</v>
      </c>
      <c r="AF39" s="62">
        <v>10</v>
      </c>
      <c r="AG39" s="82" t="e" cm="1">
        <f t="array" ref="AG39">AG13*INDEX(bet对应表!$E:$E,MATCH($AG$2,bet对应表!$A:$A,0),0)</f>
        <v>#N/A</v>
      </c>
      <c r="AH39" s="82" t="e" cm="1">
        <f t="array" ref="AH39">AH13*INDEX(bet对应表!$E:$E,MATCH($AH$2,bet对应表!$A:$A,0),0)</f>
        <v>#N/A</v>
      </c>
      <c r="AI39" s="82" t="e" cm="1">
        <f t="array" ref="AI39">AI13*INDEX(bet对应表!$E:$E,MATCH($AI$2,bet对应表!$A:$A,0),0)</f>
        <v>#DIV/0!</v>
      </c>
      <c r="AJ39" s="82" t="e" cm="1">
        <f t="array" ref="AJ39">AJ13*INDEX(bet对应表!$E:$E,MATCH($AJ$2,bet对应表!$A:$A,0),0)</f>
        <v>#DIV/0!</v>
      </c>
      <c r="AK39" s="82" t="e" cm="1">
        <f t="array" ref="AK39">AK13*INDEX(bet对应表!$E:$E,MATCH($AK$2,bet对应表!$A:$A,0),0)</f>
        <v>#DIV/0!</v>
      </c>
      <c r="AL39" s="82" t="e" cm="1">
        <f t="array" ref="AL39">AL13*INDEX(bet对应表!$E:$E,MATCH($AL$2,bet对应表!$A:$A,0),0)</f>
        <v>#N/A</v>
      </c>
      <c r="AM39" s="82" t="e" cm="1">
        <f t="array" ref="AM39">AM13*INDEX(bet对应表!$E:$E,MATCH($AM$2,bet对应表!$A:$A,0),0)</f>
        <v>#N/A</v>
      </c>
      <c r="AN39" s="82" t="e" cm="1">
        <f t="array" ref="AN39">AN13*INDEX(bet对应表!$E:$E,MATCH($AN$2,bet对应表!$A:$A,0),0)</f>
        <v>#N/A</v>
      </c>
      <c r="AO39" s="82" t="e" cm="1">
        <f t="array" ref="AO39">AO13*INDEX(bet对应表!$E:$E,MATCH($AO$2,bet对应表!$A:$A,0),0)</f>
        <v>#N/A</v>
      </c>
      <c r="AP39" s="82" t="e" cm="1">
        <f t="array" ref="AP39">AP13*INDEX(bet对应表!$E:$E,MATCH($AP$2,bet对应表!$A:$A,0),0)</f>
        <v>#N/A</v>
      </c>
    </row>
    <row r="40" spans="11:42">
      <c r="K40" s="47">
        <f t="shared" ref="K40:K55" si="11">ROUND((I12*$J$31)*25000000,0)</f>
        <v>3750000</v>
      </c>
      <c r="L40" s="47">
        <f t="shared" ref="L40:L55" si="12">ROUND(I12*(1-$J$31)*100,0)</f>
        <v>0</v>
      </c>
      <c r="N40" s="62">
        <v>11</v>
      </c>
      <c r="O40" s="82" t="e" cm="1">
        <f t="array" ref="O40">O14*INDEX(bet对应表!$E:$E,MATCH($O$2,bet对应表!$A:$A,0),0)</f>
        <v>#N/A</v>
      </c>
      <c r="P40" s="82" t="e" cm="1">
        <f t="array" ref="P40">P14*INDEX(bet对应表!$E:$E,MATCH($P$2,bet对应表!$A:$A,0),0)</f>
        <v>#N/A</v>
      </c>
      <c r="Q40" s="82" t="e" cm="1">
        <f t="array" ref="Q40">Q14*INDEX(bet对应表!$E:$E,MATCH($Q$2,bet对应表!$A:$A,0),0)</f>
        <v>#N/A</v>
      </c>
      <c r="R40" s="82" t="e" cm="1">
        <f t="array" ref="R40">R14*INDEX(bet对应表!$E:$E,MATCH($R$2,bet对应表!$A:$A,0),0)</f>
        <v>#N/A</v>
      </c>
      <c r="S40" s="82" t="e" cm="1">
        <f t="array" ref="S40">S14*INDEX(bet对应表!$E:$E,MATCH($S$2,bet对应表!$A:$A,0),0)</f>
        <v>#N/A</v>
      </c>
      <c r="T40" s="82" t="e" cm="1">
        <f t="array" ref="T40">T14*INDEX(bet对应表!$E:$E,MATCH($T$2,bet对应表!$A:$A,0),0)</f>
        <v>#N/A</v>
      </c>
      <c r="U40" s="82" t="e" cm="1">
        <f t="array" ref="U40">U14*INDEX(bet对应表!$E:$E,MATCH($U$2,bet对应表!$A:$A,0),0)</f>
        <v>#N/A</v>
      </c>
      <c r="V40" s="82" t="e" cm="1">
        <f t="array" ref="V40">V14*INDEX(bet对应表!$E:$E,MATCH($V$2,bet对应表!$A:$A,0),0)</f>
        <v>#N/A</v>
      </c>
      <c r="W40" s="82" t="e" cm="1">
        <f t="array" ref="W40">W14*INDEX(bet对应表!$E:$E,MATCH($W$2,bet对应表!$A:$A,0),0)</f>
        <v>#N/A</v>
      </c>
      <c r="X40" s="82" t="e" cm="1">
        <f t="array" ref="X40">X14*INDEX(bet对应表!$E:$E,MATCH($X$2,bet对应表!$A:$A,0),0)</f>
        <v>#N/A</v>
      </c>
      <c r="Y40" s="82" t="e" cm="1">
        <f t="array" ref="Y40">Y14*INDEX(bet对应表!$E:$E,MATCH($Y$2,bet对应表!$A:$A,0),0)</f>
        <v>#N/A</v>
      </c>
      <c r="Z40" s="82" t="e" cm="1">
        <f t="array" ref="Z40">Z14*INDEX(bet对应表!$E:$E,MATCH($Z$2,bet对应表!$A:$A,0),0)</f>
        <v>#N/A</v>
      </c>
      <c r="AA40" s="82" t="e" cm="1">
        <f t="array" ref="AA40">AA14*INDEX(bet对应表!$E:$E,MATCH($AA$2,bet对应表!$A:$A,0),0)</f>
        <v>#N/A</v>
      </c>
      <c r="AB40" s="82" t="e" cm="1">
        <f t="array" ref="AB40">AB14*INDEX(bet对应表!$E:$E,MATCH($AB$2,bet对应表!$A:$A,0),0)</f>
        <v>#N/A</v>
      </c>
      <c r="AC40" s="82" t="e" cm="1">
        <f t="array" ref="AC40">AC14*INDEX(bet对应表!$E:$E,MATCH($AC$2,bet对应表!$A:$A,0),0)</f>
        <v>#N/A</v>
      </c>
      <c r="AD40" s="82" t="e" cm="1">
        <f t="array" ref="AD40">AD14*INDEX(bet对应表!$E:$E,MATCH($AD$2,bet对应表!$A:$A,0),0)</f>
        <v>#N/A</v>
      </c>
      <c r="AF40" s="62">
        <v>11</v>
      </c>
      <c r="AG40" s="82" t="e" cm="1">
        <f t="array" ref="AG40">AG14*INDEX(bet对应表!$E:$E,MATCH($AG$2,bet对应表!$A:$A,0),0)</f>
        <v>#N/A</v>
      </c>
      <c r="AH40" s="82" t="e" cm="1">
        <f t="array" ref="AH40">AH14*INDEX(bet对应表!$E:$E,MATCH($AH$2,bet对应表!$A:$A,0),0)</f>
        <v>#N/A</v>
      </c>
      <c r="AI40" s="82" t="e" cm="1">
        <f t="array" ref="AI40">AI14*INDEX(bet对应表!$E:$E,MATCH($AI$2,bet对应表!$A:$A,0),0)</f>
        <v>#DIV/0!</v>
      </c>
      <c r="AJ40" s="82" t="e" cm="1">
        <f t="array" ref="AJ40">AJ14*INDEX(bet对应表!$E:$E,MATCH($AJ$2,bet对应表!$A:$A,0),0)</f>
        <v>#DIV/0!</v>
      </c>
      <c r="AK40" s="82" t="e" cm="1">
        <f t="array" ref="AK40">AK14*INDEX(bet对应表!$E:$E,MATCH($AK$2,bet对应表!$A:$A,0),0)</f>
        <v>#DIV/0!</v>
      </c>
      <c r="AL40" s="82" t="e" cm="1">
        <f t="array" ref="AL40">AL14*INDEX(bet对应表!$E:$E,MATCH($AL$2,bet对应表!$A:$A,0),0)</f>
        <v>#N/A</v>
      </c>
      <c r="AM40" s="82" t="e" cm="1">
        <f t="array" ref="AM40">AM14*INDEX(bet对应表!$E:$E,MATCH($AM$2,bet对应表!$A:$A,0),0)</f>
        <v>#N/A</v>
      </c>
      <c r="AN40" s="82" t="e" cm="1">
        <f t="array" ref="AN40">AN14*INDEX(bet对应表!$E:$E,MATCH($AN$2,bet对应表!$A:$A,0),0)</f>
        <v>#N/A</v>
      </c>
      <c r="AO40" s="82" t="e" cm="1">
        <f t="array" ref="AO40">AO14*INDEX(bet对应表!$E:$E,MATCH($AO$2,bet对应表!$A:$A,0),0)</f>
        <v>#N/A</v>
      </c>
      <c r="AP40" s="82" t="e" cm="1">
        <f t="array" ref="AP40">AP14*INDEX(bet对应表!$E:$E,MATCH($AP$2,bet对应表!$A:$A,0),0)</f>
        <v>#N/A</v>
      </c>
    </row>
    <row r="41" spans="11:42">
      <c r="K41" s="47">
        <f t="shared" si="11"/>
        <v>5750000</v>
      </c>
      <c r="L41" s="47">
        <f t="shared" si="12"/>
        <v>0</v>
      </c>
      <c r="N41" s="62">
        <v>12</v>
      </c>
      <c r="O41" s="82" t="e" cm="1">
        <f t="array" ref="O41">O15*INDEX(bet对应表!$E:$E,MATCH($O$2,bet对应表!$A:$A,0),0)</f>
        <v>#N/A</v>
      </c>
      <c r="P41" s="82" t="e" cm="1">
        <f t="array" ref="P41">P15*INDEX(bet对应表!$E:$E,MATCH($P$2,bet对应表!$A:$A,0),0)</f>
        <v>#N/A</v>
      </c>
      <c r="Q41" s="82" t="e" cm="1">
        <f t="array" ref="Q41">Q15*INDEX(bet对应表!$E:$E,MATCH($Q$2,bet对应表!$A:$A,0),0)</f>
        <v>#N/A</v>
      </c>
      <c r="R41" s="82" t="e" cm="1">
        <f t="array" ref="R41">R15*INDEX(bet对应表!$E:$E,MATCH($R$2,bet对应表!$A:$A,0),0)</f>
        <v>#N/A</v>
      </c>
      <c r="S41" s="82" t="e" cm="1">
        <f t="array" ref="S41">S15*INDEX(bet对应表!$E:$E,MATCH($S$2,bet对应表!$A:$A,0),0)</f>
        <v>#N/A</v>
      </c>
      <c r="T41" s="82" t="e" cm="1">
        <f t="array" ref="T41">T15*INDEX(bet对应表!$E:$E,MATCH($T$2,bet对应表!$A:$A,0),0)</f>
        <v>#N/A</v>
      </c>
      <c r="U41" s="82" t="e" cm="1">
        <f t="array" ref="U41">U15*INDEX(bet对应表!$E:$E,MATCH($U$2,bet对应表!$A:$A,0),0)</f>
        <v>#N/A</v>
      </c>
      <c r="V41" s="82" t="e" cm="1">
        <f t="array" ref="V41">V15*INDEX(bet对应表!$E:$E,MATCH($V$2,bet对应表!$A:$A,0),0)</f>
        <v>#N/A</v>
      </c>
      <c r="W41" s="82" t="e" cm="1">
        <f t="array" ref="W41">W15*INDEX(bet对应表!$E:$E,MATCH($W$2,bet对应表!$A:$A,0),0)</f>
        <v>#N/A</v>
      </c>
      <c r="X41" s="82" t="e" cm="1">
        <f t="array" ref="X41">X15*INDEX(bet对应表!$E:$E,MATCH($X$2,bet对应表!$A:$A,0),0)</f>
        <v>#N/A</v>
      </c>
      <c r="Y41" s="82" t="e" cm="1">
        <f t="array" ref="Y41">Y15*INDEX(bet对应表!$E:$E,MATCH($Y$2,bet对应表!$A:$A,0),0)</f>
        <v>#N/A</v>
      </c>
      <c r="Z41" s="82" t="e" cm="1">
        <f t="array" ref="Z41">Z15*INDEX(bet对应表!$E:$E,MATCH($Z$2,bet对应表!$A:$A,0),0)</f>
        <v>#N/A</v>
      </c>
      <c r="AA41" s="82" t="e" cm="1">
        <f t="array" ref="AA41">AA15*INDEX(bet对应表!$E:$E,MATCH($AA$2,bet对应表!$A:$A,0),0)</f>
        <v>#N/A</v>
      </c>
      <c r="AB41" s="82" t="e" cm="1">
        <f t="array" ref="AB41">AB15*INDEX(bet对应表!$E:$E,MATCH($AB$2,bet对应表!$A:$A,0),0)</f>
        <v>#N/A</v>
      </c>
      <c r="AC41" s="82" t="e" cm="1">
        <f t="array" ref="AC41">AC15*INDEX(bet对应表!$E:$E,MATCH($AC$2,bet对应表!$A:$A,0),0)</f>
        <v>#N/A</v>
      </c>
      <c r="AD41" s="82" t="e" cm="1">
        <f t="array" ref="AD41">AD15*INDEX(bet对应表!$E:$E,MATCH($AD$2,bet对应表!$A:$A,0),0)</f>
        <v>#N/A</v>
      </c>
      <c r="AF41" s="62">
        <v>12</v>
      </c>
      <c r="AG41" s="82" t="e" cm="1">
        <f t="array" ref="AG41">AG15*INDEX(bet对应表!$E:$E,MATCH($AG$2,bet对应表!$A:$A,0),0)</f>
        <v>#N/A</v>
      </c>
      <c r="AH41" s="82" t="e" cm="1">
        <f t="array" ref="AH41">AH15*INDEX(bet对应表!$E:$E,MATCH($AH$2,bet对应表!$A:$A,0),0)</f>
        <v>#N/A</v>
      </c>
      <c r="AI41" s="82" t="e" cm="1">
        <f t="array" ref="AI41">AI15*INDEX(bet对应表!$E:$E,MATCH($AI$2,bet对应表!$A:$A,0),0)</f>
        <v>#DIV/0!</v>
      </c>
      <c r="AJ41" s="82" t="e" cm="1">
        <f t="array" ref="AJ41">AJ15*INDEX(bet对应表!$E:$E,MATCH($AJ$2,bet对应表!$A:$A,0),0)</f>
        <v>#DIV/0!</v>
      </c>
      <c r="AK41" s="82" t="e" cm="1">
        <f t="array" ref="AK41">AK15*INDEX(bet对应表!$E:$E,MATCH($AK$2,bet对应表!$A:$A,0),0)</f>
        <v>#DIV/0!</v>
      </c>
      <c r="AL41" s="82" t="e" cm="1">
        <f t="array" ref="AL41">AL15*INDEX(bet对应表!$E:$E,MATCH($AL$2,bet对应表!$A:$A,0),0)</f>
        <v>#N/A</v>
      </c>
      <c r="AM41" s="82" t="e" cm="1">
        <f t="array" ref="AM41">AM15*INDEX(bet对应表!$E:$E,MATCH($AM$2,bet对应表!$A:$A,0),0)</f>
        <v>#N/A</v>
      </c>
      <c r="AN41" s="82" t="e" cm="1">
        <f t="array" ref="AN41">AN15*INDEX(bet对应表!$E:$E,MATCH($AN$2,bet对应表!$A:$A,0),0)</f>
        <v>#N/A</v>
      </c>
      <c r="AO41" s="82" t="e" cm="1">
        <f t="array" ref="AO41">AO15*INDEX(bet对应表!$E:$E,MATCH($AO$2,bet对应表!$A:$A,0),0)</f>
        <v>#N/A</v>
      </c>
      <c r="AP41" s="82" t="e" cm="1">
        <f t="array" ref="AP41">AP15*INDEX(bet对应表!$E:$E,MATCH($AP$2,bet对应表!$A:$A,0),0)</f>
        <v>#N/A</v>
      </c>
    </row>
    <row r="42" spans="11:42">
      <c r="K42" s="47">
        <f t="shared" si="11"/>
        <v>7500000</v>
      </c>
      <c r="L42" s="47">
        <f t="shared" si="12"/>
        <v>0</v>
      </c>
      <c r="N42" s="62">
        <v>13</v>
      </c>
      <c r="O42" s="82" t="e" cm="1">
        <f t="array" ref="O42">O16*INDEX(bet对应表!$E:$E,MATCH($O$2,bet对应表!$A:$A,0),0)</f>
        <v>#N/A</v>
      </c>
      <c r="P42" s="82" t="e" cm="1">
        <f t="array" ref="P42">P16*INDEX(bet对应表!$E:$E,MATCH($P$2,bet对应表!$A:$A,0),0)</f>
        <v>#N/A</v>
      </c>
      <c r="Q42" s="82" t="e" cm="1">
        <f t="array" ref="Q42">Q16*INDEX(bet对应表!$E:$E,MATCH($Q$2,bet对应表!$A:$A,0),0)</f>
        <v>#N/A</v>
      </c>
      <c r="R42" s="82" t="e" cm="1">
        <f t="array" ref="R42">R16*INDEX(bet对应表!$E:$E,MATCH($R$2,bet对应表!$A:$A,0),0)</f>
        <v>#N/A</v>
      </c>
      <c r="S42" s="82" t="e" cm="1">
        <f t="array" ref="S42">S16*INDEX(bet对应表!$E:$E,MATCH($S$2,bet对应表!$A:$A,0),0)</f>
        <v>#N/A</v>
      </c>
      <c r="T42" s="82" t="e" cm="1">
        <f t="array" ref="T42">T16*INDEX(bet对应表!$E:$E,MATCH($T$2,bet对应表!$A:$A,0),0)</f>
        <v>#N/A</v>
      </c>
      <c r="U42" s="82" t="e" cm="1">
        <f t="array" ref="U42">U16*INDEX(bet对应表!$E:$E,MATCH($U$2,bet对应表!$A:$A,0),0)</f>
        <v>#N/A</v>
      </c>
      <c r="V42" s="82" t="e" cm="1">
        <f t="array" ref="V42">V16*INDEX(bet对应表!$E:$E,MATCH($V$2,bet对应表!$A:$A,0),0)</f>
        <v>#N/A</v>
      </c>
      <c r="W42" s="82" t="e" cm="1">
        <f t="array" ref="W42">W16*INDEX(bet对应表!$E:$E,MATCH($W$2,bet对应表!$A:$A,0),0)</f>
        <v>#N/A</v>
      </c>
      <c r="X42" s="82" t="e" cm="1">
        <f t="array" ref="X42">X16*INDEX(bet对应表!$E:$E,MATCH($X$2,bet对应表!$A:$A,0),0)</f>
        <v>#N/A</v>
      </c>
      <c r="Y42" s="82" t="e" cm="1">
        <f t="array" ref="Y42">Y16*INDEX(bet对应表!$E:$E,MATCH($Y$2,bet对应表!$A:$A,0),0)</f>
        <v>#N/A</v>
      </c>
      <c r="Z42" s="82" t="e" cm="1">
        <f t="array" ref="Z42">Z16*INDEX(bet对应表!$E:$E,MATCH($Z$2,bet对应表!$A:$A,0),0)</f>
        <v>#N/A</v>
      </c>
      <c r="AA42" s="82" t="e" cm="1">
        <f t="array" ref="AA42">AA16*INDEX(bet对应表!$E:$E,MATCH($AA$2,bet对应表!$A:$A,0),0)</f>
        <v>#N/A</v>
      </c>
      <c r="AB42" s="82" t="e" cm="1">
        <f t="array" ref="AB42">AB16*INDEX(bet对应表!$E:$E,MATCH($AB$2,bet对应表!$A:$A,0),0)</f>
        <v>#N/A</v>
      </c>
      <c r="AC42" s="82" t="e" cm="1">
        <f t="array" ref="AC42">AC16*INDEX(bet对应表!$E:$E,MATCH($AC$2,bet对应表!$A:$A,0),0)</f>
        <v>#N/A</v>
      </c>
      <c r="AD42" s="82" t="e" cm="1">
        <f t="array" ref="AD42">AD16*INDEX(bet对应表!$E:$E,MATCH($AD$2,bet对应表!$A:$A,0),0)</f>
        <v>#N/A</v>
      </c>
      <c r="AF42" s="62">
        <v>13</v>
      </c>
      <c r="AG42" s="82" t="e" cm="1">
        <f t="array" ref="AG42">AG16*INDEX(bet对应表!$E:$E,MATCH($AG$2,bet对应表!$A:$A,0),0)</f>
        <v>#N/A</v>
      </c>
      <c r="AH42" s="82" t="e" cm="1">
        <f t="array" ref="AH42">AH16*INDEX(bet对应表!$E:$E,MATCH($AH$2,bet对应表!$A:$A,0),0)</f>
        <v>#N/A</v>
      </c>
      <c r="AI42" s="82" t="e" cm="1">
        <f t="array" ref="AI42">AI16*INDEX(bet对应表!$E:$E,MATCH($AI$2,bet对应表!$A:$A,0),0)</f>
        <v>#DIV/0!</v>
      </c>
      <c r="AJ42" s="82" t="e" cm="1">
        <f t="array" ref="AJ42">AJ16*INDEX(bet对应表!$E:$E,MATCH($AJ$2,bet对应表!$A:$A,0),0)</f>
        <v>#DIV/0!</v>
      </c>
      <c r="AK42" s="82" t="e" cm="1">
        <f t="array" ref="AK42">AK16*INDEX(bet对应表!$E:$E,MATCH($AK$2,bet对应表!$A:$A,0),0)</f>
        <v>#DIV/0!</v>
      </c>
      <c r="AL42" s="82" t="e" cm="1">
        <f t="array" ref="AL42">AL16*INDEX(bet对应表!$E:$E,MATCH($AL$2,bet对应表!$A:$A,0),0)</f>
        <v>#N/A</v>
      </c>
      <c r="AM42" s="82" t="e" cm="1">
        <f t="array" ref="AM42">AM16*INDEX(bet对应表!$E:$E,MATCH($AM$2,bet对应表!$A:$A,0),0)</f>
        <v>#N/A</v>
      </c>
      <c r="AN42" s="82" t="e" cm="1">
        <f t="array" ref="AN42">AN16*INDEX(bet对应表!$E:$E,MATCH($AN$2,bet对应表!$A:$A,0),0)</f>
        <v>#N/A</v>
      </c>
      <c r="AO42" s="82" t="e" cm="1">
        <f t="array" ref="AO42">AO16*INDEX(bet对应表!$E:$E,MATCH($AO$2,bet对应表!$A:$A,0),0)</f>
        <v>#N/A</v>
      </c>
      <c r="AP42" s="82" t="e" cm="1">
        <f t="array" ref="AP42">AP16*INDEX(bet对应表!$E:$E,MATCH($AP$2,bet对应表!$A:$A,0),0)</f>
        <v>#N/A</v>
      </c>
    </row>
    <row r="43" spans="11:42">
      <c r="K43" s="47">
        <f t="shared" si="11"/>
        <v>11250000</v>
      </c>
      <c r="L43" s="47">
        <f t="shared" si="12"/>
        <v>0</v>
      </c>
      <c r="N43" s="62">
        <v>14</v>
      </c>
      <c r="O43" s="82" t="e" cm="1">
        <f t="array" ref="O43">O17*INDEX(bet对应表!$E:$E,MATCH($O$2,bet对应表!$A:$A,0),0)</f>
        <v>#N/A</v>
      </c>
      <c r="P43" s="82" t="e" cm="1">
        <f t="array" ref="P43">P17*INDEX(bet对应表!$E:$E,MATCH($P$2,bet对应表!$A:$A,0),0)</f>
        <v>#N/A</v>
      </c>
      <c r="Q43" s="82" t="e" cm="1">
        <f t="array" ref="Q43">Q17*INDEX(bet对应表!$E:$E,MATCH($Q$2,bet对应表!$A:$A,0),0)</f>
        <v>#N/A</v>
      </c>
      <c r="R43" s="82" t="e" cm="1">
        <f t="array" ref="R43">R17*INDEX(bet对应表!$E:$E,MATCH($R$2,bet对应表!$A:$A,0),0)</f>
        <v>#N/A</v>
      </c>
      <c r="S43" s="82" t="e" cm="1">
        <f t="array" ref="S43">S17*INDEX(bet对应表!$E:$E,MATCH($S$2,bet对应表!$A:$A,0),0)</f>
        <v>#N/A</v>
      </c>
      <c r="T43" s="82" t="e" cm="1">
        <f t="array" ref="T43">T17*INDEX(bet对应表!$E:$E,MATCH($T$2,bet对应表!$A:$A,0),0)</f>
        <v>#N/A</v>
      </c>
      <c r="U43" s="82" t="e" cm="1">
        <f t="array" ref="U43">U17*INDEX(bet对应表!$E:$E,MATCH($U$2,bet对应表!$A:$A,0),0)</f>
        <v>#N/A</v>
      </c>
      <c r="V43" s="82" t="e" cm="1">
        <f t="array" ref="V43">V17*INDEX(bet对应表!$E:$E,MATCH($V$2,bet对应表!$A:$A,0),0)</f>
        <v>#N/A</v>
      </c>
      <c r="W43" s="82" t="e" cm="1">
        <f t="array" ref="W43">W17*INDEX(bet对应表!$E:$E,MATCH($W$2,bet对应表!$A:$A,0),0)</f>
        <v>#N/A</v>
      </c>
      <c r="X43" s="82" t="e" cm="1">
        <f t="array" ref="X43">X17*INDEX(bet对应表!$E:$E,MATCH($X$2,bet对应表!$A:$A,0),0)</f>
        <v>#N/A</v>
      </c>
      <c r="Y43" s="82" t="e" cm="1">
        <f t="array" ref="Y43">Y17*INDEX(bet对应表!$E:$E,MATCH($Y$2,bet对应表!$A:$A,0),0)</f>
        <v>#N/A</v>
      </c>
      <c r="Z43" s="82" t="e" cm="1">
        <f t="array" ref="Z43">Z17*INDEX(bet对应表!$E:$E,MATCH($Z$2,bet对应表!$A:$A,0),0)</f>
        <v>#N/A</v>
      </c>
      <c r="AA43" s="82" t="e" cm="1">
        <f t="array" ref="AA43">AA17*INDEX(bet对应表!$E:$E,MATCH($AA$2,bet对应表!$A:$A,0),0)</f>
        <v>#N/A</v>
      </c>
      <c r="AB43" s="82" t="e" cm="1">
        <f t="array" ref="AB43">AB17*INDEX(bet对应表!$E:$E,MATCH($AB$2,bet对应表!$A:$A,0),0)</f>
        <v>#N/A</v>
      </c>
      <c r="AC43" s="82" t="e" cm="1">
        <f t="array" ref="AC43">AC17*INDEX(bet对应表!$E:$E,MATCH($AC$2,bet对应表!$A:$A,0),0)</f>
        <v>#N/A</v>
      </c>
      <c r="AD43" s="82" t="e" cm="1">
        <f t="array" ref="AD43">AD17*INDEX(bet对应表!$E:$E,MATCH($AD$2,bet对应表!$A:$A,0),0)</f>
        <v>#N/A</v>
      </c>
      <c r="AF43" s="62">
        <v>14</v>
      </c>
      <c r="AG43" s="82" t="e" cm="1">
        <f t="array" ref="AG43">AG17*INDEX(bet对应表!$E:$E,MATCH($AG$2,bet对应表!$A:$A,0),0)</f>
        <v>#N/A</v>
      </c>
      <c r="AH43" s="82" t="e" cm="1">
        <f t="array" ref="AH43">AH17*INDEX(bet对应表!$E:$E,MATCH($AH$2,bet对应表!$A:$A,0),0)</f>
        <v>#N/A</v>
      </c>
      <c r="AI43" s="82" t="e" cm="1">
        <f t="array" ref="AI43">AI17*INDEX(bet对应表!$E:$E,MATCH($AI$2,bet对应表!$A:$A,0),0)</f>
        <v>#DIV/0!</v>
      </c>
      <c r="AJ43" s="82" t="e" cm="1">
        <f t="array" ref="AJ43">AJ17*INDEX(bet对应表!$E:$E,MATCH($AJ$2,bet对应表!$A:$A,0),0)</f>
        <v>#DIV/0!</v>
      </c>
      <c r="AK43" s="82" t="e" cm="1">
        <f t="array" ref="AK43">AK17*INDEX(bet对应表!$E:$E,MATCH($AK$2,bet对应表!$A:$A,0),0)</f>
        <v>#DIV/0!</v>
      </c>
      <c r="AL43" s="82" t="e" cm="1">
        <f t="array" ref="AL43">AL17*INDEX(bet对应表!$E:$E,MATCH($AL$2,bet对应表!$A:$A,0),0)</f>
        <v>#N/A</v>
      </c>
      <c r="AM43" s="82" t="e" cm="1">
        <f t="array" ref="AM43">AM17*INDEX(bet对应表!$E:$E,MATCH($AM$2,bet对应表!$A:$A,0),0)</f>
        <v>#N/A</v>
      </c>
      <c r="AN43" s="82" t="e" cm="1">
        <f t="array" ref="AN43">AN17*INDEX(bet对应表!$E:$E,MATCH($AN$2,bet对应表!$A:$A,0),0)</f>
        <v>#N/A</v>
      </c>
      <c r="AO43" s="82" t="e" cm="1">
        <f t="array" ref="AO43">AO17*INDEX(bet对应表!$E:$E,MATCH($AO$2,bet对应表!$A:$A,0),0)</f>
        <v>#N/A</v>
      </c>
      <c r="AP43" s="82" t="e" cm="1">
        <f t="array" ref="AP43">AP17*INDEX(bet对应表!$E:$E,MATCH($AP$2,bet对应表!$A:$A,0),0)</f>
        <v>#N/A</v>
      </c>
    </row>
    <row r="44" spans="11:42">
      <c r="K44" s="47">
        <f t="shared" si="11"/>
        <v>15000000</v>
      </c>
      <c r="L44" s="47">
        <f t="shared" si="12"/>
        <v>0</v>
      </c>
      <c r="N44" s="62">
        <v>15</v>
      </c>
      <c r="O44" s="82" t="e" cm="1">
        <f t="array" ref="O44">O18*INDEX(bet对应表!$E:$E,MATCH($O$2,bet对应表!$A:$A,0),0)</f>
        <v>#N/A</v>
      </c>
      <c r="P44" s="82" t="e" cm="1">
        <f t="array" ref="P44">P18*INDEX(bet对应表!$E:$E,MATCH($P$2,bet对应表!$A:$A,0),0)</f>
        <v>#N/A</v>
      </c>
      <c r="Q44" s="82" t="e" cm="1">
        <f t="array" ref="Q44">Q18*INDEX(bet对应表!$E:$E,MATCH($Q$2,bet对应表!$A:$A,0),0)</f>
        <v>#N/A</v>
      </c>
      <c r="R44" s="82" t="e" cm="1">
        <f t="array" ref="R44">R18*INDEX(bet对应表!$E:$E,MATCH($R$2,bet对应表!$A:$A,0),0)</f>
        <v>#N/A</v>
      </c>
      <c r="S44" s="82" t="e" cm="1">
        <f t="array" ref="S44">S18*INDEX(bet对应表!$E:$E,MATCH($S$2,bet对应表!$A:$A,0),0)</f>
        <v>#N/A</v>
      </c>
      <c r="T44" s="82" t="e" cm="1">
        <f t="array" ref="T44">T18*INDEX(bet对应表!$E:$E,MATCH($T$2,bet对应表!$A:$A,0),0)</f>
        <v>#N/A</v>
      </c>
      <c r="U44" s="82" t="e" cm="1">
        <f t="array" ref="U44">U18*INDEX(bet对应表!$E:$E,MATCH($U$2,bet对应表!$A:$A,0),0)</f>
        <v>#N/A</v>
      </c>
      <c r="V44" s="82" t="e" cm="1">
        <f t="array" ref="V44">V18*INDEX(bet对应表!$E:$E,MATCH($V$2,bet对应表!$A:$A,0),0)</f>
        <v>#N/A</v>
      </c>
      <c r="W44" s="82" t="e" cm="1">
        <f t="array" ref="W44">W18*INDEX(bet对应表!$E:$E,MATCH($W$2,bet对应表!$A:$A,0),0)</f>
        <v>#N/A</v>
      </c>
      <c r="X44" s="82" t="e" cm="1">
        <f t="array" ref="X44">X18*INDEX(bet对应表!$E:$E,MATCH($X$2,bet对应表!$A:$A,0),0)</f>
        <v>#N/A</v>
      </c>
      <c r="Y44" s="82" t="e" cm="1">
        <f t="array" ref="Y44">Y18*INDEX(bet对应表!$E:$E,MATCH($Y$2,bet对应表!$A:$A,0),0)</f>
        <v>#N/A</v>
      </c>
      <c r="Z44" s="82" t="e" cm="1">
        <f t="array" ref="Z44">Z18*INDEX(bet对应表!$E:$E,MATCH($Z$2,bet对应表!$A:$A,0),0)</f>
        <v>#N/A</v>
      </c>
      <c r="AA44" s="82" t="e" cm="1">
        <f t="array" ref="AA44">AA18*INDEX(bet对应表!$E:$E,MATCH($AA$2,bet对应表!$A:$A,0),0)</f>
        <v>#N/A</v>
      </c>
      <c r="AB44" s="82" t="e" cm="1">
        <f t="array" ref="AB44">AB18*INDEX(bet对应表!$E:$E,MATCH($AB$2,bet对应表!$A:$A,0),0)</f>
        <v>#N/A</v>
      </c>
      <c r="AC44" s="82" t="e" cm="1">
        <f t="array" ref="AC44">AC18*INDEX(bet对应表!$E:$E,MATCH($AC$2,bet对应表!$A:$A,0),0)</f>
        <v>#N/A</v>
      </c>
      <c r="AD44" s="82" t="e" cm="1">
        <f t="array" ref="AD44">AD18*INDEX(bet对应表!$E:$E,MATCH($AD$2,bet对应表!$A:$A,0),0)</f>
        <v>#N/A</v>
      </c>
      <c r="AF44" s="62">
        <v>15</v>
      </c>
      <c r="AG44" s="82" t="e" cm="1">
        <f t="array" ref="AG44">AG18*INDEX(bet对应表!$E:$E,MATCH($AG$2,bet对应表!$A:$A,0),0)</f>
        <v>#N/A</v>
      </c>
      <c r="AH44" s="82" t="e" cm="1">
        <f t="array" ref="AH44">AH18*INDEX(bet对应表!$E:$E,MATCH($AH$2,bet对应表!$A:$A,0),0)</f>
        <v>#N/A</v>
      </c>
      <c r="AI44" s="82" t="e" cm="1">
        <f t="array" ref="AI44">AI18*INDEX(bet对应表!$E:$E,MATCH($AI$2,bet对应表!$A:$A,0),0)</f>
        <v>#DIV/0!</v>
      </c>
      <c r="AJ44" s="82" t="e" cm="1">
        <f t="array" ref="AJ44">AJ18*INDEX(bet对应表!$E:$E,MATCH($AJ$2,bet对应表!$A:$A,0),0)</f>
        <v>#DIV/0!</v>
      </c>
      <c r="AK44" s="82" t="e" cm="1">
        <f t="array" ref="AK44">AK18*INDEX(bet对应表!$E:$E,MATCH($AK$2,bet对应表!$A:$A,0),0)</f>
        <v>#DIV/0!</v>
      </c>
      <c r="AL44" s="82" t="e" cm="1">
        <f t="array" ref="AL44">AL18*INDEX(bet对应表!$E:$E,MATCH($AL$2,bet对应表!$A:$A,0),0)</f>
        <v>#N/A</v>
      </c>
      <c r="AM44" s="82" t="e" cm="1">
        <f t="array" ref="AM44">AM18*INDEX(bet对应表!$E:$E,MATCH($AM$2,bet对应表!$A:$A,0),0)</f>
        <v>#N/A</v>
      </c>
      <c r="AN44" s="82" t="e" cm="1">
        <f t="array" ref="AN44">AN18*INDEX(bet对应表!$E:$E,MATCH($AN$2,bet对应表!$A:$A,0),0)</f>
        <v>#N/A</v>
      </c>
      <c r="AO44" s="82" t="e" cm="1">
        <f t="array" ref="AO44">AO18*INDEX(bet对应表!$E:$E,MATCH($AO$2,bet对应表!$A:$A,0),0)</f>
        <v>#N/A</v>
      </c>
      <c r="AP44" s="82" t="e" cm="1">
        <f t="array" ref="AP44">AP18*INDEX(bet对应表!$E:$E,MATCH($AP$2,bet对应表!$A:$A,0),0)</f>
        <v>#N/A</v>
      </c>
    </row>
    <row r="45" spans="11:42">
      <c r="K45" s="47">
        <f t="shared" si="11"/>
        <v>22500000</v>
      </c>
      <c r="L45" s="47">
        <f t="shared" si="12"/>
        <v>0</v>
      </c>
      <c r="N45" s="86">
        <v>16</v>
      </c>
      <c r="O45" s="87" t="e" cm="1">
        <f t="array" ref="O45">O19*INDEX(bet对应表!$E:$E,MATCH($O$2,bet对应表!$A:$A,0),0)</f>
        <v>#N/A</v>
      </c>
      <c r="P45" s="87" t="e" cm="1">
        <f t="array" ref="P45">P19*INDEX(bet对应表!$E:$E,MATCH($P$2,bet对应表!$A:$A,0),0)</f>
        <v>#N/A</v>
      </c>
      <c r="Q45" s="87" t="e" cm="1">
        <f t="array" ref="Q45">Q19*INDEX(bet对应表!$E:$E,MATCH($Q$2,bet对应表!$A:$A,0),0)</f>
        <v>#N/A</v>
      </c>
      <c r="R45" s="87" t="e" cm="1">
        <f t="array" ref="R45">R19*INDEX(bet对应表!$E:$E,MATCH($R$2,bet对应表!$A:$A,0),0)</f>
        <v>#N/A</v>
      </c>
      <c r="S45" s="87" t="e" cm="1">
        <f t="array" ref="S45">S19*INDEX(bet对应表!$E:$E,MATCH($S$2,bet对应表!$A:$A,0),0)</f>
        <v>#N/A</v>
      </c>
      <c r="T45" s="87" t="e" cm="1">
        <f t="array" ref="T45">T19*INDEX(bet对应表!$E:$E,MATCH($T$2,bet对应表!$A:$A,0),0)</f>
        <v>#N/A</v>
      </c>
      <c r="U45" s="87" t="e" cm="1">
        <f t="array" ref="U45">U19*INDEX(bet对应表!$E:$E,MATCH($U$2,bet对应表!$A:$A,0),0)</f>
        <v>#N/A</v>
      </c>
      <c r="V45" s="87" t="e" cm="1">
        <f t="array" ref="V45">V19*INDEX(bet对应表!$E:$E,MATCH($V$2,bet对应表!$A:$A,0),0)</f>
        <v>#N/A</v>
      </c>
      <c r="W45" s="87" t="e" cm="1">
        <f t="array" ref="W45">W19*INDEX(bet对应表!$E:$E,MATCH($W$2,bet对应表!$A:$A,0),0)</f>
        <v>#N/A</v>
      </c>
      <c r="X45" s="87" t="e" cm="1">
        <f t="array" ref="X45">X19*INDEX(bet对应表!$E:$E,MATCH($X$2,bet对应表!$A:$A,0),0)</f>
        <v>#N/A</v>
      </c>
      <c r="Y45" s="87" t="e" cm="1">
        <f t="array" ref="Y45">Y19*INDEX(bet对应表!$E:$E,MATCH($Y$2,bet对应表!$A:$A,0),0)</f>
        <v>#N/A</v>
      </c>
      <c r="Z45" s="87" t="e" cm="1">
        <f t="array" ref="Z45">Z19*INDEX(bet对应表!$E:$E,MATCH($Z$2,bet对应表!$A:$A,0),0)</f>
        <v>#N/A</v>
      </c>
      <c r="AA45" s="87" t="e" cm="1">
        <f t="array" ref="AA45">AA19*INDEX(bet对应表!$E:$E,MATCH($AA$2,bet对应表!$A:$A,0),0)</f>
        <v>#N/A</v>
      </c>
      <c r="AB45" s="87" t="e" cm="1">
        <f t="array" ref="AB45">AB19*INDEX(bet对应表!$E:$E,MATCH($AB$2,bet对应表!$A:$A,0),0)</f>
        <v>#N/A</v>
      </c>
      <c r="AC45" s="87" t="e" cm="1">
        <f t="array" ref="AC45">AC19*INDEX(bet对应表!$E:$E,MATCH($AC$2,bet对应表!$A:$A,0),0)</f>
        <v>#N/A</v>
      </c>
      <c r="AD45" s="87" t="e" cm="1">
        <f t="array" ref="AD45">AD19*INDEX(bet对应表!$E:$E,MATCH($AD$2,bet对应表!$A:$A,0),0)</f>
        <v>#N/A</v>
      </c>
      <c r="AF45" s="86">
        <v>16</v>
      </c>
      <c r="AG45" s="87" t="e" cm="1">
        <f t="array" ref="AG45">AG19*INDEX(bet对应表!$E:$E,MATCH($AG$2,bet对应表!$A:$A,0),0)</f>
        <v>#N/A</v>
      </c>
      <c r="AH45" s="87" t="e" cm="1">
        <f t="array" ref="AH45">AH19*INDEX(bet对应表!$E:$E,MATCH($AH$2,bet对应表!$A:$A,0),0)</f>
        <v>#N/A</v>
      </c>
      <c r="AI45" s="87" t="e" cm="1">
        <f t="array" ref="AI45">AI19*INDEX(bet对应表!$E:$E,MATCH($AI$2,bet对应表!$A:$A,0),0)</f>
        <v>#DIV/0!</v>
      </c>
      <c r="AJ45" s="87" t="e" cm="1">
        <f t="array" ref="AJ45">AJ19*INDEX(bet对应表!$E:$E,MATCH($AJ$2,bet对应表!$A:$A,0),0)</f>
        <v>#DIV/0!</v>
      </c>
      <c r="AK45" s="87" t="e" cm="1">
        <f t="array" ref="AK45">AK19*INDEX(bet对应表!$E:$E,MATCH($AK$2,bet对应表!$A:$A,0),0)</f>
        <v>#DIV/0!</v>
      </c>
      <c r="AL45" s="87" t="e" cm="1">
        <f t="array" ref="AL45">AL19*INDEX(bet对应表!$E:$E,MATCH($AL$2,bet对应表!$A:$A,0),0)</f>
        <v>#N/A</v>
      </c>
      <c r="AM45" s="87" t="e" cm="1">
        <f t="array" ref="AM45">AM19*INDEX(bet对应表!$E:$E,MATCH($AM$2,bet对应表!$A:$A,0),0)</f>
        <v>#N/A</v>
      </c>
      <c r="AN45" s="87" t="e" cm="1">
        <f t="array" ref="AN45">AN19*INDEX(bet对应表!$E:$E,MATCH($AN$2,bet对应表!$A:$A,0),0)</f>
        <v>#N/A</v>
      </c>
      <c r="AO45" s="87" t="e" cm="1">
        <f t="array" ref="AO45">AO19*INDEX(bet对应表!$E:$E,MATCH($AO$2,bet对应表!$A:$A,0),0)</f>
        <v>#N/A</v>
      </c>
      <c r="AP45" s="87" t="e" cm="1">
        <f t="array" ref="AP45">AP19*INDEX(bet对应表!$E:$E,MATCH($AP$2,bet对应表!$A:$A,0),0)</f>
        <v>#N/A</v>
      </c>
    </row>
    <row r="46" spans="11:42">
      <c r="K46" s="47">
        <f t="shared" si="11"/>
        <v>33750000</v>
      </c>
      <c r="L46" s="47">
        <f t="shared" si="12"/>
        <v>0</v>
      </c>
      <c r="N46" s="62">
        <v>17</v>
      </c>
      <c r="O46" s="82" t="e" cm="1">
        <f t="array" ref="O46">O20*INDEX(bet对应表!$E:$E,MATCH($O$2,bet对应表!$A:$A,0),0)</f>
        <v>#N/A</v>
      </c>
      <c r="P46" s="82" t="e" cm="1">
        <f t="array" ref="P46">P20*INDEX(bet对应表!$E:$E,MATCH($P$2,bet对应表!$A:$A,0),0)</f>
        <v>#N/A</v>
      </c>
      <c r="Q46" s="82" t="e" cm="1">
        <f t="array" ref="Q46">Q20*INDEX(bet对应表!$E:$E,MATCH($Q$2,bet对应表!$A:$A,0),0)</f>
        <v>#N/A</v>
      </c>
      <c r="R46" s="82" t="e" cm="1">
        <f t="array" ref="R46">R20*INDEX(bet对应表!$E:$E,MATCH($R$2,bet对应表!$A:$A,0),0)</f>
        <v>#N/A</v>
      </c>
      <c r="S46" s="82" t="e" cm="1">
        <f t="array" ref="S46">S20*INDEX(bet对应表!$E:$E,MATCH($S$2,bet对应表!$A:$A,0),0)</f>
        <v>#N/A</v>
      </c>
      <c r="T46" s="82" t="e" cm="1">
        <f t="array" ref="T46">T20*INDEX(bet对应表!$E:$E,MATCH($T$2,bet对应表!$A:$A,0),0)</f>
        <v>#N/A</v>
      </c>
      <c r="U46" s="82" t="e" cm="1">
        <f t="array" ref="U46">U20*INDEX(bet对应表!$E:$E,MATCH($U$2,bet对应表!$A:$A,0),0)</f>
        <v>#N/A</v>
      </c>
      <c r="V46" s="82" t="e" cm="1">
        <f t="array" ref="V46">V20*INDEX(bet对应表!$E:$E,MATCH($V$2,bet对应表!$A:$A,0),0)</f>
        <v>#N/A</v>
      </c>
      <c r="W46" s="82" t="e" cm="1">
        <f t="array" ref="W46">W20*INDEX(bet对应表!$E:$E,MATCH($W$2,bet对应表!$A:$A,0),0)</f>
        <v>#N/A</v>
      </c>
      <c r="X46" s="82" t="e" cm="1">
        <f t="array" ref="X46">X20*INDEX(bet对应表!$E:$E,MATCH($X$2,bet对应表!$A:$A,0),0)</f>
        <v>#N/A</v>
      </c>
      <c r="Y46" s="82" t="e" cm="1">
        <f t="array" ref="Y46">Y20*INDEX(bet对应表!$E:$E,MATCH($Y$2,bet对应表!$A:$A,0),0)</f>
        <v>#N/A</v>
      </c>
      <c r="Z46" s="82" t="e" cm="1">
        <f t="array" ref="Z46">Z20*INDEX(bet对应表!$E:$E,MATCH($Z$2,bet对应表!$A:$A,0),0)</f>
        <v>#N/A</v>
      </c>
      <c r="AA46" s="82" t="e" cm="1">
        <f t="array" ref="AA46">AA20*INDEX(bet对应表!$E:$E,MATCH($AA$2,bet对应表!$A:$A,0),0)</f>
        <v>#N/A</v>
      </c>
      <c r="AB46" s="82" t="e" cm="1">
        <f t="array" ref="AB46">AB20*INDEX(bet对应表!$E:$E,MATCH($AB$2,bet对应表!$A:$A,0),0)</f>
        <v>#N/A</v>
      </c>
      <c r="AC46" s="82" t="e" cm="1">
        <f t="array" ref="AC46">AC20*INDEX(bet对应表!$E:$E,MATCH($AC$2,bet对应表!$A:$A,0),0)</f>
        <v>#N/A</v>
      </c>
      <c r="AD46" s="82" t="e" cm="1">
        <f t="array" ref="AD46">AD20*INDEX(bet对应表!$E:$E,MATCH($AD$2,bet对应表!$A:$A,0),0)</f>
        <v>#N/A</v>
      </c>
      <c r="AF46" s="62">
        <v>17</v>
      </c>
      <c r="AG46" s="82" t="e" cm="1">
        <f t="array" ref="AG46">AG20*INDEX(bet对应表!$E:$E,MATCH($AG$2,bet对应表!$A:$A,0),0)</f>
        <v>#N/A</v>
      </c>
      <c r="AH46" s="82" t="e" cm="1">
        <f t="array" ref="AH46">AH20*INDEX(bet对应表!$E:$E,MATCH($AH$2,bet对应表!$A:$A,0),0)</f>
        <v>#N/A</v>
      </c>
      <c r="AI46" s="82" t="e" cm="1">
        <f t="array" ref="AI46">AI20*INDEX(bet对应表!$E:$E,MATCH($AI$2,bet对应表!$A:$A,0),0)</f>
        <v>#DIV/0!</v>
      </c>
      <c r="AJ46" s="82" t="e" cm="1">
        <f t="array" ref="AJ46">AJ20*INDEX(bet对应表!$E:$E,MATCH($AJ$2,bet对应表!$A:$A,0),0)</f>
        <v>#DIV/0!</v>
      </c>
      <c r="AK46" s="82" t="e" cm="1">
        <f t="array" ref="AK46">AK20*INDEX(bet对应表!$E:$E,MATCH($AK$2,bet对应表!$A:$A,0),0)</f>
        <v>#DIV/0!</v>
      </c>
      <c r="AL46" s="82" t="e" cm="1">
        <f t="array" ref="AL46">AL20*INDEX(bet对应表!$E:$E,MATCH($AL$2,bet对应表!$A:$A,0),0)</f>
        <v>#N/A</v>
      </c>
      <c r="AM46" s="82" t="e" cm="1">
        <f t="array" ref="AM46">AM20*INDEX(bet对应表!$E:$E,MATCH($AM$2,bet对应表!$A:$A,0),0)</f>
        <v>#N/A</v>
      </c>
      <c r="AN46" s="82" t="e" cm="1">
        <f t="array" ref="AN46">AN20*INDEX(bet对应表!$E:$E,MATCH($AN$2,bet对应表!$A:$A,0),0)</f>
        <v>#N/A</v>
      </c>
      <c r="AO46" s="82" t="e" cm="1">
        <f t="array" ref="AO46">AO20*INDEX(bet对应表!$E:$E,MATCH($AO$2,bet对应表!$A:$A,0),0)</f>
        <v>#N/A</v>
      </c>
      <c r="AP46" s="82" t="e" cm="1">
        <f t="array" ref="AP46">AP20*INDEX(bet对应表!$E:$E,MATCH($AP$2,bet对应表!$A:$A,0),0)</f>
        <v>#N/A</v>
      </c>
    </row>
    <row r="47" spans="11:42">
      <c r="K47" s="47">
        <f t="shared" si="11"/>
        <v>45000000</v>
      </c>
      <c r="L47" s="47">
        <f t="shared" si="12"/>
        <v>0</v>
      </c>
      <c r="N47" s="62">
        <v>18</v>
      </c>
      <c r="O47" s="82" t="e" cm="1">
        <f t="array" ref="O47">O21*INDEX(bet对应表!$E:$E,MATCH($O$2,bet对应表!$A:$A,0),0)</f>
        <v>#N/A</v>
      </c>
      <c r="P47" s="82" t="e" cm="1">
        <f t="array" ref="P47">P21*INDEX(bet对应表!$E:$E,MATCH($P$2,bet对应表!$A:$A,0),0)</f>
        <v>#N/A</v>
      </c>
      <c r="Q47" s="82" t="e" cm="1">
        <f t="array" ref="Q47">Q21*INDEX(bet对应表!$E:$E,MATCH($Q$2,bet对应表!$A:$A,0),0)</f>
        <v>#N/A</v>
      </c>
      <c r="R47" s="82" t="e" cm="1">
        <f t="array" ref="R47">R21*INDEX(bet对应表!$E:$E,MATCH($R$2,bet对应表!$A:$A,0),0)</f>
        <v>#N/A</v>
      </c>
      <c r="S47" s="82" t="e" cm="1">
        <f t="array" ref="S47">S21*INDEX(bet对应表!$E:$E,MATCH($S$2,bet对应表!$A:$A,0),0)</f>
        <v>#N/A</v>
      </c>
      <c r="T47" s="82" t="e" cm="1">
        <f t="array" ref="T47">T21*INDEX(bet对应表!$E:$E,MATCH($T$2,bet对应表!$A:$A,0),0)</f>
        <v>#N/A</v>
      </c>
      <c r="U47" s="82" t="e" cm="1">
        <f t="array" ref="U47">U21*INDEX(bet对应表!$E:$E,MATCH($U$2,bet对应表!$A:$A,0),0)</f>
        <v>#N/A</v>
      </c>
      <c r="V47" s="82" t="e" cm="1">
        <f t="array" ref="V47">V21*INDEX(bet对应表!$E:$E,MATCH($V$2,bet对应表!$A:$A,0),0)</f>
        <v>#N/A</v>
      </c>
      <c r="W47" s="82" t="e" cm="1">
        <f t="array" ref="W47">W21*INDEX(bet对应表!$E:$E,MATCH($W$2,bet对应表!$A:$A,0),0)</f>
        <v>#N/A</v>
      </c>
      <c r="X47" s="82" t="e" cm="1">
        <f t="array" ref="X47">X21*INDEX(bet对应表!$E:$E,MATCH($X$2,bet对应表!$A:$A,0),0)</f>
        <v>#N/A</v>
      </c>
      <c r="Y47" s="82" t="e" cm="1">
        <f t="array" ref="Y47">Y21*INDEX(bet对应表!$E:$E,MATCH($Y$2,bet对应表!$A:$A,0),0)</f>
        <v>#N/A</v>
      </c>
      <c r="Z47" s="82" t="e" cm="1">
        <f t="array" ref="Z47">Z21*INDEX(bet对应表!$E:$E,MATCH($Z$2,bet对应表!$A:$A,0),0)</f>
        <v>#N/A</v>
      </c>
      <c r="AA47" s="82" t="e" cm="1">
        <f t="array" ref="AA47">AA21*INDEX(bet对应表!$E:$E,MATCH($AA$2,bet对应表!$A:$A,0),0)</f>
        <v>#N/A</v>
      </c>
      <c r="AB47" s="82" t="e" cm="1">
        <f t="array" ref="AB47">AB21*INDEX(bet对应表!$E:$E,MATCH($AB$2,bet对应表!$A:$A,0),0)</f>
        <v>#N/A</v>
      </c>
      <c r="AC47" s="82" t="e" cm="1">
        <f t="array" ref="AC47">AC21*INDEX(bet对应表!$E:$E,MATCH($AC$2,bet对应表!$A:$A,0),0)</f>
        <v>#N/A</v>
      </c>
      <c r="AD47" s="82" t="e" cm="1">
        <f t="array" ref="AD47">AD21*INDEX(bet对应表!$E:$E,MATCH($AD$2,bet对应表!$A:$A,0),0)</f>
        <v>#N/A</v>
      </c>
      <c r="AF47" s="62">
        <v>18</v>
      </c>
      <c r="AG47" s="82" t="e" cm="1">
        <f t="array" ref="AG47">AG21*INDEX(bet对应表!$E:$E,MATCH($AG$2,bet对应表!$A:$A,0),0)</f>
        <v>#N/A</v>
      </c>
      <c r="AH47" s="82" t="e" cm="1">
        <f t="array" ref="AH47">AH21*INDEX(bet对应表!$E:$E,MATCH($AH$2,bet对应表!$A:$A,0),0)</f>
        <v>#N/A</v>
      </c>
      <c r="AI47" s="82" t="e" cm="1">
        <f t="array" ref="AI47">AI21*INDEX(bet对应表!$E:$E,MATCH($AI$2,bet对应表!$A:$A,0),0)</f>
        <v>#DIV/0!</v>
      </c>
      <c r="AJ47" s="82" t="e" cm="1">
        <f t="array" ref="AJ47">AJ21*INDEX(bet对应表!$E:$E,MATCH($AJ$2,bet对应表!$A:$A,0),0)</f>
        <v>#DIV/0!</v>
      </c>
      <c r="AK47" s="82" t="e" cm="1">
        <f t="array" ref="AK47">AK21*INDEX(bet对应表!$E:$E,MATCH($AK$2,bet对应表!$A:$A,0),0)</f>
        <v>#DIV/0!</v>
      </c>
      <c r="AL47" s="82" t="e" cm="1">
        <f t="array" ref="AL47">AL21*INDEX(bet对应表!$E:$E,MATCH($AL$2,bet对应表!$A:$A,0),0)</f>
        <v>#N/A</v>
      </c>
      <c r="AM47" s="82" t="e" cm="1">
        <f t="array" ref="AM47">AM21*INDEX(bet对应表!$E:$E,MATCH($AM$2,bet对应表!$A:$A,0),0)</f>
        <v>#N/A</v>
      </c>
      <c r="AN47" s="82" t="e" cm="1">
        <f t="array" ref="AN47">AN21*INDEX(bet对应表!$E:$E,MATCH($AN$2,bet对应表!$A:$A,0),0)</f>
        <v>#N/A</v>
      </c>
      <c r="AO47" s="82" t="e" cm="1">
        <f t="array" ref="AO47">AO21*INDEX(bet对应表!$E:$E,MATCH($AO$2,bet对应表!$A:$A,0),0)</f>
        <v>#N/A</v>
      </c>
      <c r="AP47" s="82" t="e" cm="1">
        <f t="array" ref="AP47">AP21*INDEX(bet对应表!$E:$E,MATCH($AP$2,bet对应表!$A:$A,0),0)</f>
        <v>#N/A</v>
      </c>
    </row>
    <row r="48" spans="11:42">
      <c r="K48" s="80">
        <f>ROUND((E32*$J$30)*25000000,0)</f>
        <v>437500000</v>
      </c>
      <c r="L48" s="80">
        <f>ROUND(E32*(1-$J$30)*100,0)</f>
        <v>750</v>
      </c>
      <c r="N48" s="62">
        <v>19</v>
      </c>
      <c r="O48" s="82" t="e" cm="1">
        <f t="array" ref="O48">O22*INDEX(bet对应表!$E:$E,MATCH($O$2,bet对应表!$A:$A,0),0)</f>
        <v>#N/A</v>
      </c>
      <c r="P48" s="82" t="e" cm="1">
        <f t="array" ref="P48">P22*INDEX(bet对应表!$E:$E,MATCH($P$2,bet对应表!$A:$A,0),0)</f>
        <v>#N/A</v>
      </c>
      <c r="Q48" s="82" t="e" cm="1">
        <f t="array" ref="Q48">Q22*INDEX(bet对应表!$E:$E,MATCH($Q$2,bet对应表!$A:$A,0),0)</f>
        <v>#N/A</v>
      </c>
      <c r="R48" s="82" t="e" cm="1">
        <f t="array" ref="R48">R22*INDEX(bet对应表!$E:$E,MATCH($R$2,bet对应表!$A:$A,0),0)</f>
        <v>#N/A</v>
      </c>
      <c r="S48" s="82" t="e" cm="1">
        <f t="array" ref="S48">S22*INDEX(bet对应表!$E:$E,MATCH($S$2,bet对应表!$A:$A,0),0)</f>
        <v>#N/A</v>
      </c>
      <c r="T48" s="82" t="e" cm="1">
        <f t="array" ref="T48">T22*INDEX(bet对应表!$E:$E,MATCH($T$2,bet对应表!$A:$A,0),0)</f>
        <v>#N/A</v>
      </c>
      <c r="U48" s="82" t="e" cm="1">
        <f t="array" ref="U48">U22*INDEX(bet对应表!$E:$E,MATCH($U$2,bet对应表!$A:$A,0),0)</f>
        <v>#N/A</v>
      </c>
      <c r="V48" s="82" t="e" cm="1">
        <f t="array" ref="V48">V22*INDEX(bet对应表!$E:$E,MATCH($V$2,bet对应表!$A:$A,0),0)</f>
        <v>#N/A</v>
      </c>
      <c r="W48" s="82" t="e" cm="1">
        <f t="array" ref="W48">W22*INDEX(bet对应表!$E:$E,MATCH($W$2,bet对应表!$A:$A,0),0)</f>
        <v>#N/A</v>
      </c>
      <c r="X48" s="82" t="e" cm="1">
        <f t="array" ref="X48">X22*INDEX(bet对应表!$E:$E,MATCH($X$2,bet对应表!$A:$A,0),0)</f>
        <v>#N/A</v>
      </c>
      <c r="Y48" s="82" t="e" cm="1">
        <f t="array" ref="Y48">Y22*INDEX(bet对应表!$E:$E,MATCH($Y$2,bet对应表!$A:$A,0),0)</f>
        <v>#N/A</v>
      </c>
      <c r="Z48" s="82" t="e" cm="1">
        <f t="array" ref="Z48">Z22*INDEX(bet对应表!$E:$E,MATCH($Z$2,bet对应表!$A:$A,0),0)</f>
        <v>#N/A</v>
      </c>
      <c r="AA48" s="82" t="e" cm="1">
        <f t="array" ref="AA48">AA22*INDEX(bet对应表!$E:$E,MATCH($AA$2,bet对应表!$A:$A,0),0)</f>
        <v>#N/A</v>
      </c>
      <c r="AB48" s="82" t="e" cm="1">
        <f t="array" ref="AB48">AB22*INDEX(bet对应表!$E:$E,MATCH($AB$2,bet对应表!$A:$A,0),0)</f>
        <v>#N/A</v>
      </c>
      <c r="AC48" s="82" t="e" cm="1">
        <f t="array" ref="AC48">AC22*INDEX(bet对应表!$E:$E,MATCH($AC$2,bet对应表!$A:$A,0),0)</f>
        <v>#N/A</v>
      </c>
      <c r="AD48" s="82" t="e" cm="1">
        <f t="array" ref="AD48">AD22*INDEX(bet对应表!$E:$E,MATCH($AD$2,bet对应表!$A:$A,0),0)</f>
        <v>#N/A</v>
      </c>
      <c r="AF48" s="62">
        <v>19</v>
      </c>
      <c r="AG48" s="82" t="e" cm="1">
        <f t="array" ref="AG48">AG22*INDEX(bet对应表!$E:$E,MATCH($AG$2,bet对应表!$A:$A,0),0)</f>
        <v>#N/A</v>
      </c>
      <c r="AH48" s="82" t="e" cm="1">
        <f t="array" ref="AH48">AH22*INDEX(bet对应表!$E:$E,MATCH($AH$2,bet对应表!$A:$A,0),0)</f>
        <v>#N/A</v>
      </c>
      <c r="AI48" s="82" t="e" cm="1">
        <f t="array" ref="AI48">AI22*INDEX(bet对应表!$E:$E,MATCH($AI$2,bet对应表!$A:$A,0),0)</f>
        <v>#DIV/0!</v>
      </c>
      <c r="AJ48" s="82" t="e" cm="1">
        <f t="array" ref="AJ48">AJ22*INDEX(bet对应表!$E:$E,MATCH($AJ$2,bet对应表!$A:$A,0),0)</f>
        <v>#DIV/0!</v>
      </c>
      <c r="AK48" s="82" t="e" cm="1">
        <f t="array" ref="AK48">AK22*INDEX(bet对应表!$E:$E,MATCH($AK$2,bet对应表!$A:$A,0),0)</f>
        <v>#DIV/0!</v>
      </c>
      <c r="AL48" s="82" t="e" cm="1">
        <f t="array" ref="AL48">AL22*INDEX(bet对应表!$E:$E,MATCH($AL$2,bet对应表!$A:$A,0),0)</f>
        <v>#N/A</v>
      </c>
      <c r="AM48" s="82" t="e" cm="1">
        <f t="array" ref="AM48">AM22*INDEX(bet对应表!$E:$E,MATCH($AM$2,bet对应表!$A:$A,0),0)</f>
        <v>#N/A</v>
      </c>
      <c r="AN48" s="82" t="e" cm="1">
        <f t="array" ref="AN48">AN22*INDEX(bet对应表!$E:$E,MATCH($AN$2,bet对应表!$A:$A,0),0)</f>
        <v>#N/A</v>
      </c>
      <c r="AO48" s="82" t="e" cm="1">
        <f t="array" ref="AO48">AO22*INDEX(bet对应表!$E:$E,MATCH($AO$2,bet对应表!$A:$A,0),0)</f>
        <v>#N/A</v>
      </c>
      <c r="AP48" s="82" t="e" cm="1">
        <f t="array" ref="AP48">AP22*INDEX(bet对应表!$E:$E,MATCH($AP$2,bet对应表!$A:$A,0),0)</f>
        <v>#N/A</v>
      </c>
    </row>
    <row r="49" spans="11:42">
      <c r="K49" s="47">
        <f t="shared" ref="K49:K56" si="13">ROUND((I20*$J$31)*25000000,0)</f>
        <v>12500000</v>
      </c>
      <c r="L49" s="47">
        <f t="shared" ref="L49:L56" si="14">ROUND(I20*(1-$J$31)*100,0)</f>
        <v>0</v>
      </c>
      <c r="N49" s="62">
        <v>20</v>
      </c>
      <c r="O49" s="82" t="e" cm="1">
        <f t="array" ref="O49">O23*INDEX(bet对应表!$E:$E,MATCH($O$2,bet对应表!$A:$A,0),0)</f>
        <v>#N/A</v>
      </c>
      <c r="P49" s="82" t="e" cm="1">
        <f t="array" ref="P49">P23*INDEX(bet对应表!$E:$E,MATCH($P$2,bet对应表!$A:$A,0),0)</f>
        <v>#N/A</v>
      </c>
      <c r="Q49" s="82" t="e" cm="1">
        <f t="array" ref="Q49">Q23*INDEX(bet对应表!$E:$E,MATCH($Q$2,bet对应表!$A:$A,0),0)</f>
        <v>#N/A</v>
      </c>
      <c r="R49" s="82" t="e" cm="1">
        <f t="array" ref="R49">R23*INDEX(bet对应表!$E:$E,MATCH($R$2,bet对应表!$A:$A,0),0)</f>
        <v>#N/A</v>
      </c>
      <c r="S49" s="82" t="e" cm="1">
        <f t="array" ref="S49">S23*INDEX(bet对应表!$E:$E,MATCH($S$2,bet对应表!$A:$A,0),0)</f>
        <v>#N/A</v>
      </c>
      <c r="T49" s="82" t="e" cm="1">
        <f t="array" ref="T49">T23*INDEX(bet对应表!$E:$E,MATCH($T$2,bet对应表!$A:$A,0),0)</f>
        <v>#N/A</v>
      </c>
      <c r="U49" s="82" t="e" cm="1">
        <f t="array" ref="U49">U23*INDEX(bet对应表!$E:$E,MATCH($U$2,bet对应表!$A:$A,0),0)</f>
        <v>#N/A</v>
      </c>
      <c r="V49" s="82" t="e" cm="1">
        <f t="array" ref="V49">V23*INDEX(bet对应表!$E:$E,MATCH($V$2,bet对应表!$A:$A,0),0)</f>
        <v>#N/A</v>
      </c>
      <c r="W49" s="82" t="e" cm="1">
        <f t="array" ref="W49">W23*INDEX(bet对应表!$E:$E,MATCH($W$2,bet对应表!$A:$A,0),0)</f>
        <v>#N/A</v>
      </c>
      <c r="X49" s="82" t="e" cm="1">
        <f t="array" ref="X49">X23*INDEX(bet对应表!$E:$E,MATCH($X$2,bet对应表!$A:$A,0),0)</f>
        <v>#N/A</v>
      </c>
      <c r="Y49" s="82" t="e" cm="1">
        <f t="array" ref="Y49">Y23*INDEX(bet对应表!$E:$E,MATCH($Y$2,bet对应表!$A:$A,0),0)</f>
        <v>#N/A</v>
      </c>
      <c r="Z49" s="82" t="e" cm="1">
        <f t="array" ref="Z49">Z23*INDEX(bet对应表!$E:$E,MATCH($Z$2,bet对应表!$A:$A,0),0)</f>
        <v>#N/A</v>
      </c>
      <c r="AA49" s="82" t="e" cm="1">
        <f t="array" ref="AA49">AA23*INDEX(bet对应表!$E:$E,MATCH($AA$2,bet对应表!$A:$A,0),0)</f>
        <v>#N/A</v>
      </c>
      <c r="AB49" s="82" t="e" cm="1">
        <f t="array" ref="AB49">AB23*INDEX(bet对应表!$E:$E,MATCH($AB$2,bet对应表!$A:$A,0),0)</f>
        <v>#N/A</v>
      </c>
      <c r="AC49" s="82" t="e" cm="1">
        <f t="array" ref="AC49">AC23*INDEX(bet对应表!$E:$E,MATCH($AC$2,bet对应表!$A:$A,0),0)</f>
        <v>#N/A</v>
      </c>
      <c r="AD49" s="82" t="e" cm="1">
        <f t="array" ref="AD49">AD23*INDEX(bet对应表!$E:$E,MATCH($AD$2,bet对应表!$A:$A,0),0)</f>
        <v>#N/A</v>
      </c>
      <c r="AF49" s="62">
        <v>20</v>
      </c>
      <c r="AG49" s="82" t="e" cm="1">
        <f t="array" ref="AG49">AG23*INDEX(bet对应表!$E:$E,MATCH($AG$2,bet对应表!$A:$A,0),0)</f>
        <v>#N/A</v>
      </c>
      <c r="AH49" s="82" t="e" cm="1">
        <f t="array" ref="AH49">AH23*INDEX(bet对应表!$E:$E,MATCH($AH$2,bet对应表!$A:$A,0),0)</f>
        <v>#N/A</v>
      </c>
      <c r="AI49" s="82" t="e" cm="1">
        <f t="array" ref="AI49">AI23*INDEX(bet对应表!$E:$E,MATCH($AI$2,bet对应表!$A:$A,0),0)</f>
        <v>#DIV/0!</v>
      </c>
      <c r="AJ49" s="82" t="e" cm="1">
        <f t="array" ref="AJ49">AJ23*INDEX(bet对应表!$E:$E,MATCH($AJ$2,bet对应表!$A:$A,0),0)</f>
        <v>#DIV/0!</v>
      </c>
      <c r="AK49" s="82" t="e" cm="1">
        <f t="array" ref="AK49">AK23*INDEX(bet对应表!$E:$E,MATCH($AK$2,bet对应表!$A:$A,0),0)</f>
        <v>#DIV/0!</v>
      </c>
      <c r="AL49" s="82" t="e" cm="1">
        <f t="array" ref="AL49">AL23*INDEX(bet对应表!$E:$E,MATCH($AL$2,bet对应表!$A:$A,0),0)</f>
        <v>#N/A</v>
      </c>
      <c r="AM49" s="82" t="e" cm="1">
        <f t="array" ref="AM49">AM23*INDEX(bet对应表!$E:$E,MATCH($AM$2,bet对应表!$A:$A,0),0)</f>
        <v>#N/A</v>
      </c>
      <c r="AN49" s="82" t="e" cm="1">
        <f t="array" ref="AN49">AN23*INDEX(bet对应表!$E:$E,MATCH($AN$2,bet对应表!$A:$A,0),0)</f>
        <v>#N/A</v>
      </c>
      <c r="AO49" s="82" t="e" cm="1">
        <f t="array" ref="AO49">AO23*INDEX(bet对应表!$E:$E,MATCH($AO$2,bet对应表!$A:$A,0),0)</f>
        <v>#N/A</v>
      </c>
      <c r="AP49" s="82" t="e" cm="1">
        <f t="array" ref="AP49">AP23*INDEX(bet对应表!$E:$E,MATCH($AP$2,bet对应表!$A:$A,0),0)</f>
        <v>#N/A</v>
      </c>
    </row>
    <row r="50" spans="11:42">
      <c r="K50" s="47">
        <f t="shared" si="13"/>
        <v>18750000</v>
      </c>
      <c r="L50" s="47">
        <f t="shared" si="14"/>
        <v>0</v>
      </c>
      <c r="N50" s="62">
        <v>21</v>
      </c>
      <c r="O50" s="82" t="e" cm="1">
        <f t="array" ref="O50">O24*INDEX(bet对应表!$E:$E,MATCH($O$2,bet对应表!$A:$A,0),0)</f>
        <v>#N/A</v>
      </c>
      <c r="P50" s="82" t="e" cm="1">
        <f t="array" ref="P50">P24*INDEX(bet对应表!$E:$E,MATCH($P$2,bet对应表!$A:$A,0),0)</f>
        <v>#N/A</v>
      </c>
      <c r="Q50" s="82" t="e" cm="1">
        <f t="array" ref="Q50">Q24*INDEX(bet对应表!$E:$E,MATCH($Q$2,bet对应表!$A:$A,0),0)</f>
        <v>#N/A</v>
      </c>
      <c r="R50" s="82" t="e" cm="1">
        <f t="array" ref="R50">R24*INDEX(bet对应表!$E:$E,MATCH($R$2,bet对应表!$A:$A,0),0)</f>
        <v>#N/A</v>
      </c>
      <c r="S50" s="82" t="e" cm="1">
        <f t="array" ref="S50">S24*INDEX(bet对应表!$E:$E,MATCH($S$2,bet对应表!$A:$A,0),0)</f>
        <v>#N/A</v>
      </c>
      <c r="T50" s="82" t="e" cm="1">
        <f t="array" ref="T50">T24*INDEX(bet对应表!$E:$E,MATCH($T$2,bet对应表!$A:$A,0),0)</f>
        <v>#N/A</v>
      </c>
      <c r="U50" s="82" t="e" cm="1">
        <f t="array" ref="U50">U24*INDEX(bet对应表!$E:$E,MATCH($U$2,bet对应表!$A:$A,0),0)</f>
        <v>#N/A</v>
      </c>
      <c r="V50" s="82" t="e" cm="1">
        <f t="array" ref="V50">V24*INDEX(bet对应表!$E:$E,MATCH($V$2,bet对应表!$A:$A,0),0)</f>
        <v>#N/A</v>
      </c>
      <c r="W50" s="82" t="e" cm="1">
        <f t="array" ref="W50">W24*INDEX(bet对应表!$E:$E,MATCH($W$2,bet对应表!$A:$A,0),0)</f>
        <v>#N/A</v>
      </c>
      <c r="X50" s="82" t="e" cm="1">
        <f t="array" ref="X50">X24*INDEX(bet对应表!$E:$E,MATCH($X$2,bet对应表!$A:$A,0),0)</f>
        <v>#N/A</v>
      </c>
      <c r="Y50" s="82" t="e" cm="1">
        <f t="array" ref="Y50">Y24*INDEX(bet对应表!$E:$E,MATCH($Y$2,bet对应表!$A:$A,0),0)</f>
        <v>#N/A</v>
      </c>
      <c r="Z50" s="82" t="e" cm="1">
        <f t="array" ref="Z50">Z24*INDEX(bet对应表!$E:$E,MATCH($Z$2,bet对应表!$A:$A,0),0)</f>
        <v>#N/A</v>
      </c>
      <c r="AA50" s="82" t="e" cm="1">
        <f t="array" ref="AA50">AA24*INDEX(bet对应表!$E:$E,MATCH($AA$2,bet对应表!$A:$A,0),0)</f>
        <v>#N/A</v>
      </c>
      <c r="AB50" s="82" t="e" cm="1">
        <f t="array" ref="AB50">AB24*INDEX(bet对应表!$E:$E,MATCH($AB$2,bet对应表!$A:$A,0),0)</f>
        <v>#N/A</v>
      </c>
      <c r="AC50" s="82" t="e" cm="1">
        <f t="array" ref="AC50">AC24*INDEX(bet对应表!$E:$E,MATCH($AC$2,bet对应表!$A:$A,0),0)</f>
        <v>#N/A</v>
      </c>
      <c r="AD50" s="82" t="e" cm="1">
        <f t="array" ref="AD50">AD24*INDEX(bet对应表!$E:$E,MATCH($AD$2,bet对应表!$A:$A,0),0)</f>
        <v>#N/A</v>
      </c>
      <c r="AF50" s="62">
        <v>21</v>
      </c>
      <c r="AG50" s="82" t="e" cm="1">
        <f t="array" ref="AG50">AG24*INDEX(bet对应表!$E:$E,MATCH($AG$2,bet对应表!$A:$A,0),0)</f>
        <v>#N/A</v>
      </c>
      <c r="AH50" s="82" t="e" cm="1">
        <f t="array" ref="AH50">AH24*INDEX(bet对应表!$E:$E,MATCH($AH$2,bet对应表!$A:$A,0),0)</f>
        <v>#N/A</v>
      </c>
      <c r="AI50" s="82" t="e" cm="1">
        <f t="array" ref="AI50">AI24*INDEX(bet对应表!$E:$E,MATCH($AI$2,bet对应表!$A:$A,0),0)</f>
        <v>#DIV/0!</v>
      </c>
      <c r="AJ50" s="82" t="e" cm="1">
        <f t="array" ref="AJ50">AJ24*INDEX(bet对应表!$E:$E,MATCH($AJ$2,bet对应表!$A:$A,0),0)</f>
        <v>#DIV/0!</v>
      </c>
      <c r="AK50" s="82" t="e" cm="1">
        <f t="array" ref="AK50">AK24*INDEX(bet对应表!$E:$E,MATCH($AK$2,bet对应表!$A:$A,0),0)</f>
        <v>#DIV/0!</v>
      </c>
      <c r="AL50" s="82" t="e" cm="1">
        <f t="array" ref="AL50">AL24*INDEX(bet对应表!$E:$E,MATCH($AL$2,bet对应表!$A:$A,0),0)</f>
        <v>#N/A</v>
      </c>
      <c r="AM50" s="82" t="e" cm="1">
        <f t="array" ref="AM50">AM24*INDEX(bet对应表!$E:$E,MATCH($AM$2,bet对应表!$A:$A,0),0)</f>
        <v>#N/A</v>
      </c>
      <c r="AN50" s="82" t="e" cm="1">
        <f t="array" ref="AN50">AN24*INDEX(bet对应表!$E:$E,MATCH($AN$2,bet对应表!$A:$A,0),0)</f>
        <v>#N/A</v>
      </c>
      <c r="AO50" s="82" t="e" cm="1">
        <f t="array" ref="AO50">AO24*INDEX(bet对应表!$E:$E,MATCH($AO$2,bet对应表!$A:$A,0),0)</f>
        <v>#N/A</v>
      </c>
      <c r="AP50" s="82" t="e" cm="1">
        <f t="array" ref="AP50">AP24*INDEX(bet对应表!$E:$E,MATCH($AP$2,bet对应表!$A:$A,0),0)</f>
        <v>#N/A</v>
      </c>
    </row>
    <row r="51" spans="11:42">
      <c r="K51" s="47">
        <f t="shared" si="13"/>
        <v>25000000</v>
      </c>
      <c r="L51" s="47">
        <f t="shared" si="14"/>
        <v>0</v>
      </c>
      <c r="N51" s="62">
        <v>22</v>
      </c>
      <c r="O51" s="82" t="e" cm="1">
        <f t="array" ref="O51">O25*INDEX(bet对应表!$E:$E,MATCH($O$2,bet对应表!$A:$A,0),0)</f>
        <v>#N/A</v>
      </c>
      <c r="P51" s="82" t="e" cm="1">
        <f t="array" ref="P51">P25*INDEX(bet对应表!$E:$E,MATCH($P$2,bet对应表!$A:$A,0),0)</f>
        <v>#N/A</v>
      </c>
      <c r="Q51" s="82" t="e" cm="1">
        <f t="array" ref="Q51">Q25*INDEX(bet对应表!$E:$E,MATCH($Q$2,bet对应表!$A:$A,0),0)</f>
        <v>#N/A</v>
      </c>
      <c r="R51" s="82" t="e" cm="1">
        <f t="array" ref="R51">R25*INDEX(bet对应表!$E:$E,MATCH($R$2,bet对应表!$A:$A,0),0)</f>
        <v>#N/A</v>
      </c>
      <c r="S51" s="82" t="e" cm="1">
        <f t="array" ref="S51">S25*INDEX(bet对应表!$E:$E,MATCH($S$2,bet对应表!$A:$A,0),0)</f>
        <v>#N/A</v>
      </c>
      <c r="T51" s="82" t="e" cm="1">
        <f t="array" ref="T51">T25*INDEX(bet对应表!$E:$E,MATCH($T$2,bet对应表!$A:$A,0),0)</f>
        <v>#N/A</v>
      </c>
      <c r="U51" s="82" t="e" cm="1">
        <f t="array" ref="U51">U25*INDEX(bet对应表!$E:$E,MATCH($U$2,bet对应表!$A:$A,0),0)</f>
        <v>#N/A</v>
      </c>
      <c r="V51" s="82" t="e" cm="1">
        <f t="array" ref="V51">V25*INDEX(bet对应表!$E:$E,MATCH($V$2,bet对应表!$A:$A,0),0)</f>
        <v>#N/A</v>
      </c>
      <c r="W51" s="82" t="e" cm="1">
        <f t="array" ref="W51">W25*INDEX(bet对应表!$E:$E,MATCH($W$2,bet对应表!$A:$A,0),0)</f>
        <v>#N/A</v>
      </c>
      <c r="X51" s="82" t="e" cm="1">
        <f t="array" ref="X51">X25*INDEX(bet对应表!$E:$E,MATCH($X$2,bet对应表!$A:$A,0),0)</f>
        <v>#N/A</v>
      </c>
      <c r="Y51" s="82" t="e" cm="1">
        <f t="array" ref="Y51">Y25*INDEX(bet对应表!$E:$E,MATCH($Y$2,bet对应表!$A:$A,0),0)</f>
        <v>#N/A</v>
      </c>
      <c r="Z51" s="82" t="e" cm="1">
        <f t="array" ref="Z51">Z25*INDEX(bet对应表!$E:$E,MATCH($Z$2,bet对应表!$A:$A,0),0)</f>
        <v>#N/A</v>
      </c>
      <c r="AA51" s="82" t="e" cm="1">
        <f t="array" ref="AA51">AA25*INDEX(bet对应表!$E:$E,MATCH($AA$2,bet对应表!$A:$A,0),0)</f>
        <v>#N/A</v>
      </c>
      <c r="AB51" s="82" t="e" cm="1">
        <f t="array" ref="AB51">AB25*INDEX(bet对应表!$E:$E,MATCH($AB$2,bet对应表!$A:$A,0),0)</f>
        <v>#N/A</v>
      </c>
      <c r="AC51" s="82" t="e" cm="1">
        <f t="array" ref="AC51">AC25*INDEX(bet对应表!$E:$E,MATCH($AC$2,bet对应表!$A:$A,0),0)</f>
        <v>#N/A</v>
      </c>
      <c r="AD51" s="82" t="e" cm="1">
        <f t="array" ref="AD51">AD25*INDEX(bet对应表!$E:$E,MATCH($AD$2,bet对应表!$A:$A,0),0)</f>
        <v>#N/A</v>
      </c>
      <c r="AF51" s="62">
        <v>22</v>
      </c>
      <c r="AG51" s="82" t="e" cm="1">
        <f t="array" ref="AG51">AG25*INDEX(bet对应表!$E:$E,MATCH($AG$2,bet对应表!$A:$A,0),0)</f>
        <v>#N/A</v>
      </c>
      <c r="AH51" s="82" t="e" cm="1">
        <f t="array" ref="AH51">AH25*INDEX(bet对应表!$E:$E,MATCH($AH$2,bet对应表!$A:$A,0),0)</f>
        <v>#N/A</v>
      </c>
      <c r="AI51" s="82" t="e" cm="1">
        <f t="array" ref="AI51">AI25*INDEX(bet对应表!$E:$E,MATCH($AI$2,bet对应表!$A:$A,0),0)</f>
        <v>#DIV/0!</v>
      </c>
      <c r="AJ51" s="82" t="e" cm="1">
        <f t="array" ref="AJ51">AJ25*INDEX(bet对应表!$E:$E,MATCH($AJ$2,bet对应表!$A:$A,0),0)</f>
        <v>#DIV/0!</v>
      </c>
      <c r="AK51" s="82" t="e" cm="1">
        <f t="array" ref="AK51">AK25*INDEX(bet对应表!$E:$E,MATCH($AK$2,bet对应表!$A:$A,0),0)</f>
        <v>#DIV/0!</v>
      </c>
      <c r="AL51" s="82" t="e" cm="1">
        <f t="array" ref="AL51">AL25*INDEX(bet对应表!$E:$E,MATCH($AL$2,bet对应表!$A:$A,0),0)</f>
        <v>#N/A</v>
      </c>
      <c r="AM51" s="82" t="e" cm="1">
        <f t="array" ref="AM51">AM25*INDEX(bet对应表!$E:$E,MATCH($AM$2,bet对应表!$A:$A,0),0)</f>
        <v>#N/A</v>
      </c>
      <c r="AN51" s="82" t="e" cm="1">
        <f t="array" ref="AN51">AN25*INDEX(bet对应表!$E:$E,MATCH($AN$2,bet对应表!$A:$A,0),0)</f>
        <v>#N/A</v>
      </c>
      <c r="AO51" s="82" t="e" cm="1">
        <f t="array" ref="AO51">AO25*INDEX(bet对应表!$E:$E,MATCH($AO$2,bet对应表!$A:$A,0),0)</f>
        <v>#N/A</v>
      </c>
      <c r="AP51" s="82" t="e" cm="1">
        <f t="array" ref="AP51">AP25*INDEX(bet对应表!$E:$E,MATCH($AP$2,bet对应表!$A:$A,0),0)</f>
        <v>#N/A</v>
      </c>
    </row>
    <row r="52" spans="11:42">
      <c r="K52" s="47">
        <f t="shared" si="13"/>
        <v>37500000</v>
      </c>
      <c r="L52" s="47">
        <f t="shared" si="14"/>
        <v>0</v>
      </c>
      <c r="N52" s="62">
        <v>23</v>
      </c>
      <c r="O52" s="82" t="e" cm="1">
        <f t="array" ref="O52">O26*INDEX(bet对应表!$E:$E,MATCH($O$2,bet对应表!$A:$A,0),0)</f>
        <v>#N/A</v>
      </c>
      <c r="P52" s="82" t="e" cm="1">
        <f t="array" ref="P52">P26*INDEX(bet对应表!$E:$E,MATCH($P$2,bet对应表!$A:$A,0),0)</f>
        <v>#N/A</v>
      </c>
      <c r="Q52" s="82" t="e" cm="1">
        <f t="array" ref="Q52">Q26*INDEX(bet对应表!$E:$E,MATCH($Q$2,bet对应表!$A:$A,0),0)</f>
        <v>#N/A</v>
      </c>
      <c r="R52" s="82" t="e" cm="1">
        <f t="array" ref="R52">R26*INDEX(bet对应表!$E:$E,MATCH($R$2,bet对应表!$A:$A,0),0)</f>
        <v>#N/A</v>
      </c>
      <c r="S52" s="82" t="e" cm="1">
        <f t="array" ref="S52">S26*INDEX(bet对应表!$E:$E,MATCH($S$2,bet对应表!$A:$A,0),0)</f>
        <v>#N/A</v>
      </c>
      <c r="T52" s="82" t="e" cm="1">
        <f t="array" ref="T52">T26*INDEX(bet对应表!$E:$E,MATCH($T$2,bet对应表!$A:$A,0),0)</f>
        <v>#N/A</v>
      </c>
      <c r="U52" s="82" t="e" cm="1">
        <f t="array" ref="U52">U26*INDEX(bet对应表!$E:$E,MATCH($U$2,bet对应表!$A:$A,0),0)</f>
        <v>#N/A</v>
      </c>
      <c r="V52" s="82" t="e" cm="1">
        <f t="array" ref="V52">V26*INDEX(bet对应表!$E:$E,MATCH($V$2,bet对应表!$A:$A,0),0)</f>
        <v>#N/A</v>
      </c>
      <c r="W52" s="82" t="e" cm="1">
        <f t="array" ref="W52">W26*INDEX(bet对应表!$E:$E,MATCH($W$2,bet对应表!$A:$A,0),0)</f>
        <v>#N/A</v>
      </c>
      <c r="X52" s="82" t="e" cm="1">
        <f t="array" ref="X52">X26*INDEX(bet对应表!$E:$E,MATCH($X$2,bet对应表!$A:$A,0),0)</f>
        <v>#N/A</v>
      </c>
      <c r="Y52" s="82" t="e" cm="1">
        <f t="array" ref="Y52">Y26*INDEX(bet对应表!$E:$E,MATCH($Y$2,bet对应表!$A:$A,0),0)</f>
        <v>#N/A</v>
      </c>
      <c r="Z52" s="82" t="e" cm="1">
        <f t="array" ref="Z52">Z26*INDEX(bet对应表!$E:$E,MATCH($Z$2,bet对应表!$A:$A,0),0)</f>
        <v>#N/A</v>
      </c>
      <c r="AA52" s="82" t="e" cm="1">
        <f t="array" ref="AA52">AA26*INDEX(bet对应表!$E:$E,MATCH($AA$2,bet对应表!$A:$A,0),0)</f>
        <v>#N/A</v>
      </c>
      <c r="AB52" s="82" t="e" cm="1">
        <f t="array" ref="AB52">AB26*INDEX(bet对应表!$E:$E,MATCH($AB$2,bet对应表!$A:$A,0),0)</f>
        <v>#N/A</v>
      </c>
      <c r="AC52" s="82" t="e" cm="1">
        <f t="array" ref="AC52">AC26*INDEX(bet对应表!$E:$E,MATCH($AC$2,bet对应表!$A:$A,0),0)</f>
        <v>#N/A</v>
      </c>
      <c r="AD52" s="82" t="e" cm="1">
        <f t="array" ref="AD52">AD26*INDEX(bet对应表!$E:$E,MATCH($AD$2,bet对应表!$A:$A,0),0)</f>
        <v>#N/A</v>
      </c>
      <c r="AF52" s="62">
        <v>23</v>
      </c>
      <c r="AG52" s="82" t="e" cm="1">
        <f t="array" ref="AG52">AG26*INDEX(bet对应表!$E:$E,MATCH($AG$2,bet对应表!$A:$A,0),0)</f>
        <v>#N/A</v>
      </c>
      <c r="AH52" s="82" t="e" cm="1">
        <f t="array" ref="AH52">AH26*INDEX(bet对应表!$E:$E,MATCH($AH$2,bet对应表!$A:$A,0),0)</f>
        <v>#N/A</v>
      </c>
      <c r="AI52" s="82" t="e" cm="1">
        <f t="array" ref="AI52">AI26*INDEX(bet对应表!$E:$E,MATCH($AI$2,bet对应表!$A:$A,0),0)</f>
        <v>#DIV/0!</v>
      </c>
      <c r="AJ52" s="82" t="e" cm="1">
        <f t="array" ref="AJ52">AJ26*INDEX(bet对应表!$E:$E,MATCH($AJ$2,bet对应表!$A:$A,0),0)</f>
        <v>#DIV/0!</v>
      </c>
      <c r="AK52" s="82" t="e" cm="1">
        <f t="array" ref="AK52">AK26*INDEX(bet对应表!$E:$E,MATCH($AK$2,bet对应表!$A:$A,0),0)</f>
        <v>#DIV/0!</v>
      </c>
      <c r="AL52" s="82" t="e" cm="1">
        <f t="array" ref="AL52">AL26*INDEX(bet对应表!$E:$E,MATCH($AL$2,bet对应表!$A:$A,0),0)</f>
        <v>#N/A</v>
      </c>
      <c r="AM52" s="82" t="e" cm="1">
        <f t="array" ref="AM52">AM26*INDEX(bet对应表!$E:$E,MATCH($AM$2,bet对应表!$A:$A,0),0)</f>
        <v>#N/A</v>
      </c>
      <c r="AN52" s="82" t="e" cm="1">
        <f t="array" ref="AN52">AN26*INDEX(bet对应表!$E:$E,MATCH($AN$2,bet对应表!$A:$A,0),0)</f>
        <v>#N/A</v>
      </c>
      <c r="AO52" s="82" t="e" cm="1">
        <f t="array" ref="AO52">AO26*INDEX(bet对应表!$E:$E,MATCH($AO$2,bet对应表!$A:$A,0),0)</f>
        <v>#N/A</v>
      </c>
      <c r="AP52" s="82" t="e" cm="1">
        <f t="array" ref="AP52">AP26*INDEX(bet对应表!$E:$E,MATCH($AP$2,bet对应表!$A:$A,0),0)</f>
        <v>#N/A</v>
      </c>
    </row>
    <row r="53" spans="11:42">
      <c r="K53" s="47">
        <f t="shared" si="13"/>
        <v>50000000</v>
      </c>
      <c r="L53" s="47">
        <f t="shared" si="14"/>
        <v>0</v>
      </c>
      <c r="N53" s="88">
        <v>24</v>
      </c>
      <c r="O53" s="89" t="e" cm="1">
        <f t="array" ref="O53">O27*INDEX(bet对应表!$E:$E,MATCH($O$2,bet对应表!$A:$A,0),0)</f>
        <v>#N/A</v>
      </c>
      <c r="P53" s="89" t="e" cm="1">
        <f t="array" ref="P53">P27*INDEX(bet对应表!$E:$E,MATCH($P$2,bet对应表!$A:$A,0),0)</f>
        <v>#N/A</v>
      </c>
      <c r="Q53" s="89" t="e" cm="1">
        <f t="array" ref="Q53">Q27*INDEX(bet对应表!$E:$E,MATCH($Q$2,bet对应表!$A:$A,0),0)</f>
        <v>#N/A</v>
      </c>
      <c r="R53" s="89" t="e" cm="1">
        <f t="array" ref="R53">R27*INDEX(bet对应表!$E:$E,MATCH($R$2,bet对应表!$A:$A,0),0)</f>
        <v>#N/A</v>
      </c>
      <c r="S53" s="89" t="e" cm="1">
        <f t="array" ref="S53">S27*INDEX(bet对应表!$E:$E,MATCH($S$2,bet对应表!$A:$A,0),0)</f>
        <v>#N/A</v>
      </c>
      <c r="T53" s="89" t="e" cm="1">
        <f t="array" ref="T53">T27*INDEX(bet对应表!$E:$E,MATCH($T$2,bet对应表!$A:$A,0),0)</f>
        <v>#N/A</v>
      </c>
      <c r="U53" s="89" t="e" cm="1">
        <f t="array" ref="U53">U27*INDEX(bet对应表!$E:$E,MATCH($U$2,bet对应表!$A:$A,0),0)</f>
        <v>#N/A</v>
      </c>
      <c r="V53" s="89" t="e" cm="1">
        <f t="array" ref="V53">V27*INDEX(bet对应表!$E:$E,MATCH($V$2,bet对应表!$A:$A,0),0)</f>
        <v>#N/A</v>
      </c>
      <c r="W53" s="89" t="e" cm="1">
        <f t="array" ref="W53">W27*INDEX(bet对应表!$E:$E,MATCH($W$2,bet对应表!$A:$A,0),0)</f>
        <v>#N/A</v>
      </c>
      <c r="X53" s="89" t="e" cm="1">
        <f t="array" ref="X53">X27*INDEX(bet对应表!$E:$E,MATCH($X$2,bet对应表!$A:$A,0),0)</f>
        <v>#N/A</v>
      </c>
      <c r="Y53" s="89" t="e" cm="1">
        <f t="array" ref="Y53">Y27*INDEX(bet对应表!$E:$E,MATCH($Y$2,bet对应表!$A:$A,0),0)</f>
        <v>#N/A</v>
      </c>
      <c r="Z53" s="89" t="e" cm="1">
        <f t="array" ref="Z53">Z27*INDEX(bet对应表!$E:$E,MATCH($Z$2,bet对应表!$A:$A,0),0)</f>
        <v>#N/A</v>
      </c>
      <c r="AA53" s="89" t="e" cm="1">
        <f t="array" ref="AA53">AA27*INDEX(bet对应表!$E:$E,MATCH($AA$2,bet对应表!$A:$A,0),0)</f>
        <v>#N/A</v>
      </c>
      <c r="AB53" s="89" t="e" cm="1">
        <f t="array" ref="AB53">AB27*INDEX(bet对应表!$E:$E,MATCH($AB$2,bet对应表!$A:$A,0),0)</f>
        <v>#N/A</v>
      </c>
      <c r="AC53" s="89" t="e" cm="1">
        <f t="array" ref="AC53">AC27*INDEX(bet对应表!$E:$E,MATCH($AC$2,bet对应表!$A:$A,0),0)</f>
        <v>#N/A</v>
      </c>
      <c r="AD53" s="89" t="e" cm="1">
        <f t="array" ref="AD53">AD27*INDEX(bet对应表!$E:$E,MATCH($AD$2,bet对应表!$A:$A,0),0)</f>
        <v>#N/A</v>
      </c>
      <c r="AF53" s="88">
        <v>24</v>
      </c>
      <c r="AG53" s="89" t="e" cm="1">
        <f t="array" ref="AG53">AG27*INDEX(bet对应表!$E:$E,MATCH($AG$2,bet对应表!$A:$A,0),0)</f>
        <v>#N/A</v>
      </c>
      <c r="AH53" s="89" t="e" cm="1">
        <f t="array" ref="AH53">AH27*INDEX(bet对应表!$E:$E,MATCH($AH$2,bet对应表!$A:$A,0),0)</f>
        <v>#N/A</v>
      </c>
      <c r="AI53" s="89" t="e" cm="1">
        <f t="array" ref="AI53">AI27*INDEX(bet对应表!$E:$E,MATCH($AI$2,bet对应表!$A:$A,0),0)</f>
        <v>#DIV/0!</v>
      </c>
      <c r="AJ53" s="89" t="e" cm="1">
        <f t="array" ref="AJ53">AJ27*INDEX(bet对应表!$E:$E,MATCH($AJ$2,bet对应表!$A:$A,0),0)</f>
        <v>#DIV/0!</v>
      </c>
      <c r="AK53" s="89" t="e" cm="1">
        <f t="array" ref="AK53">AK27*INDEX(bet对应表!$E:$E,MATCH($AK$2,bet对应表!$A:$A,0),0)</f>
        <v>#DIV/0!</v>
      </c>
      <c r="AL53" s="89" t="e" cm="1">
        <f t="array" ref="AL53">AL27*INDEX(bet对应表!$E:$E,MATCH($AL$2,bet对应表!$A:$A,0),0)</f>
        <v>#N/A</v>
      </c>
      <c r="AM53" s="89" t="e" cm="1">
        <f t="array" ref="AM53">AM27*INDEX(bet对应表!$E:$E,MATCH($AM$2,bet对应表!$A:$A,0),0)</f>
        <v>#N/A</v>
      </c>
      <c r="AN53" s="89" t="e" cm="1">
        <f t="array" ref="AN53">AN27*INDEX(bet对应表!$E:$E,MATCH($AN$2,bet对应表!$A:$A,0),0)</f>
        <v>#N/A</v>
      </c>
      <c r="AO53" s="89" t="e" cm="1">
        <f t="array" ref="AO53">AO27*INDEX(bet对应表!$E:$E,MATCH($AO$2,bet对应表!$A:$A,0),0)</f>
        <v>#N/A</v>
      </c>
      <c r="AP53" s="89" t="e" cm="1">
        <f t="array" ref="AP53">AP27*INDEX(bet对应表!$E:$E,MATCH($AP$2,bet对应表!$A:$A,0),0)</f>
        <v>#N/A</v>
      </c>
    </row>
    <row r="54" spans="11:42">
      <c r="K54" s="47">
        <f t="shared" si="13"/>
        <v>75000000</v>
      </c>
      <c r="L54" s="47">
        <f t="shared" si="14"/>
        <v>0</v>
      </c>
    </row>
    <row r="55" spans="11:42">
      <c r="K55" s="47">
        <f t="shared" si="13"/>
        <v>112500000</v>
      </c>
      <c r="L55" s="47">
        <f t="shared" si="14"/>
        <v>0</v>
      </c>
      <c r="N55" s="47"/>
      <c r="O55" s="76" t="s">
        <v>72</v>
      </c>
      <c r="P55" s="77"/>
      <c r="Q55" s="77"/>
      <c r="R55" s="77"/>
      <c r="S55" s="77"/>
      <c r="T55" s="77"/>
      <c r="U55" s="78"/>
      <c r="V55" s="77"/>
      <c r="W55" s="77"/>
      <c r="X55" s="77"/>
      <c r="Y55" s="78"/>
      <c r="Z55" s="77"/>
      <c r="AA55" s="90"/>
      <c r="AB55" s="90"/>
      <c r="AC55" s="90"/>
      <c r="AD55" s="90"/>
      <c r="AF55" s="47"/>
      <c r="AG55" s="48" t="s">
        <v>72</v>
      </c>
      <c r="AH55" s="49"/>
      <c r="AI55" s="49"/>
      <c r="AJ55" s="49"/>
      <c r="AK55" s="49"/>
      <c r="AL55" s="49"/>
      <c r="AM55" s="49"/>
      <c r="AN55" s="49"/>
      <c r="AO55" s="49"/>
      <c r="AP55" s="79"/>
    </row>
    <row r="56" spans="11:42">
      <c r="K56" s="47">
        <f t="shared" si="13"/>
        <v>150000000</v>
      </c>
      <c r="L56" s="47">
        <f t="shared" si="14"/>
        <v>0</v>
      </c>
      <c r="N56" s="62">
        <v>1</v>
      </c>
      <c r="O56" s="91" t="e">
        <f>$J$4/O30</f>
        <v>#N/A</v>
      </c>
      <c r="P56" s="91" t="e">
        <f>J4/P30</f>
        <v>#N/A</v>
      </c>
      <c r="Q56" s="91" t="e">
        <f>J4/Q30</f>
        <v>#N/A</v>
      </c>
      <c r="R56" s="91" t="e">
        <f>J4/R30</f>
        <v>#N/A</v>
      </c>
      <c r="S56" s="91" t="e">
        <f>J4/S30</f>
        <v>#N/A</v>
      </c>
      <c r="T56" s="91" t="e">
        <f>J4/T30</f>
        <v>#N/A</v>
      </c>
      <c r="U56" s="91" t="e">
        <f>J4/U30</f>
        <v>#N/A</v>
      </c>
      <c r="V56" s="91" t="e">
        <f>J4/V30</f>
        <v>#N/A</v>
      </c>
      <c r="W56" s="91" t="e">
        <f>J4/W30</f>
        <v>#N/A</v>
      </c>
      <c r="X56" s="91" t="e">
        <f>J4/X30</f>
        <v>#N/A</v>
      </c>
      <c r="Y56" s="91" t="e">
        <f>J4/Y30</f>
        <v>#N/A</v>
      </c>
      <c r="Z56" s="91" t="e">
        <f>J4/Z30</f>
        <v>#N/A</v>
      </c>
      <c r="AA56" s="91" t="e">
        <f>J4/AA30</f>
        <v>#N/A</v>
      </c>
      <c r="AB56" s="91" t="e">
        <f>J4/AB30</f>
        <v>#N/A</v>
      </c>
      <c r="AC56" s="91" t="e">
        <f>J4/AC30</f>
        <v>#N/A</v>
      </c>
      <c r="AD56" s="91" t="e">
        <f>J4/AD30</f>
        <v>#N/A</v>
      </c>
      <c r="AF56" s="62">
        <v>1</v>
      </c>
      <c r="AG56" s="91" t="e">
        <f>J4/AG30</f>
        <v>#N/A</v>
      </c>
      <c r="AH56" s="91" t="e">
        <f>J4/AH30</f>
        <v>#N/A</v>
      </c>
      <c r="AI56" s="91" t="e">
        <f>J4/AI30</f>
        <v>#DIV/0!</v>
      </c>
      <c r="AJ56" s="91" t="e">
        <f>J4/AJ30</f>
        <v>#DIV/0!</v>
      </c>
      <c r="AK56" s="91" t="e">
        <f>J4/AK30</f>
        <v>#DIV/0!</v>
      </c>
      <c r="AL56" s="91" t="e">
        <f>J4/AL30</f>
        <v>#N/A</v>
      </c>
      <c r="AM56" s="91" t="e">
        <f>J4/AM30</f>
        <v>#N/A</v>
      </c>
      <c r="AN56" s="91" t="e">
        <f>J4/AN30</f>
        <v>#N/A</v>
      </c>
      <c r="AO56" s="91" t="e">
        <f>J4/AO30</f>
        <v>#N/A</v>
      </c>
      <c r="AP56" s="91" t="e">
        <f>J4/AP30</f>
        <v>#N/A</v>
      </c>
    </row>
    <row r="57" spans="11:42">
      <c r="N57" s="62">
        <v>2</v>
      </c>
      <c r="O57" s="91" t="e">
        <f t="shared" ref="O57:O63" si="15">J5/O31</f>
        <v>#N/A</v>
      </c>
      <c r="P57" s="91" t="e">
        <f t="shared" ref="P57:P63" si="16">J5/P31</f>
        <v>#N/A</v>
      </c>
      <c r="Q57" s="91" t="e">
        <f t="shared" ref="Q57:Q63" si="17">J5/Q31</f>
        <v>#N/A</v>
      </c>
      <c r="R57" s="91" t="e">
        <f t="shared" ref="R57:R63" si="18">J5/R31</f>
        <v>#N/A</v>
      </c>
      <c r="S57" s="91" t="e">
        <f t="shared" ref="S57:S63" si="19">J5/S31</f>
        <v>#N/A</v>
      </c>
      <c r="T57" s="91" t="e">
        <f t="shared" ref="T57:T63" si="20">J5/T31</f>
        <v>#N/A</v>
      </c>
      <c r="U57" s="91" t="e">
        <f t="shared" ref="U57:U63" si="21">J5/U31</f>
        <v>#N/A</v>
      </c>
      <c r="V57" s="91" t="e">
        <f t="shared" ref="V57:V63" si="22">J5/V31</f>
        <v>#N/A</v>
      </c>
      <c r="W57" s="91" t="e">
        <f t="shared" ref="W57:W63" si="23">J5/W31</f>
        <v>#N/A</v>
      </c>
      <c r="X57" s="91" t="e">
        <f t="shared" ref="X57:X63" si="24">J5/X31</f>
        <v>#N/A</v>
      </c>
      <c r="Y57" s="91" t="e">
        <f t="shared" ref="Y57:Y63" si="25">J5/Y31</f>
        <v>#N/A</v>
      </c>
      <c r="Z57" s="91" t="e">
        <f t="shared" ref="Z57:Z63" si="26">J5/Z31</f>
        <v>#N/A</v>
      </c>
      <c r="AA57" s="91" t="e">
        <f>J5/AA31</f>
        <v>#N/A</v>
      </c>
      <c r="AB57" s="91" t="e">
        <f t="shared" ref="AB57:AB63" si="27">J5/AB31</f>
        <v>#N/A</v>
      </c>
      <c r="AC57" s="91" t="e">
        <f t="shared" ref="AC57:AC63" si="28">J5/AC31</f>
        <v>#N/A</v>
      </c>
      <c r="AD57" s="91" t="e">
        <f t="shared" ref="AD57:AD63" si="29">J5/AD31</f>
        <v>#N/A</v>
      </c>
      <c r="AF57" s="62">
        <v>2</v>
      </c>
      <c r="AG57" s="91" t="e">
        <f t="shared" ref="AG57:AG63" si="30">J5/AG31</f>
        <v>#N/A</v>
      </c>
      <c r="AH57" s="91" t="e">
        <f t="shared" ref="AH57:AH63" si="31">J5/AH31</f>
        <v>#N/A</v>
      </c>
      <c r="AI57" s="91" t="e">
        <f t="shared" ref="AI57:AI63" si="32">J5/AI31</f>
        <v>#DIV/0!</v>
      </c>
      <c r="AJ57" s="91" t="e">
        <f t="shared" ref="AJ57:AJ63" si="33">J5/AJ31</f>
        <v>#DIV/0!</v>
      </c>
      <c r="AK57" s="91" t="e">
        <f t="shared" ref="AK57:AK63" si="34">J5/AK31</f>
        <v>#DIV/0!</v>
      </c>
      <c r="AL57" s="91" t="e">
        <f t="shared" ref="AL57:AL63" si="35">J5/AL31</f>
        <v>#N/A</v>
      </c>
      <c r="AM57" s="91" t="e">
        <f t="shared" ref="AM57:AM63" si="36">J5/AM31</f>
        <v>#N/A</v>
      </c>
      <c r="AN57" s="91" t="e">
        <f t="shared" ref="AN57:AN63" si="37">J5/AN31</f>
        <v>#N/A</v>
      </c>
      <c r="AO57" s="91" t="e">
        <f t="shared" ref="AO57:AO63" si="38">J5/AO31</f>
        <v>#N/A</v>
      </c>
      <c r="AP57" s="91" t="e">
        <f t="shared" ref="AP57:AP63" si="39">J5/AP31</f>
        <v>#N/A</v>
      </c>
    </row>
    <row r="58" spans="11:42">
      <c r="N58" s="62">
        <v>3</v>
      </c>
      <c r="O58" s="91" t="e">
        <f t="shared" si="15"/>
        <v>#N/A</v>
      </c>
      <c r="P58" s="91" t="e">
        <f t="shared" si="16"/>
        <v>#N/A</v>
      </c>
      <c r="Q58" s="91" t="e">
        <f t="shared" si="17"/>
        <v>#N/A</v>
      </c>
      <c r="R58" s="91" t="e">
        <f t="shared" si="18"/>
        <v>#N/A</v>
      </c>
      <c r="S58" s="91" t="e">
        <f t="shared" si="19"/>
        <v>#N/A</v>
      </c>
      <c r="T58" s="91" t="e">
        <f t="shared" si="20"/>
        <v>#N/A</v>
      </c>
      <c r="U58" s="91" t="e">
        <f t="shared" si="21"/>
        <v>#N/A</v>
      </c>
      <c r="V58" s="91" t="e">
        <f t="shared" si="22"/>
        <v>#N/A</v>
      </c>
      <c r="W58" s="91" t="e">
        <f t="shared" si="23"/>
        <v>#N/A</v>
      </c>
      <c r="X58" s="91" t="e">
        <f t="shared" si="24"/>
        <v>#N/A</v>
      </c>
      <c r="Y58" s="91" t="e">
        <f t="shared" si="25"/>
        <v>#N/A</v>
      </c>
      <c r="Z58" s="91" t="e">
        <f t="shared" si="26"/>
        <v>#N/A</v>
      </c>
      <c r="AA58" s="91" t="e">
        <f>J6/AA32</f>
        <v>#N/A</v>
      </c>
      <c r="AB58" s="91" t="e">
        <f t="shared" si="27"/>
        <v>#N/A</v>
      </c>
      <c r="AC58" s="91" t="e">
        <f t="shared" si="28"/>
        <v>#N/A</v>
      </c>
      <c r="AD58" s="91" t="e">
        <f t="shared" si="29"/>
        <v>#N/A</v>
      </c>
      <c r="AF58" s="62">
        <v>3</v>
      </c>
      <c r="AG58" s="91" t="e">
        <f t="shared" si="30"/>
        <v>#N/A</v>
      </c>
      <c r="AH58" s="91" t="e">
        <f t="shared" si="31"/>
        <v>#N/A</v>
      </c>
      <c r="AI58" s="91" t="e">
        <f t="shared" si="32"/>
        <v>#DIV/0!</v>
      </c>
      <c r="AJ58" s="91" t="e">
        <f t="shared" si="33"/>
        <v>#DIV/0!</v>
      </c>
      <c r="AK58" s="91" t="e">
        <f t="shared" si="34"/>
        <v>#DIV/0!</v>
      </c>
      <c r="AL58" s="91" t="e">
        <f t="shared" si="35"/>
        <v>#N/A</v>
      </c>
      <c r="AM58" s="91" t="e">
        <f t="shared" si="36"/>
        <v>#N/A</v>
      </c>
      <c r="AN58" s="91" t="e">
        <f t="shared" si="37"/>
        <v>#N/A</v>
      </c>
      <c r="AO58" s="91" t="e">
        <f t="shared" si="38"/>
        <v>#N/A</v>
      </c>
      <c r="AP58" s="91" t="e">
        <f t="shared" si="39"/>
        <v>#N/A</v>
      </c>
    </row>
    <row r="59" spans="11:42">
      <c r="N59" s="62">
        <v>4</v>
      </c>
      <c r="O59" s="91" t="e">
        <f t="shared" si="15"/>
        <v>#N/A</v>
      </c>
      <c r="P59" s="91" t="e">
        <f t="shared" si="16"/>
        <v>#N/A</v>
      </c>
      <c r="Q59" s="91" t="e">
        <f t="shared" si="17"/>
        <v>#N/A</v>
      </c>
      <c r="R59" s="91" t="e">
        <f t="shared" si="18"/>
        <v>#N/A</v>
      </c>
      <c r="S59" s="91" t="e">
        <f t="shared" si="19"/>
        <v>#N/A</v>
      </c>
      <c r="T59" s="91" t="e">
        <f t="shared" si="20"/>
        <v>#N/A</v>
      </c>
      <c r="U59" s="91" t="e">
        <f t="shared" si="21"/>
        <v>#N/A</v>
      </c>
      <c r="V59" s="91" t="e">
        <f t="shared" si="22"/>
        <v>#N/A</v>
      </c>
      <c r="W59" s="91" t="e">
        <f t="shared" si="23"/>
        <v>#N/A</v>
      </c>
      <c r="X59" s="91" t="e">
        <f t="shared" si="24"/>
        <v>#N/A</v>
      </c>
      <c r="Y59" s="91" t="e">
        <f t="shared" si="25"/>
        <v>#N/A</v>
      </c>
      <c r="Z59" s="91" t="e">
        <f t="shared" si="26"/>
        <v>#N/A</v>
      </c>
      <c r="AA59" s="91" t="e">
        <f>J7/AA33</f>
        <v>#N/A</v>
      </c>
      <c r="AB59" s="91" t="e">
        <f t="shared" si="27"/>
        <v>#N/A</v>
      </c>
      <c r="AC59" s="91" t="e">
        <f t="shared" si="28"/>
        <v>#N/A</v>
      </c>
      <c r="AD59" s="91" t="e">
        <f t="shared" si="29"/>
        <v>#N/A</v>
      </c>
      <c r="AF59" s="62">
        <v>4</v>
      </c>
      <c r="AG59" s="91" t="e">
        <f t="shared" si="30"/>
        <v>#N/A</v>
      </c>
      <c r="AH59" s="91" t="e">
        <f t="shared" si="31"/>
        <v>#N/A</v>
      </c>
      <c r="AI59" s="91" t="e">
        <f t="shared" si="32"/>
        <v>#DIV/0!</v>
      </c>
      <c r="AJ59" s="91" t="e">
        <f t="shared" si="33"/>
        <v>#DIV/0!</v>
      </c>
      <c r="AK59" s="91" t="e">
        <f t="shared" si="34"/>
        <v>#DIV/0!</v>
      </c>
      <c r="AL59" s="91" t="e">
        <f t="shared" si="35"/>
        <v>#N/A</v>
      </c>
      <c r="AM59" s="91" t="e">
        <f t="shared" si="36"/>
        <v>#N/A</v>
      </c>
      <c r="AN59" s="91" t="e">
        <f t="shared" si="37"/>
        <v>#N/A</v>
      </c>
      <c r="AO59" s="91" t="e">
        <f t="shared" si="38"/>
        <v>#N/A</v>
      </c>
      <c r="AP59" s="91" t="e">
        <f t="shared" si="39"/>
        <v>#N/A</v>
      </c>
    </row>
    <row r="60" spans="11:42">
      <c r="N60" s="62">
        <v>5</v>
      </c>
      <c r="O60" s="91" t="e">
        <f t="shared" si="15"/>
        <v>#N/A</v>
      </c>
      <c r="P60" s="91" t="e">
        <f t="shared" si="16"/>
        <v>#N/A</v>
      </c>
      <c r="Q60" s="91" t="e">
        <f t="shared" si="17"/>
        <v>#N/A</v>
      </c>
      <c r="R60" s="91" t="e">
        <f t="shared" si="18"/>
        <v>#N/A</v>
      </c>
      <c r="S60" s="91" t="e">
        <f t="shared" si="19"/>
        <v>#N/A</v>
      </c>
      <c r="T60" s="91" t="e">
        <f t="shared" si="20"/>
        <v>#N/A</v>
      </c>
      <c r="U60" s="91" t="e">
        <f t="shared" si="21"/>
        <v>#N/A</v>
      </c>
      <c r="V60" s="91" t="e">
        <f t="shared" si="22"/>
        <v>#N/A</v>
      </c>
      <c r="W60" s="91" t="e">
        <f t="shared" si="23"/>
        <v>#N/A</v>
      </c>
      <c r="X60" s="91" t="e">
        <f t="shared" si="24"/>
        <v>#N/A</v>
      </c>
      <c r="Y60" s="91" t="e">
        <f t="shared" si="25"/>
        <v>#N/A</v>
      </c>
      <c r="Z60" s="91" t="e">
        <f t="shared" si="26"/>
        <v>#N/A</v>
      </c>
      <c r="AA60" s="91" t="e">
        <f t="shared" ref="AA57:AA63" si="40">J8/AA34</f>
        <v>#N/A</v>
      </c>
      <c r="AB60" s="91" t="e">
        <f t="shared" si="27"/>
        <v>#N/A</v>
      </c>
      <c r="AC60" s="91" t="e">
        <f t="shared" si="28"/>
        <v>#N/A</v>
      </c>
      <c r="AD60" s="91" t="e">
        <f t="shared" si="29"/>
        <v>#N/A</v>
      </c>
      <c r="AF60" s="62">
        <v>5</v>
      </c>
      <c r="AG60" s="91" t="e">
        <f t="shared" si="30"/>
        <v>#N/A</v>
      </c>
      <c r="AH60" s="91" t="e">
        <f t="shared" si="31"/>
        <v>#N/A</v>
      </c>
      <c r="AI60" s="91" t="e">
        <f t="shared" si="32"/>
        <v>#DIV/0!</v>
      </c>
      <c r="AJ60" s="91" t="e">
        <f t="shared" si="33"/>
        <v>#DIV/0!</v>
      </c>
      <c r="AK60" s="91" t="e">
        <f t="shared" si="34"/>
        <v>#DIV/0!</v>
      </c>
      <c r="AL60" s="91" t="e">
        <f t="shared" si="35"/>
        <v>#N/A</v>
      </c>
      <c r="AM60" s="91" t="e">
        <f t="shared" si="36"/>
        <v>#N/A</v>
      </c>
      <c r="AN60" s="91" t="e">
        <f t="shared" si="37"/>
        <v>#N/A</v>
      </c>
      <c r="AO60" s="91" t="e">
        <f t="shared" si="38"/>
        <v>#N/A</v>
      </c>
      <c r="AP60" s="91" t="e">
        <f t="shared" si="39"/>
        <v>#N/A</v>
      </c>
    </row>
    <row r="61" spans="11:42">
      <c r="N61" s="62">
        <v>6</v>
      </c>
      <c r="O61" s="91" t="e">
        <f t="shared" si="15"/>
        <v>#N/A</v>
      </c>
      <c r="P61" s="91" t="e">
        <f t="shared" si="16"/>
        <v>#N/A</v>
      </c>
      <c r="Q61" s="91" t="e">
        <f t="shared" si="17"/>
        <v>#N/A</v>
      </c>
      <c r="R61" s="91" t="e">
        <f t="shared" si="18"/>
        <v>#N/A</v>
      </c>
      <c r="S61" s="91" t="e">
        <f t="shared" si="19"/>
        <v>#N/A</v>
      </c>
      <c r="T61" s="91" t="e">
        <f t="shared" si="20"/>
        <v>#N/A</v>
      </c>
      <c r="U61" s="91" t="e">
        <f t="shared" si="21"/>
        <v>#N/A</v>
      </c>
      <c r="V61" s="91" t="e">
        <f t="shared" si="22"/>
        <v>#N/A</v>
      </c>
      <c r="W61" s="91" t="e">
        <f t="shared" si="23"/>
        <v>#N/A</v>
      </c>
      <c r="X61" s="91" t="e">
        <f t="shared" si="24"/>
        <v>#N/A</v>
      </c>
      <c r="Y61" s="91" t="e">
        <f t="shared" si="25"/>
        <v>#N/A</v>
      </c>
      <c r="Z61" s="91" t="e">
        <f t="shared" si="26"/>
        <v>#N/A</v>
      </c>
      <c r="AA61" s="91" t="e">
        <f t="shared" si="40"/>
        <v>#N/A</v>
      </c>
      <c r="AB61" s="91" t="e">
        <f t="shared" si="27"/>
        <v>#N/A</v>
      </c>
      <c r="AC61" s="91" t="e">
        <f t="shared" si="28"/>
        <v>#N/A</v>
      </c>
      <c r="AD61" s="91" t="e">
        <f t="shared" si="29"/>
        <v>#N/A</v>
      </c>
      <c r="AF61" s="62">
        <v>6</v>
      </c>
      <c r="AG61" s="91" t="e">
        <f t="shared" si="30"/>
        <v>#N/A</v>
      </c>
      <c r="AH61" s="91" t="e">
        <f t="shared" si="31"/>
        <v>#N/A</v>
      </c>
      <c r="AI61" s="91" t="e">
        <f t="shared" si="32"/>
        <v>#DIV/0!</v>
      </c>
      <c r="AJ61" s="91" t="e">
        <f t="shared" si="33"/>
        <v>#DIV/0!</v>
      </c>
      <c r="AK61" s="91" t="e">
        <f t="shared" si="34"/>
        <v>#DIV/0!</v>
      </c>
      <c r="AL61" s="91" t="e">
        <f t="shared" si="35"/>
        <v>#N/A</v>
      </c>
      <c r="AM61" s="91" t="e">
        <f t="shared" si="36"/>
        <v>#N/A</v>
      </c>
      <c r="AN61" s="91" t="e">
        <f t="shared" si="37"/>
        <v>#N/A</v>
      </c>
      <c r="AO61" s="91" t="e">
        <f t="shared" si="38"/>
        <v>#N/A</v>
      </c>
      <c r="AP61" s="91" t="e">
        <f t="shared" si="39"/>
        <v>#N/A</v>
      </c>
    </row>
    <row r="62" spans="11:42">
      <c r="N62" s="62">
        <v>7</v>
      </c>
      <c r="O62" s="91" t="e">
        <f t="shared" si="15"/>
        <v>#N/A</v>
      </c>
      <c r="P62" s="91" t="e">
        <f t="shared" si="16"/>
        <v>#N/A</v>
      </c>
      <c r="Q62" s="91" t="e">
        <f t="shared" si="17"/>
        <v>#N/A</v>
      </c>
      <c r="R62" s="91" t="e">
        <f t="shared" si="18"/>
        <v>#N/A</v>
      </c>
      <c r="S62" s="91" t="e">
        <f t="shared" si="19"/>
        <v>#N/A</v>
      </c>
      <c r="T62" s="91" t="e">
        <f t="shared" si="20"/>
        <v>#N/A</v>
      </c>
      <c r="U62" s="91" t="e">
        <f t="shared" si="21"/>
        <v>#N/A</v>
      </c>
      <c r="V62" s="91" t="e">
        <f t="shared" si="22"/>
        <v>#N/A</v>
      </c>
      <c r="W62" s="91" t="e">
        <f t="shared" si="23"/>
        <v>#N/A</v>
      </c>
      <c r="X62" s="91" t="e">
        <f t="shared" si="24"/>
        <v>#N/A</v>
      </c>
      <c r="Y62" s="91" t="e">
        <f t="shared" si="25"/>
        <v>#N/A</v>
      </c>
      <c r="Z62" s="91" t="e">
        <f t="shared" si="26"/>
        <v>#N/A</v>
      </c>
      <c r="AA62" s="91" t="e">
        <f t="shared" si="40"/>
        <v>#N/A</v>
      </c>
      <c r="AB62" s="91" t="e">
        <f t="shared" si="27"/>
        <v>#N/A</v>
      </c>
      <c r="AC62" s="91" t="e">
        <f t="shared" si="28"/>
        <v>#N/A</v>
      </c>
      <c r="AD62" s="91" t="e">
        <f t="shared" si="29"/>
        <v>#N/A</v>
      </c>
      <c r="AF62" s="62">
        <v>7</v>
      </c>
      <c r="AG62" s="91" t="e">
        <f t="shared" si="30"/>
        <v>#N/A</v>
      </c>
      <c r="AH62" s="91" t="e">
        <f t="shared" si="31"/>
        <v>#N/A</v>
      </c>
      <c r="AI62" s="91" t="e">
        <f t="shared" si="32"/>
        <v>#DIV/0!</v>
      </c>
      <c r="AJ62" s="91" t="e">
        <f t="shared" si="33"/>
        <v>#DIV/0!</v>
      </c>
      <c r="AK62" s="91" t="e">
        <f t="shared" si="34"/>
        <v>#DIV/0!</v>
      </c>
      <c r="AL62" s="91" t="e">
        <f t="shared" si="35"/>
        <v>#N/A</v>
      </c>
      <c r="AM62" s="91" t="e">
        <f t="shared" si="36"/>
        <v>#N/A</v>
      </c>
      <c r="AN62" s="91" t="e">
        <f t="shared" si="37"/>
        <v>#N/A</v>
      </c>
      <c r="AO62" s="91" t="e">
        <f t="shared" si="38"/>
        <v>#N/A</v>
      </c>
      <c r="AP62" s="91" t="e">
        <f t="shared" si="39"/>
        <v>#N/A</v>
      </c>
    </row>
    <row r="63" spans="11:42">
      <c r="N63" s="57">
        <v>8</v>
      </c>
      <c r="O63" s="92" t="e">
        <f t="shared" si="15"/>
        <v>#N/A</v>
      </c>
      <c r="P63" s="92" t="e">
        <f t="shared" si="16"/>
        <v>#N/A</v>
      </c>
      <c r="Q63" s="92" t="e">
        <f t="shared" si="17"/>
        <v>#N/A</v>
      </c>
      <c r="R63" s="92" t="e">
        <f t="shared" si="18"/>
        <v>#N/A</v>
      </c>
      <c r="S63" s="92" t="e">
        <f t="shared" si="19"/>
        <v>#N/A</v>
      </c>
      <c r="T63" s="92" t="e">
        <f t="shared" si="20"/>
        <v>#N/A</v>
      </c>
      <c r="U63" s="92" t="e">
        <f t="shared" si="21"/>
        <v>#N/A</v>
      </c>
      <c r="V63" s="92" t="e">
        <f t="shared" si="22"/>
        <v>#N/A</v>
      </c>
      <c r="W63" s="92" t="e">
        <f t="shared" si="23"/>
        <v>#N/A</v>
      </c>
      <c r="X63" s="92" t="e">
        <f t="shared" si="24"/>
        <v>#N/A</v>
      </c>
      <c r="Y63" s="92" t="e">
        <f t="shared" si="25"/>
        <v>#N/A</v>
      </c>
      <c r="Z63" s="92" t="e">
        <f t="shared" si="26"/>
        <v>#N/A</v>
      </c>
      <c r="AA63" s="92" t="e">
        <f t="shared" si="40"/>
        <v>#N/A</v>
      </c>
      <c r="AB63" s="92" t="e">
        <f t="shared" si="27"/>
        <v>#N/A</v>
      </c>
      <c r="AC63" s="92" t="e">
        <f t="shared" si="28"/>
        <v>#N/A</v>
      </c>
      <c r="AD63" s="92" t="e">
        <f t="shared" si="29"/>
        <v>#N/A</v>
      </c>
      <c r="AF63" s="57">
        <v>8</v>
      </c>
      <c r="AG63" s="92" t="e">
        <f t="shared" si="30"/>
        <v>#N/A</v>
      </c>
      <c r="AH63" s="92" t="e">
        <f t="shared" si="31"/>
        <v>#N/A</v>
      </c>
      <c r="AI63" s="92" t="e">
        <f t="shared" si="32"/>
        <v>#DIV/0!</v>
      </c>
      <c r="AJ63" s="92" t="e">
        <f t="shared" si="33"/>
        <v>#DIV/0!</v>
      </c>
      <c r="AK63" s="92" t="e">
        <f t="shared" si="34"/>
        <v>#DIV/0!</v>
      </c>
      <c r="AL63" s="92" t="e">
        <f t="shared" si="35"/>
        <v>#N/A</v>
      </c>
      <c r="AM63" s="92" t="e">
        <f t="shared" si="36"/>
        <v>#N/A</v>
      </c>
      <c r="AN63" s="92" t="e">
        <f t="shared" si="37"/>
        <v>#N/A</v>
      </c>
      <c r="AO63" s="92" t="e">
        <f t="shared" si="38"/>
        <v>#N/A</v>
      </c>
      <c r="AP63" s="92" t="e">
        <f t="shared" si="39"/>
        <v>#N/A</v>
      </c>
    </row>
    <row r="64" spans="11:42">
      <c r="N64" s="62">
        <v>9</v>
      </c>
      <c r="O64" s="91" t="e">
        <f t="shared" ref="O64:O79" si="41">J12/O38</f>
        <v>#N/A</v>
      </c>
      <c r="P64" s="91" t="e">
        <f t="shared" ref="P64:P79" si="42">J12/P38</f>
        <v>#N/A</v>
      </c>
      <c r="Q64" s="91" t="e">
        <f t="shared" ref="Q64:Q79" si="43">J12/Q38</f>
        <v>#N/A</v>
      </c>
      <c r="R64" s="91" t="e">
        <f t="shared" ref="R64:R79" si="44">J12/R38</f>
        <v>#N/A</v>
      </c>
      <c r="S64" s="91" t="e">
        <f t="shared" ref="S64:S79" si="45">J12/S38</f>
        <v>#N/A</v>
      </c>
      <c r="T64" s="91" t="e">
        <f t="shared" ref="T64:T79" si="46">J12/T38</f>
        <v>#N/A</v>
      </c>
      <c r="U64" s="91" t="e">
        <f t="shared" ref="U64:U79" si="47">J12/U38</f>
        <v>#N/A</v>
      </c>
      <c r="V64" s="91" t="e">
        <f t="shared" ref="V64:V79" si="48">J12/V38</f>
        <v>#N/A</v>
      </c>
      <c r="W64" s="91" t="e">
        <f t="shared" ref="W64:W79" si="49">J12/W38</f>
        <v>#N/A</v>
      </c>
      <c r="X64" s="91" t="e">
        <f t="shared" ref="X64:X79" si="50">J12/X38</f>
        <v>#N/A</v>
      </c>
      <c r="Y64" s="91" t="e">
        <f t="shared" ref="Y64:Y79" si="51">J12/Y38</f>
        <v>#N/A</v>
      </c>
      <c r="Z64" s="91" t="e">
        <f t="shared" ref="Z64:Z79" si="52">J12/Z38</f>
        <v>#N/A</v>
      </c>
      <c r="AA64" s="91" t="e">
        <f t="shared" ref="AA64:AA79" si="53">J12/AA38</f>
        <v>#N/A</v>
      </c>
      <c r="AB64" s="91" t="e">
        <f t="shared" ref="AB64:AB79" si="54">J12/AB38</f>
        <v>#N/A</v>
      </c>
      <c r="AC64" s="91" t="e">
        <f t="shared" ref="AC64:AC79" si="55">J12/AC38</f>
        <v>#N/A</v>
      </c>
      <c r="AD64" s="91" t="e">
        <f t="shared" ref="AD64:AD79" si="56">J12/AD38</f>
        <v>#N/A</v>
      </c>
      <c r="AF64" s="62">
        <v>9</v>
      </c>
      <c r="AG64" s="91" t="e">
        <f t="shared" ref="AG64:AG79" si="57">J12/AG38</f>
        <v>#N/A</v>
      </c>
      <c r="AH64" s="91" t="e">
        <f t="shared" ref="AH64:AH79" si="58">J12/AH38</f>
        <v>#N/A</v>
      </c>
      <c r="AI64" s="91" t="e">
        <f t="shared" ref="AI64:AI79" si="59">J12/AI38</f>
        <v>#DIV/0!</v>
      </c>
      <c r="AJ64" s="91" t="e">
        <f t="shared" ref="AJ64:AJ79" si="60">J12/AJ38</f>
        <v>#DIV/0!</v>
      </c>
      <c r="AK64" s="91" t="e">
        <f t="shared" ref="AK64:AK79" si="61">J12/AK38</f>
        <v>#DIV/0!</v>
      </c>
      <c r="AL64" s="91" t="e">
        <f t="shared" ref="AL64:AL79" si="62">J12/AL38</f>
        <v>#N/A</v>
      </c>
      <c r="AM64" s="91" t="e">
        <f t="shared" ref="AM64:AM79" si="63">J12/AM38</f>
        <v>#N/A</v>
      </c>
      <c r="AN64" s="91" t="e">
        <f t="shared" ref="AN64:AN79" si="64">J12/AN38</f>
        <v>#N/A</v>
      </c>
      <c r="AO64" s="91" t="e">
        <f t="shared" ref="AO64:AO79" si="65">J12/AO38</f>
        <v>#N/A</v>
      </c>
      <c r="AP64" s="91" t="e">
        <f t="shared" ref="AP64:AP79" si="66">J12/AP38</f>
        <v>#N/A</v>
      </c>
    </row>
    <row r="65" spans="14:42">
      <c r="N65" s="62">
        <v>10</v>
      </c>
      <c r="O65" s="91" t="e">
        <f t="shared" si="41"/>
        <v>#N/A</v>
      </c>
      <c r="P65" s="91" t="e">
        <f t="shared" si="42"/>
        <v>#N/A</v>
      </c>
      <c r="Q65" s="91" t="e">
        <f t="shared" si="43"/>
        <v>#N/A</v>
      </c>
      <c r="R65" s="91" t="e">
        <f t="shared" si="44"/>
        <v>#N/A</v>
      </c>
      <c r="S65" s="91" t="e">
        <f t="shared" si="45"/>
        <v>#N/A</v>
      </c>
      <c r="T65" s="91" t="e">
        <f t="shared" si="46"/>
        <v>#N/A</v>
      </c>
      <c r="U65" s="91" t="e">
        <f t="shared" si="47"/>
        <v>#N/A</v>
      </c>
      <c r="V65" s="91" t="e">
        <f t="shared" si="48"/>
        <v>#N/A</v>
      </c>
      <c r="W65" s="91" t="e">
        <f t="shared" si="49"/>
        <v>#N/A</v>
      </c>
      <c r="X65" s="91" t="e">
        <f t="shared" si="50"/>
        <v>#N/A</v>
      </c>
      <c r="Y65" s="91" t="e">
        <f t="shared" si="51"/>
        <v>#N/A</v>
      </c>
      <c r="Z65" s="91" t="e">
        <f t="shared" si="52"/>
        <v>#N/A</v>
      </c>
      <c r="AA65" s="91" t="e">
        <f t="shared" si="53"/>
        <v>#N/A</v>
      </c>
      <c r="AB65" s="91" t="e">
        <f t="shared" si="54"/>
        <v>#N/A</v>
      </c>
      <c r="AC65" s="91" t="e">
        <f t="shared" si="55"/>
        <v>#N/A</v>
      </c>
      <c r="AD65" s="91" t="e">
        <f t="shared" si="56"/>
        <v>#N/A</v>
      </c>
      <c r="AF65" s="62">
        <v>10</v>
      </c>
      <c r="AG65" s="91" t="e">
        <f t="shared" si="57"/>
        <v>#N/A</v>
      </c>
      <c r="AH65" s="91" t="e">
        <f t="shared" si="58"/>
        <v>#N/A</v>
      </c>
      <c r="AI65" s="91" t="e">
        <f t="shared" si="59"/>
        <v>#DIV/0!</v>
      </c>
      <c r="AJ65" s="91" t="e">
        <f t="shared" si="60"/>
        <v>#DIV/0!</v>
      </c>
      <c r="AK65" s="91" t="e">
        <f t="shared" si="61"/>
        <v>#DIV/0!</v>
      </c>
      <c r="AL65" s="91" t="e">
        <f t="shared" si="62"/>
        <v>#N/A</v>
      </c>
      <c r="AM65" s="91" t="e">
        <f t="shared" si="63"/>
        <v>#N/A</v>
      </c>
      <c r="AN65" s="91" t="e">
        <f t="shared" si="64"/>
        <v>#N/A</v>
      </c>
      <c r="AO65" s="91" t="e">
        <f t="shared" si="65"/>
        <v>#N/A</v>
      </c>
      <c r="AP65" s="91" t="e">
        <f t="shared" si="66"/>
        <v>#N/A</v>
      </c>
    </row>
    <row r="66" spans="14:42">
      <c r="N66" s="62">
        <v>11</v>
      </c>
      <c r="O66" s="91" t="e">
        <f t="shared" si="41"/>
        <v>#N/A</v>
      </c>
      <c r="P66" s="91" t="e">
        <f t="shared" si="42"/>
        <v>#N/A</v>
      </c>
      <c r="Q66" s="91" t="e">
        <f t="shared" si="43"/>
        <v>#N/A</v>
      </c>
      <c r="R66" s="91" t="e">
        <f t="shared" si="44"/>
        <v>#N/A</v>
      </c>
      <c r="S66" s="91" t="e">
        <f t="shared" si="45"/>
        <v>#N/A</v>
      </c>
      <c r="T66" s="91" t="e">
        <f t="shared" si="46"/>
        <v>#N/A</v>
      </c>
      <c r="U66" s="91" t="e">
        <f t="shared" si="47"/>
        <v>#N/A</v>
      </c>
      <c r="V66" s="91" t="e">
        <f t="shared" si="48"/>
        <v>#N/A</v>
      </c>
      <c r="W66" s="91" t="e">
        <f t="shared" si="49"/>
        <v>#N/A</v>
      </c>
      <c r="X66" s="91" t="e">
        <f t="shared" si="50"/>
        <v>#N/A</v>
      </c>
      <c r="Y66" s="91" t="e">
        <f t="shared" si="51"/>
        <v>#N/A</v>
      </c>
      <c r="Z66" s="91" t="e">
        <f t="shared" si="52"/>
        <v>#N/A</v>
      </c>
      <c r="AA66" s="91" t="e">
        <f t="shared" si="53"/>
        <v>#N/A</v>
      </c>
      <c r="AB66" s="91" t="e">
        <f t="shared" si="54"/>
        <v>#N/A</v>
      </c>
      <c r="AC66" s="91" t="e">
        <f t="shared" si="55"/>
        <v>#N/A</v>
      </c>
      <c r="AD66" s="91" t="e">
        <f t="shared" si="56"/>
        <v>#N/A</v>
      </c>
      <c r="AF66" s="62">
        <v>11</v>
      </c>
      <c r="AG66" s="91" t="e">
        <f t="shared" si="57"/>
        <v>#N/A</v>
      </c>
      <c r="AH66" s="91" t="e">
        <f t="shared" si="58"/>
        <v>#N/A</v>
      </c>
      <c r="AI66" s="91" t="e">
        <f t="shared" si="59"/>
        <v>#DIV/0!</v>
      </c>
      <c r="AJ66" s="91" t="e">
        <f t="shared" si="60"/>
        <v>#DIV/0!</v>
      </c>
      <c r="AK66" s="91" t="e">
        <f t="shared" si="61"/>
        <v>#DIV/0!</v>
      </c>
      <c r="AL66" s="91" t="e">
        <f t="shared" si="62"/>
        <v>#N/A</v>
      </c>
      <c r="AM66" s="91" t="e">
        <f t="shared" si="63"/>
        <v>#N/A</v>
      </c>
      <c r="AN66" s="91" t="e">
        <f t="shared" si="64"/>
        <v>#N/A</v>
      </c>
      <c r="AO66" s="91" t="e">
        <f t="shared" si="65"/>
        <v>#N/A</v>
      </c>
      <c r="AP66" s="91" t="e">
        <f t="shared" si="66"/>
        <v>#N/A</v>
      </c>
    </row>
    <row r="67" spans="14:42">
      <c r="N67" s="62">
        <v>12</v>
      </c>
      <c r="O67" s="91" t="e">
        <f t="shared" si="41"/>
        <v>#N/A</v>
      </c>
      <c r="P67" s="91" t="e">
        <f t="shared" si="42"/>
        <v>#N/A</v>
      </c>
      <c r="Q67" s="91" t="e">
        <f t="shared" si="43"/>
        <v>#N/A</v>
      </c>
      <c r="R67" s="91" t="e">
        <f t="shared" si="44"/>
        <v>#N/A</v>
      </c>
      <c r="S67" s="91" t="e">
        <f t="shared" si="45"/>
        <v>#N/A</v>
      </c>
      <c r="T67" s="91" t="e">
        <f t="shared" si="46"/>
        <v>#N/A</v>
      </c>
      <c r="U67" s="91" t="e">
        <f t="shared" si="47"/>
        <v>#N/A</v>
      </c>
      <c r="V67" s="91" t="e">
        <f t="shared" si="48"/>
        <v>#N/A</v>
      </c>
      <c r="W67" s="91" t="e">
        <f t="shared" si="49"/>
        <v>#N/A</v>
      </c>
      <c r="X67" s="91" t="e">
        <f t="shared" si="50"/>
        <v>#N/A</v>
      </c>
      <c r="Y67" s="91" t="e">
        <f t="shared" si="51"/>
        <v>#N/A</v>
      </c>
      <c r="Z67" s="91" t="e">
        <f t="shared" si="52"/>
        <v>#N/A</v>
      </c>
      <c r="AA67" s="91" t="e">
        <f t="shared" si="53"/>
        <v>#N/A</v>
      </c>
      <c r="AB67" s="91" t="e">
        <f t="shared" si="54"/>
        <v>#N/A</v>
      </c>
      <c r="AC67" s="91" t="e">
        <f t="shared" si="55"/>
        <v>#N/A</v>
      </c>
      <c r="AD67" s="91" t="e">
        <f t="shared" si="56"/>
        <v>#N/A</v>
      </c>
      <c r="AF67" s="62">
        <v>12</v>
      </c>
      <c r="AG67" s="91" t="e">
        <f t="shared" si="57"/>
        <v>#N/A</v>
      </c>
      <c r="AH67" s="91" t="e">
        <f t="shared" si="58"/>
        <v>#N/A</v>
      </c>
      <c r="AI67" s="91" t="e">
        <f t="shared" si="59"/>
        <v>#DIV/0!</v>
      </c>
      <c r="AJ67" s="91" t="e">
        <f t="shared" si="60"/>
        <v>#DIV/0!</v>
      </c>
      <c r="AK67" s="91" t="e">
        <f t="shared" si="61"/>
        <v>#DIV/0!</v>
      </c>
      <c r="AL67" s="91" t="e">
        <f t="shared" si="62"/>
        <v>#N/A</v>
      </c>
      <c r="AM67" s="91" t="e">
        <f t="shared" si="63"/>
        <v>#N/A</v>
      </c>
      <c r="AN67" s="91" t="e">
        <f t="shared" si="64"/>
        <v>#N/A</v>
      </c>
      <c r="AO67" s="91" t="e">
        <f t="shared" si="65"/>
        <v>#N/A</v>
      </c>
      <c r="AP67" s="91" t="e">
        <f t="shared" si="66"/>
        <v>#N/A</v>
      </c>
    </row>
    <row r="68" spans="14:42">
      <c r="N68" s="62">
        <v>13</v>
      </c>
      <c r="O68" s="91" t="e">
        <f t="shared" si="41"/>
        <v>#N/A</v>
      </c>
      <c r="P68" s="91" t="e">
        <f t="shared" si="42"/>
        <v>#N/A</v>
      </c>
      <c r="Q68" s="91" t="e">
        <f t="shared" si="43"/>
        <v>#N/A</v>
      </c>
      <c r="R68" s="91" t="e">
        <f t="shared" si="44"/>
        <v>#N/A</v>
      </c>
      <c r="S68" s="91" t="e">
        <f t="shared" si="45"/>
        <v>#N/A</v>
      </c>
      <c r="T68" s="91" t="e">
        <f t="shared" si="46"/>
        <v>#N/A</v>
      </c>
      <c r="U68" s="91" t="e">
        <f t="shared" si="47"/>
        <v>#N/A</v>
      </c>
      <c r="V68" s="91" t="e">
        <f t="shared" si="48"/>
        <v>#N/A</v>
      </c>
      <c r="W68" s="91" t="e">
        <f t="shared" si="49"/>
        <v>#N/A</v>
      </c>
      <c r="X68" s="91" t="e">
        <f t="shared" si="50"/>
        <v>#N/A</v>
      </c>
      <c r="Y68" s="91" t="e">
        <f t="shared" si="51"/>
        <v>#N/A</v>
      </c>
      <c r="Z68" s="91" t="e">
        <f t="shared" si="52"/>
        <v>#N/A</v>
      </c>
      <c r="AA68" s="91" t="e">
        <f t="shared" si="53"/>
        <v>#N/A</v>
      </c>
      <c r="AB68" s="91" t="e">
        <f t="shared" si="54"/>
        <v>#N/A</v>
      </c>
      <c r="AC68" s="91" t="e">
        <f t="shared" si="55"/>
        <v>#N/A</v>
      </c>
      <c r="AD68" s="91" t="e">
        <f t="shared" si="56"/>
        <v>#N/A</v>
      </c>
      <c r="AF68" s="62">
        <v>13</v>
      </c>
      <c r="AG68" s="91" t="e">
        <f t="shared" si="57"/>
        <v>#N/A</v>
      </c>
      <c r="AH68" s="91" t="e">
        <f t="shared" si="58"/>
        <v>#N/A</v>
      </c>
      <c r="AI68" s="91" t="e">
        <f t="shared" si="59"/>
        <v>#DIV/0!</v>
      </c>
      <c r="AJ68" s="91" t="e">
        <f t="shared" si="60"/>
        <v>#DIV/0!</v>
      </c>
      <c r="AK68" s="91" t="e">
        <f t="shared" si="61"/>
        <v>#DIV/0!</v>
      </c>
      <c r="AL68" s="91" t="e">
        <f t="shared" si="62"/>
        <v>#N/A</v>
      </c>
      <c r="AM68" s="91" t="e">
        <f t="shared" si="63"/>
        <v>#N/A</v>
      </c>
      <c r="AN68" s="91" t="e">
        <f t="shared" si="64"/>
        <v>#N/A</v>
      </c>
      <c r="AO68" s="91" t="e">
        <f t="shared" si="65"/>
        <v>#N/A</v>
      </c>
      <c r="AP68" s="91" t="e">
        <f t="shared" si="66"/>
        <v>#N/A</v>
      </c>
    </row>
    <row r="69" spans="14:42">
      <c r="N69" s="62">
        <v>14</v>
      </c>
      <c r="O69" s="91" t="e">
        <f t="shared" si="41"/>
        <v>#N/A</v>
      </c>
      <c r="P69" s="91" t="e">
        <f t="shared" si="42"/>
        <v>#N/A</v>
      </c>
      <c r="Q69" s="91" t="e">
        <f t="shared" si="43"/>
        <v>#N/A</v>
      </c>
      <c r="R69" s="91" t="e">
        <f t="shared" si="44"/>
        <v>#N/A</v>
      </c>
      <c r="S69" s="91" t="e">
        <f t="shared" si="45"/>
        <v>#N/A</v>
      </c>
      <c r="T69" s="91" t="e">
        <f t="shared" si="46"/>
        <v>#N/A</v>
      </c>
      <c r="U69" s="91" t="e">
        <f t="shared" si="47"/>
        <v>#N/A</v>
      </c>
      <c r="V69" s="91" t="e">
        <f t="shared" si="48"/>
        <v>#N/A</v>
      </c>
      <c r="W69" s="91" t="e">
        <f t="shared" si="49"/>
        <v>#N/A</v>
      </c>
      <c r="X69" s="91" t="e">
        <f t="shared" si="50"/>
        <v>#N/A</v>
      </c>
      <c r="Y69" s="91" t="e">
        <f t="shared" si="51"/>
        <v>#N/A</v>
      </c>
      <c r="Z69" s="91" t="e">
        <f t="shared" si="52"/>
        <v>#N/A</v>
      </c>
      <c r="AA69" s="91" t="e">
        <f t="shared" si="53"/>
        <v>#N/A</v>
      </c>
      <c r="AB69" s="91" t="e">
        <f t="shared" si="54"/>
        <v>#N/A</v>
      </c>
      <c r="AC69" s="91" t="e">
        <f t="shared" si="55"/>
        <v>#N/A</v>
      </c>
      <c r="AD69" s="91" t="e">
        <f t="shared" si="56"/>
        <v>#N/A</v>
      </c>
      <c r="AF69" s="62">
        <v>14</v>
      </c>
      <c r="AG69" s="91" t="e">
        <f t="shared" si="57"/>
        <v>#N/A</v>
      </c>
      <c r="AH69" s="91" t="e">
        <f t="shared" si="58"/>
        <v>#N/A</v>
      </c>
      <c r="AI69" s="91" t="e">
        <f t="shared" si="59"/>
        <v>#DIV/0!</v>
      </c>
      <c r="AJ69" s="91" t="e">
        <f t="shared" si="60"/>
        <v>#DIV/0!</v>
      </c>
      <c r="AK69" s="91" t="e">
        <f t="shared" si="61"/>
        <v>#DIV/0!</v>
      </c>
      <c r="AL69" s="91" t="e">
        <f t="shared" si="62"/>
        <v>#N/A</v>
      </c>
      <c r="AM69" s="91" t="e">
        <f t="shared" si="63"/>
        <v>#N/A</v>
      </c>
      <c r="AN69" s="91" t="e">
        <f t="shared" si="64"/>
        <v>#N/A</v>
      </c>
      <c r="AO69" s="91" t="e">
        <f t="shared" si="65"/>
        <v>#N/A</v>
      </c>
      <c r="AP69" s="91" t="e">
        <f t="shared" si="66"/>
        <v>#N/A</v>
      </c>
    </row>
    <row r="70" spans="14:42">
      <c r="N70" s="62">
        <v>15</v>
      </c>
      <c r="O70" s="91" t="e">
        <f t="shared" si="41"/>
        <v>#N/A</v>
      </c>
      <c r="P70" s="91" t="e">
        <f t="shared" si="42"/>
        <v>#N/A</v>
      </c>
      <c r="Q70" s="91" t="e">
        <f t="shared" si="43"/>
        <v>#N/A</v>
      </c>
      <c r="R70" s="91" t="e">
        <f t="shared" si="44"/>
        <v>#N/A</v>
      </c>
      <c r="S70" s="91" t="e">
        <f t="shared" si="45"/>
        <v>#N/A</v>
      </c>
      <c r="T70" s="91" t="e">
        <f t="shared" si="46"/>
        <v>#N/A</v>
      </c>
      <c r="U70" s="91" t="e">
        <f t="shared" si="47"/>
        <v>#N/A</v>
      </c>
      <c r="V70" s="91" t="e">
        <f t="shared" si="48"/>
        <v>#N/A</v>
      </c>
      <c r="W70" s="91" t="e">
        <f t="shared" si="49"/>
        <v>#N/A</v>
      </c>
      <c r="X70" s="91" t="e">
        <f t="shared" si="50"/>
        <v>#N/A</v>
      </c>
      <c r="Y70" s="91" t="e">
        <f t="shared" si="51"/>
        <v>#N/A</v>
      </c>
      <c r="Z70" s="91" t="e">
        <f t="shared" si="52"/>
        <v>#N/A</v>
      </c>
      <c r="AA70" s="91" t="e">
        <f t="shared" si="53"/>
        <v>#N/A</v>
      </c>
      <c r="AB70" s="91" t="e">
        <f t="shared" si="54"/>
        <v>#N/A</v>
      </c>
      <c r="AC70" s="91" t="e">
        <f t="shared" si="55"/>
        <v>#N/A</v>
      </c>
      <c r="AD70" s="91" t="e">
        <f t="shared" si="56"/>
        <v>#N/A</v>
      </c>
      <c r="AF70" s="62">
        <v>15</v>
      </c>
      <c r="AG70" s="91" t="e">
        <f t="shared" si="57"/>
        <v>#N/A</v>
      </c>
      <c r="AH70" s="91" t="e">
        <f t="shared" si="58"/>
        <v>#N/A</v>
      </c>
      <c r="AI70" s="91" t="e">
        <f t="shared" si="59"/>
        <v>#DIV/0!</v>
      </c>
      <c r="AJ70" s="91" t="e">
        <f t="shared" si="60"/>
        <v>#DIV/0!</v>
      </c>
      <c r="AK70" s="91" t="e">
        <f t="shared" si="61"/>
        <v>#DIV/0!</v>
      </c>
      <c r="AL70" s="91" t="e">
        <f t="shared" si="62"/>
        <v>#N/A</v>
      </c>
      <c r="AM70" s="91" t="e">
        <f t="shared" si="63"/>
        <v>#N/A</v>
      </c>
      <c r="AN70" s="91" t="e">
        <f t="shared" si="64"/>
        <v>#N/A</v>
      </c>
      <c r="AO70" s="91" t="e">
        <f t="shared" si="65"/>
        <v>#N/A</v>
      </c>
      <c r="AP70" s="91" t="e">
        <f t="shared" si="66"/>
        <v>#N/A</v>
      </c>
    </row>
    <row r="71" spans="14:42">
      <c r="N71" s="86">
        <v>16</v>
      </c>
      <c r="O71" s="93" t="e">
        <f t="shared" si="41"/>
        <v>#N/A</v>
      </c>
      <c r="P71" s="93" t="e">
        <f t="shared" si="42"/>
        <v>#N/A</v>
      </c>
      <c r="Q71" s="93" t="e">
        <f t="shared" si="43"/>
        <v>#N/A</v>
      </c>
      <c r="R71" s="93" t="e">
        <f t="shared" si="44"/>
        <v>#N/A</v>
      </c>
      <c r="S71" s="93" t="e">
        <f t="shared" si="45"/>
        <v>#N/A</v>
      </c>
      <c r="T71" s="93" t="e">
        <f t="shared" si="46"/>
        <v>#N/A</v>
      </c>
      <c r="U71" s="93" t="e">
        <f t="shared" si="47"/>
        <v>#N/A</v>
      </c>
      <c r="V71" s="93" t="e">
        <f t="shared" si="48"/>
        <v>#N/A</v>
      </c>
      <c r="W71" s="93" t="e">
        <f t="shared" si="49"/>
        <v>#N/A</v>
      </c>
      <c r="X71" s="93" t="e">
        <f t="shared" si="50"/>
        <v>#N/A</v>
      </c>
      <c r="Y71" s="93" t="e">
        <f t="shared" si="51"/>
        <v>#N/A</v>
      </c>
      <c r="Z71" s="93" t="e">
        <f t="shared" si="52"/>
        <v>#N/A</v>
      </c>
      <c r="AA71" s="93" t="e">
        <f t="shared" si="53"/>
        <v>#N/A</v>
      </c>
      <c r="AB71" s="93" t="e">
        <f t="shared" si="54"/>
        <v>#N/A</v>
      </c>
      <c r="AC71" s="93" t="e">
        <f t="shared" si="55"/>
        <v>#N/A</v>
      </c>
      <c r="AD71" s="93" t="e">
        <f t="shared" si="56"/>
        <v>#N/A</v>
      </c>
      <c r="AF71" s="86">
        <v>16</v>
      </c>
      <c r="AG71" s="93" t="e">
        <f t="shared" si="57"/>
        <v>#N/A</v>
      </c>
      <c r="AH71" s="93" t="e">
        <f t="shared" si="58"/>
        <v>#N/A</v>
      </c>
      <c r="AI71" s="93" t="e">
        <f t="shared" si="59"/>
        <v>#DIV/0!</v>
      </c>
      <c r="AJ71" s="93" t="e">
        <f t="shared" si="60"/>
        <v>#DIV/0!</v>
      </c>
      <c r="AK71" s="93" t="e">
        <f t="shared" si="61"/>
        <v>#DIV/0!</v>
      </c>
      <c r="AL71" s="93" t="e">
        <f t="shared" si="62"/>
        <v>#N/A</v>
      </c>
      <c r="AM71" s="93" t="e">
        <f t="shared" si="63"/>
        <v>#N/A</v>
      </c>
      <c r="AN71" s="93" t="e">
        <f t="shared" si="64"/>
        <v>#N/A</v>
      </c>
      <c r="AO71" s="93" t="e">
        <f t="shared" si="65"/>
        <v>#N/A</v>
      </c>
      <c r="AP71" s="93" t="e">
        <f t="shared" si="66"/>
        <v>#N/A</v>
      </c>
    </row>
    <row r="72" spans="14:42">
      <c r="N72" s="62">
        <v>17</v>
      </c>
      <c r="O72" s="91" t="e">
        <f t="shared" si="41"/>
        <v>#N/A</v>
      </c>
      <c r="P72" s="91" t="e">
        <f t="shared" si="42"/>
        <v>#N/A</v>
      </c>
      <c r="Q72" s="91" t="e">
        <f t="shared" si="43"/>
        <v>#N/A</v>
      </c>
      <c r="R72" s="91" t="e">
        <f t="shared" si="44"/>
        <v>#N/A</v>
      </c>
      <c r="S72" s="91" t="e">
        <f t="shared" si="45"/>
        <v>#N/A</v>
      </c>
      <c r="T72" s="91" t="e">
        <f t="shared" si="46"/>
        <v>#N/A</v>
      </c>
      <c r="U72" s="91" t="e">
        <f t="shared" si="47"/>
        <v>#N/A</v>
      </c>
      <c r="V72" s="91" t="e">
        <f t="shared" si="48"/>
        <v>#N/A</v>
      </c>
      <c r="W72" s="91" t="e">
        <f t="shared" si="49"/>
        <v>#N/A</v>
      </c>
      <c r="X72" s="91" t="e">
        <f t="shared" si="50"/>
        <v>#N/A</v>
      </c>
      <c r="Y72" s="91" t="e">
        <f t="shared" si="51"/>
        <v>#N/A</v>
      </c>
      <c r="Z72" s="91" t="e">
        <f t="shared" si="52"/>
        <v>#N/A</v>
      </c>
      <c r="AA72" s="91" t="e">
        <f t="shared" si="53"/>
        <v>#N/A</v>
      </c>
      <c r="AB72" s="91" t="e">
        <f t="shared" si="54"/>
        <v>#N/A</v>
      </c>
      <c r="AC72" s="91" t="e">
        <f t="shared" si="55"/>
        <v>#N/A</v>
      </c>
      <c r="AD72" s="91" t="e">
        <f t="shared" si="56"/>
        <v>#N/A</v>
      </c>
      <c r="AF72" s="62">
        <v>17</v>
      </c>
      <c r="AG72" s="91" t="e">
        <f t="shared" si="57"/>
        <v>#N/A</v>
      </c>
      <c r="AH72" s="91" t="e">
        <f t="shared" si="58"/>
        <v>#N/A</v>
      </c>
      <c r="AI72" s="91" t="e">
        <f t="shared" si="59"/>
        <v>#DIV/0!</v>
      </c>
      <c r="AJ72" s="91" t="e">
        <f t="shared" si="60"/>
        <v>#DIV/0!</v>
      </c>
      <c r="AK72" s="91" t="e">
        <f t="shared" si="61"/>
        <v>#DIV/0!</v>
      </c>
      <c r="AL72" s="91" t="e">
        <f t="shared" si="62"/>
        <v>#N/A</v>
      </c>
      <c r="AM72" s="91" t="e">
        <f t="shared" si="63"/>
        <v>#N/A</v>
      </c>
      <c r="AN72" s="91" t="e">
        <f t="shared" si="64"/>
        <v>#N/A</v>
      </c>
      <c r="AO72" s="91" t="e">
        <f t="shared" si="65"/>
        <v>#N/A</v>
      </c>
      <c r="AP72" s="91" t="e">
        <f t="shared" si="66"/>
        <v>#N/A</v>
      </c>
    </row>
    <row r="73" spans="14:42">
      <c r="N73" s="62">
        <v>18</v>
      </c>
      <c r="O73" s="91" t="e">
        <f t="shared" si="41"/>
        <v>#N/A</v>
      </c>
      <c r="P73" s="91" t="e">
        <f t="shared" si="42"/>
        <v>#N/A</v>
      </c>
      <c r="Q73" s="91" t="e">
        <f t="shared" si="43"/>
        <v>#N/A</v>
      </c>
      <c r="R73" s="91" t="e">
        <f t="shared" si="44"/>
        <v>#N/A</v>
      </c>
      <c r="S73" s="91" t="e">
        <f t="shared" si="45"/>
        <v>#N/A</v>
      </c>
      <c r="T73" s="91" t="e">
        <f t="shared" si="46"/>
        <v>#N/A</v>
      </c>
      <c r="U73" s="91" t="e">
        <f t="shared" si="47"/>
        <v>#N/A</v>
      </c>
      <c r="V73" s="91" t="e">
        <f t="shared" si="48"/>
        <v>#N/A</v>
      </c>
      <c r="W73" s="91" t="e">
        <f t="shared" si="49"/>
        <v>#N/A</v>
      </c>
      <c r="X73" s="91" t="e">
        <f t="shared" si="50"/>
        <v>#N/A</v>
      </c>
      <c r="Y73" s="91" t="e">
        <f t="shared" si="51"/>
        <v>#N/A</v>
      </c>
      <c r="Z73" s="91" t="e">
        <f t="shared" si="52"/>
        <v>#N/A</v>
      </c>
      <c r="AA73" s="91" t="e">
        <f t="shared" si="53"/>
        <v>#N/A</v>
      </c>
      <c r="AB73" s="91" t="e">
        <f t="shared" si="54"/>
        <v>#N/A</v>
      </c>
      <c r="AC73" s="91" t="e">
        <f t="shared" si="55"/>
        <v>#N/A</v>
      </c>
      <c r="AD73" s="91" t="e">
        <f t="shared" si="56"/>
        <v>#N/A</v>
      </c>
      <c r="AF73" s="62">
        <v>18</v>
      </c>
      <c r="AG73" s="91" t="e">
        <f t="shared" si="57"/>
        <v>#N/A</v>
      </c>
      <c r="AH73" s="91" t="e">
        <f t="shared" si="58"/>
        <v>#N/A</v>
      </c>
      <c r="AI73" s="91" t="e">
        <f t="shared" si="59"/>
        <v>#DIV/0!</v>
      </c>
      <c r="AJ73" s="91" t="e">
        <f t="shared" si="60"/>
        <v>#DIV/0!</v>
      </c>
      <c r="AK73" s="91" t="e">
        <f t="shared" si="61"/>
        <v>#DIV/0!</v>
      </c>
      <c r="AL73" s="91" t="e">
        <f t="shared" si="62"/>
        <v>#N/A</v>
      </c>
      <c r="AM73" s="91" t="e">
        <f t="shared" si="63"/>
        <v>#N/A</v>
      </c>
      <c r="AN73" s="91" t="e">
        <f t="shared" si="64"/>
        <v>#N/A</v>
      </c>
      <c r="AO73" s="91" t="e">
        <f t="shared" si="65"/>
        <v>#N/A</v>
      </c>
      <c r="AP73" s="91" t="e">
        <f t="shared" si="66"/>
        <v>#N/A</v>
      </c>
    </row>
    <row r="74" spans="14:42">
      <c r="N74" s="62">
        <v>19</v>
      </c>
      <c r="O74" s="91" t="e">
        <f t="shared" si="41"/>
        <v>#N/A</v>
      </c>
      <c r="P74" s="91" t="e">
        <f t="shared" si="42"/>
        <v>#N/A</v>
      </c>
      <c r="Q74" s="91" t="e">
        <f t="shared" si="43"/>
        <v>#N/A</v>
      </c>
      <c r="R74" s="91" t="e">
        <f t="shared" si="44"/>
        <v>#N/A</v>
      </c>
      <c r="S74" s="91" t="e">
        <f t="shared" si="45"/>
        <v>#N/A</v>
      </c>
      <c r="T74" s="91" t="e">
        <f t="shared" si="46"/>
        <v>#N/A</v>
      </c>
      <c r="U74" s="91" t="e">
        <f t="shared" si="47"/>
        <v>#N/A</v>
      </c>
      <c r="V74" s="91" t="e">
        <f t="shared" si="48"/>
        <v>#N/A</v>
      </c>
      <c r="W74" s="91" t="e">
        <f t="shared" si="49"/>
        <v>#N/A</v>
      </c>
      <c r="X74" s="91" t="e">
        <f t="shared" si="50"/>
        <v>#N/A</v>
      </c>
      <c r="Y74" s="91" t="e">
        <f t="shared" si="51"/>
        <v>#N/A</v>
      </c>
      <c r="Z74" s="91" t="e">
        <f t="shared" si="52"/>
        <v>#N/A</v>
      </c>
      <c r="AA74" s="91" t="e">
        <f t="shared" si="53"/>
        <v>#N/A</v>
      </c>
      <c r="AB74" s="91" t="e">
        <f t="shared" si="54"/>
        <v>#N/A</v>
      </c>
      <c r="AC74" s="91" t="e">
        <f t="shared" si="55"/>
        <v>#N/A</v>
      </c>
      <c r="AD74" s="91" t="e">
        <f t="shared" si="56"/>
        <v>#N/A</v>
      </c>
      <c r="AF74" s="62">
        <v>19</v>
      </c>
      <c r="AG74" s="91" t="e">
        <f t="shared" si="57"/>
        <v>#N/A</v>
      </c>
      <c r="AH74" s="91" t="e">
        <f t="shared" si="58"/>
        <v>#N/A</v>
      </c>
      <c r="AI74" s="91" t="e">
        <f t="shared" si="59"/>
        <v>#DIV/0!</v>
      </c>
      <c r="AJ74" s="91" t="e">
        <f t="shared" si="60"/>
        <v>#DIV/0!</v>
      </c>
      <c r="AK74" s="91" t="e">
        <f t="shared" si="61"/>
        <v>#DIV/0!</v>
      </c>
      <c r="AL74" s="91" t="e">
        <f t="shared" si="62"/>
        <v>#N/A</v>
      </c>
      <c r="AM74" s="91" t="e">
        <f t="shared" si="63"/>
        <v>#N/A</v>
      </c>
      <c r="AN74" s="91" t="e">
        <f t="shared" si="64"/>
        <v>#N/A</v>
      </c>
      <c r="AO74" s="91" t="e">
        <f t="shared" si="65"/>
        <v>#N/A</v>
      </c>
      <c r="AP74" s="91" t="e">
        <f t="shared" si="66"/>
        <v>#N/A</v>
      </c>
    </row>
    <row r="75" spans="14:42">
      <c r="N75" s="62">
        <v>20</v>
      </c>
      <c r="O75" s="91" t="e">
        <f t="shared" si="41"/>
        <v>#N/A</v>
      </c>
      <c r="P75" s="91" t="e">
        <f t="shared" si="42"/>
        <v>#N/A</v>
      </c>
      <c r="Q75" s="91" t="e">
        <f t="shared" si="43"/>
        <v>#N/A</v>
      </c>
      <c r="R75" s="91" t="e">
        <f t="shared" si="44"/>
        <v>#N/A</v>
      </c>
      <c r="S75" s="91" t="e">
        <f t="shared" si="45"/>
        <v>#N/A</v>
      </c>
      <c r="T75" s="91" t="e">
        <f t="shared" si="46"/>
        <v>#N/A</v>
      </c>
      <c r="U75" s="91" t="e">
        <f t="shared" si="47"/>
        <v>#N/A</v>
      </c>
      <c r="V75" s="91" t="e">
        <f t="shared" si="48"/>
        <v>#N/A</v>
      </c>
      <c r="W75" s="91" t="e">
        <f t="shared" si="49"/>
        <v>#N/A</v>
      </c>
      <c r="X75" s="91" t="e">
        <f t="shared" si="50"/>
        <v>#N/A</v>
      </c>
      <c r="Y75" s="91" t="e">
        <f t="shared" si="51"/>
        <v>#N/A</v>
      </c>
      <c r="Z75" s="91" t="e">
        <f t="shared" si="52"/>
        <v>#N/A</v>
      </c>
      <c r="AA75" s="91" t="e">
        <f t="shared" si="53"/>
        <v>#N/A</v>
      </c>
      <c r="AB75" s="91" t="e">
        <f t="shared" si="54"/>
        <v>#N/A</v>
      </c>
      <c r="AC75" s="91" t="e">
        <f t="shared" si="55"/>
        <v>#N/A</v>
      </c>
      <c r="AD75" s="91" t="e">
        <f t="shared" si="56"/>
        <v>#N/A</v>
      </c>
      <c r="AF75" s="62">
        <v>20</v>
      </c>
      <c r="AG75" s="91" t="e">
        <f t="shared" si="57"/>
        <v>#N/A</v>
      </c>
      <c r="AH75" s="91" t="e">
        <f t="shared" si="58"/>
        <v>#N/A</v>
      </c>
      <c r="AI75" s="91" t="e">
        <f t="shared" si="59"/>
        <v>#DIV/0!</v>
      </c>
      <c r="AJ75" s="91" t="e">
        <f t="shared" si="60"/>
        <v>#DIV/0!</v>
      </c>
      <c r="AK75" s="91" t="e">
        <f t="shared" si="61"/>
        <v>#DIV/0!</v>
      </c>
      <c r="AL75" s="91" t="e">
        <f t="shared" si="62"/>
        <v>#N/A</v>
      </c>
      <c r="AM75" s="91" t="e">
        <f t="shared" si="63"/>
        <v>#N/A</v>
      </c>
      <c r="AN75" s="91" t="e">
        <f t="shared" si="64"/>
        <v>#N/A</v>
      </c>
      <c r="AO75" s="91" t="e">
        <f t="shared" si="65"/>
        <v>#N/A</v>
      </c>
      <c r="AP75" s="91" t="e">
        <f t="shared" si="66"/>
        <v>#N/A</v>
      </c>
    </row>
    <row r="76" spans="14:42">
      <c r="N76" s="62">
        <v>21</v>
      </c>
      <c r="O76" s="91" t="e">
        <f t="shared" si="41"/>
        <v>#N/A</v>
      </c>
      <c r="P76" s="91" t="e">
        <f t="shared" si="42"/>
        <v>#N/A</v>
      </c>
      <c r="Q76" s="91" t="e">
        <f t="shared" si="43"/>
        <v>#N/A</v>
      </c>
      <c r="R76" s="91" t="e">
        <f t="shared" si="44"/>
        <v>#N/A</v>
      </c>
      <c r="S76" s="91" t="e">
        <f t="shared" si="45"/>
        <v>#N/A</v>
      </c>
      <c r="T76" s="91" t="e">
        <f t="shared" si="46"/>
        <v>#N/A</v>
      </c>
      <c r="U76" s="91" t="e">
        <f t="shared" si="47"/>
        <v>#N/A</v>
      </c>
      <c r="V76" s="91" t="e">
        <f t="shared" si="48"/>
        <v>#N/A</v>
      </c>
      <c r="W76" s="91" t="e">
        <f t="shared" si="49"/>
        <v>#N/A</v>
      </c>
      <c r="X76" s="91" t="e">
        <f t="shared" si="50"/>
        <v>#N/A</v>
      </c>
      <c r="Y76" s="91" t="e">
        <f t="shared" si="51"/>
        <v>#N/A</v>
      </c>
      <c r="Z76" s="91" t="e">
        <f t="shared" si="52"/>
        <v>#N/A</v>
      </c>
      <c r="AA76" s="91" t="e">
        <f t="shared" si="53"/>
        <v>#N/A</v>
      </c>
      <c r="AB76" s="91" t="e">
        <f t="shared" si="54"/>
        <v>#N/A</v>
      </c>
      <c r="AC76" s="91" t="e">
        <f t="shared" si="55"/>
        <v>#N/A</v>
      </c>
      <c r="AD76" s="91" t="e">
        <f t="shared" si="56"/>
        <v>#N/A</v>
      </c>
      <c r="AF76" s="62">
        <v>21</v>
      </c>
      <c r="AG76" s="91" t="e">
        <f t="shared" si="57"/>
        <v>#N/A</v>
      </c>
      <c r="AH76" s="91" t="e">
        <f t="shared" si="58"/>
        <v>#N/A</v>
      </c>
      <c r="AI76" s="91" t="e">
        <f t="shared" si="59"/>
        <v>#DIV/0!</v>
      </c>
      <c r="AJ76" s="91" t="e">
        <f t="shared" si="60"/>
        <v>#DIV/0!</v>
      </c>
      <c r="AK76" s="91" t="e">
        <f t="shared" si="61"/>
        <v>#DIV/0!</v>
      </c>
      <c r="AL76" s="91" t="e">
        <f t="shared" si="62"/>
        <v>#N/A</v>
      </c>
      <c r="AM76" s="91" t="e">
        <f t="shared" si="63"/>
        <v>#N/A</v>
      </c>
      <c r="AN76" s="91" t="e">
        <f t="shared" si="64"/>
        <v>#N/A</v>
      </c>
      <c r="AO76" s="91" t="e">
        <f t="shared" si="65"/>
        <v>#N/A</v>
      </c>
      <c r="AP76" s="91" t="e">
        <f t="shared" si="66"/>
        <v>#N/A</v>
      </c>
    </row>
    <row r="77" spans="14:42">
      <c r="N77" s="62">
        <v>22</v>
      </c>
      <c r="O77" s="91" t="e">
        <f t="shared" si="41"/>
        <v>#N/A</v>
      </c>
      <c r="P77" s="91" t="e">
        <f t="shared" si="42"/>
        <v>#N/A</v>
      </c>
      <c r="Q77" s="91" t="e">
        <f t="shared" si="43"/>
        <v>#N/A</v>
      </c>
      <c r="R77" s="91" t="e">
        <f t="shared" si="44"/>
        <v>#N/A</v>
      </c>
      <c r="S77" s="91" t="e">
        <f t="shared" si="45"/>
        <v>#N/A</v>
      </c>
      <c r="T77" s="91" t="e">
        <f t="shared" si="46"/>
        <v>#N/A</v>
      </c>
      <c r="U77" s="91" t="e">
        <f t="shared" si="47"/>
        <v>#N/A</v>
      </c>
      <c r="V77" s="91" t="e">
        <f t="shared" si="48"/>
        <v>#N/A</v>
      </c>
      <c r="W77" s="91" t="e">
        <f t="shared" si="49"/>
        <v>#N/A</v>
      </c>
      <c r="X77" s="91" t="e">
        <f t="shared" si="50"/>
        <v>#N/A</v>
      </c>
      <c r="Y77" s="91" t="e">
        <f t="shared" si="51"/>
        <v>#N/A</v>
      </c>
      <c r="Z77" s="91" t="e">
        <f t="shared" si="52"/>
        <v>#N/A</v>
      </c>
      <c r="AA77" s="91" t="e">
        <f t="shared" si="53"/>
        <v>#N/A</v>
      </c>
      <c r="AB77" s="91" t="e">
        <f t="shared" si="54"/>
        <v>#N/A</v>
      </c>
      <c r="AC77" s="91" t="e">
        <f t="shared" si="55"/>
        <v>#N/A</v>
      </c>
      <c r="AD77" s="91" t="e">
        <f t="shared" si="56"/>
        <v>#N/A</v>
      </c>
      <c r="AF77" s="62">
        <v>22</v>
      </c>
      <c r="AG77" s="91" t="e">
        <f t="shared" si="57"/>
        <v>#N/A</v>
      </c>
      <c r="AH77" s="91" t="e">
        <f t="shared" si="58"/>
        <v>#N/A</v>
      </c>
      <c r="AI77" s="91" t="e">
        <f t="shared" si="59"/>
        <v>#DIV/0!</v>
      </c>
      <c r="AJ77" s="91" t="e">
        <f t="shared" si="60"/>
        <v>#DIV/0!</v>
      </c>
      <c r="AK77" s="91" t="e">
        <f t="shared" si="61"/>
        <v>#DIV/0!</v>
      </c>
      <c r="AL77" s="91" t="e">
        <f t="shared" si="62"/>
        <v>#N/A</v>
      </c>
      <c r="AM77" s="91" t="e">
        <f t="shared" si="63"/>
        <v>#N/A</v>
      </c>
      <c r="AN77" s="91" t="e">
        <f t="shared" si="64"/>
        <v>#N/A</v>
      </c>
      <c r="AO77" s="91" t="e">
        <f t="shared" si="65"/>
        <v>#N/A</v>
      </c>
      <c r="AP77" s="91" t="e">
        <f t="shared" si="66"/>
        <v>#N/A</v>
      </c>
    </row>
    <row r="78" spans="14:42">
      <c r="N78" s="62">
        <v>23</v>
      </c>
      <c r="O78" s="91" t="e">
        <f t="shared" si="41"/>
        <v>#N/A</v>
      </c>
      <c r="P78" s="91" t="e">
        <f t="shared" si="42"/>
        <v>#N/A</v>
      </c>
      <c r="Q78" s="91" t="e">
        <f t="shared" si="43"/>
        <v>#N/A</v>
      </c>
      <c r="R78" s="91" t="e">
        <f t="shared" si="44"/>
        <v>#N/A</v>
      </c>
      <c r="S78" s="91" t="e">
        <f t="shared" si="45"/>
        <v>#N/A</v>
      </c>
      <c r="T78" s="91" t="e">
        <f t="shared" si="46"/>
        <v>#N/A</v>
      </c>
      <c r="U78" s="91" t="e">
        <f t="shared" si="47"/>
        <v>#N/A</v>
      </c>
      <c r="V78" s="91" t="e">
        <f t="shared" si="48"/>
        <v>#N/A</v>
      </c>
      <c r="W78" s="91" t="e">
        <f t="shared" si="49"/>
        <v>#N/A</v>
      </c>
      <c r="X78" s="91" t="e">
        <f t="shared" si="50"/>
        <v>#N/A</v>
      </c>
      <c r="Y78" s="91" t="e">
        <f t="shared" si="51"/>
        <v>#N/A</v>
      </c>
      <c r="Z78" s="91" t="e">
        <f t="shared" si="52"/>
        <v>#N/A</v>
      </c>
      <c r="AA78" s="91" t="e">
        <f t="shared" si="53"/>
        <v>#N/A</v>
      </c>
      <c r="AB78" s="91" t="e">
        <f t="shared" si="54"/>
        <v>#N/A</v>
      </c>
      <c r="AC78" s="91" t="e">
        <f t="shared" si="55"/>
        <v>#N/A</v>
      </c>
      <c r="AD78" s="91" t="e">
        <f t="shared" si="56"/>
        <v>#N/A</v>
      </c>
      <c r="AF78" s="62">
        <v>23</v>
      </c>
      <c r="AG78" s="91" t="e">
        <f t="shared" si="57"/>
        <v>#N/A</v>
      </c>
      <c r="AH78" s="91" t="e">
        <f t="shared" si="58"/>
        <v>#N/A</v>
      </c>
      <c r="AI78" s="91" t="e">
        <f t="shared" si="59"/>
        <v>#DIV/0!</v>
      </c>
      <c r="AJ78" s="91" t="e">
        <f t="shared" si="60"/>
        <v>#DIV/0!</v>
      </c>
      <c r="AK78" s="91" t="e">
        <f t="shared" si="61"/>
        <v>#DIV/0!</v>
      </c>
      <c r="AL78" s="91" t="e">
        <f t="shared" si="62"/>
        <v>#N/A</v>
      </c>
      <c r="AM78" s="91" t="e">
        <f t="shared" si="63"/>
        <v>#N/A</v>
      </c>
      <c r="AN78" s="91" t="e">
        <f t="shared" si="64"/>
        <v>#N/A</v>
      </c>
      <c r="AO78" s="91" t="e">
        <f t="shared" si="65"/>
        <v>#N/A</v>
      </c>
      <c r="AP78" s="91" t="e">
        <f t="shared" si="66"/>
        <v>#N/A</v>
      </c>
    </row>
    <row r="79" spans="14:42">
      <c r="N79" s="88">
        <v>24</v>
      </c>
      <c r="O79" s="94" t="e">
        <f t="shared" si="41"/>
        <v>#N/A</v>
      </c>
      <c r="P79" s="94" t="e">
        <f t="shared" si="42"/>
        <v>#N/A</v>
      </c>
      <c r="Q79" s="94" t="e">
        <f t="shared" si="43"/>
        <v>#N/A</v>
      </c>
      <c r="R79" s="94" t="e">
        <f t="shared" si="44"/>
        <v>#N/A</v>
      </c>
      <c r="S79" s="94" t="e">
        <f t="shared" si="45"/>
        <v>#N/A</v>
      </c>
      <c r="T79" s="94" t="e">
        <f t="shared" si="46"/>
        <v>#N/A</v>
      </c>
      <c r="U79" s="94" t="e">
        <f t="shared" si="47"/>
        <v>#N/A</v>
      </c>
      <c r="V79" s="94" t="e">
        <f t="shared" si="48"/>
        <v>#N/A</v>
      </c>
      <c r="W79" s="94" t="e">
        <f t="shared" si="49"/>
        <v>#N/A</v>
      </c>
      <c r="X79" s="94" t="e">
        <f t="shared" si="50"/>
        <v>#N/A</v>
      </c>
      <c r="Y79" s="94" t="e">
        <f t="shared" si="51"/>
        <v>#N/A</v>
      </c>
      <c r="Z79" s="94" t="e">
        <f t="shared" si="52"/>
        <v>#N/A</v>
      </c>
      <c r="AA79" s="94" t="e">
        <f t="shared" si="53"/>
        <v>#N/A</v>
      </c>
      <c r="AB79" s="94" t="e">
        <f t="shared" si="54"/>
        <v>#N/A</v>
      </c>
      <c r="AC79" s="94" t="e">
        <f t="shared" si="55"/>
        <v>#N/A</v>
      </c>
      <c r="AD79" s="94" t="e">
        <f t="shared" si="56"/>
        <v>#N/A</v>
      </c>
      <c r="AF79" s="88">
        <v>24</v>
      </c>
      <c r="AG79" s="94" t="e">
        <f t="shared" si="57"/>
        <v>#N/A</v>
      </c>
      <c r="AH79" s="94" t="e">
        <f t="shared" si="58"/>
        <v>#N/A</v>
      </c>
      <c r="AI79" s="94" t="e">
        <f t="shared" si="59"/>
        <v>#DIV/0!</v>
      </c>
      <c r="AJ79" s="94" t="e">
        <f t="shared" si="60"/>
        <v>#DIV/0!</v>
      </c>
      <c r="AK79" s="94" t="e">
        <f t="shared" si="61"/>
        <v>#DIV/0!</v>
      </c>
      <c r="AL79" s="94" t="e">
        <f t="shared" si="62"/>
        <v>#N/A</v>
      </c>
      <c r="AM79" s="94" t="e">
        <f t="shared" si="63"/>
        <v>#N/A</v>
      </c>
      <c r="AN79" s="94" t="e">
        <f t="shared" si="64"/>
        <v>#N/A</v>
      </c>
      <c r="AO79" s="94" t="e">
        <f t="shared" si="65"/>
        <v>#N/A</v>
      </c>
      <c r="AP79" s="94" t="e">
        <f t="shared" si="66"/>
        <v>#N/A</v>
      </c>
    </row>
  </sheetData>
  <mergeCells count="19">
    <mergeCell ref="O1:AA1"/>
    <mergeCell ref="AG1:AP1"/>
    <mergeCell ref="AG29:AP29"/>
    <mergeCell ref="AG55:AP55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AF1:AF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0"/>
  <sheetViews>
    <sheetView zoomScale="81" zoomScaleNormal="81" workbookViewId="0">
      <selection activeCell="Q31" sqref="Q31"/>
    </sheetView>
  </sheetViews>
  <sheetFormatPr defaultColWidth="9" defaultRowHeight="13.5"/>
  <cols>
    <col min="1" max="1" width="6.375" style="26" customWidth="1"/>
    <col min="2" max="3" width="16.125" style="35" customWidth="1"/>
    <col min="4" max="11" width="16.125" style="26" customWidth="1"/>
    <col min="12" max="14" width="17.2583333333333" style="26" customWidth="1"/>
    <col min="15" max="15" width="11.8166666666667" style="26" customWidth="1"/>
    <col min="16" max="17" width="18.2583333333333" style="26" customWidth="1"/>
    <col min="18" max="19" width="18.3666666666667" style="26" customWidth="1"/>
    <col min="20" max="20" width="9.54166666666667" style="26" customWidth="1"/>
    <col min="21" max="21" width="7.375" style="26" customWidth="1"/>
    <col min="22" max="22" width="9" style="26"/>
    <col min="23" max="23" width="12.8166666666667" style="26"/>
    <col min="24" max="16384" width="9" style="26"/>
  </cols>
  <sheetData>
    <row r="1" spans="1:21">
      <c r="A1" s="26" t="s">
        <v>73</v>
      </c>
      <c r="B1" s="26" t="s">
        <v>74</v>
      </c>
      <c r="C1" s="26" t="s">
        <v>75</v>
      </c>
      <c r="D1" s="26" t="s">
        <v>76</v>
      </c>
      <c r="E1" s="26" t="s">
        <v>77</v>
      </c>
      <c r="F1" s="26" t="s">
        <v>78</v>
      </c>
      <c r="G1" s="26" t="s">
        <v>79</v>
      </c>
      <c r="H1" s="26" t="s">
        <v>80</v>
      </c>
      <c r="I1" s="26" t="s">
        <v>81</v>
      </c>
      <c r="J1" s="26" t="s">
        <v>82</v>
      </c>
      <c r="K1" s="26" t="s">
        <v>83</v>
      </c>
      <c r="L1" s="26" t="s">
        <v>84</v>
      </c>
      <c r="M1" s="26" t="s">
        <v>85</v>
      </c>
      <c r="N1" s="26" t="s">
        <v>86</v>
      </c>
      <c r="O1" s="26" t="s">
        <v>87</v>
      </c>
      <c r="P1" s="26" t="s">
        <v>88</v>
      </c>
      <c r="Q1" s="26" t="s">
        <v>89</v>
      </c>
      <c r="R1" s="26" t="s">
        <v>90</v>
      </c>
      <c r="S1" s="26" t="s">
        <v>91</v>
      </c>
      <c r="T1" s="26" t="s">
        <v>92</v>
      </c>
      <c r="U1" s="26" t="s">
        <v>93</v>
      </c>
    </row>
    <row r="2" spans="1:21">
      <c r="A2" s="26" t="s">
        <v>94</v>
      </c>
      <c r="B2" s="26" t="s">
        <v>94</v>
      </c>
      <c r="C2" s="26" t="s">
        <v>94</v>
      </c>
      <c r="D2" s="26" t="s">
        <v>94</v>
      </c>
      <c r="E2" s="26" t="s">
        <v>94</v>
      </c>
      <c r="F2" s="26" t="s">
        <v>94</v>
      </c>
      <c r="G2" s="26" t="s">
        <v>94</v>
      </c>
      <c r="H2" s="26" t="s">
        <v>94</v>
      </c>
      <c r="I2" s="26" t="s">
        <v>94</v>
      </c>
      <c r="J2" s="26" t="s">
        <v>94</v>
      </c>
      <c r="K2" s="26" t="s">
        <v>94</v>
      </c>
      <c r="L2" s="26" t="s">
        <v>94</v>
      </c>
      <c r="M2" s="26" t="s">
        <v>94</v>
      </c>
      <c r="N2" s="26" t="s">
        <v>94</v>
      </c>
      <c r="O2" s="26" t="s">
        <v>94</v>
      </c>
      <c r="P2" s="26" t="s">
        <v>94</v>
      </c>
      <c r="Q2" s="26" t="s">
        <v>94</v>
      </c>
      <c r="R2" s="26" t="s">
        <v>94</v>
      </c>
      <c r="S2" s="26" t="s">
        <v>94</v>
      </c>
      <c r="T2" s="26" t="s">
        <v>94</v>
      </c>
      <c r="U2" s="26" t="s">
        <v>94</v>
      </c>
    </row>
    <row r="3" spans="1:21">
      <c r="A3" s="26" t="s">
        <v>95</v>
      </c>
      <c r="B3" s="26" t="s">
        <v>95</v>
      </c>
      <c r="C3" s="26" t="s">
        <v>95</v>
      </c>
      <c r="D3" s="26" t="s">
        <v>95</v>
      </c>
      <c r="E3" s="26" t="s">
        <v>95</v>
      </c>
      <c r="F3" s="26" t="s">
        <v>95</v>
      </c>
      <c r="G3" s="26" t="s">
        <v>95</v>
      </c>
      <c r="H3" s="26" t="s">
        <v>95</v>
      </c>
      <c r="I3" s="26" t="s">
        <v>95</v>
      </c>
      <c r="J3" s="26" t="s">
        <v>95</v>
      </c>
      <c r="K3" s="26" t="s">
        <v>95</v>
      </c>
      <c r="L3" s="26" t="s">
        <v>95</v>
      </c>
      <c r="M3" s="26" t="s">
        <v>95</v>
      </c>
      <c r="N3" s="26" t="s">
        <v>95</v>
      </c>
      <c r="O3" s="26" t="s">
        <v>95</v>
      </c>
      <c r="P3" s="26" t="s">
        <v>95</v>
      </c>
      <c r="Q3" s="26" t="s">
        <v>95</v>
      </c>
      <c r="R3" s="26" t="s">
        <v>95</v>
      </c>
      <c r="S3" s="26" t="s">
        <v>95</v>
      </c>
      <c r="T3" s="26" t="s">
        <v>95</v>
      </c>
      <c r="U3" s="26" t="s">
        <v>95</v>
      </c>
    </row>
    <row r="4" spans="1:21">
      <c r="A4" s="26" t="s">
        <v>9</v>
      </c>
      <c r="B4" s="26" t="s">
        <v>96</v>
      </c>
      <c r="C4" s="26" t="s">
        <v>97</v>
      </c>
      <c r="D4" s="26" t="s">
        <v>98</v>
      </c>
      <c r="E4" s="26" t="s">
        <v>99</v>
      </c>
      <c r="F4" s="26" t="s">
        <v>100</v>
      </c>
      <c r="G4" s="26" t="s">
        <v>101</v>
      </c>
      <c r="H4" s="26" t="s">
        <v>102</v>
      </c>
      <c r="I4" s="26" t="s">
        <v>103</v>
      </c>
      <c r="J4" s="26" t="s">
        <v>104</v>
      </c>
      <c r="K4" s="26" t="s">
        <v>105</v>
      </c>
      <c r="L4" s="26" t="s">
        <v>106</v>
      </c>
      <c r="M4" s="26" t="s">
        <v>107</v>
      </c>
      <c r="N4" s="26" t="s">
        <v>108</v>
      </c>
      <c r="O4" s="26" t="s">
        <v>109</v>
      </c>
      <c r="P4" s="26" t="s">
        <v>110</v>
      </c>
      <c r="Q4" s="26" t="s">
        <v>111</v>
      </c>
      <c r="R4" s="26" t="s">
        <v>112</v>
      </c>
      <c r="S4" s="26" t="s">
        <v>113</v>
      </c>
      <c r="T4" s="26" t="s">
        <v>114</v>
      </c>
      <c r="U4" s="26" t="s">
        <v>115</v>
      </c>
    </row>
    <row r="5" spans="1:21">
      <c r="A5" s="26">
        <v>0</v>
      </c>
      <c r="B5" s="35">
        <v>75</v>
      </c>
      <c r="C5" s="35">
        <v>50</v>
      </c>
      <c r="D5" s="26">
        <v>100</v>
      </c>
      <c r="E5" s="26">
        <v>50</v>
      </c>
      <c r="F5" s="26">
        <v>100</v>
      </c>
      <c r="G5" s="26">
        <v>50</v>
      </c>
      <c r="H5" s="26">
        <v>0</v>
      </c>
      <c r="I5" s="26">
        <v>50</v>
      </c>
      <c r="J5" s="26">
        <v>100</v>
      </c>
      <c r="K5" s="26">
        <v>50</v>
      </c>
      <c r="L5" s="26">
        <v>100</v>
      </c>
      <c r="M5" s="26">
        <v>50</v>
      </c>
      <c r="N5" s="26">
        <v>75</v>
      </c>
      <c r="O5" s="26">
        <v>1</v>
      </c>
      <c r="P5" s="26">
        <v>0</v>
      </c>
      <c r="Q5" s="26">
        <v>999</v>
      </c>
      <c r="R5" s="26">
        <v>0</v>
      </c>
      <c r="S5" s="26">
        <v>999</v>
      </c>
      <c r="T5" s="26">
        <v>0</v>
      </c>
      <c r="U5" s="26">
        <v>100</v>
      </c>
    </row>
    <row r="6" spans="1:21">
      <c r="A6" s="26">
        <v>1</v>
      </c>
      <c r="B6" s="35">
        <v>125</v>
      </c>
      <c r="C6" s="35">
        <v>75</v>
      </c>
      <c r="D6" s="26">
        <v>150</v>
      </c>
      <c r="E6" s="26">
        <v>50</v>
      </c>
      <c r="F6" s="26">
        <v>150</v>
      </c>
      <c r="G6" s="26">
        <v>50</v>
      </c>
      <c r="H6" s="26">
        <v>1</v>
      </c>
      <c r="I6" s="26">
        <v>50</v>
      </c>
      <c r="J6" s="26">
        <v>150</v>
      </c>
      <c r="K6" s="26">
        <v>50</v>
      </c>
      <c r="L6" s="26">
        <v>150</v>
      </c>
      <c r="M6" s="26">
        <v>75</v>
      </c>
      <c r="N6" s="26">
        <v>125</v>
      </c>
      <c r="O6" s="26">
        <v>1</v>
      </c>
      <c r="P6" s="26">
        <v>0</v>
      </c>
      <c r="Q6" s="26">
        <v>999</v>
      </c>
      <c r="R6" s="26">
        <v>0</v>
      </c>
      <c r="S6" s="26">
        <v>999</v>
      </c>
      <c r="T6" s="26">
        <v>0</v>
      </c>
      <c r="U6" s="26">
        <v>100</v>
      </c>
    </row>
    <row r="7" spans="1:21">
      <c r="A7" s="26">
        <v>2</v>
      </c>
      <c r="B7" s="35">
        <v>150</v>
      </c>
      <c r="C7" s="35">
        <v>50</v>
      </c>
      <c r="D7" s="26">
        <v>150</v>
      </c>
      <c r="E7" s="26">
        <v>50</v>
      </c>
      <c r="F7" s="26">
        <v>150</v>
      </c>
      <c r="G7" s="26">
        <v>50</v>
      </c>
      <c r="H7" s="26">
        <v>1</v>
      </c>
      <c r="I7" s="26">
        <v>50</v>
      </c>
      <c r="J7" s="26">
        <v>150</v>
      </c>
      <c r="K7" s="26">
        <v>50</v>
      </c>
      <c r="L7" s="26">
        <v>150</v>
      </c>
      <c r="M7" s="26">
        <v>50</v>
      </c>
      <c r="N7" s="26">
        <v>150</v>
      </c>
      <c r="O7" s="26">
        <v>1</v>
      </c>
      <c r="P7" s="26">
        <v>0</v>
      </c>
      <c r="Q7" s="26">
        <v>999</v>
      </c>
      <c r="R7" s="26">
        <v>0</v>
      </c>
      <c r="S7" s="26">
        <v>999</v>
      </c>
      <c r="T7" s="26">
        <v>0</v>
      </c>
      <c r="U7" s="26">
        <v>70</v>
      </c>
    </row>
    <row r="8" spans="1:21">
      <c r="A8" s="26">
        <v>2</v>
      </c>
      <c r="B8" s="35">
        <v>100</v>
      </c>
      <c r="C8" s="35">
        <v>75</v>
      </c>
      <c r="D8" s="26">
        <v>150</v>
      </c>
      <c r="E8" s="26">
        <v>75</v>
      </c>
      <c r="F8" s="26">
        <v>150</v>
      </c>
      <c r="G8" s="26">
        <v>100</v>
      </c>
      <c r="H8" s="26">
        <v>1</v>
      </c>
      <c r="I8" s="26">
        <v>100</v>
      </c>
      <c r="J8" s="26">
        <v>150</v>
      </c>
      <c r="K8" s="26">
        <v>75</v>
      </c>
      <c r="L8" s="26">
        <v>150</v>
      </c>
      <c r="M8" s="26">
        <v>75</v>
      </c>
      <c r="N8" s="26">
        <v>100</v>
      </c>
      <c r="O8" s="26">
        <v>2</v>
      </c>
      <c r="P8" s="26">
        <v>0</v>
      </c>
      <c r="Q8" s="26">
        <v>999</v>
      </c>
      <c r="R8" s="26">
        <v>0</v>
      </c>
      <c r="S8" s="26">
        <v>999</v>
      </c>
      <c r="T8" s="26">
        <v>0</v>
      </c>
      <c r="U8" s="26">
        <v>35</v>
      </c>
    </row>
    <row r="9" spans="1:21">
      <c r="A9" s="26">
        <v>2</v>
      </c>
      <c r="B9" s="35">
        <v>50</v>
      </c>
      <c r="C9" s="35">
        <v>100</v>
      </c>
      <c r="D9" s="26">
        <v>50</v>
      </c>
      <c r="E9" s="26">
        <v>100</v>
      </c>
      <c r="F9" s="26">
        <v>50</v>
      </c>
      <c r="G9" s="26">
        <v>100</v>
      </c>
      <c r="H9" s="26">
        <v>0</v>
      </c>
      <c r="I9" s="26">
        <v>100</v>
      </c>
      <c r="J9" s="26">
        <v>50</v>
      </c>
      <c r="K9" s="26">
        <v>100</v>
      </c>
      <c r="L9" s="26">
        <v>50</v>
      </c>
      <c r="M9" s="26">
        <v>100</v>
      </c>
      <c r="N9" s="26">
        <v>50</v>
      </c>
      <c r="O9" s="26">
        <v>3</v>
      </c>
      <c r="P9" s="26">
        <v>0</v>
      </c>
      <c r="Q9" s="26">
        <v>999</v>
      </c>
      <c r="R9" s="26">
        <v>0</v>
      </c>
      <c r="S9" s="26">
        <v>999</v>
      </c>
      <c r="T9" s="26">
        <v>0</v>
      </c>
      <c r="U9" s="26">
        <v>5</v>
      </c>
    </row>
    <row r="10" spans="1:21">
      <c r="A10" s="26">
        <v>3</v>
      </c>
      <c r="B10" s="35">
        <v>75</v>
      </c>
      <c r="C10" s="35">
        <v>100</v>
      </c>
      <c r="D10" s="26">
        <v>100</v>
      </c>
      <c r="E10" s="26">
        <v>50</v>
      </c>
      <c r="F10" s="26">
        <v>100</v>
      </c>
      <c r="G10" s="26">
        <v>50</v>
      </c>
      <c r="H10" s="26">
        <v>1</v>
      </c>
      <c r="I10" s="26">
        <v>50</v>
      </c>
      <c r="J10" s="26">
        <v>100</v>
      </c>
      <c r="K10" s="26">
        <v>50</v>
      </c>
      <c r="L10" s="26">
        <v>100</v>
      </c>
      <c r="M10" s="26">
        <v>100</v>
      </c>
      <c r="N10" s="26">
        <v>75</v>
      </c>
      <c r="O10" s="26">
        <v>1</v>
      </c>
      <c r="P10" s="26">
        <v>0</v>
      </c>
      <c r="Q10" s="26">
        <v>999</v>
      </c>
      <c r="R10" s="26">
        <v>0</v>
      </c>
      <c r="S10" s="26">
        <v>999</v>
      </c>
      <c r="T10" s="26">
        <v>40</v>
      </c>
      <c r="U10" s="26">
        <v>200</v>
      </c>
    </row>
    <row r="11" spans="1:21">
      <c r="A11" s="26">
        <v>3</v>
      </c>
      <c r="B11" s="35">
        <v>100</v>
      </c>
      <c r="C11" s="35">
        <v>100</v>
      </c>
      <c r="D11" s="26">
        <v>150</v>
      </c>
      <c r="E11" s="26">
        <v>75</v>
      </c>
      <c r="F11" s="26">
        <v>150</v>
      </c>
      <c r="G11" s="26">
        <v>100</v>
      </c>
      <c r="H11" s="26">
        <v>1</v>
      </c>
      <c r="I11" s="26">
        <v>100</v>
      </c>
      <c r="J11" s="26">
        <v>150</v>
      </c>
      <c r="K11" s="26">
        <v>75</v>
      </c>
      <c r="L11" s="26">
        <v>150</v>
      </c>
      <c r="M11" s="26">
        <v>100</v>
      </c>
      <c r="N11" s="26">
        <v>100</v>
      </c>
      <c r="O11" s="26">
        <v>2</v>
      </c>
      <c r="P11" s="26">
        <v>0</v>
      </c>
      <c r="Q11" s="26">
        <v>999</v>
      </c>
      <c r="R11" s="26">
        <v>0</v>
      </c>
      <c r="S11" s="26">
        <v>999</v>
      </c>
      <c r="T11" s="26">
        <v>30</v>
      </c>
      <c r="U11" s="26">
        <v>40</v>
      </c>
    </row>
    <row r="12" spans="1:21">
      <c r="A12" s="26">
        <v>3</v>
      </c>
      <c r="B12" s="35">
        <v>50</v>
      </c>
      <c r="C12" s="35">
        <v>100</v>
      </c>
      <c r="D12" s="26">
        <v>50</v>
      </c>
      <c r="E12" s="26">
        <v>100</v>
      </c>
      <c r="F12" s="26">
        <v>50</v>
      </c>
      <c r="G12" s="26">
        <v>100</v>
      </c>
      <c r="H12" s="26">
        <v>0</v>
      </c>
      <c r="I12" s="26">
        <v>100</v>
      </c>
      <c r="J12" s="26">
        <v>50</v>
      </c>
      <c r="K12" s="26">
        <v>100</v>
      </c>
      <c r="L12" s="26">
        <v>50</v>
      </c>
      <c r="M12" s="26">
        <v>100</v>
      </c>
      <c r="N12" s="26">
        <v>50</v>
      </c>
      <c r="O12" s="26">
        <v>3</v>
      </c>
      <c r="P12" s="26">
        <v>0</v>
      </c>
      <c r="Q12" s="26">
        <v>999</v>
      </c>
      <c r="R12" s="26">
        <v>0</v>
      </c>
      <c r="S12" s="26">
        <v>999</v>
      </c>
      <c r="T12" s="26">
        <v>10</v>
      </c>
      <c r="U12" s="26">
        <v>10</v>
      </c>
    </row>
    <row r="13" spans="1:21">
      <c r="A13" s="26">
        <v>4</v>
      </c>
      <c r="B13" s="35">
        <v>75</v>
      </c>
      <c r="C13" s="35">
        <v>100</v>
      </c>
      <c r="D13" s="26">
        <v>100</v>
      </c>
      <c r="E13" s="26">
        <v>50</v>
      </c>
      <c r="F13" s="26">
        <v>100</v>
      </c>
      <c r="G13" s="26">
        <v>50</v>
      </c>
      <c r="H13" s="26">
        <v>1</v>
      </c>
      <c r="I13" s="26">
        <v>50</v>
      </c>
      <c r="J13" s="26">
        <v>100</v>
      </c>
      <c r="K13" s="26">
        <v>50</v>
      </c>
      <c r="L13" s="26">
        <v>100</v>
      </c>
      <c r="M13" s="26">
        <v>100</v>
      </c>
      <c r="N13" s="26">
        <v>75</v>
      </c>
      <c r="O13" s="26">
        <v>1</v>
      </c>
      <c r="P13" s="26">
        <v>0</v>
      </c>
      <c r="Q13" s="26">
        <v>999</v>
      </c>
      <c r="R13" s="26">
        <v>0</v>
      </c>
      <c r="S13" s="26">
        <v>999</v>
      </c>
      <c r="T13" s="26">
        <v>50</v>
      </c>
      <c r="U13" s="26">
        <v>200</v>
      </c>
    </row>
    <row r="14" spans="1:21">
      <c r="A14" s="26">
        <v>4</v>
      </c>
      <c r="B14" s="35">
        <v>100</v>
      </c>
      <c r="C14" s="35">
        <v>100</v>
      </c>
      <c r="D14" s="26">
        <v>150</v>
      </c>
      <c r="E14" s="26">
        <v>75</v>
      </c>
      <c r="F14" s="26">
        <v>150</v>
      </c>
      <c r="G14" s="26">
        <v>100</v>
      </c>
      <c r="H14" s="26">
        <v>1</v>
      </c>
      <c r="I14" s="26">
        <v>100</v>
      </c>
      <c r="J14" s="26">
        <v>150</v>
      </c>
      <c r="K14" s="26">
        <v>75</v>
      </c>
      <c r="L14" s="26">
        <v>150</v>
      </c>
      <c r="M14" s="26">
        <v>100</v>
      </c>
      <c r="N14" s="26">
        <v>100</v>
      </c>
      <c r="O14" s="26">
        <v>2</v>
      </c>
      <c r="P14" s="26">
        <v>0</v>
      </c>
      <c r="Q14" s="26">
        <v>999</v>
      </c>
      <c r="R14" s="26">
        <v>0</v>
      </c>
      <c r="S14" s="26">
        <v>999</v>
      </c>
      <c r="T14" s="26">
        <v>30</v>
      </c>
      <c r="U14" s="26">
        <v>60</v>
      </c>
    </row>
    <row r="15" spans="1:21">
      <c r="A15" s="26">
        <v>4</v>
      </c>
      <c r="B15" s="35">
        <v>50</v>
      </c>
      <c r="C15" s="35">
        <v>100</v>
      </c>
      <c r="D15" s="26">
        <v>50</v>
      </c>
      <c r="E15" s="26">
        <v>100</v>
      </c>
      <c r="F15" s="26">
        <v>50</v>
      </c>
      <c r="G15" s="26">
        <v>100</v>
      </c>
      <c r="H15" s="26">
        <v>0</v>
      </c>
      <c r="I15" s="26">
        <v>100</v>
      </c>
      <c r="J15" s="26">
        <v>50</v>
      </c>
      <c r="K15" s="26">
        <v>100</v>
      </c>
      <c r="L15" s="26">
        <v>50</v>
      </c>
      <c r="M15" s="26">
        <v>100</v>
      </c>
      <c r="N15" s="26">
        <v>50</v>
      </c>
      <c r="O15" s="26">
        <v>3</v>
      </c>
      <c r="P15" s="26">
        <v>0</v>
      </c>
      <c r="Q15" s="26">
        <v>999</v>
      </c>
      <c r="R15" s="26">
        <v>0</v>
      </c>
      <c r="S15" s="26">
        <v>999</v>
      </c>
      <c r="T15" s="26">
        <v>10</v>
      </c>
      <c r="U15" s="26">
        <v>10</v>
      </c>
    </row>
    <row r="16" spans="1:21">
      <c r="A16" s="26">
        <v>5</v>
      </c>
      <c r="B16" s="35">
        <v>75</v>
      </c>
      <c r="C16" s="35">
        <v>100</v>
      </c>
      <c r="D16" s="26">
        <v>100</v>
      </c>
      <c r="E16" s="26">
        <v>50</v>
      </c>
      <c r="F16" s="26">
        <v>100</v>
      </c>
      <c r="G16" s="26">
        <v>50</v>
      </c>
      <c r="H16" s="26">
        <v>1</v>
      </c>
      <c r="I16" s="26">
        <v>50</v>
      </c>
      <c r="J16" s="26">
        <v>100</v>
      </c>
      <c r="K16" s="26">
        <v>50</v>
      </c>
      <c r="L16" s="26">
        <v>100</v>
      </c>
      <c r="M16" s="26">
        <v>100</v>
      </c>
      <c r="N16" s="26">
        <v>75</v>
      </c>
      <c r="O16" s="26">
        <v>1</v>
      </c>
      <c r="P16" s="26">
        <v>0</v>
      </c>
      <c r="Q16" s="26">
        <v>999</v>
      </c>
      <c r="R16" s="26">
        <v>0</v>
      </c>
      <c r="S16" s="26">
        <v>999</v>
      </c>
      <c r="T16" s="26">
        <v>50</v>
      </c>
      <c r="U16" s="26">
        <v>50</v>
      </c>
    </row>
    <row r="17" spans="1:21">
      <c r="A17" s="26">
        <v>5</v>
      </c>
      <c r="B17" s="35">
        <v>75</v>
      </c>
      <c r="C17" s="35">
        <v>100</v>
      </c>
      <c r="D17" s="26">
        <v>125</v>
      </c>
      <c r="E17" s="26">
        <v>75</v>
      </c>
      <c r="F17" s="26">
        <v>125</v>
      </c>
      <c r="G17" s="26">
        <v>100</v>
      </c>
      <c r="H17" s="26">
        <v>1</v>
      </c>
      <c r="I17" s="26">
        <v>100</v>
      </c>
      <c r="J17" s="26">
        <v>125</v>
      </c>
      <c r="K17" s="26">
        <v>75</v>
      </c>
      <c r="L17" s="26">
        <v>125</v>
      </c>
      <c r="M17" s="26">
        <v>100</v>
      </c>
      <c r="N17" s="26">
        <v>75</v>
      </c>
      <c r="O17" s="26">
        <v>2</v>
      </c>
      <c r="P17" s="26">
        <v>0</v>
      </c>
      <c r="Q17" s="26">
        <v>999</v>
      </c>
      <c r="R17" s="26">
        <v>0</v>
      </c>
      <c r="S17" s="26">
        <v>999</v>
      </c>
      <c r="T17" s="26">
        <v>30</v>
      </c>
      <c r="U17" s="26">
        <v>150</v>
      </c>
    </row>
    <row r="18" spans="1:21">
      <c r="A18" s="26">
        <v>5</v>
      </c>
      <c r="B18" s="35">
        <v>50</v>
      </c>
      <c r="C18" s="35">
        <v>100</v>
      </c>
      <c r="D18" s="26">
        <v>50</v>
      </c>
      <c r="E18" s="26">
        <v>100</v>
      </c>
      <c r="F18" s="26">
        <v>50</v>
      </c>
      <c r="G18" s="26">
        <v>100</v>
      </c>
      <c r="H18" s="26">
        <v>0</v>
      </c>
      <c r="I18" s="26">
        <v>100</v>
      </c>
      <c r="J18" s="26">
        <v>50</v>
      </c>
      <c r="K18" s="26">
        <v>100</v>
      </c>
      <c r="L18" s="26">
        <v>50</v>
      </c>
      <c r="M18" s="26">
        <v>100</v>
      </c>
      <c r="N18" s="26">
        <v>50</v>
      </c>
      <c r="O18" s="26">
        <v>3</v>
      </c>
      <c r="P18" s="26">
        <v>0</v>
      </c>
      <c r="Q18" s="26">
        <v>999</v>
      </c>
      <c r="R18" s="26">
        <v>0</v>
      </c>
      <c r="S18" s="26">
        <v>999</v>
      </c>
      <c r="T18" s="26">
        <v>20</v>
      </c>
      <c r="U18" s="26">
        <v>30</v>
      </c>
    </row>
    <row r="19" spans="1:21">
      <c r="A19" s="26">
        <v>6</v>
      </c>
      <c r="B19" s="35">
        <v>75</v>
      </c>
      <c r="C19" s="35">
        <v>100</v>
      </c>
      <c r="D19" s="26">
        <v>100</v>
      </c>
      <c r="E19" s="26">
        <v>50</v>
      </c>
      <c r="F19" s="26">
        <v>100</v>
      </c>
      <c r="G19" s="26">
        <v>50</v>
      </c>
      <c r="H19" s="26">
        <v>3</v>
      </c>
      <c r="I19" s="26">
        <v>50</v>
      </c>
      <c r="J19" s="26">
        <v>100</v>
      </c>
      <c r="K19" s="26">
        <v>50</v>
      </c>
      <c r="L19" s="26">
        <v>100</v>
      </c>
      <c r="M19" s="26">
        <v>100</v>
      </c>
      <c r="N19" s="26">
        <v>75</v>
      </c>
      <c r="O19" s="26">
        <v>1</v>
      </c>
      <c r="P19" s="26">
        <v>0</v>
      </c>
      <c r="Q19" s="26">
        <v>999</v>
      </c>
      <c r="R19" s="26">
        <v>0</v>
      </c>
      <c r="S19" s="26">
        <v>999</v>
      </c>
      <c r="T19" s="26">
        <v>55</v>
      </c>
      <c r="U19" s="26">
        <v>50</v>
      </c>
    </row>
    <row r="20" spans="1:21">
      <c r="A20" s="26">
        <v>6</v>
      </c>
      <c r="B20" s="35">
        <v>75</v>
      </c>
      <c r="C20" s="35">
        <v>100</v>
      </c>
      <c r="D20" s="26">
        <v>125</v>
      </c>
      <c r="E20" s="26">
        <v>75</v>
      </c>
      <c r="F20" s="26">
        <v>125</v>
      </c>
      <c r="G20" s="26">
        <v>100</v>
      </c>
      <c r="H20" s="26">
        <v>1</v>
      </c>
      <c r="I20" s="26">
        <v>100</v>
      </c>
      <c r="J20" s="26">
        <v>125</v>
      </c>
      <c r="K20" s="26">
        <v>75</v>
      </c>
      <c r="L20" s="26">
        <v>125</v>
      </c>
      <c r="M20" s="26">
        <v>100</v>
      </c>
      <c r="N20" s="26">
        <v>75</v>
      </c>
      <c r="O20" s="26">
        <v>2</v>
      </c>
      <c r="P20" s="26">
        <v>0</v>
      </c>
      <c r="Q20" s="26">
        <v>999</v>
      </c>
      <c r="R20" s="26">
        <v>0</v>
      </c>
      <c r="S20" s="26">
        <v>999</v>
      </c>
      <c r="T20" s="26">
        <v>35</v>
      </c>
      <c r="U20" s="26">
        <v>300</v>
      </c>
    </row>
    <row r="21" spans="1:21">
      <c r="A21" s="26">
        <v>6</v>
      </c>
      <c r="B21" s="35">
        <v>50</v>
      </c>
      <c r="C21" s="35">
        <v>100</v>
      </c>
      <c r="D21" s="26">
        <v>50</v>
      </c>
      <c r="E21" s="26">
        <v>100</v>
      </c>
      <c r="F21" s="26">
        <v>50</v>
      </c>
      <c r="G21" s="26">
        <v>100</v>
      </c>
      <c r="H21" s="26">
        <v>0</v>
      </c>
      <c r="I21" s="26">
        <v>100</v>
      </c>
      <c r="J21" s="26">
        <v>50</v>
      </c>
      <c r="K21" s="26">
        <v>100</v>
      </c>
      <c r="L21" s="26">
        <v>50</v>
      </c>
      <c r="M21" s="26">
        <v>100</v>
      </c>
      <c r="N21" s="26">
        <v>50</v>
      </c>
      <c r="O21" s="26">
        <v>3</v>
      </c>
      <c r="P21" s="26">
        <v>0</v>
      </c>
      <c r="Q21" s="26">
        <v>999</v>
      </c>
      <c r="R21" s="26">
        <v>0</v>
      </c>
      <c r="S21" s="26">
        <v>999</v>
      </c>
      <c r="T21" s="26">
        <v>25</v>
      </c>
      <c r="U21" s="26">
        <v>100</v>
      </c>
    </row>
    <row r="22" spans="1:21">
      <c r="A22" s="26">
        <v>7</v>
      </c>
      <c r="B22" s="35">
        <v>75</v>
      </c>
      <c r="C22" s="35">
        <v>100</v>
      </c>
      <c r="D22" s="26">
        <v>100</v>
      </c>
      <c r="E22" s="26">
        <v>50</v>
      </c>
      <c r="F22" s="26">
        <v>100</v>
      </c>
      <c r="G22" s="26">
        <v>50</v>
      </c>
      <c r="H22" s="26">
        <v>3</v>
      </c>
      <c r="I22" s="26">
        <v>50</v>
      </c>
      <c r="J22" s="26">
        <v>100</v>
      </c>
      <c r="K22" s="26">
        <v>50</v>
      </c>
      <c r="L22" s="26">
        <v>100</v>
      </c>
      <c r="M22" s="26">
        <v>100</v>
      </c>
      <c r="N22" s="26">
        <v>75</v>
      </c>
      <c r="O22" s="26">
        <v>1</v>
      </c>
      <c r="P22" s="26">
        <v>0</v>
      </c>
      <c r="Q22" s="26">
        <v>999</v>
      </c>
      <c r="R22" s="26">
        <v>0</v>
      </c>
      <c r="S22" s="26">
        <v>999</v>
      </c>
      <c r="T22" s="26">
        <v>60</v>
      </c>
      <c r="U22" s="26">
        <v>50</v>
      </c>
    </row>
    <row r="23" spans="1:21">
      <c r="A23" s="26">
        <v>7</v>
      </c>
      <c r="B23" s="35">
        <v>75</v>
      </c>
      <c r="C23" s="35">
        <v>100</v>
      </c>
      <c r="D23" s="26">
        <v>125</v>
      </c>
      <c r="E23" s="26">
        <v>75</v>
      </c>
      <c r="F23" s="26">
        <v>125</v>
      </c>
      <c r="G23" s="26">
        <v>100</v>
      </c>
      <c r="H23" s="26">
        <v>1</v>
      </c>
      <c r="I23" s="26">
        <v>100</v>
      </c>
      <c r="J23" s="26">
        <v>125</v>
      </c>
      <c r="K23" s="26">
        <v>75</v>
      </c>
      <c r="L23" s="26">
        <v>125</v>
      </c>
      <c r="M23" s="26">
        <v>100</v>
      </c>
      <c r="N23" s="26">
        <v>75</v>
      </c>
      <c r="O23" s="26">
        <v>2</v>
      </c>
      <c r="P23" s="26">
        <v>0</v>
      </c>
      <c r="Q23" s="26">
        <v>999</v>
      </c>
      <c r="R23" s="26">
        <v>0</v>
      </c>
      <c r="S23" s="26">
        <v>999</v>
      </c>
      <c r="T23" s="26">
        <v>40</v>
      </c>
      <c r="U23" s="26">
        <v>350</v>
      </c>
    </row>
    <row r="24" spans="1:21">
      <c r="A24" s="26">
        <v>7</v>
      </c>
      <c r="B24" s="35">
        <v>50</v>
      </c>
      <c r="C24" s="35">
        <v>100</v>
      </c>
      <c r="D24" s="26">
        <v>50</v>
      </c>
      <c r="E24" s="26">
        <v>100</v>
      </c>
      <c r="F24" s="26">
        <v>50</v>
      </c>
      <c r="G24" s="26">
        <v>100</v>
      </c>
      <c r="H24" s="26">
        <v>0</v>
      </c>
      <c r="I24" s="26">
        <v>100</v>
      </c>
      <c r="J24" s="26">
        <v>50</v>
      </c>
      <c r="K24" s="26">
        <v>100</v>
      </c>
      <c r="L24" s="26">
        <v>50</v>
      </c>
      <c r="M24" s="26">
        <v>100</v>
      </c>
      <c r="N24" s="26">
        <v>50</v>
      </c>
      <c r="O24" s="26">
        <v>3</v>
      </c>
      <c r="P24" s="26">
        <v>0</v>
      </c>
      <c r="Q24" s="26">
        <v>999</v>
      </c>
      <c r="R24" s="26">
        <v>0</v>
      </c>
      <c r="S24" s="26">
        <v>999</v>
      </c>
      <c r="T24" s="26">
        <v>30</v>
      </c>
      <c r="U24" s="26">
        <v>150</v>
      </c>
    </row>
    <row r="26" spans="1:21">
      <c r="B26" s="26">
        <v>50</v>
      </c>
      <c r="C26" s="26">
        <v>5</v>
      </c>
      <c r="D26" s="26">
        <v>20</v>
      </c>
      <c r="E26" s="26">
        <v>2</v>
      </c>
      <c r="F26" s="26">
        <v>30</v>
      </c>
      <c r="G26" s="26">
        <v>3</v>
      </c>
      <c r="H26" s="26">
        <v>500</v>
      </c>
      <c r="I26" s="26">
        <v>3</v>
      </c>
      <c r="J26" s="26">
        <v>30</v>
      </c>
      <c r="K26" s="26">
        <v>2</v>
      </c>
      <c r="L26" s="26">
        <v>20</v>
      </c>
      <c r="M26" s="26">
        <v>5</v>
      </c>
      <c r="N26" s="26">
        <v>50</v>
      </c>
    </row>
    <row r="28" spans="1:21">
      <c r="B28" s="26"/>
      <c r="C28" s="26"/>
    </row>
    <row r="29" spans="1:21">
      <c r="B29" s="26"/>
      <c r="C29" s="26"/>
    </row>
    <row r="30" spans="1:21">
      <c r="B30" s="26"/>
      <c r="C30" s="2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"/>
  <sheetViews>
    <sheetView zoomScale="88" zoomScaleNormal="88" workbookViewId="0">
      <selection activeCell="Q14" sqref="Q14:Q16"/>
    </sheetView>
  </sheetViews>
  <sheetFormatPr defaultColWidth="9" defaultRowHeight="13.5"/>
  <cols>
    <col min="1" max="1" width="6.375" style="26" customWidth="1"/>
    <col min="2" max="3" width="16.125" style="35" customWidth="1"/>
    <col min="4" max="11" width="16.125" style="26" customWidth="1"/>
    <col min="12" max="15" width="17.2583333333333" style="26" customWidth="1"/>
    <col min="16" max="16" width="9.54166666666667" style="26" customWidth="1"/>
    <col min="17" max="17" width="5.54166666666667" style="26" customWidth="1"/>
    <col min="18" max="18" width="7.54166666666667" style="26" customWidth="1"/>
    <col min="19" max="19" width="9.54166666666667" style="26" customWidth="1"/>
    <col min="20" max="16384" width="9" style="26"/>
  </cols>
  <sheetData>
    <row r="1" spans="1:19">
      <c r="B1" s="26">
        <v>50</v>
      </c>
      <c r="C1" s="26">
        <v>5</v>
      </c>
      <c r="D1" s="26">
        <v>20</v>
      </c>
      <c r="E1" s="26">
        <v>2</v>
      </c>
      <c r="F1" s="26">
        <v>30</v>
      </c>
      <c r="G1" s="26">
        <v>3</v>
      </c>
      <c r="H1" s="26">
        <v>500</v>
      </c>
      <c r="I1" s="26">
        <v>3</v>
      </c>
      <c r="J1" s="26">
        <v>30</v>
      </c>
      <c r="K1" s="26">
        <v>2</v>
      </c>
      <c r="L1" s="26">
        <v>20</v>
      </c>
      <c r="M1" s="26">
        <v>5</v>
      </c>
      <c r="N1" s="26">
        <v>50</v>
      </c>
    </row>
    <row r="2" spans="1:19">
      <c r="A2" s="26" t="s">
        <v>9</v>
      </c>
      <c r="B2" s="26" t="s">
        <v>116</v>
      </c>
      <c r="C2" s="26" t="s">
        <v>117</v>
      </c>
      <c r="D2" s="26" t="s">
        <v>118</v>
      </c>
      <c r="E2" s="26" t="s">
        <v>119</v>
      </c>
      <c r="F2" s="26" t="s">
        <v>120</v>
      </c>
      <c r="G2" s="26" t="s">
        <v>121</v>
      </c>
      <c r="H2" s="26" t="s">
        <v>122</v>
      </c>
      <c r="I2" s="26" t="s">
        <v>123</v>
      </c>
      <c r="J2" s="26" t="s">
        <v>124</v>
      </c>
      <c r="K2" s="26" t="s">
        <v>125</v>
      </c>
      <c r="L2" s="26" t="s">
        <v>126</v>
      </c>
      <c r="M2" s="26" t="s">
        <v>127</v>
      </c>
      <c r="N2" s="26" t="s">
        <v>128</v>
      </c>
      <c r="O2" s="26" t="s">
        <v>109</v>
      </c>
      <c r="P2" s="26" t="s">
        <v>114</v>
      </c>
      <c r="Q2" s="26" t="s">
        <v>115</v>
      </c>
      <c r="S2" s="26" t="s">
        <v>35</v>
      </c>
    </row>
    <row r="3" s="26" customFormat="1" spans="1:19">
      <c r="A3" s="26">
        <f>[1]QuestPlinkoWeight!A5</f>
        <v>0</v>
      </c>
      <c r="B3" s="36">
        <f>(QuestPlinkoWeight!B5/SUM(QuestPlinkoWeight!$B$5:$N$5)*B1)</f>
        <v>4.41176470588235</v>
      </c>
      <c r="C3" s="36">
        <f>(QuestPlinkoWeight!C5/SUM(QuestPlinkoWeight!$B$5:$N$5)*C1)</f>
        <v>0.294117647058824</v>
      </c>
      <c r="D3" s="36">
        <f>(QuestPlinkoWeight!D5/SUM(QuestPlinkoWeight!$B$5:$N$5)*D1)</f>
        <v>2.35294117647059</v>
      </c>
      <c r="E3" s="36">
        <f>(QuestPlinkoWeight!E5/SUM(QuestPlinkoWeight!$B$5:$N$5)*E1)</f>
        <v>0.117647058823529</v>
      </c>
      <c r="F3" s="36">
        <f>(QuestPlinkoWeight!F5/SUM(QuestPlinkoWeight!$B$5:$N$5)*F1)</f>
        <v>3.52941176470588</v>
      </c>
      <c r="G3" s="36">
        <f>(QuestPlinkoWeight!G5/SUM(QuestPlinkoWeight!$B$5:$N$5)*G1)</f>
        <v>0.176470588235294</v>
      </c>
      <c r="H3" s="36">
        <f>(QuestPlinkoWeight!H5/SUM(QuestPlinkoWeight!$B$5:$N$5)*H1)</f>
        <v>0</v>
      </c>
      <c r="I3" s="36">
        <f>(QuestPlinkoWeight!I5/SUM(QuestPlinkoWeight!$B$5:$N$5)*I1)</f>
        <v>0.176470588235294</v>
      </c>
      <c r="J3" s="36">
        <f>(QuestPlinkoWeight!J5/SUM(QuestPlinkoWeight!$B$5:$N$5)*J1)</f>
        <v>3.52941176470588</v>
      </c>
      <c r="K3" s="36">
        <f>(QuestPlinkoWeight!K5/SUM(QuestPlinkoWeight!$B$5:$N$5)*K1)</f>
        <v>0.117647058823529</v>
      </c>
      <c r="L3" s="36">
        <f>(QuestPlinkoWeight!L5/SUM(QuestPlinkoWeight!$B$5:$N$5)*L1)</f>
        <v>2.35294117647059</v>
      </c>
      <c r="M3" s="36">
        <f>(QuestPlinkoWeight!M5/SUM(QuestPlinkoWeight!$B$5:$N$5)*M1)</f>
        <v>0.294117647058824</v>
      </c>
      <c r="N3" s="36">
        <f>(QuestPlinkoWeight!N5/SUM(QuestPlinkoWeight!$B$5:$N$5)*N1)</f>
        <v>4.41176470588235</v>
      </c>
      <c r="O3" s="26">
        <f>QuestPlinkoWeight!O5</f>
        <v>1</v>
      </c>
      <c r="P3" s="26">
        <f>QuestPlinkoWeight!T5</f>
        <v>0</v>
      </c>
      <c r="Q3" s="26">
        <f>QuestPlinkoWeight!U5</f>
        <v>100</v>
      </c>
      <c r="R3" s="26">
        <f>SUM(B3:N3)*O3*(Q3/SUM($Q$3))*(1+P3/100)</f>
        <v>21.7647058823529</v>
      </c>
      <c r="S3" s="37">
        <f>R3</f>
        <v>21.7647058823529</v>
      </c>
    </row>
    <row r="4" spans="1:19">
      <c r="A4" s="26">
        <f>[1]QuestPlinkoWeight!A6</f>
        <v>1</v>
      </c>
      <c r="B4" s="36">
        <f>(QuestPlinkoWeight!B6/SUM(QuestPlinkoWeight!$B$6:$N$6)*B1)</f>
        <v>5.20399666944213</v>
      </c>
      <c r="C4" s="36">
        <f>(QuestPlinkoWeight!C6/SUM(QuestPlinkoWeight!$B$6:$N$6)*C1)</f>
        <v>0.312239800166528</v>
      </c>
      <c r="D4" s="36">
        <f>(QuestPlinkoWeight!D6/SUM(QuestPlinkoWeight!$B$6:$N$6)*D1)</f>
        <v>2.49791840133222</v>
      </c>
      <c r="E4" s="36">
        <f>(QuestPlinkoWeight!E6/SUM(QuestPlinkoWeight!$B$6:$N$6)*E1)</f>
        <v>0.0832639467110741</v>
      </c>
      <c r="F4" s="36">
        <f>(QuestPlinkoWeight!F6/SUM(QuestPlinkoWeight!$B$6:$N$6)*F1)</f>
        <v>3.74687760199833</v>
      </c>
      <c r="G4" s="36">
        <f>(QuestPlinkoWeight!G6/SUM(QuestPlinkoWeight!$B$6:$N$6)*G1)</f>
        <v>0.124895920066611</v>
      </c>
      <c r="H4" s="36">
        <f>(QuestPlinkoWeight!H6/SUM(QuestPlinkoWeight!$B$6:$N$6)*H1)</f>
        <v>0.416319733555371</v>
      </c>
      <c r="I4" s="36">
        <f>(QuestPlinkoWeight!I6/SUM(QuestPlinkoWeight!$B$6:$N$6)*I1)</f>
        <v>0.124895920066611</v>
      </c>
      <c r="J4" s="36">
        <f>(QuestPlinkoWeight!J6/SUM(QuestPlinkoWeight!$B$6:$N$6)*J1)</f>
        <v>3.74687760199833</v>
      </c>
      <c r="K4" s="36">
        <f>(QuestPlinkoWeight!K6/SUM(QuestPlinkoWeight!$B$6:$N$6)*K1)</f>
        <v>0.0832639467110741</v>
      </c>
      <c r="L4" s="36">
        <f>(QuestPlinkoWeight!L6/SUM(QuestPlinkoWeight!$B$6:$N$6)*L1)</f>
        <v>2.49791840133222</v>
      </c>
      <c r="M4" s="36">
        <f>(QuestPlinkoWeight!M6/SUM(QuestPlinkoWeight!$B$6:$N$6)*M1)</f>
        <v>0.312239800166528</v>
      </c>
      <c r="N4" s="36">
        <f>(QuestPlinkoWeight!N6/SUM(QuestPlinkoWeight!$B$6:$N$6)*N1)</f>
        <v>5.20399666944213</v>
      </c>
      <c r="O4" s="26">
        <f>QuestPlinkoWeight!O6</f>
        <v>1</v>
      </c>
      <c r="P4" s="26">
        <f>QuestPlinkoWeight!T6</f>
        <v>0</v>
      </c>
      <c r="Q4" s="26">
        <f>QuestPlinkoWeight!U6</f>
        <v>100</v>
      </c>
      <c r="R4" s="26">
        <f>SUM(B4:N4)*O4*(Q4/SUM($Q$3))*(1+P4/100)</f>
        <v>24.3547044129892</v>
      </c>
      <c r="S4" s="37">
        <f>R4</f>
        <v>24.3547044129892</v>
      </c>
    </row>
    <row r="5" spans="1:19">
      <c r="A5" s="26">
        <f>[1]QuestPlinkoWeight!A7</f>
        <v>2</v>
      </c>
      <c r="B5" s="36">
        <f>(QuestPlinkoWeight!B8/SUM(QuestPlinkoWeight!$B$8:$N$8)*B1)</f>
        <v>3.84319754035357</v>
      </c>
      <c r="C5" s="36">
        <f>(QuestPlinkoWeight!C8/SUM(QuestPlinkoWeight!$B$8:$N$8)*C1)</f>
        <v>0.288239815526518</v>
      </c>
      <c r="D5" s="36">
        <f>(QuestPlinkoWeight!D8/SUM(QuestPlinkoWeight!$B$8:$N$8)*D1)</f>
        <v>2.30591852421214</v>
      </c>
      <c r="E5" s="36">
        <f>(QuestPlinkoWeight!E8/SUM(QuestPlinkoWeight!$B$8:$N$8)*E1)</f>
        <v>0.115295926210607</v>
      </c>
      <c r="F5" s="36">
        <f>(QuestPlinkoWeight!F8/SUM(QuestPlinkoWeight!$B$8:$N$8)*F1)</f>
        <v>3.45887778631822</v>
      </c>
      <c r="G5" s="36">
        <f>(QuestPlinkoWeight!G8/SUM(QuestPlinkoWeight!$B$8:$N$8)*G1)</f>
        <v>0.230591852421214</v>
      </c>
      <c r="H5" s="36">
        <f>(QuestPlinkoWeight!H8/SUM(QuestPlinkoWeight!$B$8:$N$8)*H1)</f>
        <v>0.384319754035357</v>
      </c>
      <c r="I5" s="36">
        <f>(QuestPlinkoWeight!I8/SUM(QuestPlinkoWeight!$B$8:$N$8)*I1)</f>
        <v>0.230591852421214</v>
      </c>
      <c r="J5" s="36">
        <f>(QuestPlinkoWeight!J8/SUM(QuestPlinkoWeight!$B$8:$N$8)*J1)</f>
        <v>3.45887778631822</v>
      </c>
      <c r="K5" s="36">
        <f>(QuestPlinkoWeight!K8/SUM(QuestPlinkoWeight!$B$8:$N$8)*K1)</f>
        <v>0.115295926210607</v>
      </c>
      <c r="L5" s="36">
        <f>(QuestPlinkoWeight!L8/SUM(QuestPlinkoWeight!$B$8:$N$8)*L1)</f>
        <v>2.30591852421214</v>
      </c>
      <c r="M5" s="36">
        <f>(QuestPlinkoWeight!M8/SUM(QuestPlinkoWeight!$B$8:$N$8)*M1)</f>
        <v>0.288239815526518</v>
      </c>
      <c r="N5" s="36">
        <f>(QuestPlinkoWeight!N8/SUM(QuestPlinkoWeight!$B$8:$N$8)*N1)</f>
        <v>3.84319754035357</v>
      </c>
      <c r="O5" s="26">
        <f>QuestPlinkoWeight!O7</f>
        <v>1</v>
      </c>
      <c r="P5" s="26">
        <f>QuestPlinkoWeight!T7</f>
        <v>0</v>
      </c>
      <c r="Q5" s="26">
        <f>QuestPlinkoWeight!U7</f>
        <v>70</v>
      </c>
      <c r="R5" s="26">
        <f>SUM(B5:N5)*O5*(Q5/SUM(Q5:Q7))*(1+P5/100)</f>
        <v>13.2799944098945</v>
      </c>
      <c r="S5" s="37">
        <f>SUM(R5:R7)</f>
        <v>28.0044409478125</v>
      </c>
    </row>
    <row r="6" spans="1:19">
      <c r="A6" s="26">
        <f>[1]QuestPlinkoWeight!A8</f>
        <v>2</v>
      </c>
      <c r="B6" s="36">
        <f>([1]QuestPlinkoWeight!B8/SUM([1]QuestPlinkoWeight!$B$8:$N$8)*B1)</f>
        <v>3.70096225018505</v>
      </c>
      <c r="C6" s="36">
        <f>([1]QuestPlinkoWeight!C8/SUM([1]QuestPlinkoWeight!$B$8:$N$8)*C1)</f>
        <v>0.370096225018505</v>
      </c>
      <c r="D6" s="36">
        <f>([1]QuestPlinkoWeight!D8/SUM([1]QuestPlinkoWeight!$B$8:$N$8)*D1)</f>
        <v>2.22057735011103</v>
      </c>
      <c r="E6" s="36">
        <f>([1]QuestPlinkoWeight!E8/SUM([1]QuestPlinkoWeight!$B$8:$N$8)*E1)</f>
        <v>0.111028867505551</v>
      </c>
      <c r="F6" s="36">
        <f>([1]QuestPlinkoWeight!F8/SUM([1]QuestPlinkoWeight!$B$8:$N$8)*F1)</f>
        <v>3.33086602516654</v>
      </c>
      <c r="G6" s="36">
        <f>([1]QuestPlinkoWeight!G8/SUM([1]QuestPlinkoWeight!$B$8:$N$8)*G1)</f>
        <v>0.222057735011103</v>
      </c>
      <c r="H6" s="36">
        <f>([1]QuestPlinkoWeight!H8/SUM([1]QuestPlinkoWeight!$B$8:$N$8)*H1)</f>
        <v>0.370096225018505</v>
      </c>
      <c r="I6" s="36">
        <f>([1]QuestPlinkoWeight!I8/SUM([1]QuestPlinkoWeight!$B$8:$N$8)*I1)</f>
        <v>0.222057735011103</v>
      </c>
      <c r="J6" s="36">
        <f>([1]QuestPlinkoWeight!J8/SUM([1]QuestPlinkoWeight!$B$8:$N$8)*J1)</f>
        <v>3.33086602516654</v>
      </c>
      <c r="K6" s="36">
        <f>([1]QuestPlinkoWeight!K8/SUM([1]QuestPlinkoWeight!$B$8:$N$8)*K1)</f>
        <v>0.111028867505551</v>
      </c>
      <c r="L6" s="36">
        <f>([1]QuestPlinkoWeight!L8/SUM([1]QuestPlinkoWeight!$B$8:$N$8)*L1)</f>
        <v>2.22057735011103</v>
      </c>
      <c r="M6" s="36">
        <f>([1]QuestPlinkoWeight!M8/SUM([1]QuestPlinkoWeight!$B$8:$N$8)*M1)</f>
        <v>0.370096225018505</v>
      </c>
      <c r="N6" s="36">
        <f>([1]QuestPlinkoWeight!N8/SUM([1]QuestPlinkoWeight!$B$8:$N$8)*N1)</f>
        <v>3.70096225018505</v>
      </c>
      <c r="O6" s="26">
        <f>QuestPlinkoWeight!O8</f>
        <v>2</v>
      </c>
      <c r="P6" s="26">
        <f>QuestPlinkoWeight!T8</f>
        <v>0</v>
      </c>
      <c r="Q6" s="26">
        <f>QuestPlinkoWeight!U8</f>
        <v>35</v>
      </c>
      <c r="R6" s="26">
        <f>SUM(B6:N6)*O6*(Q6/SUM(Q5:Q7))*(1+P6/100)</f>
        <v>12.9062647197362</v>
      </c>
      <c r="S6" s="37"/>
    </row>
    <row r="7" spans="1:19">
      <c r="A7" s="26">
        <f>[1]QuestPlinkoWeight!A9</f>
        <v>2</v>
      </c>
      <c r="B7" s="36">
        <f>(QuestPlinkoWeight!B9/SUM(QuestPlinkoWeight!$B$9:$N$9)*B1)</f>
        <v>2.77777777777778</v>
      </c>
      <c r="C7" s="36">
        <f>(QuestPlinkoWeight!C9/SUM(QuestPlinkoWeight!$B$9:$N$9)*C1)</f>
        <v>0.555555555555556</v>
      </c>
      <c r="D7" s="36">
        <f>(QuestPlinkoWeight!D9/SUM(QuestPlinkoWeight!$B$9:$N$9)*D1)</f>
        <v>1.11111111111111</v>
      </c>
      <c r="E7" s="36">
        <f>(QuestPlinkoWeight!E9/SUM(QuestPlinkoWeight!$B$9:$N$9)*E1)</f>
        <v>0.222222222222222</v>
      </c>
      <c r="F7" s="36">
        <f>(QuestPlinkoWeight!F9/SUM(QuestPlinkoWeight!$B$9:$N$9)*F1)</f>
        <v>1.66666666666667</v>
      </c>
      <c r="G7" s="36">
        <f>(QuestPlinkoWeight!G9/SUM(QuestPlinkoWeight!$B$9:$N$9)*G1)</f>
        <v>0.333333333333333</v>
      </c>
      <c r="H7" s="36">
        <f>(QuestPlinkoWeight!H9/SUM(QuestPlinkoWeight!$B$9:$N$9)*H1)</f>
        <v>0</v>
      </c>
      <c r="I7" s="36">
        <f>(QuestPlinkoWeight!I9/SUM(QuestPlinkoWeight!$B$9:$N$9)*I1)</f>
        <v>0.333333333333333</v>
      </c>
      <c r="J7" s="36">
        <f>(QuestPlinkoWeight!J9/SUM(QuestPlinkoWeight!$B$9:$N$9)*J1)</f>
        <v>1.66666666666667</v>
      </c>
      <c r="K7" s="36">
        <f>(QuestPlinkoWeight!K9/SUM(QuestPlinkoWeight!$B$9:$N$9)*K1)</f>
        <v>0.222222222222222</v>
      </c>
      <c r="L7" s="36">
        <f>(QuestPlinkoWeight!L9/SUM(QuestPlinkoWeight!$B$9:$N$9)*L1)</f>
        <v>1.11111111111111</v>
      </c>
      <c r="M7" s="36">
        <f>(QuestPlinkoWeight!M9/SUM(QuestPlinkoWeight!$B$9:$N$9)*M1)</f>
        <v>0.555555555555556</v>
      </c>
      <c r="N7" s="36">
        <f>(QuestPlinkoWeight!N9/SUM(QuestPlinkoWeight!$B$9:$N$9)*N1)</f>
        <v>2.77777777777778</v>
      </c>
      <c r="O7" s="26">
        <f>QuestPlinkoWeight!O9</f>
        <v>3</v>
      </c>
      <c r="P7" s="26">
        <f>QuestPlinkoWeight!T9</f>
        <v>0</v>
      </c>
      <c r="Q7" s="26">
        <f>QuestPlinkoWeight!U9</f>
        <v>5</v>
      </c>
      <c r="R7" s="26">
        <f>SUM(B7:N7)*O7*(Q7/SUM($Q$5:$Q$7))*(1+P7/100)</f>
        <v>1.81818181818182</v>
      </c>
      <c r="S7" s="37"/>
    </row>
    <row r="8" spans="1:19">
      <c r="A8" s="26">
        <f>[1]QuestPlinkoWeight!A10</f>
        <v>3</v>
      </c>
      <c r="B8" s="36">
        <f>(QuestPlinkoWeight!B10/SUM(QuestPlinkoWeight!$B$10:$N$10)*B1)</f>
        <v>3.94321766561514</v>
      </c>
      <c r="C8" s="36">
        <f>(QuestPlinkoWeight!C10/SUM(QuestPlinkoWeight!$B$10:$N$10)*C1)</f>
        <v>0.525762355415352</v>
      </c>
      <c r="D8" s="36">
        <f>(QuestPlinkoWeight!D10/SUM(QuestPlinkoWeight!$B$10:$N$10)*D1)</f>
        <v>2.10304942166141</v>
      </c>
      <c r="E8" s="36">
        <f>(QuestPlinkoWeight!E10/SUM(QuestPlinkoWeight!$B$10:$N$10)*E1)</f>
        <v>0.10515247108307</v>
      </c>
      <c r="F8" s="36">
        <f>(QuestPlinkoWeight!F10/SUM(QuestPlinkoWeight!$B$10:$N$10)*F1)</f>
        <v>3.15457413249211</v>
      </c>
      <c r="G8" s="36">
        <f>(QuestPlinkoWeight!G10/SUM(QuestPlinkoWeight!$B$10:$N$10)*G1)</f>
        <v>0.157728706624606</v>
      </c>
      <c r="H8" s="36">
        <f>(QuestPlinkoWeight!H10/SUM(QuestPlinkoWeight!$B$10:$N$10)*H1)</f>
        <v>0.525762355415352</v>
      </c>
      <c r="I8" s="36">
        <f>(QuestPlinkoWeight!I10/SUM(QuestPlinkoWeight!$B$10:$N$10)*I1)</f>
        <v>0.157728706624606</v>
      </c>
      <c r="J8" s="36">
        <f>(QuestPlinkoWeight!J10/SUM(QuestPlinkoWeight!$B$10:$N$10)*J1)</f>
        <v>3.15457413249211</v>
      </c>
      <c r="K8" s="36">
        <f>(QuestPlinkoWeight!K10/SUM(QuestPlinkoWeight!$B$10:$N$10)*K1)</f>
        <v>0.10515247108307</v>
      </c>
      <c r="L8" s="36">
        <f>(QuestPlinkoWeight!L10/SUM(QuestPlinkoWeight!$B$10:$N$10)*L1)</f>
        <v>2.10304942166141</v>
      </c>
      <c r="M8" s="36">
        <f>(QuestPlinkoWeight!M10/SUM(QuestPlinkoWeight!$B$10:$N$10)*M1)</f>
        <v>0.525762355415352</v>
      </c>
      <c r="N8" s="36">
        <f>(QuestPlinkoWeight!N10/SUM(QuestPlinkoWeight!$B$10:$N$10)*N1)</f>
        <v>3.94321766561514</v>
      </c>
      <c r="O8" s="26">
        <f>QuestPlinkoWeight!O10</f>
        <v>1</v>
      </c>
      <c r="P8" s="26">
        <f>QuestPlinkoWeight!T10</f>
        <v>40</v>
      </c>
      <c r="Q8" s="26">
        <f>QuestPlinkoWeight!U10</f>
        <v>200</v>
      </c>
      <c r="R8" s="26">
        <f>SUM(B8:N8)*O8*(Q8/SUM($Q$8:$Q$10))*(1+P8/100)</f>
        <v>22.9652996845426</v>
      </c>
      <c r="S8" s="37">
        <f>SUM(R8:R10)</f>
        <v>33.1623093070444</v>
      </c>
    </row>
    <row r="9" spans="1:19">
      <c r="A9" s="26">
        <f>[1]QuestPlinkoWeight!A11</f>
        <v>3</v>
      </c>
      <c r="B9" s="36">
        <f>(QuestPlinkoWeight!B11/SUM(QuestPlinkoWeight!$B$11:$N$11)*B1)</f>
        <v>3.70096225018505</v>
      </c>
      <c r="C9" s="36">
        <f>(QuestPlinkoWeight!C11/SUM(QuestPlinkoWeight!$B$11:$N$11)*C1)</f>
        <v>0.370096225018505</v>
      </c>
      <c r="D9" s="36">
        <f>(QuestPlinkoWeight!D11/SUM(QuestPlinkoWeight!$B$11:$N$11)*D1)</f>
        <v>2.22057735011103</v>
      </c>
      <c r="E9" s="36">
        <f>(QuestPlinkoWeight!E11/SUM(QuestPlinkoWeight!$B$11:$N$11)*E1)</f>
        <v>0.111028867505551</v>
      </c>
      <c r="F9" s="36">
        <f>(QuestPlinkoWeight!F11/SUM(QuestPlinkoWeight!$B$11:$N$11)*F1)</f>
        <v>3.33086602516654</v>
      </c>
      <c r="G9" s="36">
        <f>(QuestPlinkoWeight!G11/SUM(QuestPlinkoWeight!$B$11:$N$11)*G1)</f>
        <v>0.222057735011103</v>
      </c>
      <c r="H9" s="36">
        <f>(QuestPlinkoWeight!H11/SUM(QuestPlinkoWeight!$B$11:$N$11)*H1)</f>
        <v>0.370096225018505</v>
      </c>
      <c r="I9" s="36">
        <f>(QuestPlinkoWeight!I11/SUM(QuestPlinkoWeight!$B$11:$N$11)*I1)</f>
        <v>0.222057735011103</v>
      </c>
      <c r="J9" s="36">
        <f>(QuestPlinkoWeight!J11/SUM(QuestPlinkoWeight!$B$11:$N$11)*J1)</f>
        <v>3.33086602516654</v>
      </c>
      <c r="K9" s="36">
        <f>(QuestPlinkoWeight!K11/SUM(QuestPlinkoWeight!$B$11:$N$11)*K1)</f>
        <v>0.111028867505551</v>
      </c>
      <c r="L9" s="36">
        <f>(QuestPlinkoWeight!L11/SUM(QuestPlinkoWeight!$B$11:$N$11)*L1)</f>
        <v>2.22057735011103</v>
      </c>
      <c r="M9" s="36">
        <f>(QuestPlinkoWeight!M11/SUM(QuestPlinkoWeight!$B$11:$N$11)*M1)</f>
        <v>0.370096225018505</v>
      </c>
      <c r="N9" s="36">
        <f>(QuestPlinkoWeight!N11/SUM(QuestPlinkoWeight!$B$11:$N$11)*N1)</f>
        <v>3.70096225018505</v>
      </c>
      <c r="O9" s="26">
        <f>QuestPlinkoWeight!O11</f>
        <v>2</v>
      </c>
      <c r="P9" s="26">
        <f>QuestPlinkoWeight!T11</f>
        <v>30</v>
      </c>
      <c r="Q9" s="26">
        <f>QuestPlinkoWeight!U11</f>
        <v>40</v>
      </c>
      <c r="R9" s="26">
        <f>SUM(B9:N9)*O9*(Q9/SUM($Q$8:$Q$10))*(1+P9/100)</f>
        <v>8.43700962250185</v>
      </c>
      <c r="S9" s="37"/>
    </row>
    <row r="10" spans="1:19">
      <c r="A10" s="26">
        <f>[1]QuestPlinkoWeight!A12</f>
        <v>3</v>
      </c>
      <c r="B10" s="36">
        <f>(QuestPlinkoWeight!B12/SUM(QuestPlinkoWeight!$B$12:$N$12)*B1)</f>
        <v>2.77777777777778</v>
      </c>
      <c r="C10" s="36">
        <f>(QuestPlinkoWeight!C12/SUM(QuestPlinkoWeight!$B$12:$N$12)*C1)</f>
        <v>0.555555555555556</v>
      </c>
      <c r="D10" s="36">
        <f>(QuestPlinkoWeight!D12/SUM(QuestPlinkoWeight!$B$12:$N$12)*D1)</f>
        <v>1.11111111111111</v>
      </c>
      <c r="E10" s="36">
        <f>(QuestPlinkoWeight!E12/SUM(QuestPlinkoWeight!$B$12:$N$12)*E1)</f>
        <v>0.222222222222222</v>
      </c>
      <c r="F10" s="36">
        <f>(QuestPlinkoWeight!F12/SUM(QuestPlinkoWeight!$B$12:$N$12)*F1)</f>
        <v>1.66666666666667</v>
      </c>
      <c r="G10" s="36">
        <f>(QuestPlinkoWeight!G12/SUM(QuestPlinkoWeight!$B$12:$N$12)*G1)</f>
        <v>0.333333333333333</v>
      </c>
      <c r="H10" s="36">
        <f>(QuestPlinkoWeight!H12/SUM(QuestPlinkoWeight!$B$12:$N$12)*H1)</f>
        <v>0</v>
      </c>
      <c r="I10" s="36">
        <f>(QuestPlinkoWeight!I12/SUM(QuestPlinkoWeight!$B$12:$N$12)*I1)</f>
        <v>0.333333333333333</v>
      </c>
      <c r="J10" s="36">
        <f>(QuestPlinkoWeight!J12/SUM(QuestPlinkoWeight!$B$12:$N$12)*J1)</f>
        <v>1.66666666666667</v>
      </c>
      <c r="K10" s="36">
        <f>(QuestPlinkoWeight!K12/SUM(QuestPlinkoWeight!$B$12:$N$12)*K1)</f>
        <v>0.222222222222222</v>
      </c>
      <c r="L10" s="36">
        <f>(QuestPlinkoWeight!L12/SUM(QuestPlinkoWeight!$B$12:$N$12)*L1)</f>
        <v>1.11111111111111</v>
      </c>
      <c r="M10" s="36">
        <f>(QuestPlinkoWeight!M12/SUM(QuestPlinkoWeight!$B$12:$N$12)*M1)</f>
        <v>0.555555555555556</v>
      </c>
      <c r="N10" s="36">
        <f>(QuestPlinkoWeight!N12/SUM(QuestPlinkoWeight!$B$12:$N$12)*N1)</f>
        <v>2.77777777777778</v>
      </c>
      <c r="O10" s="26">
        <f>QuestPlinkoWeight!O12</f>
        <v>3</v>
      </c>
      <c r="P10" s="26">
        <f>QuestPlinkoWeight!T12</f>
        <v>10</v>
      </c>
      <c r="Q10" s="26">
        <f>QuestPlinkoWeight!U12</f>
        <v>10</v>
      </c>
      <c r="R10" s="26">
        <f t="shared" ref="R8:R10" si="0">SUM(B10:N10)*O10*(Q10/SUM($Q$8:$Q$10))*(1+P10/100)</f>
        <v>1.76</v>
      </c>
      <c r="S10" s="37"/>
    </row>
    <row r="11" spans="1:19">
      <c r="A11" s="26">
        <f>[1]QuestPlinkoWeight!A13</f>
        <v>4</v>
      </c>
      <c r="B11" s="36">
        <f>(QuestPlinkoWeight!B13/SUM(QuestPlinkoWeight!$B$13:$N$13)*B1)</f>
        <v>3.94321766561514</v>
      </c>
      <c r="C11" s="36">
        <f>(QuestPlinkoWeight!C13/SUM(QuestPlinkoWeight!$B$13:$N$13)*C1)</f>
        <v>0.525762355415352</v>
      </c>
      <c r="D11" s="36">
        <f>(QuestPlinkoWeight!D13/SUM(QuestPlinkoWeight!$B$13:$N$13)*D1)</f>
        <v>2.10304942166141</v>
      </c>
      <c r="E11" s="36">
        <f>(QuestPlinkoWeight!E13/SUM(QuestPlinkoWeight!$B$13:$N$13)*E1)</f>
        <v>0.10515247108307</v>
      </c>
      <c r="F11" s="36">
        <f>(QuestPlinkoWeight!F13/SUM(QuestPlinkoWeight!$B$13:$N$13)*F1)</f>
        <v>3.15457413249211</v>
      </c>
      <c r="G11" s="36">
        <f>(QuestPlinkoWeight!G13/SUM(QuestPlinkoWeight!$B$13:$N$13)*G1)</f>
        <v>0.157728706624606</v>
      </c>
      <c r="H11" s="36">
        <f>(QuestPlinkoWeight!H13/SUM(QuestPlinkoWeight!$B$13:$N$13)*H1)</f>
        <v>0.525762355415352</v>
      </c>
      <c r="I11" s="36">
        <f>(QuestPlinkoWeight!I13/SUM(QuestPlinkoWeight!$B$13:$N$13)*I1)</f>
        <v>0.157728706624606</v>
      </c>
      <c r="J11" s="36">
        <f>(QuestPlinkoWeight!J13/SUM(QuestPlinkoWeight!$B$13:$N$13)*J1)</f>
        <v>3.15457413249211</v>
      </c>
      <c r="K11" s="36">
        <f>(QuestPlinkoWeight!K13/SUM(QuestPlinkoWeight!$B$13:$N$13)*K1)</f>
        <v>0.10515247108307</v>
      </c>
      <c r="L11" s="36">
        <f>(QuestPlinkoWeight!L13/SUM(QuestPlinkoWeight!$B$13:$N$13)*L1)</f>
        <v>2.10304942166141</v>
      </c>
      <c r="M11" s="36">
        <f>(QuestPlinkoWeight!M13/SUM(QuestPlinkoWeight!$B$13:$N$13)*M1)</f>
        <v>0.525762355415352</v>
      </c>
      <c r="N11" s="36">
        <f>(QuestPlinkoWeight!N13/SUM(QuestPlinkoWeight!$B$13:$N$13)*N1)</f>
        <v>3.94321766561514</v>
      </c>
      <c r="O11" s="26">
        <f>QuestPlinkoWeight!O13</f>
        <v>1</v>
      </c>
      <c r="P11" s="26">
        <f>QuestPlinkoWeight!T13</f>
        <v>50</v>
      </c>
      <c r="Q11" s="26">
        <f>QuestPlinkoWeight!U13</f>
        <v>200</v>
      </c>
      <c r="R11" s="26">
        <f t="shared" ref="R11:R13" si="1">SUM(B11:N11)*O11*(Q11/SUM($Q$11:$Q$13))*(1+P11/100)</f>
        <v>22.7830354013319</v>
      </c>
      <c r="S11" s="37">
        <f>SUM(R11:R13)</f>
        <v>36.130733951103</v>
      </c>
    </row>
    <row r="12" spans="1:19">
      <c r="A12" s="26">
        <f>[1]QuestPlinkoWeight!A14</f>
        <v>4</v>
      </c>
      <c r="B12" s="36">
        <f>(QuestPlinkoWeight!B14/SUM(QuestPlinkoWeight!$B$14:$N$14)*B1)</f>
        <v>3.70096225018505</v>
      </c>
      <c r="C12" s="36">
        <f>(QuestPlinkoWeight!C14/SUM(QuestPlinkoWeight!$B$14:$N$14)*C1)</f>
        <v>0.370096225018505</v>
      </c>
      <c r="D12" s="36">
        <f>(QuestPlinkoWeight!D14/SUM(QuestPlinkoWeight!$B$14:$N$14)*D1)</f>
        <v>2.22057735011103</v>
      </c>
      <c r="E12" s="36">
        <f>(QuestPlinkoWeight!E14/SUM(QuestPlinkoWeight!$B$14:$N$14)*E1)</f>
        <v>0.111028867505551</v>
      </c>
      <c r="F12" s="36">
        <f>(QuestPlinkoWeight!F14/SUM(QuestPlinkoWeight!$B$14:$N$14)*F1)</f>
        <v>3.33086602516654</v>
      </c>
      <c r="G12" s="36">
        <f>(QuestPlinkoWeight!G14/SUM(QuestPlinkoWeight!$B$14:$N$14)*G1)</f>
        <v>0.222057735011103</v>
      </c>
      <c r="H12" s="36">
        <f>(QuestPlinkoWeight!H14/SUM(QuestPlinkoWeight!$B$14:$N$14)*H1)</f>
        <v>0.370096225018505</v>
      </c>
      <c r="I12" s="36">
        <f>(QuestPlinkoWeight!I14/SUM(QuestPlinkoWeight!$B$14:$N$14)*I1)</f>
        <v>0.222057735011103</v>
      </c>
      <c r="J12" s="36">
        <f>(QuestPlinkoWeight!J14/SUM(QuestPlinkoWeight!$B$14:$N$14)*J1)</f>
        <v>3.33086602516654</v>
      </c>
      <c r="K12" s="36">
        <f>(QuestPlinkoWeight!K14/SUM(QuestPlinkoWeight!$B$14:$N$14)*K1)</f>
        <v>0.111028867505551</v>
      </c>
      <c r="L12" s="36">
        <f>(QuestPlinkoWeight!L14/SUM(QuestPlinkoWeight!$B$14:$N$14)*L1)</f>
        <v>2.22057735011103</v>
      </c>
      <c r="M12" s="36">
        <f>(QuestPlinkoWeight!M14/SUM(QuestPlinkoWeight!$B$14:$N$14)*M1)</f>
        <v>0.370096225018505</v>
      </c>
      <c r="N12" s="36">
        <f>(QuestPlinkoWeight!N14/SUM(QuestPlinkoWeight!$B$14:$N$14)*N1)</f>
        <v>3.70096225018505</v>
      </c>
      <c r="O12" s="26">
        <f>QuestPlinkoWeight!O14</f>
        <v>2</v>
      </c>
      <c r="P12" s="26">
        <f>QuestPlinkoWeight!T14</f>
        <v>30</v>
      </c>
      <c r="Q12" s="26">
        <f>QuestPlinkoWeight!U14</f>
        <v>60</v>
      </c>
      <c r="R12" s="26">
        <f t="shared" si="1"/>
        <v>11.7180689201415</v>
      </c>
      <c r="S12" s="37"/>
    </row>
    <row r="13" spans="1:19">
      <c r="A13" s="26">
        <f>[1]QuestPlinkoWeight!A15</f>
        <v>4</v>
      </c>
      <c r="B13" s="36">
        <f>(QuestPlinkoWeight!B15/SUM(QuestPlinkoWeight!$B$15:$N$15)*B1)</f>
        <v>2.77777777777778</v>
      </c>
      <c r="C13" s="36">
        <f>(QuestPlinkoWeight!C15/SUM(QuestPlinkoWeight!$B$15:$N$15)*C1)</f>
        <v>0.555555555555556</v>
      </c>
      <c r="D13" s="36">
        <f>(QuestPlinkoWeight!D15/SUM(QuestPlinkoWeight!$B$15:$N$15)*D1)</f>
        <v>1.11111111111111</v>
      </c>
      <c r="E13" s="36">
        <f>(QuestPlinkoWeight!E15/SUM(QuestPlinkoWeight!$B$15:$N$15)*E1)</f>
        <v>0.222222222222222</v>
      </c>
      <c r="F13" s="36">
        <f>(QuestPlinkoWeight!F15/SUM(QuestPlinkoWeight!$B$15:$N$15)*F1)</f>
        <v>1.66666666666667</v>
      </c>
      <c r="G13" s="36">
        <f>(QuestPlinkoWeight!G15/SUM(QuestPlinkoWeight!$B$15:$N$15)*G1)</f>
        <v>0.333333333333333</v>
      </c>
      <c r="H13" s="36">
        <f>(QuestPlinkoWeight!H15/SUM(QuestPlinkoWeight!$B$15:$N$15)*H1)</f>
        <v>0</v>
      </c>
      <c r="I13" s="36">
        <f>(QuestPlinkoWeight!I15/SUM(QuestPlinkoWeight!$B$15:$N$15)*I1)</f>
        <v>0.333333333333333</v>
      </c>
      <c r="J13" s="36">
        <f>(QuestPlinkoWeight!J15/SUM(QuestPlinkoWeight!$B$15:$N$15)*J1)</f>
        <v>1.66666666666667</v>
      </c>
      <c r="K13" s="36">
        <f>(QuestPlinkoWeight!K15/SUM(QuestPlinkoWeight!$B$15:$N$15)*K1)</f>
        <v>0.222222222222222</v>
      </c>
      <c r="L13" s="36">
        <f>(QuestPlinkoWeight!L15/SUM(QuestPlinkoWeight!$B$15:$N$15)*L1)</f>
        <v>1.11111111111111</v>
      </c>
      <c r="M13" s="36">
        <f>(QuestPlinkoWeight!M15/SUM(QuestPlinkoWeight!$B$15:$N$15)*M1)</f>
        <v>0.555555555555556</v>
      </c>
      <c r="N13" s="36">
        <f>(QuestPlinkoWeight!N15/SUM(QuestPlinkoWeight!$B$15:$N$15)*N1)</f>
        <v>2.77777777777778</v>
      </c>
      <c r="O13" s="26">
        <f>QuestPlinkoWeight!O15</f>
        <v>3</v>
      </c>
      <c r="P13" s="26">
        <f>QuestPlinkoWeight!T15</f>
        <v>10</v>
      </c>
      <c r="Q13" s="26">
        <f>QuestPlinkoWeight!U15</f>
        <v>10</v>
      </c>
      <c r="R13" s="26">
        <f t="shared" si="1"/>
        <v>1.62962962962963</v>
      </c>
      <c r="S13" s="37"/>
    </row>
    <row r="14" spans="1:19">
      <c r="A14" s="26">
        <f>[1]QuestPlinkoWeight!A16</f>
        <v>5</v>
      </c>
      <c r="B14" s="36">
        <f>(QuestPlinkoWeight!B16/SUM(QuestPlinkoWeight!$B$16:$N$16)*B1)</f>
        <v>3.94321766561514</v>
      </c>
      <c r="C14" s="36">
        <f>(QuestPlinkoWeight!C16/SUM(QuestPlinkoWeight!$B$16:$N$16)*C1)</f>
        <v>0.525762355415352</v>
      </c>
      <c r="D14" s="36">
        <f>(QuestPlinkoWeight!D16/SUM(QuestPlinkoWeight!$B$16:$N$16)*D1)</f>
        <v>2.10304942166141</v>
      </c>
      <c r="E14" s="36">
        <f>(QuestPlinkoWeight!E16/SUM(QuestPlinkoWeight!$B$16:$N$16)*E1)</f>
        <v>0.10515247108307</v>
      </c>
      <c r="F14" s="36">
        <f>(QuestPlinkoWeight!F16/SUM(QuestPlinkoWeight!$B$16:$N$16)*F1)</f>
        <v>3.15457413249211</v>
      </c>
      <c r="G14" s="36">
        <f>(QuestPlinkoWeight!G16/SUM(QuestPlinkoWeight!$B$16:$N$16)*G1)</f>
        <v>0.157728706624606</v>
      </c>
      <c r="H14" s="36">
        <f>(QuestPlinkoWeight!H16/SUM(QuestPlinkoWeight!$B$16:$N$16)*H1)</f>
        <v>0.525762355415352</v>
      </c>
      <c r="I14" s="36">
        <f>(QuestPlinkoWeight!I16/SUM(QuestPlinkoWeight!$B$16:$N$16)*I1)</f>
        <v>0.157728706624606</v>
      </c>
      <c r="J14" s="36">
        <f>(QuestPlinkoWeight!J16/SUM(QuestPlinkoWeight!$B$16:$N$16)*J1)</f>
        <v>3.15457413249211</v>
      </c>
      <c r="K14" s="36">
        <f>(QuestPlinkoWeight!K16/SUM(QuestPlinkoWeight!$B$16:$N$16)*K1)</f>
        <v>0.10515247108307</v>
      </c>
      <c r="L14" s="36">
        <f>(QuestPlinkoWeight!L16/SUM(QuestPlinkoWeight!$B$16:$N$16)*L1)</f>
        <v>2.10304942166141</v>
      </c>
      <c r="M14" s="36">
        <f>(QuestPlinkoWeight!M16/SUM(QuestPlinkoWeight!$B$16:$N$16)*M1)</f>
        <v>0.525762355415352</v>
      </c>
      <c r="N14" s="36">
        <f>(QuestPlinkoWeight!N16/SUM(QuestPlinkoWeight!$B$16:$N$16)*N1)</f>
        <v>3.94321766561514</v>
      </c>
      <c r="O14" s="26">
        <f>QuestPlinkoWeight!O16</f>
        <v>1</v>
      </c>
      <c r="P14" s="26">
        <f>QuestPlinkoWeight!T16</f>
        <v>50</v>
      </c>
      <c r="Q14" s="26">
        <f>QuestPlinkoWeight!U16</f>
        <v>50</v>
      </c>
      <c r="R14" s="26">
        <f>SUM(B14:N14)*O14*(Q14/SUM($Q$14:$Q$16))*(1+P14/100)</f>
        <v>6.68632560691263</v>
      </c>
      <c r="S14" s="37">
        <f>SUM(R14:R16)</f>
        <v>44.5730142359536</v>
      </c>
    </row>
    <row r="15" spans="1:19">
      <c r="A15" s="26">
        <f>[1]QuestPlinkoWeight!A17</f>
        <v>5</v>
      </c>
      <c r="B15" s="36">
        <f>(QuestPlinkoWeight!B17/SUM(QuestPlinkoWeight!$B$17:$N$17)*B1)</f>
        <v>3.12239800166528</v>
      </c>
      <c r="C15" s="36">
        <f>(QuestPlinkoWeight!C17/SUM(QuestPlinkoWeight!$B$17:$N$17)*C1)</f>
        <v>0.416319733555371</v>
      </c>
      <c r="D15" s="36">
        <f>(QuestPlinkoWeight!D17/SUM(QuestPlinkoWeight!$B$17:$N$17)*D1)</f>
        <v>2.08159866777685</v>
      </c>
      <c r="E15" s="36">
        <f>(QuestPlinkoWeight!E17/SUM(QuestPlinkoWeight!$B$17:$N$17)*E1)</f>
        <v>0.124895920066611</v>
      </c>
      <c r="F15" s="36">
        <f>(QuestPlinkoWeight!F17/SUM(QuestPlinkoWeight!$B$17:$N$17)*F1)</f>
        <v>3.12239800166528</v>
      </c>
      <c r="G15" s="36">
        <f>(QuestPlinkoWeight!G17/SUM(QuestPlinkoWeight!$B$17:$N$17)*G1)</f>
        <v>0.249791840133222</v>
      </c>
      <c r="H15" s="36">
        <f>(QuestPlinkoWeight!H17/SUM(QuestPlinkoWeight!$B$17:$N$17)*H1)</f>
        <v>0.416319733555371</v>
      </c>
      <c r="I15" s="36">
        <f>(QuestPlinkoWeight!I17/SUM(QuestPlinkoWeight!$B$17:$N$17)*I1)</f>
        <v>0.249791840133222</v>
      </c>
      <c r="J15" s="36">
        <f>(QuestPlinkoWeight!J17/SUM(QuestPlinkoWeight!$B$17:$N$17)*J1)</f>
        <v>3.12239800166528</v>
      </c>
      <c r="K15" s="36">
        <f>(QuestPlinkoWeight!K17/SUM(QuestPlinkoWeight!$B$17:$N$17)*K1)</f>
        <v>0.124895920066611</v>
      </c>
      <c r="L15" s="36">
        <f>(QuestPlinkoWeight!L17/SUM(QuestPlinkoWeight!$B$17:$N$17)*L1)</f>
        <v>2.08159866777685</v>
      </c>
      <c r="M15" s="36">
        <f>(QuestPlinkoWeight!M17/SUM(QuestPlinkoWeight!$B$17:$N$17)*M1)</f>
        <v>0.416319733555371</v>
      </c>
      <c r="N15" s="36">
        <f>(QuestPlinkoWeight!N17/SUM(QuestPlinkoWeight!$B$17:$N$17)*N1)</f>
        <v>3.12239800166528</v>
      </c>
      <c r="O15" s="26">
        <f>QuestPlinkoWeight!O17</f>
        <v>2</v>
      </c>
      <c r="P15" s="26">
        <f>QuestPlinkoWeight!T17</f>
        <v>30</v>
      </c>
      <c r="Q15" s="26">
        <f>QuestPlinkoWeight!U17</f>
        <v>150</v>
      </c>
      <c r="R15" s="26">
        <f>SUM(B15:N15)*O15*(Q15/SUM($Q$14:$Q$16))*(1+P15/100)</f>
        <v>31.6258190638236</v>
      </c>
      <c r="S15" s="37"/>
    </row>
    <row r="16" spans="1:19">
      <c r="A16" s="26">
        <f>[1]QuestPlinkoWeight!A18</f>
        <v>5</v>
      </c>
      <c r="B16" s="36">
        <f>(QuestPlinkoWeight!B18/SUM(QuestPlinkoWeight!$B$18:$N$18)*B1)</f>
        <v>2.77777777777778</v>
      </c>
      <c r="C16" s="36">
        <f>(QuestPlinkoWeight!C18/SUM(QuestPlinkoWeight!$B$18:$N$18)*C1)</f>
        <v>0.555555555555556</v>
      </c>
      <c r="D16" s="36">
        <f>(QuestPlinkoWeight!D18/SUM(QuestPlinkoWeight!$B$18:$N$18)*D1)</f>
        <v>1.11111111111111</v>
      </c>
      <c r="E16" s="36">
        <f>(QuestPlinkoWeight!E18/SUM(QuestPlinkoWeight!$B$18:$N$18)*E1)</f>
        <v>0.222222222222222</v>
      </c>
      <c r="F16" s="36">
        <f>(QuestPlinkoWeight!F18/SUM(QuestPlinkoWeight!$B$18:$N$18)*F1)</f>
        <v>1.66666666666667</v>
      </c>
      <c r="G16" s="36">
        <f>(QuestPlinkoWeight!G18/SUM(QuestPlinkoWeight!$B$18:$N$18)*G1)</f>
        <v>0.333333333333333</v>
      </c>
      <c r="H16" s="36">
        <f>(QuestPlinkoWeight!H18/SUM(QuestPlinkoWeight!$B$18:$N$18)*H1)</f>
        <v>0</v>
      </c>
      <c r="I16" s="36">
        <f>(QuestPlinkoWeight!I18/SUM(QuestPlinkoWeight!$B$18:$N$18)*I1)</f>
        <v>0.333333333333333</v>
      </c>
      <c r="J16" s="36">
        <f>(QuestPlinkoWeight!J18/SUM(QuestPlinkoWeight!$B$18:$N$18)*J1)</f>
        <v>1.66666666666667</v>
      </c>
      <c r="K16" s="36">
        <f>(QuestPlinkoWeight!K18/SUM(QuestPlinkoWeight!$B$18:$N$18)*K1)</f>
        <v>0.222222222222222</v>
      </c>
      <c r="L16" s="36">
        <f>(QuestPlinkoWeight!L18/SUM(QuestPlinkoWeight!$B$18:$N$18)*L1)</f>
        <v>1.11111111111111</v>
      </c>
      <c r="M16" s="36">
        <f>(QuestPlinkoWeight!M18/SUM(QuestPlinkoWeight!$B$18:$N$18)*M1)</f>
        <v>0.555555555555556</v>
      </c>
      <c r="N16" s="36">
        <f>(QuestPlinkoWeight!N18/SUM(QuestPlinkoWeight!$B$18:$N$18)*N1)</f>
        <v>2.77777777777778</v>
      </c>
      <c r="O16" s="26">
        <f>QuestPlinkoWeight!O18</f>
        <v>3</v>
      </c>
      <c r="P16" s="26">
        <f>QuestPlinkoWeight!T18</f>
        <v>20</v>
      </c>
      <c r="Q16" s="26">
        <f>QuestPlinkoWeight!U18</f>
        <v>30</v>
      </c>
      <c r="R16" s="26">
        <f>SUM(B16:N16)*O16*(Q16/SUM($Q$14:$Q$16))*(1+P16/100)</f>
        <v>6.26086956521739</v>
      </c>
      <c r="S16" s="37"/>
    </row>
    <row r="17" spans="1:19">
      <c r="A17" s="26">
        <f>[1]QuestPlinkoWeight!A20</f>
        <v>6</v>
      </c>
      <c r="B17" s="36">
        <f>(QuestPlinkoWeight!B19/SUM(QuestPlinkoWeight!$B$19:$N$19)*B1)</f>
        <v>3.93494228751312</v>
      </c>
      <c r="C17" s="36">
        <f>(QuestPlinkoWeight!C19/SUM(QuestPlinkoWeight!$B$19:$N$19)*C1)</f>
        <v>0.524658971668416</v>
      </c>
      <c r="D17" s="36">
        <f>(QuestPlinkoWeight!D19/SUM(QuestPlinkoWeight!$B$19:$N$19)*D1)</f>
        <v>2.09863588667366</v>
      </c>
      <c r="E17" s="36">
        <f>(QuestPlinkoWeight!E19/SUM(QuestPlinkoWeight!$B$19:$N$19)*E1)</f>
        <v>0.104931794333683</v>
      </c>
      <c r="F17" s="36">
        <f>(QuestPlinkoWeight!F19/SUM(QuestPlinkoWeight!$B$19:$N$19)*F1)</f>
        <v>3.14795383001049</v>
      </c>
      <c r="G17" s="36">
        <f>(QuestPlinkoWeight!G19/SUM(QuestPlinkoWeight!$B$19:$N$19)*G1)</f>
        <v>0.157397691500525</v>
      </c>
      <c r="H17" s="36">
        <f>(QuestPlinkoWeight!H19/SUM(QuestPlinkoWeight!$B$19:$N$19)*H1)</f>
        <v>1.57397691500525</v>
      </c>
      <c r="I17" s="36">
        <f>(QuestPlinkoWeight!I19/SUM(QuestPlinkoWeight!$B$19:$N$19)*I1)</f>
        <v>0.157397691500525</v>
      </c>
      <c r="J17" s="36">
        <f>(QuestPlinkoWeight!J19/SUM(QuestPlinkoWeight!$B$19:$N$19)*J1)</f>
        <v>3.14795383001049</v>
      </c>
      <c r="K17" s="36">
        <f>(QuestPlinkoWeight!K19/SUM(QuestPlinkoWeight!$B$19:$N$19)*K1)</f>
        <v>0.104931794333683</v>
      </c>
      <c r="L17" s="36">
        <f>(QuestPlinkoWeight!L19/SUM(QuestPlinkoWeight!$B$19:$N$19)*L1)</f>
        <v>2.09863588667366</v>
      </c>
      <c r="M17" s="36">
        <f>(QuestPlinkoWeight!M19/SUM(QuestPlinkoWeight!$B$19:$N$19)*M1)</f>
        <v>0.524658971668416</v>
      </c>
      <c r="N17" s="36">
        <f>(QuestPlinkoWeight!N19/SUM(QuestPlinkoWeight!$B$19:$N$19)*N1)</f>
        <v>3.93494228751312</v>
      </c>
      <c r="O17" s="26">
        <f>QuestPlinkoWeight!O19</f>
        <v>1</v>
      </c>
      <c r="P17" s="26">
        <f>QuestPlinkoWeight!T19</f>
        <v>55</v>
      </c>
      <c r="Q17" s="26">
        <f>QuestPlinkoWeight!U19</f>
        <v>50</v>
      </c>
      <c r="R17" s="26">
        <f>SUM(B17:N17)*O17*(Q17/SUM($Q$17:$Q$19))*(1+P17/100)</f>
        <v>3.70467529439198</v>
      </c>
      <c r="S17" s="37">
        <f>SUM(R17:R19)</f>
        <v>48.3878097194082</v>
      </c>
    </row>
    <row r="18" spans="1:19">
      <c r="A18" s="26">
        <f>[1]QuestPlinkoWeight!A21</f>
        <v>6</v>
      </c>
      <c r="B18" s="36">
        <f>(QuestPlinkoWeight!B20/SUM(QuestPlinkoWeight!$B$20:$N$20)*B1)</f>
        <v>3.12239800166528</v>
      </c>
      <c r="C18" s="36">
        <f>(QuestPlinkoWeight!C20/SUM(QuestPlinkoWeight!$B$20:$N$20)*C1)</f>
        <v>0.416319733555371</v>
      </c>
      <c r="D18" s="36">
        <f>(QuestPlinkoWeight!D20/SUM(QuestPlinkoWeight!$B$20:$N$20)*D1)</f>
        <v>2.08159866777685</v>
      </c>
      <c r="E18" s="36">
        <f>(QuestPlinkoWeight!E20/SUM(QuestPlinkoWeight!$B$20:$N$20)*E1)</f>
        <v>0.124895920066611</v>
      </c>
      <c r="F18" s="36">
        <f>(QuestPlinkoWeight!F20/SUM(QuestPlinkoWeight!$B$20:$N$20)*F1)</f>
        <v>3.12239800166528</v>
      </c>
      <c r="G18" s="36">
        <f>(QuestPlinkoWeight!G20/SUM(QuestPlinkoWeight!$B$20:$N$20)*G1)</f>
        <v>0.249791840133222</v>
      </c>
      <c r="H18" s="36">
        <f>(QuestPlinkoWeight!H20/SUM(QuestPlinkoWeight!$B$20:$N$20)*H1)</f>
        <v>0.416319733555371</v>
      </c>
      <c r="I18" s="36">
        <f>(QuestPlinkoWeight!I20/SUM(QuestPlinkoWeight!$B$20:$N$20)*I1)</f>
        <v>0.249791840133222</v>
      </c>
      <c r="J18" s="36">
        <f>(QuestPlinkoWeight!J20/SUM(QuestPlinkoWeight!$B$20:$N$20)*J1)</f>
        <v>3.12239800166528</v>
      </c>
      <c r="K18" s="36">
        <f>(QuestPlinkoWeight!K20/SUM(QuestPlinkoWeight!$B$20:$N$20)*K1)</f>
        <v>0.124895920066611</v>
      </c>
      <c r="L18" s="36">
        <f>(QuestPlinkoWeight!L20/SUM(QuestPlinkoWeight!$B$20:$N$20)*L1)</f>
        <v>2.08159866777685</v>
      </c>
      <c r="M18" s="36">
        <f>(QuestPlinkoWeight!M20/SUM(QuestPlinkoWeight!$B$20:$N$20)*M1)</f>
        <v>0.416319733555371</v>
      </c>
      <c r="N18" s="36">
        <f>(QuestPlinkoWeight!N20/SUM(QuestPlinkoWeight!$B$20:$N$20)*N1)</f>
        <v>3.12239800166528</v>
      </c>
      <c r="O18" s="26">
        <f>QuestPlinkoWeight!O20</f>
        <v>2</v>
      </c>
      <c r="P18" s="26">
        <f>QuestPlinkoWeight!T20</f>
        <v>35</v>
      </c>
      <c r="Q18" s="26">
        <f>QuestPlinkoWeight!U20</f>
        <v>300</v>
      </c>
      <c r="R18" s="26">
        <f>SUM(B18:N18)*O18*(Q18/SUM($Q$17:$Q$19))*(1+P18/100)</f>
        <v>33.5720233139051</v>
      </c>
      <c r="S18" s="37"/>
    </row>
    <row r="19" spans="1:19">
      <c r="A19" s="26">
        <f>[1]QuestPlinkoWeight!A22</f>
        <v>6</v>
      </c>
      <c r="B19" s="36">
        <f>(QuestPlinkoWeight!B21/SUM(QuestPlinkoWeight!$B$21:$N$21)*B1)</f>
        <v>2.77777777777778</v>
      </c>
      <c r="C19" s="36">
        <f>(QuestPlinkoWeight!C21/SUM(QuestPlinkoWeight!$B$21:$N$21)*C1)</f>
        <v>0.555555555555556</v>
      </c>
      <c r="D19" s="36">
        <f>(QuestPlinkoWeight!D21/SUM(QuestPlinkoWeight!$B$21:$N$21)*D1)</f>
        <v>1.11111111111111</v>
      </c>
      <c r="E19" s="36">
        <f>(QuestPlinkoWeight!E21/SUM(QuestPlinkoWeight!$B$21:$N$21)*E1)</f>
        <v>0.222222222222222</v>
      </c>
      <c r="F19" s="36">
        <f>(QuestPlinkoWeight!F21/SUM(QuestPlinkoWeight!$B$21:$N$21)*F1)</f>
        <v>1.66666666666667</v>
      </c>
      <c r="G19" s="36">
        <f>(QuestPlinkoWeight!G21/SUM(QuestPlinkoWeight!$B$21:$N$21)*G1)</f>
        <v>0.333333333333333</v>
      </c>
      <c r="H19" s="36">
        <f>(QuestPlinkoWeight!H21/SUM(QuestPlinkoWeight!$B$21:$N$21)*H1)</f>
        <v>0</v>
      </c>
      <c r="I19" s="36">
        <f>(QuestPlinkoWeight!I21/SUM(QuestPlinkoWeight!$B$21:$N$21)*I1)</f>
        <v>0.333333333333333</v>
      </c>
      <c r="J19" s="36">
        <f>(QuestPlinkoWeight!J21/SUM(QuestPlinkoWeight!$B$21:$N$21)*J1)</f>
        <v>1.66666666666667</v>
      </c>
      <c r="K19" s="36">
        <f>(QuestPlinkoWeight!K21/SUM(QuestPlinkoWeight!$B$21:$N$21)*K1)</f>
        <v>0.222222222222222</v>
      </c>
      <c r="L19" s="36">
        <f>(QuestPlinkoWeight!L21/SUM(QuestPlinkoWeight!$B$21:$N$21)*L1)</f>
        <v>1.11111111111111</v>
      </c>
      <c r="M19" s="36">
        <f>(QuestPlinkoWeight!M21/SUM(QuestPlinkoWeight!$B$21:$N$21)*M1)</f>
        <v>0.555555555555556</v>
      </c>
      <c r="N19" s="36">
        <f>(QuestPlinkoWeight!N21/SUM(QuestPlinkoWeight!$B$21:$N$21)*N1)</f>
        <v>2.77777777777778</v>
      </c>
      <c r="O19" s="26">
        <f>QuestPlinkoWeight!O21</f>
        <v>3</v>
      </c>
      <c r="P19" s="26">
        <f>QuestPlinkoWeight!T21</f>
        <v>25</v>
      </c>
      <c r="Q19" s="26">
        <f>QuestPlinkoWeight!U21</f>
        <v>100</v>
      </c>
      <c r="R19" s="26">
        <f>SUM(B19:N19)*O19*(Q19/SUM($Q$17:$Q$19))*(1+P19/100)</f>
        <v>11.1111111111111</v>
      </c>
      <c r="S19" s="37"/>
    </row>
    <row r="20" spans="1:19">
      <c r="A20" s="26">
        <f>[1]QuestPlinkoWeight!A25</f>
        <v>7</v>
      </c>
      <c r="B20" s="36">
        <f>(QuestPlinkoWeight!B22/SUM(QuestPlinkoWeight!$B$22:$N$22)*B1)</f>
        <v>3.93494228751312</v>
      </c>
      <c r="C20" s="36">
        <f>(QuestPlinkoWeight!C22/SUM(QuestPlinkoWeight!$B$22:$N$22)*C1)</f>
        <v>0.524658971668416</v>
      </c>
      <c r="D20" s="36">
        <f>(QuestPlinkoWeight!D22/SUM(QuestPlinkoWeight!$B$22:$N$22)*D1)</f>
        <v>2.09863588667366</v>
      </c>
      <c r="E20" s="36">
        <f>(QuestPlinkoWeight!E22/SUM(QuestPlinkoWeight!$B$22:$N$22)*E1)</f>
        <v>0.104931794333683</v>
      </c>
      <c r="F20" s="36">
        <f>(QuestPlinkoWeight!F22/SUM(QuestPlinkoWeight!$B$22:$N$22)*F1)</f>
        <v>3.14795383001049</v>
      </c>
      <c r="G20" s="36">
        <f>(QuestPlinkoWeight!G22/SUM(QuestPlinkoWeight!$B$22:$N$22)*G1)</f>
        <v>0.157397691500525</v>
      </c>
      <c r="H20" s="36">
        <f>(QuestPlinkoWeight!H22/SUM(QuestPlinkoWeight!$B$22:$N$22)*H1)</f>
        <v>1.57397691500525</v>
      </c>
      <c r="I20" s="36">
        <f>(QuestPlinkoWeight!I22/SUM(QuestPlinkoWeight!$B$22:$N$22)*I1)</f>
        <v>0.157397691500525</v>
      </c>
      <c r="J20" s="36">
        <f>(QuestPlinkoWeight!J22/SUM(QuestPlinkoWeight!$B$22:$N$22)*J1)</f>
        <v>3.14795383001049</v>
      </c>
      <c r="K20" s="36">
        <f>(QuestPlinkoWeight!K22/SUM(QuestPlinkoWeight!$B$22:$N$22)*K1)</f>
        <v>0.104931794333683</v>
      </c>
      <c r="L20" s="36">
        <f>(QuestPlinkoWeight!L22/SUM(QuestPlinkoWeight!$B$22:$N$22)*L1)</f>
        <v>2.09863588667366</v>
      </c>
      <c r="M20" s="36">
        <f>(QuestPlinkoWeight!M22/SUM(QuestPlinkoWeight!$B$22:$N$22)*M1)</f>
        <v>0.524658971668416</v>
      </c>
      <c r="N20" s="36">
        <f>(QuestPlinkoWeight!N22/SUM(QuestPlinkoWeight!$B$22:$N$22)*N1)</f>
        <v>3.93494228751312</v>
      </c>
      <c r="O20" s="26">
        <f>QuestPlinkoWeight!O22</f>
        <v>1</v>
      </c>
      <c r="P20" s="26">
        <f>QuestPlinkoWeight!T22</f>
        <v>60</v>
      </c>
      <c r="Q20" s="26">
        <f>QuestPlinkoWeight!U22</f>
        <v>50</v>
      </c>
      <c r="R20" s="26">
        <f>SUM(B20:N20)*O20*(Q20/SUM($Q$20:$Q$22))*(1+P20/100)</f>
        <v>3.12887532194982</v>
      </c>
      <c r="S20" s="37">
        <f>SUM(R20:R22)</f>
        <v>50.543605471068</v>
      </c>
    </row>
    <row r="21" spans="1:19">
      <c r="A21" s="26">
        <f>[1]QuestPlinkoWeight!A26</f>
        <v>7</v>
      </c>
      <c r="B21" s="36">
        <f>(QuestPlinkoWeight!B23/SUM(QuestPlinkoWeight!$B$23:$N$23)*B1)</f>
        <v>3.12239800166528</v>
      </c>
      <c r="C21" s="36">
        <f>(QuestPlinkoWeight!C23/SUM(QuestPlinkoWeight!$B$23:$N$23)*C1)</f>
        <v>0.416319733555371</v>
      </c>
      <c r="D21" s="36">
        <f>(QuestPlinkoWeight!D23/SUM(QuestPlinkoWeight!$B$23:$N$23)*D1)</f>
        <v>2.08159866777685</v>
      </c>
      <c r="E21" s="36">
        <f>(QuestPlinkoWeight!E23/SUM(QuestPlinkoWeight!$B$23:$N$23)*E1)</f>
        <v>0.124895920066611</v>
      </c>
      <c r="F21" s="36">
        <f>(QuestPlinkoWeight!F23/SUM(QuestPlinkoWeight!$B$23:$N$23)*F1)</f>
        <v>3.12239800166528</v>
      </c>
      <c r="G21" s="36">
        <f>(QuestPlinkoWeight!G23/SUM(QuestPlinkoWeight!$B$23:$N$23)*G1)</f>
        <v>0.249791840133222</v>
      </c>
      <c r="H21" s="36">
        <f>(QuestPlinkoWeight!H23/SUM(QuestPlinkoWeight!$B$23:$N$23)*H1)</f>
        <v>0.416319733555371</v>
      </c>
      <c r="I21" s="36">
        <f>(QuestPlinkoWeight!I23/SUM(QuestPlinkoWeight!$B$23:$N$23)*I1)</f>
        <v>0.249791840133222</v>
      </c>
      <c r="J21" s="36">
        <f>(QuestPlinkoWeight!J23/SUM(QuestPlinkoWeight!$B$23:$N$23)*J1)</f>
        <v>3.12239800166528</v>
      </c>
      <c r="K21" s="36">
        <f>(QuestPlinkoWeight!K23/SUM(QuestPlinkoWeight!$B$23:$N$23)*K1)</f>
        <v>0.124895920066611</v>
      </c>
      <c r="L21" s="36">
        <f>(QuestPlinkoWeight!L23/SUM(QuestPlinkoWeight!$B$23:$N$23)*L1)</f>
        <v>2.08159866777685</v>
      </c>
      <c r="M21" s="36">
        <f>(QuestPlinkoWeight!M23/SUM(QuestPlinkoWeight!$B$23:$N$23)*M1)</f>
        <v>0.416319733555371</v>
      </c>
      <c r="N21" s="36">
        <f>(QuestPlinkoWeight!N23/SUM(QuestPlinkoWeight!$B$23:$N$23)*N1)</f>
        <v>3.12239800166528</v>
      </c>
      <c r="O21" s="26">
        <f>QuestPlinkoWeight!O23</f>
        <v>2</v>
      </c>
      <c r="P21" s="26">
        <f>QuestPlinkoWeight!T23</f>
        <v>40</v>
      </c>
      <c r="Q21" s="26">
        <f>QuestPlinkoWeight!U23</f>
        <v>350</v>
      </c>
      <c r="R21" s="26">
        <f>SUM(B21:N21)*O21*(Q21/SUM($Q$20:$Q$22))*(1+P21/100)</f>
        <v>33.2329119673</v>
      </c>
      <c r="S21" s="37"/>
    </row>
    <row r="22" spans="1:19">
      <c r="A22" s="26">
        <f>[1]QuestPlinkoWeight!A27</f>
        <v>7</v>
      </c>
      <c r="B22" s="36">
        <f>(QuestPlinkoWeight!B24/SUM(QuestPlinkoWeight!$B$24:$N$24)*B1)</f>
        <v>2.77777777777778</v>
      </c>
      <c r="C22" s="36">
        <f>(QuestPlinkoWeight!C24/SUM(QuestPlinkoWeight!$B$24:$N$24)*C1)</f>
        <v>0.555555555555556</v>
      </c>
      <c r="D22" s="36">
        <f>(QuestPlinkoWeight!D24/SUM(QuestPlinkoWeight!$B$24:$N$24)*D1)</f>
        <v>1.11111111111111</v>
      </c>
      <c r="E22" s="36">
        <f>(QuestPlinkoWeight!E24/SUM(QuestPlinkoWeight!$B$24:$N$24)*E1)</f>
        <v>0.222222222222222</v>
      </c>
      <c r="F22" s="36">
        <f>(QuestPlinkoWeight!F24/SUM(QuestPlinkoWeight!$B$24:$N$24)*F1)</f>
        <v>1.66666666666667</v>
      </c>
      <c r="G22" s="36">
        <f>(QuestPlinkoWeight!G24/SUM(QuestPlinkoWeight!$B$24:$N$24)*G1)</f>
        <v>0.333333333333333</v>
      </c>
      <c r="H22" s="36">
        <f>(QuestPlinkoWeight!H24/SUM(QuestPlinkoWeight!$B$24:$N$24)*H1)</f>
        <v>0</v>
      </c>
      <c r="I22" s="36">
        <f>(QuestPlinkoWeight!I24/SUM(QuestPlinkoWeight!$B$24:$N$24)*I1)</f>
        <v>0.333333333333333</v>
      </c>
      <c r="J22" s="36">
        <f>(QuestPlinkoWeight!J24/SUM(QuestPlinkoWeight!$B$24:$N$24)*J1)</f>
        <v>1.66666666666667</v>
      </c>
      <c r="K22" s="36">
        <f>(QuestPlinkoWeight!K24/SUM(QuestPlinkoWeight!$B$24:$N$24)*K1)</f>
        <v>0.222222222222222</v>
      </c>
      <c r="L22" s="36">
        <f>(QuestPlinkoWeight!L24/SUM(QuestPlinkoWeight!$B$24:$N$24)*L1)</f>
        <v>1.11111111111111</v>
      </c>
      <c r="M22" s="36">
        <f>(QuestPlinkoWeight!M24/SUM(QuestPlinkoWeight!$B$24:$N$24)*M1)</f>
        <v>0.555555555555556</v>
      </c>
      <c r="N22" s="36">
        <f>(QuestPlinkoWeight!N24/SUM(QuestPlinkoWeight!$B$24:$N$24)*N1)</f>
        <v>2.77777777777778</v>
      </c>
      <c r="O22" s="26">
        <f>QuestPlinkoWeight!O24</f>
        <v>3</v>
      </c>
      <c r="P22" s="26">
        <f>QuestPlinkoWeight!T24</f>
        <v>30</v>
      </c>
      <c r="Q22" s="26">
        <f>QuestPlinkoWeight!U24</f>
        <v>150</v>
      </c>
      <c r="R22" s="26">
        <f>SUM(B22:N22)*O22*(Q22/SUM($Q$20:$Q$22))*(1+P22/100)</f>
        <v>14.1818181818182</v>
      </c>
      <c r="S22" s="37"/>
    </row>
    <row r="28" spans="1:19">
      <c r="B28" s="36"/>
    </row>
    <row r="29" spans="1:19">
      <c r="B29" s="36"/>
    </row>
    <row r="30" spans="1:19">
      <c r="B30" s="36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selection activeCell="C37" sqref="C37"/>
    </sheetView>
  </sheetViews>
  <sheetFormatPr defaultColWidth="9" defaultRowHeight="13.5"/>
  <cols>
    <col min="1" max="7" width="15" style="26" customWidth="1"/>
    <col min="8" max="8" width="20.375" style="26" customWidth="1"/>
    <col min="9" max="9" width="19.375" style="26" customWidth="1"/>
    <col min="10" max="10" width="21.5" style="28" customWidth="1"/>
    <col min="11" max="11" width="20.375" style="26" customWidth="1"/>
    <col min="12" max="12" width="19.375" style="26" customWidth="1"/>
    <col min="13" max="13" width="21.5" style="26" customWidth="1"/>
    <col min="14" max="14" width="20.375" style="26" customWidth="1"/>
    <col min="15" max="15" width="19.375" style="26" customWidth="1"/>
    <col min="16" max="16" width="21.5" style="26" customWidth="1"/>
    <col min="17" max="16384" width="9" style="26"/>
  </cols>
  <sheetData>
    <row r="1" spans="1:16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2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 spans="1:16">
      <c r="A2" s="1" t="s">
        <v>94</v>
      </c>
      <c r="B2" s="1" t="s">
        <v>94</v>
      </c>
      <c r="C2" s="1" t="s">
        <v>145</v>
      </c>
      <c r="D2" s="1" t="s">
        <v>146</v>
      </c>
      <c r="E2" s="1" t="s">
        <v>94</v>
      </c>
      <c r="F2" s="1" t="s">
        <v>94</v>
      </c>
      <c r="G2" s="1" t="s">
        <v>94</v>
      </c>
      <c r="H2" s="1" t="s">
        <v>94</v>
      </c>
      <c r="I2" s="1" t="s">
        <v>146</v>
      </c>
      <c r="J2" s="2" t="s">
        <v>94</v>
      </c>
      <c r="K2" s="1" t="s">
        <v>94</v>
      </c>
      <c r="L2" s="1" t="s">
        <v>146</v>
      </c>
      <c r="M2" s="1" t="s">
        <v>94</v>
      </c>
      <c r="N2" s="1" t="s">
        <v>94</v>
      </c>
      <c r="O2" s="1" t="s">
        <v>146</v>
      </c>
      <c r="P2" s="1" t="s">
        <v>94</v>
      </c>
    </row>
    <row r="3" spans="1:16">
      <c r="A3" s="1" t="s">
        <v>95</v>
      </c>
      <c r="B3" s="1" t="s">
        <v>147</v>
      </c>
      <c r="C3" s="1" t="s">
        <v>147</v>
      </c>
      <c r="D3" s="1" t="s">
        <v>147</v>
      </c>
      <c r="E3" s="1" t="s">
        <v>147</v>
      </c>
      <c r="F3" s="1" t="s">
        <v>147</v>
      </c>
      <c r="G3" s="1" t="s">
        <v>147</v>
      </c>
      <c r="H3" s="1" t="s">
        <v>147</v>
      </c>
      <c r="I3" s="1" t="s">
        <v>147</v>
      </c>
      <c r="J3" s="2" t="s">
        <v>147</v>
      </c>
      <c r="K3" s="1" t="s">
        <v>147</v>
      </c>
      <c r="L3" s="1" t="s">
        <v>147</v>
      </c>
      <c r="M3" s="1" t="s">
        <v>147</v>
      </c>
      <c r="N3" s="1" t="s">
        <v>147</v>
      </c>
      <c r="O3" s="1" t="s">
        <v>147</v>
      </c>
      <c r="P3" s="1" t="s">
        <v>147</v>
      </c>
    </row>
    <row r="4" s="3" customFormat="1" ht="81" spans="1:16">
      <c r="A4" s="3" t="s">
        <v>148</v>
      </c>
      <c r="B4" s="4" t="s">
        <v>149</v>
      </c>
      <c r="C4" s="4" t="s">
        <v>150</v>
      </c>
      <c r="D4" s="4" t="s">
        <v>151</v>
      </c>
      <c r="E4" s="4" t="s">
        <v>152</v>
      </c>
      <c r="F4" s="4" t="s">
        <v>153</v>
      </c>
      <c r="G4" s="4" t="s">
        <v>154</v>
      </c>
      <c r="H4" s="4" t="s">
        <v>155</v>
      </c>
      <c r="I4" s="4" t="s">
        <v>156</v>
      </c>
      <c r="J4" s="5" t="s">
        <v>157</v>
      </c>
      <c r="K4" s="4" t="s">
        <v>155</v>
      </c>
      <c r="L4" s="4" t="s">
        <v>158</v>
      </c>
      <c r="M4" s="3" t="s">
        <v>159</v>
      </c>
      <c r="N4" s="4" t="s">
        <v>155</v>
      </c>
      <c r="O4" s="4" t="s">
        <v>160</v>
      </c>
      <c r="P4" s="3" t="s">
        <v>161</v>
      </c>
    </row>
    <row r="5" spans="1:16">
      <c r="A5" s="1">
        <v>0</v>
      </c>
      <c r="B5" s="1">
        <v>-1</v>
      </c>
      <c r="C5" s="1" t="s">
        <v>162</v>
      </c>
      <c r="D5" s="1">
        <v>0</v>
      </c>
      <c r="E5" s="1">
        <v>6</v>
      </c>
      <c r="F5" s="1">
        <v>0</v>
      </c>
      <c r="G5" s="1">
        <v>0</v>
      </c>
      <c r="H5" s="1">
        <v>18</v>
      </c>
      <c r="I5" s="1">
        <v>1</v>
      </c>
      <c r="J5" s="2">
        <v>210000000</v>
      </c>
      <c r="K5" s="1">
        <v>3</v>
      </c>
      <c r="L5" s="1">
        <v>10000</v>
      </c>
      <c r="M5" s="1">
        <v>360</v>
      </c>
      <c r="N5" s="1"/>
      <c r="O5" s="1"/>
      <c r="P5" s="1"/>
    </row>
    <row r="6" spans="1:16">
      <c r="A6" s="1">
        <v>0</v>
      </c>
      <c r="B6" s="1">
        <v>0</v>
      </c>
      <c r="C6" s="1" t="s">
        <v>163</v>
      </c>
      <c r="D6" s="1">
        <v>60</v>
      </c>
      <c r="E6" s="1">
        <v>6</v>
      </c>
      <c r="F6" s="1">
        <v>0</v>
      </c>
      <c r="G6" s="1">
        <v>0</v>
      </c>
      <c r="H6" s="1">
        <v>18</v>
      </c>
      <c r="I6" s="1">
        <v>1</v>
      </c>
      <c r="J6" s="2">
        <v>7500000</v>
      </c>
      <c r="K6" s="1">
        <v>3</v>
      </c>
      <c r="L6" s="1">
        <v>10000</v>
      </c>
      <c r="M6" s="1">
        <v>15</v>
      </c>
      <c r="N6" s="1"/>
      <c r="O6" s="1"/>
      <c r="P6" s="1"/>
    </row>
    <row r="7" spans="1:16">
      <c r="A7" s="1">
        <v>0</v>
      </c>
      <c r="B7" s="1">
        <v>1</v>
      </c>
      <c r="C7" s="1" t="s">
        <v>164</v>
      </c>
      <c r="D7" s="1">
        <v>125</v>
      </c>
      <c r="E7" s="1">
        <v>6</v>
      </c>
      <c r="F7" s="1">
        <v>0</v>
      </c>
      <c r="G7" s="1">
        <v>0</v>
      </c>
      <c r="H7" s="1">
        <v>18</v>
      </c>
      <c r="I7" s="1">
        <v>1</v>
      </c>
      <c r="J7" s="2">
        <v>11500000</v>
      </c>
      <c r="K7" s="1">
        <v>3</v>
      </c>
      <c r="L7" s="1">
        <v>10000</v>
      </c>
      <c r="M7" s="1">
        <v>20</v>
      </c>
      <c r="N7" s="1"/>
      <c r="O7" s="1"/>
      <c r="P7" s="1"/>
    </row>
    <row r="8" spans="1:16">
      <c r="A8" s="1">
        <v>0</v>
      </c>
      <c r="B8" s="1">
        <v>2</v>
      </c>
      <c r="C8" s="1" t="s">
        <v>165</v>
      </c>
      <c r="D8" s="1">
        <v>250</v>
      </c>
      <c r="E8" s="1">
        <v>6</v>
      </c>
      <c r="F8" s="1">
        <v>0</v>
      </c>
      <c r="G8" s="1">
        <v>0</v>
      </c>
      <c r="H8" s="1">
        <v>18</v>
      </c>
      <c r="I8" s="1">
        <v>1</v>
      </c>
      <c r="J8" s="2">
        <v>15000000</v>
      </c>
      <c r="K8" s="1">
        <v>3</v>
      </c>
      <c r="L8" s="1">
        <v>10000</v>
      </c>
      <c r="M8" s="1">
        <v>25</v>
      </c>
      <c r="N8" s="1"/>
      <c r="O8" s="1"/>
      <c r="P8" s="1"/>
    </row>
    <row r="9" spans="1:16">
      <c r="A9" s="1">
        <v>0</v>
      </c>
      <c r="B9" s="1">
        <v>3</v>
      </c>
      <c r="C9" s="1" t="s">
        <v>166</v>
      </c>
      <c r="D9" s="1">
        <v>500</v>
      </c>
      <c r="E9" s="1">
        <v>6</v>
      </c>
      <c r="F9" s="1">
        <v>0</v>
      </c>
      <c r="G9" s="1">
        <v>0</v>
      </c>
      <c r="H9" s="1">
        <v>18</v>
      </c>
      <c r="I9" s="1">
        <v>1</v>
      </c>
      <c r="J9" s="2">
        <v>22500000</v>
      </c>
      <c r="K9" s="1">
        <v>3</v>
      </c>
      <c r="L9" s="1">
        <v>10000</v>
      </c>
      <c r="M9" s="1">
        <v>40</v>
      </c>
      <c r="N9" s="1"/>
      <c r="O9" s="1"/>
      <c r="P9" s="1"/>
    </row>
    <row r="10" spans="1:16">
      <c r="A10" s="1">
        <v>0</v>
      </c>
      <c r="B10" s="1">
        <v>4</v>
      </c>
      <c r="C10" s="1" t="s">
        <v>167</v>
      </c>
      <c r="D10" s="1">
        <v>1000</v>
      </c>
      <c r="E10" s="1">
        <v>6</v>
      </c>
      <c r="F10" s="1">
        <v>10</v>
      </c>
      <c r="G10" s="1">
        <v>1</v>
      </c>
      <c r="H10" s="1">
        <v>18</v>
      </c>
      <c r="I10" s="1">
        <v>1</v>
      </c>
      <c r="J10" s="2">
        <v>33500000</v>
      </c>
      <c r="K10" s="1">
        <v>3</v>
      </c>
      <c r="L10" s="1">
        <v>10000</v>
      </c>
      <c r="M10" s="1">
        <v>60</v>
      </c>
      <c r="N10" s="1"/>
      <c r="O10" s="1"/>
      <c r="P10" s="1"/>
    </row>
    <row r="11" spans="1:16">
      <c r="A11" s="1">
        <v>0</v>
      </c>
      <c r="B11" s="1">
        <v>5</v>
      </c>
      <c r="C11" s="1" t="s">
        <v>168</v>
      </c>
      <c r="D11" s="1">
        <v>1500</v>
      </c>
      <c r="E11" s="1">
        <v>6</v>
      </c>
      <c r="F11" s="1">
        <v>0</v>
      </c>
      <c r="G11" s="1">
        <v>0</v>
      </c>
      <c r="H11" s="1">
        <v>18</v>
      </c>
      <c r="I11" s="1">
        <v>1</v>
      </c>
      <c r="J11" s="2">
        <v>48500000</v>
      </c>
      <c r="K11" s="1">
        <v>3</v>
      </c>
      <c r="L11" s="1">
        <v>10000</v>
      </c>
      <c r="M11" s="1">
        <v>85</v>
      </c>
      <c r="N11" s="1"/>
      <c r="O11" s="1"/>
      <c r="P11" s="1"/>
    </row>
    <row r="12" spans="1:16">
      <c r="A12" s="1">
        <v>0</v>
      </c>
      <c r="B12" s="1">
        <v>6</v>
      </c>
      <c r="C12" s="1" t="s">
        <v>169</v>
      </c>
      <c r="D12" s="1">
        <v>2000</v>
      </c>
      <c r="E12" s="1">
        <v>6</v>
      </c>
      <c r="F12" s="1">
        <v>20</v>
      </c>
      <c r="G12" s="1">
        <v>1</v>
      </c>
      <c r="H12" s="1">
        <v>18</v>
      </c>
      <c r="I12" s="1">
        <v>1</v>
      </c>
      <c r="J12" s="2">
        <v>67500000</v>
      </c>
      <c r="K12" s="1">
        <v>3</v>
      </c>
      <c r="L12" s="1">
        <v>10000</v>
      </c>
      <c r="M12" s="1">
        <v>115</v>
      </c>
      <c r="N12" s="1"/>
      <c r="O12" s="1"/>
      <c r="P12" s="1"/>
    </row>
    <row r="13" s="26" customFormat="1" spans="1:16">
      <c r="A13" s="1">
        <v>0</v>
      </c>
      <c r="B13" s="1">
        <v>7</v>
      </c>
      <c r="C13" s="1" t="s">
        <v>170</v>
      </c>
      <c r="D13" s="1">
        <v>3000</v>
      </c>
      <c r="E13" s="1">
        <v>6</v>
      </c>
      <c r="F13" s="1">
        <v>30</v>
      </c>
      <c r="G13" s="1">
        <v>1</v>
      </c>
      <c r="H13" s="1">
        <v>18</v>
      </c>
      <c r="I13" s="1">
        <v>1</v>
      </c>
      <c r="J13" s="2">
        <v>93500000</v>
      </c>
      <c r="K13" s="1">
        <v>3</v>
      </c>
      <c r="L13" s="1">
        <v>10000</v>
      </c>
      <c r="M13" s="1">
        <v>160</v>
      </c>
      <c r="N13" s="1"/>
      <c r="O13" s="1"/>
      <c r="P13" s="1"/>
    </row>
    <row r="14" spans="1:16">
      <c r="A14" s="1">
        <v>1</v>
      </c>
      <c r="B14" s="1">
        <v>-1</v>
      </c>
      <c r="C14" s="1" t="s">
        <v>171</v>
      </c>
      <c r="D14" s="1">
        <v>0</v>
      </c>
      <c r="E14" s="1">
        <v>6</v>
      </c>
      <c r="F14" s="1">
        <v>0</v>
      </c>
      <c r="G14" s="1">
        <v>0</v>
      </c>
      <c r="H14" s="1">
        <v>18</v>
      </c>
      <c r="I14" s="1">
        <v>1</v>
      </c>
      <c r="J14" s="2">
        <v>227500000</v>
      </c>
      <c r="K14" s="1">
        <v>3</v>
      </c>
      <c r="L14" s="1">
        <v>10000</v>
      </c>
      <c r="M14" s="1">
        <v>390</v>
      </c>
      <c r="N14" s="1"/>
      <c r="O14" s="1"/>
      <c r="P14" s="1"/>
    </row>
    <row r="15" spans="1:16">
      <c r="A15" s="1">
        <v>1</v>
      </c>
      <c r="B15" s="1">
        <v>0</v>
      </c>
      <c r="C15" s="1" t="s">
        <v>172</v>
      </c>
      <c r="D15" s="1">
        <v>65</v>
      </c>
      <c r="E15" s="1">
        <v>6</v>
      </c>
      <c r="F15" s="1">
        <v>0</v>
      </c>
      <c r="G15" s="1">
        <v>0</v>
      </c>
      <c r="H15" s="1">
        <v>18</v>
      </c>
      <c r="I15" s="1">
        <v>1</v>
      </c>
      <c r="J15" s="2">
        <v>8000000</v>
      </c>
      <c r="K15" s="1">
        <v>3</v>
      </c>
      <c r="L15" s="1">
        <v>10000</v>
      </c>
      <c r="M15" s="1">
        <v>15</v>
      </c>
      <c r="N15" s="1"/>
      <c r="O15" s="1"/>
      <c r="P15" s="1"/>
    </row>
    <row r="16" spans="1:16">
      <c r="A16" s="1">
        <v>1</v>
      </c>
      <c r="B16" s="1">
        <v>1</v>
      </c>
      <c r="C16" s="1" t="s">
        <v>173</v>
      </c>
      <c r="D16" s="1">
        <v>140</v>
      </c>
      <c r="E16" s="1">
        <v>6</v>
      </c>
      <c r="F16" s="1">
        <v>0</v>
      </c>
      <c r="G16" s="1">
        <v>0</v>
      </c>
      <c r="H16" s="1">
        <v>18</v>
      </c>
      <c r="I16" s="1">
        <v>1</v>
      </c>
      <c r="J16" s="2">
        <v>12500000</v>
      </c>
      <c r="K16" s="1">
        <v>3</v>
      </c>
      <c r="L16" s="1">
        <v>10000</v>
      </c>
      <c r="M16" s="1">
        <v>20</v>
      </c>
      <c r="N16" s="1"/>
      <c r="O16" s="1"/>
      <c r="P16" s="1"/>
    </row>
    <row r="17" spans="1:16">
      <c r="A17" s="1">
        <v>1</v>
      </c>
      <c r="B17" s="1">
        <v>2</v>
      </c>
      <c r="C17" s="1" t="s">
        <v>174</v>
      </c>
      <c r="D17" s="1">
        <v>275</v>
      </c>
      <c r="E17" s="1">
        <v>6</v>
      </c>
      <c r="F17" s="1">
        <v>0</v>
      </c>
      <c r="G17" s="1">
        <v>0</v>
      </c>
      <c r="H17" s="1">
        <v>18</v>
      </c>
      <c r="I17" s="1">
        <v>1</v>
      </c>
      <c r="J17" s="2">
        <v>16500000</v>
      </c>
      <c r="K17" s="1">
        <v>3</v>
      </c>
      <c r="L17" s="1">
        <v>10000</v>
      </c>
      <c r="M17" s="1">
        <v>30</v>
      </c>
      <c r="N17" s="1"/>
      <c r="O17" s="1"/>
      <c r="P17" s="1"/>
    </row>
    <row r="18" spans="1:16">
      <c r="A18" s="1">
        <v>1</v>
      </c>
      <c r="B18" s="1">
        <v>3</v>
      </c>
      <c r="C18" s="1" t="s">
        <v>175</v>
      </c>
      <c r="D18" s="1">
        <v>550</v>
      </c>
      <c r="E18" s="1">
        <v>6</v>
      </c>
      <c r="F18" s="1">
        <v>0</v>
      </c>
      <c r="G18" s="1">
        <v>0</v>
      </c>
      <c r="H18" s="1">
        <v>18</v>
      </c>
      <c r="I18" s="1">
        <v>1</v>
      </c>
      <c r="J18" s="2">
        <v>24500000</v>
      </c>
      <c r="K18" s="1">
        <v>3</v>
      </c>
      <c r="L18" s="1">
        <v>10000</v>
      </c>
      <c r="M18" s="1">
        <v>40</v>
      </c>
      <c r="N18" s="1"/>
      <c r="O18" s="1"/>
      <c r="P18" s="1"/>
    </row>
    <row r="19" spans="1:16">
      <c r="A19" s="1">
        <v>1</v>
      </c>
      <c r="B19" s="1">
        <v>4</v>
      </c>
      <c r="C19" s="1" t="s">
        <v>176</v>
      </c>
      <c r="D19" s="1">
        <v>1100</v>
      </c>
      <c r="E19" s="1">
        <v>6</v>
      </c>
      <c r="F19" s="1">
        <v>0</v>
      </c>
      <c r="G19" s="1">
        <v>0</v>
      </c>
      <c r="H19" s="1">
        <v>18</v>
      </c>
      <c r="I19" s="1">
        <v>1</v>
      </c>
      <c r="J19" s="2">
        <v>37000000</v>
      </c>
      <c r="K19" s="1">
        <v>3</v>
      </c>
      <c r="L19" s="1">
        <v>10000</v>
      </c>
      <c r="M19" s="1">
        <v>65</v>
      </c>
      <c r="N19" s="1"/>
      <c r="O19" s="1"/>
      <c r="P19" s="1"/>
    </row>
    <row r="20" spans="1:16">
      <c r="A20" s="1">
        <v>1</v>
      </c>
      <c r="B20" s="1">
        <v>5</v>
      </c>
      <c r="C20" s="1" t="s">
        <v>177</v>
      </c>
      <c r="D20" s="1">
        <v>1750</v>
      </c>
      <c r="E20" s="1">
        <v>6</v>
      </c>
      <c r="F20" s="1">
        <v>0</v>
      </c>
      <c r="G20" s="1">
        <v>0</v>
      </c>
      <c r="H20" s="1">
        <v>18</v>
      </c>
      <c r="I20" s="1">
        <v>1</v>
      </c>
      <c r="J20" s="2">
        <v>53500000</v>
      </c>
      <c r="K20" s="1">
        <v>3</v>
      </c>
      <c r="L20" s="1">
        <v>10000</v>
      </c>
      <c r="M20" s="1">
        <v>90</v>
      </c>
      <c r="N20" s="1"/>
      <c r="O20" s="1"/>
      <c r="P20" s="1"/>
    </row>
    <row r="21" spans="1:16">
      <c r="A21" s="1">
        <v>1</v>
      </c>
      <c r="B21" s="1">
        <v>6</v>
      </c>
      <c r="C21" s="1" t="s">
        <v>178</v>
      </c>
      <c r="D21" s="1">
        <v>2500</v>
      </c>
      <c r="E21" s="1">
        <v>6</v>
      </c>
      <c r="F21" s="1">
        <v>70</v>
      </c>
      <c r="G21" s="1">
        <v>1</v>
      </c>
      <c r="H21" s="1">
        <v>18</v>
      </c>
      <c r="I21" s="1">
        <v>1</v>
      </c>
      <c r="J21" s="2">
        <v>74000000</v>
      </c>
      <c r="K21" s="1">
        <v>3</v>
      </c>
      <c r="L21" s="1">
        <v>10000</v>
      </c>
      <c r="M21" s="1">
        <v>125</v>
      </c>
      <c r="N21" s="1"/>
      <c r="O21" s="1"/>
      <c r="P21" s="1"/>
    </row>
    <row r="22" s="26" customFormat="1" spans="1:16">
      <c r="A22" s="1">
        <v>1</v>
      </c>
      <c r="B22" s="1">
        <v>7</v>
      </c>
      <c r="C22" s="1" t="s">
        <v>179</v>
      </c>
      <c r="D22" s="1">
        <v>3500</v>
      </c>
      <c r="E22" s="1">
        <v>6</v>
      </c>
      <c r="F22" s="1">
        <v>80</v>
      </c>
      <c r="G22" s="1">
        <v>1</v>
      </c>
      <c r="H22" s="1">
        <v>18</v>
      </c>
      <c r="I22" s="1">
        <v>1</v>
      </c>
      <c r="J22" s="2">
        <v>100000000</v>
      </c>
      <c r="K22" s="1">
        <v>3</v>
      </c>
      <c r="L22" s="1">
        <v>10000</v>
      </c>
      <c r="M22" s="1">
        <v>175</v>
      </c>
      <c r="N22" s="1"/>
      <c r="O22" s="1"/>
      <c r="P22" s="1"/>
    </row>
    <row r="23" spans="1:16">
      <c r="A23" s="1">
        <v>2</v>
      </c>
      <c r="B23" s="1">
        <v>-1</v>
      </c>
      <c r="C23" s="1" t="s">
        <v>180</v>
      </c>
      <c r="D23" s="1">
        <v>0</v>
      </c>
      <c r="E23" s="1">
        <v>6</v>
      </c>
      <c r="F23" s="1">
        <v>0</v>
      </c>
      <c r="G23" s="1">
        <v>0</v>
      </c>
      <c r="H23" s="1">
        <v>18</v>
      </c>
      <c r="I23" s="1">
        <v>1</v>
      </c>
      <c r="J23" s="2">
        <v>245000000</v>
      </c>
      <c r="K23" s="1">
        <v>3</v>
      </c>
      <c r="L23" s="1">
        <v>10000</v>
      </c>
      <c r="M23" s="1">
        <v>420</v>
      </c>
      <c r="N23" s="1"/>
      <c r="O23" s="1"/>
      <c r="P23" s="1"/>
    </row>
    <row r="24" spans="1:16">
      <c r="A24" s="1">
        <v>2</v>
      </c>
      <c r="B24" s="1">
        <v>0</v>
      </c>
      <c r="C24" s="1" t="s">
        <v>181</v>
      </c>
      <c r="D24" s="1">
        <v>70</v>
      </c>
      <c r="E24" s="1">
        <v>6</v>
      </c>
      <c r="F24" s="1">
        <v>0</v>
      </c>
      <c r="G24" s="1">
        <v>0</v>
      </c>
      <c r="H24" s="1">
        <v>18</v>
      </c>
      <c r="I24" s="1">
        <v>1</v>
      </c>
      <c r="J24" s="2">
        <v>9000000</v>
      </c>
      <c r="K24" s="1">
        <v>3</v>
      </c>
      <c r="L24" s="1">
        <v>10000</v>
      </c>
      <c r="M24" s="1">
        <v>15</v>
      </c>
      <c r="N24" s="1"/>
      <c r="O24" s="1"/>
      <c r="P24" s="1"/>
    </row>
    <row r="25" spans="1:16">
      <c r="A25" s="1">
        <v>2</v>
      </c>
      <c r="B25" s="1">
        <v>1</v>
      </c>
      <c r="C25" s="1" t="s">
        <v>182</v>
      </c>
      <c r="D25" s="1">
        <v>150</v>
      </c>
      <c r="E25" s="1">
        <v>6</v>
      </c>
      <c r="F25" s="1">
        <v>0</v>
      </c>
      <c r="G25" s="1">
        <v>0</v>
      </c>
      <c r="H25" s="1">
        <v>18</v>
      </c>
      <c r="I25" s="1">
        <v>1</v>
      </c>
      <c r="J25" s="2">
        <v>13500000</v>
      </c>
      <c r="K25" s="1">
        <v>3</v>
      </c>
      <c r="L25" s="1">
        <v>10000</v>
      </c>
      <c r="M25" s="1">
        <v>20</v>
      </c>
      <c r="N25" s="1"/>
      <c r="O25" s="1"/>
      <c r="P25" s="1"/>
    </row>
    <row r="26" spans="1:16">
      <c r="A26" s="1">
        <v>2</v>
      </c>
      <c r="B26" s="1">
        <v>2</v>
      </c>
      <c r="C26" s="1" t="s">
        <v>183</v>
      </c>
      <c r="D26" s="1">
        <v>300</v>
      </c>
      <c r="E26" s="1">
        <v>6</v>
      </c>
      <c r="F26" s="1">
        <v>0</v>
      </c>
      <c r="G26" s="1">
        <v>0</v>
      </c>
      <c r="H26" s="1">
        <v>18</v>
      </c>
      <c r="I26" s="1">
        <v>1</v>
      </c>
      <c r="J26" s="2">
        <v>18000000</v>
      </c>
      <c r="K26" s="1">
        <v>3</v>
      </c>
      <c r="L26" s="1">
        <v>10000</v>
      </c>
      <c r="M26" s="1">
        <v>30</v>
      </c>
      <c r="N26" s="1"/>
      <c r="O26" s="1"/>
      <c r="P26" s="1"/>
    </row>
    <row r="27" spans="1:16">
      <c r="A27" s="1">
        <v>2</v>
      </c>
      <c r="B27" s="1">
        <v>3</v>
      </c>
      <c r="C27" s="1" t="s">
        <v>184</v>
      </c>
      <c r="D27" s="1">
        <v>600</v>
      </c>
      <c r="E27" s="1">
        <v>6</v>
      </c>
      <c r="F27" s="1">
        <v>0</v>
      </c>
      <c r="G27" s="1">
        <v>0</v>
      </c>
      <c r="H27" s="1">
        <v>18</v>
      </c>
      <c r="I27" s="1">
        <v>1</v>
      </c>
      <c r="J27" s="2">
        <v>27000000</v>
      </c>
      <c r="K27" s="1">
        <v>3</v>
      </c>
      <c r="L27" s="1">
        <v>10000</v>
      </c>
      <c r="M27" s="1">
        <v>45</v>
      </c>
      <c r="N27" s="1"/>
      <c r="O27" s="1"/>
      <c r="P27" s="1"/>
    </row>
    <row r="28" spans="1:16">
      <c r="A28" s="1">
        <v>2</v>
      </c>
      <c r="B28" s="1">
        <v>4</v>
      </c>
      <c r="C28" s="1" t="s">
        <v>185</v>
      </c>
      <c r="D28" s="1">
        <v>1200</v>
      </c>
      <c r="E28" s="1">
        <v>6</v>
      </c>
      <c r="F28" s="1">
        <v>0</v>
      </c>
      <c r="G28" s="1">
        <v>0</v>
      </c>
      <c r="H28" s="1">
        <v>18</v>
      </c>
      <c r="I28" s="1">
        <v>1</v>
      </c>
      <c r="J28" s="2">
        <v>40000000</v>
      </c>
      <c r="K28" s="1">
        <v>3</v>
      </c>
      <c r="L28" s="1">
        <v>10000</v>
      </c>
      <c r="M28" s="1">
        <v>70</v>
      </c>
      <c r="N28" s="1"/>
      <c r="O28" s="1"/>
      <c r="P28" s="1"/>
    </row>
    <row r="29" spans="1:16">
      <c r="A29" s="1">
        <v>2</v>
      </c>
      <c r="B29" s="1">
        <v>5</v>
      </c>
      <c r="C29" s="1" t="s">
        <v>186</v>
      </c>
      <c r="D29" s="1">
        <v>2000</v>
      </c>
      <c r="E29" s="1">
        <v>6</v>
      </c>
      <c r="F29" s="1">
        <v>0</v>
      </c>
      <c r="G29" s="1">
        <v>0</v>
      </c>
      <c r="H29" s="1">
        <v>18</v>
      </c>
      <c r="I29" s="1">
        <v>1</v>
      </c>
      <c r="J29" s="2">
        <v>58000000</v>
      </c>
      <c r="K29" s="1">
        <v>3</v>
      </c>
      <c r="L29" s="1">
        <v>10000</v>
      </c>
      <c r="M29" s="1">
        <v>100</v>
      </c>
      <c r="N29" s="1"/>
      <c r="O29" s="1"/>
      <c r="P29" s="1"/>
    </row>
    <row r="30" spans="1:16">
      <c r="A30" s="1">
        <v>2</v>
      </c>
      <c r="B30" s="1">
        <v>6</v>
      </c>
      <c r="C30" s="1" t="s">
        <v>187</v>
      </c>
      <c r="D30" s="1">
        <v>3000</v>
      </c>
      <c r="E30" s="1">
        <v>6</v>
      </c>
      <c r="F30" s="1">
        <v>70</v>
      </c>
      <c r="G30" s="1">
        <v>1</v>
      </c>
      <c r="H30" s="1">
        <v>18</v>
      </c>
      <c r="I30" s="1">
        <v>1</v>
      </c>
      <c r="J30" s="2">
        <v>81500000</v>
      </c>
      <c r="K30" s="1">
        <v>3</v>
      </c>
      <c r="L30" s="1">
        <v>10000</v>
      </c>
      <c r="M30" s="1">
        <v>140</v>
      </c>
      <c r="N30" s="1"/>
      <c r="O30" s="1"/>
      <c r="P30" s="1"/>
    </row>
    <row r="31" s="26" customFormat="1" spans="1:16">
      <c r="A31" s="1">
        <v>2</v>
      </c>
      <c r="B31" s="1">
        <v>7</v>
      </c>
      <c r="C31" s="1" t="s">
        <v>188</v>
      </c>
      <c r="D31" s="1">
        <v>4000</v>
      </c>
      <c r="E31" s="1">
        <v>6</v>
      </c>
      <c r="F31" s="1">
        <v>80</v>
      </c>
      <c r="G31" s="1">
        <v>1</v>
      </c>
      <c r="H31" s="1">
        <v>18</v>
      </c>
      <c r="I31" s="1">
        <v>1</v>
      </c>
      <c r="J31" s="2">
        <v>110000000</v>
      </c>
      <c r="K31" s="1">
        <v>3</v>
      </c>
      <c r="L31" s="1">
        <v>10000</v>
      </c>
      <c r="M31" s="1">
        <v>200</v>
      </c>
      <c r="N31" s="1"/>
      <c r="O31" s="1"/>
      <c r="P31" s="1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workbookViewId="0">
      <selection activeCell="G42" sqref="G42"/>
    </sheetView>
  </sheetViews>
  <sheetFormatPr defaultColWidth="9" defaultRowHeight="13.5" outlineLevelCol="3"/>
  <cols>
    <col min="1" max="1" width="17.9083333333333" style="26" customWidth="1"/>
    <col min="2" max="2" width="15.275" style="26" customWidth="1"/>
    <col min="3" max="16384" width="9" style="26"/>
  </cols>
  <sheetData>
    <row r="1" spans="1:4">
      <c r="A1" t="s">
        <v>189</v>
      </c>
      <c r="B1" t="s">
        <v>190</v>
      </c>
      <c r="C1" t="s">
        <v>191</v>
      </c>
      <c r="D1" t="s">
        <v>192</v>
      </c>
    </row>
    <row r="2" spans="1:4">
      <c r="A2" t="s">
        <v>193</v>
      </c>
      <c r="B2" t="s">
        <v>145</v>
      </c>
      <c r="C2" t="s">
        <v>194</v>
      </c>
      <c r="D2"/>
    </row>
    <row r="3" spans="1:4">
      <c r="A3" t="s">
        <v>147</v>
      </c>
      <c r="B3" t="s">
        <v>150</v>
      </c>
      <c r="C3" t="s">
        <v>147</v>
      </c>
      <c r="D3"/>
    </row>
    <row r="4" spans="1:4">
      <c r="A4" t="s">
        <v>195</v>
      </c>
      <c r="B4" t="s">
        <v>196</v>
      </c>
      <c r="C4" t="s">
        <v>197</v>
      </c>
      <c r="D4"/>
    </row>
    <row r="5" spans="1:4">
      <c r="A5" t="s">
        <v>198</v>
      </c>
      <c r="B5" t="s">
        <v>199</v>
      </c>
      <c r="C5">
        <v>1001</v>
      </c>
      <c r="D5"/>
    </row>
    <row r="6" spans="1:4">
      <c r="A6" t="s">
        <v>200</v>
      </c>
      <c r="B6" t="s">
        <v>201</v>
      </c>
      <c r="C6">
        <v>1002</v>
      </c>
      <c r="D6"/>
    </row>
    <row r="7" spans="1:4">
      <c r="A7" t="s">
        <v>202</v>
      </c>
      <c r="B7" t="s">
        <v>203</v>
      </c>
      <c r="C7">
        <v>1003</v>
      </c>
      <c r="D7"/>
    </row>
    <row r="8" spans="1:4">
      <c r="A8" t="s">
        <v>204</v>
      </c>
      <c r="B8" t="s">
        <v>205</v>
      </c>
      <c r="C8">
        <v>1004</v>
      </c>
      <c r="D8"/>
    </row>
    <row r="9" spans="1:4">
      <c r="A9" t="s">
        <v>206</v>
      </c>
      <c r="B9" t="s">
        <v>207</v>
      </c>
      <c r="C9">
        <v>1005</v>
      </c>
      <c r="D9"/>
    </row>
    <row r="10" spans="1:4">
      <c r="A10" t="s">
        <v>208</v>
      </c>
      <c r="B10" t="s">
        <v>209</v>
      </c>
      <c r="C10">
        <v>130001</v>
      </c>
      <c r="D10"/>
    </row>
    <row r="11" spans="1:4">
      <c r="A11" t="s">
        <v>210</v>
      </c>
      <c r="B11" t="s">
        <v>211</v>
      </c>
      <c r="C11">
        <v>130002</v>
      </c>
      <c r="D11"/>
    </row>
    <row r="12" spans="1:4">
      <c r="A12" t="s">
        <v>212</v>
      </c>
      <c r="B12" t="s">
        <v>213</v>
      </c>
      <c r="C12">
        <v>130003</v>
      </c>
      <c r="D12"/>
    </row>
    <row r="13" spans="1:4">
      <c r="A13" t="s">
        <v>214</v>
      </c>
      <c r="B13" t="s">
        <v>215</v>
      </c>
      <c r="C13">
        <v>130004</v>
      </c>
      <c r="D13"/>
    </row>
    <row r="14" spans="1:4">
      <c r="A14" t="s">
        <v>216</v>
      </c>
      <c r="B14" t="s">
        <v>217</v>
      </c>
      <c r="C14">
        <v>130005</v>
      </c>
      <c r="D14"/>
    </row>
    <row r="15" spans="1:4">
      <c r="A15" t="s">
        <v>218</v>
      </c>
      <c r="B15" t="s">
        <v>219</v>
      </c>
      <c r="C15">
        <v>130006</v>
      </c>
      <c r="D15"/>
    </row>
    <row r="16" spans="1:4">
      <c r="A16" t="s">
        <v>220</v>
      </c>
      <c r="B16" t="s">
        <v>221</v>
      </c>
      <c r="C16">
        <v>130007</v>
      </c>
      <c r="D16"/>
    </row>
    <row r="17" spans="1:4">
      <c r="A17" t="s">
        <v>222</v>
      </c>
      <c r="B17" t="s">
        <v>223</v>
      </c>
      <c r="C17">
        <v>130008</v>
      </c>
      <c r="D17"/>
    </row>
    <row r="18" spans="1:4">
      <c r="A18" t="s">
        <v>224</v>
      </c>
      <c r="B18" t="s">
        <v>225</v>
      </c>
      <c r="C18">
        <v>130009</v>
      </c>
      <c r="D18"/>
    </row>
    <row r="19" spans="1:4">
      <c r="A19" t="s">
        <v>226</v>
      </c>
      <c r="B19" t="s">
        <v>227</v>
      </c>
      <c r="C19">
        <v>130010</v>
      </c>
      <c r="D19"/>
    </row>
    <row r="20" spans="1:4">
      <c r="A20" t="s">
        <v>228</v>
      </c>
      <c r="B20" t="s">
        <v>229</v>
      </c>
      <c r="C20">
        <v>130011</v>
      </c>
      <c r="D20"/>
    </row>
    <row r="21" spans="1:4">
      <c r="A21" t="s">
        <v>230</v>
      </c>
      <c r="B21" t="s">
        <v>231</v>
      </c>
      <c r="C21">
        <v>130012</v>
      </c>
      <c r="D21"/>
    </row>
    <row r="22" spans="1:4">
      <c r="A22" t="s">
        <v>232</v>
      </c>
      <c r="B22" t="s">
        <v>233</v>
      </c>
      <c r="C22">
        <v>130013</v>
      </c>
      <c r="D22"/>
    </row>
    <row r="23" spans="1:4">
      <c r="A23" t="s">
        <v>200</v>
      </c>
      <c r="B23" t="s">
        <v>201</v>
      </c>
      <c r="C23">
        <v>130014</v>
      </c>
      <c r="D23"/>
    </row>
    <row r="24" spans="1:4">
      <c r="A24" t="s">
        <v>234</v>
      </c>
      <c r="B24" t="s">
        <v>235</v>
      </c>
      <c r="C24">
        <v>130015</v>
      </c>
      <c r="D24"/>
    </row>
    <row r="25" spans="1:4">
      <c r="A25" t="s">
        <v>236</v>
      </c>
      <c r="B25" t="s">
        <v>237</v>
      </c>
      <c r="C25">
        <v>130016</v>
      </c>
      <c r="D25"/>
    </row>
    <row r="26" spans="1:4">
      <c r="A26" t="s">
        <v>238</v>
      </c>
      <c r="B26" t="s">
        <v>239</v>
      </c>
      <c r="C26">
        <v>130017</v>
      </c>
      <c r="D26"/>
    </row>
    <row r="27" spans="1:4">
      <c r="A27" t="s">
        <v>240</v>
      </c>
      <c r="B27" t="s">
        <v>241</v>
      </c>
      <c r="C27">
        <v>130018</v>
      </c>
      <c r="D27"/>
    </row>
    <row r="28" spans="1:4">
      <c r="A28" t="s">
        <v>242</v>
      </c>
      <c r="B28" t="s">
        <v>243</v>
      </c>
      <c r="C28">
        <v>130019</v>
      </c>
      <c r="D28"/>
    </row>
    <row r="29" spans="1:4">
      <c r="A29" t="s">
        <v>244</v>
      </c>
      <c r="B29" t="s">
        <v>245</v>
      </c>
      <c r="C29">
        <v>130020</v>
      </c>
      <c r="D29"/>
    </row>
    <row r="30" spans="1:4">
      <c r="A30" t="s">
        <v>246</v>
      </c>
      <c r="B30" t="s">
        <v>247</v>
      </c>
      <c r="C30">
        <v>130021</v>
      </c>
      <c r="D30"/>
    </row>
    <row r="31" spans="1:4">
      <c r="A31" t="s">
        <v>248</v>
      </c>
      <c r="B31" t="s">
        <v>249</v>
      </c>
      <c r="C31">
        <v>130022</v>
      </c>
      <c r="D31"/>
    </row>
    <row r="32" spans="1:4">
      <c r="A32" t="s">
        <v>250</v>
      </c>
      <c r="B32" t="s">
        <v>251</v>
      </c>
      <c r="C32">
        <v>130023</v>
      </c>
      <c r="D32"/>
    </row>
    <row r="33" spans="1:4">
      <c r="A33" t="s">
        <v>252</v>
      </c>
      <c r="B33" t="s">
        <v>253</v>
      </c>
      <c r="C33">
        <v>130024</v>
      </c>
      <c r="D33"/>
    </row>
    <row r="34" spans="1:4">
      <c r="A34" t="s">
        <v>254</v>
      </c>
      <c r="B34" t="s">
        <v>255</v>
      </c>
      <c r="C34">
        <v>130025</v>
      </c>
      <c r="D34"/>
    </row>
    <row r="35" spans="1:4">
      <c r="A35" t="s">
        <v>256</v>
      </c>
      <c r="B35" t="s">
        <v>257</v>
      </c>
      <c r="C35">
        <v>130026</v>
      </c>
      <c r="D35"/>
    </row>
    <row r="36" spans="1:4">
      <c r="A36" t="s">
        <v>258</v>
      </c>
      <c r="B36" t="s">
        <v>259</v>
      </c>
      <c r="C36">
        <v>130027</v>
      </c>
      <c r="D36"/>
    </row>
    <row r="37" spans="1:4">
      <c r="A37" t="s">
        <v>260</v>
      </c>
      <c r="B37" t="s">
        <v>261</v>
      </c>
      <c r="C37">
        <v>130028</v>
      </c>
      <c r="D37"/>
    </row>
    <row r="38" spans="1:4">
      <c r="A38" t="s">
        <v>262</v>
      </c>
      <c r="B38" t="s">
        <v>263</v>
      </c>
      <c r="C38">
        <v>130029</v>
      </c>
      <c r="D38"/>
    </row>
    <row r="39" spans="1:4">
      <c r="A39" t="s">
        <v>264</v>
      </c>
      <c r="B39" t="s">
        <v>265</v>
      </c>
      <c r="C39">
        <v>140001</v>
      </c>
      <c r="D39"/>
    </row>
    <row r="40" spans="1:4">
      <c r="A40" t="s">
        <v>266</v>
      </c>
      <c r="B40" t="s">
        <v>267</v>
      </c>
      <c r="C40">
        <v>140002</v>
      </c>
      <c r="D40"/>
    </row>
    <row r="41" spans="1:4">
      <c r="A41" t="s">
        <v>268</v>
      </c>
      <c r="B41" t="s">
        <v>269</v>
      </c>
      <c r="C41">
        <v>140003</v>
      </c>
      <c r="D41"/>
    </row>
    <row r="42" spans="1:4">
      <c r="A42" t="s">
        <v>270</v>
      </c>
      <c r="B42" t="s">
        <v>271</v>
      </c>
      <c r="C42">
        <v>140004</v>
      </c>
      <c r="D42"/>
    </row>
    <row r="43" spans="1:4">
      <c r="A43" t="s">
        <v>272</v>
      </c>
      <c r="B43" t="s">
        <v>273</v>
      </c>
      <c r="C43">
        <v>140005</v>
      </c>
      <c r="D43"/>
    </row>
    <row r="44" spans="1:4">
      <c r="A44" t="s">
        <v>274</v>
      </c>
      <c r="B44" t="s">
        <v>275</v>
      </c>
      <c r="C44">
        <v>140006</v>
      </c>
      <c r="D44"/>
    </row>
    <row r="45" spans="1:4">
      <c r="A45" t="s">
        <v>276</v>
      </c>
      <c r="B45" t="s">
        <v>277</v>
      </c>
      <c r="C45">
        <v>150001</v>
      </c>
      <c r="D45"/>
    </row>
    <row r="46" spans="1:4">
      <c r="A46" t="s">
        <v>276</v>
      </c>
      <c r="B46" t="s">
        <v>278</v>
      </c>
      <c r="C46">
        <v>160001</v>
      </c>
      <c r="D46">
        <v>0.1</v>
      </c>
    </row>
    <row r="47" spans="1:4">
      <c r="A47" t="s">
        <v>279</v>
      </c>
      <c r="B47" t="s">
        <v>280</v>
      </c>
      <c r="C47">
        <v>170001</v>
      </c>
      <c r="D47"/>
    </row>
    <row r="48" spans="1:4">
      <c r="A48" t="s">
        <v>281</v>
      </c>
      <c r="B48" t="s">
        <v>282</v>
      </c>
      <c r="C48">
        <v>170002</v>
      </c>
      <c r="D48"/>
    </row>
    <row r="49" spans="1:4">
      <c r="A49" t="s">
        <v>283</v>
      </c>
      <c r="B49" t="s">
        <v>284</v>
      </c>
      <c r="C49">
        <v>170003</v>
      </c>
      <c r="D49"/>
    </row>
    <row r="50" spans="1:4">
      <c r="A50" t="s">
        <v>285</v>
      </c>
      <c r="B50" t="s">
        <v>286</v>
      </c>
      <c r="C50">
        <v>170004</v>
      </c>
      <c r="D50"/>
    </row>
    <row r="51" spans="1:4">
      <c r="A51" t="s">
        <v>287</v>
      </c>
      <c r="B51" t="s">
        <v>288</v>
      </c>
      <c r="C51">
        <v>170005</v>
      </c>
      <c r="D51"/>
    </row>
    <row r="52" spans="1:4">
      <c r="A52" t="s">
        <v>289</v>
      </c>
      <c r="B52" t="s">
        <v>290</v>
      </c>
      <c r="C52">
        <v>170006</v>
      </c>
      <c r="D52"/>
    </row>
    <row r="53" spans="1:4">
      <c r="A53" t="s">
        <v>291</v>
      </c>
      <c r="B53" t="s">
        <v>292</v>
      </c>
      <c r="C53">
        <v>170007</v>
      </c>
      <c r="D53"/>
    </row>
    <row r="54" spans="1:4">
      <c r="A54" t="s">
        <v>293</v>
      </c>
      <c r="B54" t="s">
        <v>294</v>
      </c>
      <c r="C54">
        <v>171001</v>
      </c>
      <c r="D54">
        <v>0.5</v>
      </c>
    </row>
    <row r="55" spans="1:4">
      <c r="A55" t="s">
        <v>295</v>
      </c>
      <c r="B55" t="s">
        <v>296</v>
      </c>
      <c r="C55">
        <v>171002</v>
      </c>
      <c r="D55">
        <v>0.1</v>
      </c>
    </row>
    <row r="56" spans="1:4">
      <c r="A56" t="s">
        <v>297</v>
      </c>
      <c r="B56" t="s">
        <v>298</v>
      </c>
      <c r="C56">
        <v>191001</v>
      </c>
      <c r="D56"/>
    </row>
    <row r="57" spans="1:4">
      <c r="A57" t="s">
        <v>299</v>
      </c>
      <c r="B57" t="s">
        <v>300</v>
      </c>
      <c r="C57">
        <v>201001</v>
      </c>
      <c r="D57"/>
    </row>
    <row r="58" spans="1:4">
      <c r="A58" t="s">
        <v>299</v>
      </c>
      <c r="B58" t="s">
        <v>300</v>
      </c>
      <c r="C58">
        <v>201002</v>
      </c>
      <c r="D58"/>
    </row>
    <row r="59" spans="1:4">
      <c r="A59" t="s">
        <v>301</v>
      </c>
      <c r="B59" t="s">
        <v>300</v>
      </c>
      <c r="C59">
        <v>201003</v>
      </c>
      <c r="D59"/>
    </row>
    <row r="60" spans="1:4">
      <c r="A60" t="s">
        <v>302</v>
      </c>
      <c r="B60" t="s">
        <v>300</v>
      </c>
      <c r="C60">
        <v>201004</v>
      </c>
      <c r="D60"/>
    </row>
    <row r="61" spans="1:4">
      <c r="A61" t="s">
        <v>303</v>
      </c>
      <c r="B61" t="s">
        <v>300</v>
      </c>
      <c r="C61">
        <v>201005</v>
      </c>
      <c r="D61"/>
    </row>
    <row r="62" spans="1:4">
      <c r="A62" t="s">
        <v>304</v>
      </c>
      <c r="B62" t="s">
        <v>305</v>
      </c>
      <c r="C62">
        <v>192001</v>
      </c>
      <c r="D62">
        <v>0.01</v>
      </c>
    </row>
    <row r="63" spans="1:4">
      <c r="A63" t="s">
        <v>306</v>
      </c>
      <c r="B63" t="s">
        <v>307</v>
      </c>
      <c r="C63">
        <v>100001</v>
      </c>
      <c r="D63">
        <v>0.1</v>
      </c>
    </row>
    <row r="64" spans="1:4">
      <c r="A64" t="s">
        <v>308</v>
      </c>
      <c r="B64" t="s">
        <v>309</v>
      </c>
      <c r="C64">
        <v>100002</v>
      </c>
      <c r="D64">
        <v>0.2</v>
      </c>
    </row>
    <row r="65" spans="1:4">
      <c r="A65" t="s">
        <v>310</v>
      </c>
      <c r="B65" t="s">
        <v>311</v>
      </c>
      <c r="C65">
        <v>100003</v>
      </c>
      <c r="D65">
        <v>0.3</v>
      </c>
    </row>
    <row r="66" spans="1:4">
      <c r="A66" t="s">
        <v>312</v>
      </c>
      <c r="B66" t="s">
        <v>313</v>
      </c>
      <c r="C66">
        <v>100004</v>
      </c>
      <c r="D66">
        <v>0.4</v>
      </c>
    </row>
    <row r="67" spans="1:4">
      <c r="A67" t="s">
        <v>314</v>
      </c>
      <c r="B67" t="s">
        <v>315</v>
      </c>
      <c r="C67">
        <v>100005</v>
      </c>
      <c r="D67">
        <v>0.5</v>
      </c>
    </row>
    <row r="68" spans="1:4">
      <c r="A68" t="s">
        <v>316</v>
      </c>
      <c r="B68" t="s">
        <v>317</v>
      </c>
      <c r="C68">
        <v>210006</v>
      </c>
      <c r="D68"/>
    </row>
    <row r="69" spans="1:4">
      <c r="A69" t="s">
        <v>318</v>
      </c>
      <c r="B69" t="s">
        <v>319</v>
      </c>
      <c r="C69">
        <v>210007</v>
      </c>
      <c r="D69"/>
    </row>
    <row r="70" spans="1:4">
      <c r="A70" t="s">
        <v>320</v>
      </c>
      <c r="B70" t="s">
        <v>321</v>
      </c>
      <c r="C70">
        <v>210008</v>
      </c>
      <c r="D70"/>
    </row>
    <row r="71" spans="1:4">
      <c r="A71" t="s">
        <v>322</v>
      </c>
      <c r="B71" t="s">
        <v>323</v>
      </c>
      <c r="C71">
        <v>210009</v>
      </c>
      <c r="D71"/>
    </row>
    <row r="72" spans="1:4">
      <c r="A72" t="s">
        <v>324</v>
      </c>
      <c r="B72" t="s">
        <v>325</v>
      </c>
      <c r="C72">
        <v>100006</v>
      </c>
      <c r="D72"/>
    </row>
    <row r="73" spans="1:4">
      <c r="A73"/>
      <c r="B73" t="s">
        <v>326</v>
      </c>
      <c r="C73" s="34">
        <v>100001</v>
      </c>
      <c r="D73">
        <v>0.1</v>
      </c>
    </row>
    <row r="74" spans="1:4">
      <c r="A74"/>
      <c r="B74" t="s">
        <v>327</v>
      </c>
      <c r="C74" s="34">
        <v>100002</v>
      </c>
      <c r="D74">
        <v>0.2</v>
      </c>
    </row>
    <row r="75" spans="1:4">
      <c r="A75"/>
      <c r="B75" t="s">
        <v>328</v>
      </c>
      <c r="C75" s="34">
        <v>100003</v>
      </c>
      <c r="D75">
        <v>0.5</v>
      </c>
    </row>
    <row r="76" spans="1:4">
      <c r="A76"/>
      <c r="B76" t="s">
        <v>329</v>
      </c>
      <c r="C76" s="34">
        <v>100004</v>
      </c>
      <c r="D76">
        <v>1</v>
      </c>
    </row>
    <row r="77" spans="1:4">
      <c r="A77"/>
      <c r="B77" t="s">
        <v>330</v>
      </c>
      <c r="C77" s="34">
        <v>100005</v>
      </c>
      <c r="D77">
        <v>2</v>
      </c>
    </row>
    <row r="78" spans="1:4">
      <c r="A78"/>
      <c r="B78" t="s">
        <v>331</v>
      </c>
      <c r="C78">
        <v>1</v>
      </c>
      <c r="D78"/>
    </row>
    <row r="79" spans="1:4">
      <c r="A79"/>
      <c r="B79" t="s">
        <v>332</v>
      </c>
      <c r="C79">
        <v>2</v>
      </c>
      <c r="D79">
        <v>0.01</v>
      </c>
    </row>
    <row r="80" spans="1:4">
      <c r="A80"/>
      <c r="B80" t="s">
        <v>333</v>
      </c>
      <c r="C80">
        <v>3</v>
      </c>
      <c r="D80"/>
    </row>
    <row r="81" spans="1:4">
      <c r="A81"/>
      <c r="B81" t="s">
        <v>57</v>
      </c>
      <c r="C81">
        <v>9</v>
      </c>
      <c r="D81"/>
    </row>
    <row r="82" spans="1:4">
      <c r="B82" s="26" t="s">
        <v>334</v>
      </c>
      <c r="C82" s="26">
        <v>213001</v>
      </c>
      <c r="D82" s="26">
        <f>[2]数值体验表!M4</f>
        <v>0.12</v>
      </c>
    </row>
  </sheetData>
  <conditionalFormatting sqref="C73:C77">
    <cfRule type="duplicateValues" dxfId="0" priority="2"/>
    <cfRule type="duplicateValues" dxfId="1" priority="1"/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"/>
  <sheetViews>
    <sheetView workbookViewId="0">
      <selection activeCell="F3" sqref="F3"/>
    </sheetView>
  </sheetViews>
  <sheetFormatPr defaultColWidth="9" defaultRowHeight="13.5"/>
  <cols>
    <col min="1" max="1" width="9" style="26"/>
    <col min="2" max="2" width="5.54166666666667" customWidth="1"/>
    <col min="3" max="3" width="17.3666666666667" style="26"/>
    <col min="4" max="4" width="14" style="26" customWidth="1"/>
    <col min="5" max="5" width="12.8833333333333" style="27" customWidth="1"/>
    <col min="6" max="6" width="14" style="28"/>
    <col min="7" max="9" width="24.1833333333333" style="28" customWidth="1"/>
    <col min="10" max="10" width="14" style="28" customWidth="1"/>
    <col min="11" max="11" width="16.275" style="29" customWidth="1"/>
    <col min="12" max="12" width="9" style="26"/>
    <col min="13" max="13" width="18.5416666666667" style="26" customWidth="1"/>
    <col min="14" max="16384" width="9" style="26"/>
  </cols>
  <sheetData>
    <row r="1" spans="1:15">
      <c r="A1" s="7" t="s">
        <v>335</v>
      </c>
      <c r="B1" t="s">
        <v>336</v>
      </c>
      <c r="C1" s="7" t="s">
        <v>337</v>
      </c>
      <c r="D1" s="26" t="s">
        <v>338</v>
      </c>
      <c r="E1" s="26" t="s">
        <v>339</v>
      </c>
      <c r="F1" s="7" t="s">
        <v>340</v>
      </c>
      <c r="G1" s="7" t="s">
        <v>341</v>
      </c>
      <c r="H1" s="7" t="s">
        <v>342</v>
      </c>
      <c r="I1" s="7" t="s">
        <v>343</v>
      </c>
      <c r="J1" s="26" t="s">
        <v>344</v>
      </c>
      <c r="K1" s="26" t="s">
        <v>345</v>
      </c>
      <c r="M1" s="26" t="s">
        <v>336</v>
      </c>
      <c r="N1" s="26" t="s">
        <v>346</v>
      </c>
      <c r="O1" s="26" t="s">
        <v>347</v>
      </c>
    </row>
    <row r="2" spans="1:15">
      <c r="A2" s="23">
        <v>1</v>
      </c>
      <c r="B2">
        <v>2</v>
      </c>
      <c r="C2" s="23">
        <v>10000</v>
      </c>
      <c r="D2" s="23" cm="1">
        <f t="array" ref="D2">C2*INDEX(O:O,MATCH(B2,N:N,0))</f>
        <v>500</v>
      </c>
      <c r="E2" s="30">
        <f t="shared" ref="E2:E7" si="0">D2/25000000</f>
        <v>2e-5</v>
      </c>
      <c r="F2" s="30" t="e" cm="1">
        <f t="array" ref="F2">INDEX(QuestPickGet!I:I,MATCH(A2,QuestPickGet!C:C,0),0)</f>
        <v>#N/A</v>
      </c>
      <c r="G2" s="30" t="e">
        <f>F2/QuestGetLevel!$D$149</f>
        <v>#N/A</v>
      </c>
      <c r="H2" s="30" t="e">
        <f>G2/QuestGetLevel!$D$149</f>
        <v>#N/A</v>
      </c>
      <c r="I2" s="30" t="e">
        <f>H2/QuestGetLevel!$D$149</f>
        <v>#N/A</v>
      </c>
      <c r="J2" s="30" t="e">
        <f>G2*'数值体验表 '!$M$4</f>
        <v>#N/A</v>
      </c>
      <c r="K2" s="29" t="e">
        <f>J2/E2</f>
        <v>#N/A</v>
      </c>
      <c r="M2" s="26" t="s">
        <v>348</v>
      </c>
      <c r="N2" s="26">
        <v>2</v>
      </c>
      <c r="O2" s="31">
        <v>0.05</v>
      </c>
    </row>
    <row r="3" spans="1:15">
      <c r="A3" s="23">
        <v>2</v>
      </c>
      <c r="B3">
        <v>2</v>
      </c>
      <c r="C3" s="23">
        <v>30000</v>
      </c>
      <c r="D3" s="23" cm="1">
        <f t="array" ref="D3">C3*INDEX(O:O,MATCH(B3,N:N,0))</f>
        <v>1500</v>
      </c>
      <c r="E3" s="30">
        <f t="shared" si="0"/>
        <v>6e-5</v>
      </c>
      <c r="F3" s="30" t="e" cm="1">
        <f t="array" ref="F3">INDEX(QuestPickGet!I:I,MATCH(A3,QuestPickGet!C:C,0),0)</f>
        <v>#N/A</v>
      </c>
      <c r="G3" s="30" t="e">
        <f>F3/QuestGetLevel!$D$149</f>
        <v>#N/A</v>
      </c>
      <c r="H3" s="30" t="e">
        <f>G3/QuestGetLevel!$D$149</f>
        <v>#N/A</v>
      </c>
      <c r="I3" s="30" t="e">
        <f>H3/QuestGetLevel!$D$149</f>
        <v>#N/A</v>
      </c>
      <c r="J3" s="30" t="e">
        <f>G3*'数值体验表 '!$M$4</f>
        <v>#N/A</v>
      </c>
      <c r="K3" s="29" t="e">
        <f>J3/E3</f>
        <v>#N/A</v>
      </c>
      <c r="M3" s="26" t="s">
        <v>349</v>
      </c>
      <c r="N3" s="26">
        <v>1</v>
      </c>
      <c r="O3" s="31">
        <v>0.958</v>
      </c>
    </row>
    <row r="4" spans="1:15">
      <c r="A4" s="23">
        <v>3</v>
      </c>
      <c r="B4">
        <v>2</v>
      </c>
      <c r="C4" s="23">
        <v>90000</v>
      </c>
      <c r="D4" s="23" cm="1">
        <f t="array" ref="D4">C4*INDEX(O:O,MATCH(B4,N:N,0))</f>
        <v>4500</v>
      </c>
      <c r="E4" s="30">
        <f t="shared" si="0"/>
        <v>0.00018</v>
      </c>
      <c r="F4" s="30" t="e" cm="1">
        <f t="array" ref="F4">INDEX(QuestPickGet!I:I,MATCH(A4,QuestPickGet!C:C,0),0)</f>
        <v>#N/A</v>
      </c>
      <c r="G4" s="30" t="e">
        <f>F4/QuestGetLevel!$D$149</f>
        <v>#N/A</v>
      </c>
      <c r="H4" s="30" t="e">
        <f>G4/QuestGetLevel!$D$149</f>
        <v>#N/A</v>
      </c>
      <c r="I4" s="30" t="e">
        <f>H4/QuestGetLevel!$D$149</f>
        <v>#N/A</v>
      </c>
      <c r="J4" s="30" t="e">
        <f>G4*'数值体验表 '!$M$4</f>
        <v>#N/A</v>
      </c>
      <c r="K4" s="29" t="e">
        <f t="shared" ref="K3:K27" si="1">J4/E4</f>
        <v>#N/A</v>
      </c>
      <c r="M4" s="26" t="s">
        <v>350</v>
      </c>
      <c r="N4" s="26">
        <v>3</v>
      </c>
      <c r="O4" s="26">
        <v>16</v>
      </c>
    </row>
    <row r="5" spans="1:15">
      <c r="A5" s="23">
        <v>4</v>
      </c>
      <c r="B5">
        <v>2</v>
      </c>
      <c r="C5" s="23">
        <v>100000</v>
      </c>
      <c r="D5" s="23" cm="1">
        <f t="array" ref="D5">C5*INDEX(O:O,MATCH(B5,N:N,0))</f>
        <v>5000</v>
      </c>
      <c r="E5" s="30">
        <f t="shared" si="0"/>
        <v>0.0002</v>
      </c>
      <c r="F5" s="30" t="e" cm="1">
        <f t="array" ref="F5">INDEX(QuestPickGet!I:I,MATCH(A5,QuestPickGet!C:C,0),0)</f>
        <v>#N/A</v>
      </c>
      <c r="G5" s="30" t="e">
        <f>F5/QuestGetLevel!$D$149</f>
        <v>#N/A</v>
      </c>
      <c r="H5" s="30" t="e">
        <f>G5/QuestGetLevel!$D$149</f>
        <v>#N/A</v>
      </c>
      <c r="I5" s="30" t="e">
        <f>H5/QuestGetLevel!$D$149</f>
        <v>#N/A</v>
      </c>
      <c r="J5" s="30" t="e">
        <f>G5*'数值体验表 '!$M$4</f>
        <v>#N/A</v>
      </c>
      <c r="K5" s="29" t="e">
        <f t="shared" si="1"/>
        <v>#N/A</v>
      </c>
    </row>
    <row r="6" spans="1:15">
      <c r="A6" s="23">
        <v>5</v>
      </c>
      <c r="B6">
        <v>2</v>
      </c>
      <c r="C6" s="23">
        <v>150000</v>
      </c>
      <c r="D6" s="23" cm="1">
        <f t="array" ref="D6">C6*INDEX(O:O,MATCH(B6,N:N,0))</f>
        <v>7500</v>
      </c>
      <c r="E6" s="30">
        <f t="shared" si="0"/>
        <v>0.0003</v>
      </c>
      <c r="F6" s="30" t="e" cm="1">
        <f t="array" ref="F6">INDEX(QuestPickGet!I:I,MATCH(A6,QuestPickGet!C:C,0),0)</f>
        <v>#N/A</v>
      </c>
      <c r="G6" s="30" t="e">
        <f>F6/QuestGetLevel!$D$149</f>
        <v>#N/A</v>
      </c>
      <c r="H6" s="30" t="e">
        <f>G6/QuestGetLevel!$D$149</f>
        <v>#N/A</v>
      </c>
      <c r="I6" s="30" t="e">
        <f>H6/QuestGetLevel!$D$149</f>
        <v>#N/A</v>
      </c>
      <c r="J6" s="30" t="e">
        <f>G6*'数值体验表 '!$M$4</f>
        <v>#N/A</v>
      </c>
      <c r="K6" s="29" t="e">
        <f t="shared" si="1"/>
        <v>#N/A</v>
      </c>
      <c r="M6" s="26" t="s">
        <v>351</v>
      </c>
    </row>
    <row r="7" spans="1:15">
      <c r="A7" s="23">
        <v>6</v>
      </c>
      <c r="B7">
        <v>2</v>
      </c>
      <c r="C7" s="23">
        <v>200000</v>
      </c>
      <c r="D7" s="23" cm="1">
        <f t="array" ref="D7">C7*INDEX(O:O,MATCH(B7,N:N,0))</f>
        <v>10000</v>
      </c>
      <c r="E7" s="30">
        <f t="shared" si="0"/>
        <v>0.0004</v>
      </c>
      <c r="F7" s="30" t="e" cm="1">
        <f t="array" ref="F7">INDEX(QuestPickGet!I:I,MATCH(A7,QuestPickGet!C:C,0),0)</f>
        <v>#N/A</v>
      </c>
      <c r="G7" s="30" t="e">
        <f>F7/QuestGetLevel!$D$51</f>
        <v>#N/A</v>
      </c>
      <c r="H7" s="30" t="e">
        <f>ROUND(F7/QuestGetLevel!$D$149,4)</f>
        <v>#N/A</v>
      </c>
      <c r="I7" s="30" t="e">
        <f>F7/QuestGetLevel!$D$274</f>
        <v>#N/A</v>
      </c>
      <c r="J7" s="30" t="e">
        <f>G7*'数值体验表 '!$M$11</f>
        <v>#N/A</v>
      </c>
      <c r="K7" s="29" t="e">
        <f t="shared" si="1"/>
        <v>#N/A</v>
      </c>
      <c r="M7" s="28">
        <v>1000000</v>
      </c>
    </row>
    <row r="8" spans="1:15">
      <c r="A8" s="23">
        <v>7</v>
      </c>
      <c r="B8">
        <v>2</v>
      </c>
      <c r="C8" s="23">
        <v>300000</v>
      </c>
      <c r="D8" s="23" cm="1">
        <f t="array" ref="D8">C8*INDEX(O:O,MATCH(B8,N:N,0))</f>
        <v>15000</v>
      </c>
      <c r="E8" s="30">
        <f t="shared" ref="E8:E27" si="2">D8/25000000</f>
        <v>0.0006</v>
      </c>
      <c r="F8" s="30" t="e" cm="1">
        <f t="array" ref="F8">INDEX(QuestPickGet!I:I,MATCH(A8,QuestPickGet!C:C,0),0)</f>
        <v>#N/A</v>
      </c>
      <c r="G8" s="30" t="e">
        <f>F8/QuestGetLevel!$D$51</f>
        <v>#N/A</v>
      </c>
      <c r="H8" s="30" t="e">
        <f>ROUND(F8/QuestGetLevel!$D$149,4)</f>
        <v>#N/A</v>
      </c>
      <c r="I8" s="30" t="e">
        <f>F8/QuestGetLevel!$D$274</f>
        <v>#N/A</v>
      </c>
      <c r="J8" s="30" t="e">
        <f>G8*'数值体验表 '!$M$11</f>
        <v>#N/A</v>
      </c>
      <c r="K8" s="29" t="e">
        <f t="shared" si="1"/>
        <v>#N/A</v>
      </c>
    </row>
    <row r="9" spans="1:15">
      <c r="A9" s="23">
        <v>8</v>
      </c>
      <c r="B9">
        <v>2</v>
      </c>
      <c r="C9" s="23">
        <v>500000</v>
      </c>
      <c r="D9" s="23" cm="1">
        <f t="array" ref="D9">C9*INDEX(O:O,MATCH(B9,N:N,0))</f>
        <v>25000</v>
      </c>
      <c r="E9" s="30">
        <f t="shared" si="2"/>
        <v>0.001</v>
      </c>
      <c r="F9" s="30" t="e" cm="1">
        <f t="array" ref="F9">INDEX(QuestPickGet!I:I,MATCH(A9,QuestPickGet!C:C,0),0)</f>
        <v>#N/A</v>
      </c>
      <c r="G9" s="30" t="e">
        <f>F9/QuestGetLevel!$D$51</f>
        <v>#N/A</v>
      </c>
      <c r="H9" s="30" t="e">
        <f>ROUND(F9/QuestGetLevel!$D$149,4)</f>
        <v>#N/A</v>
      </c>
      <c r="I9" s="30" t="e">
        <f>F9/QuestGetLevel!$D$274</f>
        <v>#N/A</v>
      </c>
      <c r="J9" s="30" t="e">
        <f>G9*'数值体验表 '!$M$11</f>
        <v>#N/A</v>
      </c>
      <c r="K9" s="29" t="e">
        <f t="shared" si="1"/>
        <v>#N/A</v>
      </c>
    </row>
    <row r="10" spans="1:15">
      <c r="A10" s="23">
        <v>9</v>
      </c>
      <c r="B10">
        <v>2</v>
      </c>
      <c r="C10" s="23">
        <v>750000</v>
      </c>
      <c r="D10" s="23" cm="1">
        <f t="array" ref="D10">C10*INDEX(O:O,MATCH(B10,N:N,0))</f>
        <v>37500</v>
      </c>
      <c r="E10" s="30">
        <f t="shared" si="2"/>
        <v>0.0015</v>
      </c>
      <c r="F10" s="30" t="e" cm="1">
        <f t="array" ref="F10">INDEX(QuestPickGet!I:I,MATCH(A10,QuestPickGet!C:C,0),0)</f>
        <v>#N/A</v>
      </c>
      <c r="G10" s="30" t="e">
        <f>F10/QuestGetLevel!$D$51</f>
        <v>#N/A</v>
      </c>
      <c r="H10" s="30" t="e">
        <f>ROUND(F10/QuestGetLevel!$D$149,4)</f>
        <v>#N/A</v>
      </c>
      <c r="I10" s="30" t="e">
        <f>F10/QuestGetLevel!$D$274</f>
        <v>#N/A</v>
      </c>
      <c r="J10" s="30" t="e">
        <f>G10*'数值体验表 '!$M$11</f>
        <v>#N/A</v>
      </c>
      <c r="K10" s="29" t="e">
        <f t="shared" si="1"/>
        <v>#N/A</v>
      </c>
    </row>
    <row r="11" spans="1:15">
      <c r="A11" s="23">
        <v>10</v>
      </c>
      <c r="B11">
        <v>2</v>
      </c>
      <c r="C11" s="23">
        <v>1000000</v>
      </c>
      <c r="D11" s="23" cm="1">
        <f t="array" ref="D11">C11*INDEX(O:O,MATCH(B11,N:N,0))</f>
        <v>50000</v>
      </c>
      <c r="E11" s="30">
        <f t="shared" si="2"/>
        <v>0.002</v>
      </c>
      <c r="F11" s="30" t="e" cm="1">
        <f t="array" ref="F11">INDEX(QuestPickGet!I:I,MATCH(A11,QuestPickGet!C:C,0),0)</f>
        <v>#N/A</v>
      </c>
      <c r="G11" s="30" t="e">
        <f>F11/QuestGetLevel!$D$51</f>
        <v>#N/A</v>
      </c>
      <c r="H11" s="30" t="e">
        <f>ROUND(F11/QuestGetLevel!$D$149,4)</f>
        <v>#N/A</v>
      </c>
      <c r="I11" s="30" t="e">
        <f>F11/QuestGetLevel!$D$274</f>
        <v>#N/A</v>
      </c>
      <c r="J11" s="30" t="e">
        <f>G11*'数值体验表 '!$M$11</f>
        <v>#N/A</v>
      </c>
      <c r="K11" s="29" t="e">
        <f t="shared" si="1"/>
        <v>#N/A</v>
      </c>
    </row>
    <row r="12" spans="1:15">
      <c r="A12" s="23">
        <v>11</v>
      </c>
      <c r="B12">
        <v>2</v>
      </c>
      <c r="C12" s="32">
        <v>1500000</v>
      </c>
      <c r="D12" s="23" cm="1">
        <f t="array" ref="D12">C12*INDEX(O:O,MATCH(B12,N:N,0))</f>
        <v>75000</v>
      </c>
      <c r="E12" s="30">
        <f t="shared" si="2"/>
        <v>0.003</v>
      </c>
      <c r="F12" s="30" t="e" cm="1">
        <f t="array" ref="F12">INDEX(QuestPickGet!I:I,MATCH(A12,QuestPickGet!C:C,0),0)</f>
        <v>#N/A</v>
      </c>
      <c r="G12" s="30" t="e">
        <f>F12/QuestGetLevel!$D$51</f>
        <v>#N/A</v>
      </c>
      <c r="H12" s="30" t="e">
        <f>ROUND(F12/QuestGetLevel!$D$149,4)</f>
        <v>#N/A</v>
      </c>
      <c r="I12" s="30" t="e">
        <f>F12/QuestGetLevel!$D$274</f>
        <v>#N/A</v>
      </c>
      <c r="J12" s="30" t="e">
        <f>G12*'数值体验表 '!$M$11</f>
        <v>#N/A</v>
      </c>
      <c r="K12" s="29" t="e">
        <f t="shared" si="1"/>
        <v>#N/A</v>
      </c>
    </row>
    <row r="13" spans="1:15">
      <c r="A13" s="23">
        <v>12</v>
      </c>
      <c r="B13">
        <v>2</v>
      </c>
      <c r="C13" s="33">
        <v>2000000</v>
      </c>
      <c r="D13" s="23" cm="1">
        <f t="array" ref="D13">C13*INDEX(O:O,MATCH(B13,N:N,0))</f>
        <v>100000</v>
      </c>
      <c r="E13" s="30">
        <f t="shared" si="2"/>
        <v>0.004</v>
      </c>
      <c r="F13" s="30" t="e" cm="1">
        <f t="array" ref="F13">INDEX(QuestPickGet!I:I,MATCH(A13,QuestPickGet!C:C,0),0)</f>
        <v>#N/A</v>
      </c>
      <c r="G13" s="30" t="e">
        <f>F13/QuestGetLevel!$D$51</f>
        <v>#N/A</v>
      </c>
      <c r="H13" s="30" t="e">
        <f>ROUND(F13/QuestGetLevel!$D$149,4)</f>
        <v>#N/A</v>
      </c>
      <c r="I13" s="30" t="e">
        <f>F13/QuestGetLevel!$D$274</f>
        <v>#N/A</v>
      </c>
      <c r="J13" s="30" t="e">
        <f>G13*'数值体验表 '!$M$11</f>
        <v>#N/A</v>
      </c>
      <c r="K13" s="29" t="e">
        <f t="shared" si="1"/>
        <v>#N/A</v>
      </c>
    </row>
    <row r="14" spans="1:15">
      <c r="A14" s="23">
        <v>13</v>
      </c>
      <c r="B14">
        <v>2</v>
      </c>
      <c r="C14" s="33">
        <v>3000000</v>
      </c>
      <c r="D14" s="23" cm="1">
        <f t="array" ref="D14">C14*INDEX(O:O,MATCH(B14,N:N,0))</f>
        <v>150000</v>
      </c>
      <c r="E14" s="30">
        <f t="shared" si="2"/>
        <v>0.006</v>
      </c>
      <c r="F14" s="30" t="e" cm="1">
        <f t="array" ref="F14">INDEX(QuestPickGet!I:I,MATCH(A14,QuestPickGet!C:C,0),0)</f>
        <v>#N/A</v>
      </c>
      <c r="G14" s="30" t="e">
        <f>F14/QuestGetLevel!$D$51</f>
        <v>#N/A</v>
      </c>
      <c r="H14" s="30" t="e">
        <f>ROUND(F14/QuestGetLevel!$D$149,4)</f>
        <v>#N/A</v>
      </c>
      <c r="I14" s="30" t="e">
        <f>F14/QuestGetLevel!$D$274</f>
        <v>#N/A</v>
      </c>
      <c r="J14" s="30" t="e">
        <f>G14*'数值体验表 '!$M$11</f>
        <v>#N/A</v>
      </c>
      <c r="K14" s="29" t="e">
        <f t="shared" si="1"/>
        <v>#N/A</v>
      </c>
    </row>
    <row r="15" spans="1:15">
      <c r="A15" s="23">
        <v>14</v>
      </c>
      <c r="B15">
        <v>2</v>
      </c>
      <c r="C15" s="32">
        <v>4000000</v>
      </c>
      <c r="D15" s="23" cm="1">
        <f t="array" ref="D15">C15*INDEX(O:O,MATCH(B15,N:N,0))</f>
        <v>200000</v>
      </c>
      <c r="E15" s="30">
        <f t="shared" si="2"/>
        <v>0.008</v>
      </c>
      <c r="F15" s="30" t="e" cm="1">
        <f t="array" ref="F15">INDEX(QuestPickGet!I:I,MATCH(A15,QuestPickGet!C:C,0),0)</f>
        <v>#N/A</v>
      </c>
      <c r="G15" s="30" t="e">
        <f>F15/QuestGetLevel!$D$51</f>
        <v>#N/A</v>
      </c>
      <c r="H15" s="30" t="e">
        <f>ROUND(F15/QuestGetLevel!$D$149,4)</f>
        <v>#N/A</v>
      </c>
      <c r="I15" s="30" t="e">
        <f>F15/QuestGetLevel!$D$274</f>
        <v>#N/A</v>
      </c>
      <c r="J15" s="30" t="e">
        <f>G15*'数值体验表 '!$M$11</f>
        <v>#N/A</v>
      </c>
      <c r="K15" s="29" t="e">
        <f t="shared" si="1"/>
        <v>#N/A</v>
      </c>
    </row>
    <row r="16" spans="1:15">
      <c r="A16" s="23">
        <v>15</v>
      </c>
      <c r="B16">
        <v>2</v>
      </c>
      <c r="C16" s="33">
        <v>6000000</v>
      </c>
      <c r="D16" s="23" cm="1">
        <f t="array" ref="D16">C16*INDEX(O:O,MATCH(B16,N:N,0))</f>
        <v>300000</v>
      </c>
      <c r="E16" s="30">
        <f t="shared" si="2"/>
        <v>0.012</v>
      </c>
      <c r="F16" s="30" t="e" cm="1">
        <f t="array" ref="F16">INDEX(QuestPickGet!I:I,MATCH(A16,QuestPickGet!C:C,0),0)</f>
        <v>#N/A</v>
      </c>
      <c r="G16" s="30" t="e">
        <f>F16/QuestGetLevel!$D$51</f>
        <v>#N/A</v>
      </c>
      <c r="H16" s="30" t="e">
        <f>ROUND(F16/QuestGetLevel!$D$149,4)</f>
        <v>#N/A</v>
      </c>
      <c r="I16" s="30" t="e">
        <f>F16/QuestGetLevel!$D$274</f>
        <v>#N/A</v>
      </c>
      <c r="J16" s="30" t="e">
        <f>G16*'数值体验表 '!$M$11</f>
        <v>#N/A</v>
      </c>
      <c r="K16" s="29" t="e">
        <f t="shared" si="1"/>
        <v>#N/A</v>
      </c>
    </row>
    <row r="17" spans="1:11">
      <c r="A17" s="23">
        <v>16</v>
      </c>
      <c r="B17">
        <v>2</v>
      </c>
      <c r="C17" s="33">
        <v>9000000</v>
      </c>
      <c r="D17" s="23" cm="1">
        <f t="array" ref="D17">C17*INDEX(O:O,MATCH(B17,N:N,0))</f>
        <v>450000</v>
      </c>
      <c r="E17" s="30">
        <f t="shared" si="2"/>
        <v>0.018</v>
      </c>
      <c r="F17" s="30" t="e" cm="1">
        <f t="array" ref="F17">INDEX(QuestPickGet!I:I,MATCH(A17,QuestPickGet!C:C,0),0)</f>
        <v>#N/A</v>
      </c>
      <c r="G17" s="30" t="e">
        <f>F17/QuestGetLevel!$D$51</f>
        <v>#N/A</v>
      </c>
      <c r="H17" s="30" t="e">
        <f>ROUND(F17/QuestGetLevel!$D$149,4)</f>
        <v>#N/A</v>
      </c>
      <c r="I17" s="30" t="e">
        <f>F17/QuestGetLevel!$D$274</f>
        <v>#N/A</v>
      </c>
      <c r="J17" s="30" t="e">
        <f>G17*'数值体验表 '!$M$11</f>
        <v>#N/A</v>
      </c>
      <c r="K17" s="29" t="e">
        <f t="shared" si="1"/>
        <v>#N/A</v>
      </c>
    </row>
    <row r="18" spans="1:11">
      <c r="A18" s="23">
        <v>17</v>
      </c>
      <c r="B18">
        <v>2</v>
      </c>
      <c r="C18" s="23">
        <v>10000000</v>
      </c>
      <c r="D18" s="23" cm="1">
        <f t="array" ref="D18">C18*INDEX(O:O,MATCH(B18,N:N,0))</f>
        <v>500000</v>
      </c>
      <c r="E18" s="30">
        <f t="shared" si="2"/>
        <v>0.02</v>
      </c>
      <c r="F18" s="30" t="e" cm="1">
        <f t="array" ref="F18">INDEX(QuestPickGet!I:I,MATCH(A18,QuestPickGet!C:C,0),0)</f>
        <v>#N/A</v>
      </c>
      <c r="G18" s="30" t="e">
        <f>F18/QuestGetLevel!$D$51</f>
        <v>#N/A</v>
      </c>
      <c r="H18" s="30" t="e">
        <f>ROUND(F18/QuestGetLevel!$D$149,4)</f>
        <v>#N/A</v>
      </c>
      <c r="I18" s="30" t="e">
        <f>F18/QuestGetLevel!$D$274</f>
        <v>#N/A</v>
      </c>
      <c r="J18" s="30" t="e">
        <f>G18*'数值体验表 '!$M$11</f>
        <v>#N/A</v>
      </c>
      <c r="K18" s="29" t="e">
        <f t="shared" si="1"/>
        <v>#N/A</v>
      </c>
    </row>
    <row r="19" spans="1:11">
      <c r="A19" s="23">
        <v>18</v>
      </c>
      <c r="B19">
        <v>2</v>
      </c>
      <c r="C19" s="23">
        <v>12000000</v>
      </c>
      <c r="D19" s="23" cm="1">
        <f t="array" ref="D19">C19*INDEX(O:O,MATCH(B19,N:N,0))</f>
        <v>600000</v>
      </c>
      <c r="E19" s="30">
        <f t="shared" si="2"/>
        <v>0.024</v>
      </c>
      <c r="F19" s="30" t="e" cm="1">
        <f t="array" ref="F19">INDEX(QuestPickGet!I:I,MATCH(A19,QuestPickGet!C:C,0),0)</f>
        <v>#N/A</v>
      </c>
      <c r="G19" s="30" t="e">
        <f>F19/QuestGetLevel!$D$51</f>
        <v>#N/A</v>
      </c>
      <c r="H19" s="30" t="e">
        <f>ROUND(F19/QuestGetLevel!$D$149,4)</f>
        <v>#N/A</v>
      </c>
      <c r="I19" s="30" t="e">
        <f>F19/QuestGetLevel!$D$274</f>
        <v>#N/A</v>
      </c>
      <c r="J19" s="30" t="e">
        <f>G19*'数值体验表 '!$M$11</f>
        <v>#N/A</v>
      </c>
      <c r="K19" s="29" t="e">
        <f t="shared" si="1"/>
        <v>#N/A</v>
      </c>
    </row>
    <row r="20" spans="1:11">
      <c r="A20" s="23">
        <v>19</v>
      </c>
      <c r="B20">
        <v>2</v>
      </c>
      <c r="C20" s="23">
        <v>15000000</v>
      </c>
      <c r="D20" s="23" cm="1">
        <f t="array" ref="D20">C20*INDEX(O:O,MATCH(B20,N:N,0))</f>
        <v>750000</v>
      </c>
      <c r="E20" s="30">
        <f t="shared" si="2"/>
        <v>0.03</v>
      </c>
      <c r="F20" s="30" t="e" cm="1">
        <f t="array" ref="F20">INDEX(QuestPickGet!I:I,MATCH(A20,QuestPickGet!C:C,0),0)</f>
        <v>#N/A</v>
      </c>
      <c r="G20" s="30" t="e">
        <f>F20/QuestGetLevel!$D$51</f>
        <v>#N/A</v>
      </c>
      <c r="H20" s="30" t="e">
        <f>ROUND(F20/QuestGetLevel!$D$149,4)</f>
        <v>#N/A</v>
      </c>
      <c r="I20" s="30" t="e">
        <f>F20/QuestGetLevel!$D$274</f>
        <v>#N/A</v>
      </c>
      <c r="J20" s="30" t="e">
        <f>G20*'数值体验表 '!$M$11</f>
        <v>#N/A</v>
      </c>
      <c r="K20" s="29" t="e">
        <f t="shared" si="1"/>
        <v>#N/A</v>
      </c>
    </row>
    <row r="21" spans="1:11">
      <c r="A21" s="23">
        <v>20</v>
      </c>
      <c r="B21">
        <v>2</v>
      </c>
      <c r="C21" s="33">
        <v>20000000</v>
      </c>
      <c r="D21" s="23" cm="1">
        <f t="array" ref="D21">C21*INDEX(O:O,MATCH(B21,N:N,0))</f>
        <v>1000000</v>
      </c>
      <c r="E21" s="30">
        <f t="shared" si="2"/>
        <v>0.04</v>
      </c>
      <c r="F21" s="30" t="e" cm="1">
        <f t="array" ref="F21">INDEX(QuestPickGet!I:I,MATCH(A21,QuestPickGet!C:C,0),0)</f>
        <v>#N/A</v>
      </c>
      <c r="G21" s="30" t="e">
        <f>F21/QuestGetLevel!$D$51</f>
        <v>#N/A</v>
      </c>
      <c r="H21" s="30" t="e">
        <f>ROUND(F21/QuestGetLevel!$D$149,4)</f>
        <v>#N/A</v>
      </c>
      <c r="I21" s="30" t="e">
        <f>F21/QuestGetLevel!$D$274</f>
        <v>#N/A</v>
      </c>
      <c r="J21" s="30" t="e">
        <f>G21*'数值体验表 '!$M$11</f>
        <v>#N/A</v>
      </c>
      <c r="K21" s="29" t="e">
        <f t="shared" si="1"/>
        <v>#N/A</v>
      </c>
    </row>
    <row r="22" spans="1:11">
      <c r="A22" s="23">
        <v>21</v>
      </c>
      <c r="B22">
        <v>2</v>
      </c>
      <c r="C22" s="33">
        <v>30000000</v>
      </c>
      <c r="D22" s="23" cm="1">
        <f t="array" ref="D22">C22*INDEX(O:O,MATCH(B22,N:N,0))</f>
        <v>1500000</v>
      </c>
      <c r="E22" s="30">
        <f t="shared" si="2"/>
        <v>0.06</v>
      </c>
      <c r="F22" s="30" t="e" cm="1">
        <f t="array" ref="F22">INDEX(QuestPickGet!I:I,MATCH(A22,QuestPickGet!C:C,0),0)</f>
        <v>#N/A</v>
      </c>
      <c r="G22" s="30" t="e">
        <f>F22/QuestGetLevel!$D$51</f>
        <v>#N/A</v>
      </c>
      <c r="H22" s="30" t="e">
        <f>ROUND(F22/QuestGetLevel!$D$149,4)</f>
        <v>#N/A</v>
      </c>
      <c r="I22" s="30" t="e">
        <f>F22/QuestGetLevel!$D$274</f>
        <v>#N/A</v>
      </c>
      <c r="J22" s="30" t="e">
        <f>G22*'数值体验表 '!$M$11</f>
        <v>#N/A</v>
      </c>
      <c r="K22" s="29" t="e">
        <f t="shared" si="1"/>
        <v>#N/A</v>
      </c>
    </row>
    <row r="23" spans="1:11">
      <c r="A23" s="23">
        <v>22</v>
      </c>
      <c r="B23">
        <v>2</v>
      </c>
      <c r="C23" s="33">
        <v>40000000</v>
      </c>
      <c r="D23" s="23" cm="1">
        <f t="array" ref="D23">C23*INDEX(O:O,MATCH(B23,N:N,0))</f>
        <v>2000000</v>
      </c>
      <c r="E23" s="30">
        <f t="shared" si="2"/>
        <v>0.08</v>
      </c>
      <c r="F23" s="30" t="e" cm="1">
        <f t="array" ref="F23">INDEX(QuestPickGet!I:I,MATCH(A23,QuestPickGet!C:C,0),0)</f>
        <v>#N/A</v>
      </c>
      <c r="G23" s="30" t="e">
        <f>F23/QuestGetLevel!$D$51</f>
        <v>#N/A</v>
      </c>
      <c r="H23" s="30" t="e">
        <f>ROUND(F23/QuestGetLevel!$D$149,4)</f>
        <v>#N/A</v>
      </c>
      <c r="I23" s="30" t="e">
        <f>F23/QuestGetLevel!$D$274</f>
        <v>#N/A</v>
      </c>
      <c r="J23" s="30" t="e">
        <f>G23*'数值体验表 '!$M$11</f>
        <v>#N/A</v>
      </c>
      <c r="K23" s="29" t="e">
        <f t="shared" si="1"/>
        <v>#N/A</v>
      </c>
    </row>
    <row r="24" spans="1:11">
      <c r="A24" s="23">
        <v>23</v>
      </c>
      <c r="B24">
        <v>2</v>
      </c>
      <c r="C24" s="33">
        <v>60000000</v>
      </c>
      <c r="D24" s="23" cm="1">
        <f t="array" ref="D24">C24*INDEX(O:O,MATCH(B24,N:N,0))</f>
        <v>3000000</v>
      </c>
      <c r="E24" s="30">
        <f t="shared" si="2"/>
        <v>0.12</v>
      </c>
      <c r="F24" s="30" t="e" cm="1">
        <f t="array" ref="F24">INDEX(QuestPickGet!I:I,MATCH(A24,QuestPickGet!C:C,0),0)</f>
        <v>#N/A</v>
      </c>
      <c r="G24" s="30" t="e">
        <f>F24/QuestGetLevel!$D$51</f>
        <v>#N/A</v>
      </c>
      <c r="H24" s="30" t="e">
        <f>ROUND(F24/QuestGetLevel!$D$149,4)</f>
        <v>#N/A</v>
      </c>
      <c r="I24" s="30" t="e">
        <f>F24/QuestGetLevel!$D$274</f>
        <v>#N/A</v>
      </c>
      <c r="J24" s="30" t="e">
        <f>G24*'数值体验表 '!$M$11</f>
        <v>#N/A</v>
      </c>
      <c r="K24" s="29" t="e">
        <f t="shared" si="1"/>
        <v>#N/A</v>
      </c>
    </row>
    <row r="25" spans="1:11">
      <c r="A25" s="23">
        <v>24</v>
      </c>
      <c r="B25">
        <v>2</v>
      </c>
      <c r="C25" s="33">
        <v>90000000</v>
      </c>
      <c r="D25" s="23" cm="1">
        <f t="array" ref="D25">C25*INDEX(O:O,MATCH(B25,N:N,0))</f>
        <v>4500000</v>
      </c>
      <c r="E25" s="30">
        <f t="shared" si="2"/>
        <v>0.18</v>
      </c>
      <c r="F25" s="30" t="e" cm="1">
        <f t="array" ref="F25">INDEX(QuestPickGet!I:I,MATCH(A25,QuestPickGet!C:C,0),0)</f>
        <v>#N/A</v>
      </c>
      <c r="G25" s="30" t="e">
        <f>F25/QuestGetLevel!$D$51</f>
        <v>#N/A</v>
      </c>
      <c r="H25" s="30" t="e">
        <f>ROUND(F25/QuestGetLevel!$D$149,4)</f>
        <v>#N/A</v>
      </c>
      <c r="I25" s="30" t="e">
        <f>F25/QuestGetLevel!$D$274</f>
        <v>#N/A</v>
      </c>
      <c r="J25" s="30" t="e">
        <f>G25*'数值体验表 '!$M$11</f>
        <v>#N/A</v>
      </c>
      <c r="K25" s="29" t="e">
        <f t="shared" si="1"/>
        <v>#N/A</v>
      </c>
    </row>
    <row r="26" spans="1:11">
      <c r="A26" s="23">
        <v>25</v>
      </c>
      <c r="B26">
        <v>2</v>
      </c>
      <c r="C26" s="33">
        <v>100000000</v>
      </c>
      <c r="D26" s="23" cm="1">
        <f t="array" ref="D26">C26*INDEX(O:O,MATCH(B26,N:N,0))</f>
        <v>5000000</v>
      </c>
      <c r="E26" s="30">
        <f t="shared" si="2"/>
        <v>0.2</v>
      </c>
      <c r="F26" s="30" t="e" cm="1">
        <f t="array" ref="F26">INDEX(QuestPickGet!I:I,MATCH(A26,QuestPickGet!C:C,0),0)</f>
        <v>#N/A</v>
      </c>
      <c r="G26" s="30" t="e">
        <f>F26/QuestGetLevel!$D$51</f>
        <v>#N/A</v>
      </c>
      <c r="H26" s="30" t="e">
        <f>ROUND(F26/QuestGetLevel!$D$149,4)</f>
        <v>#N/A</v>
      </c>
      <c r="I26" s="30" t="e">
        <f>F26/QuestGetLevel!$D$274</f>
        <v>#N/A</v>
      </c>
      <c r="J26" s="30" t="e">
        <f>G26*'数值体验表 '!$M$11</f>
        <v>#N/A</v>
      </c>
      <c r="K26" s="29" t="e">
        <f t="shared" si="1"/>
        <v>#N/A</v>
      </c>
    </row>
    <row r="27" spans="1:11">
      <c r="A27" s="23">
        <v>26</v>
      </c>
      <c r="B27">
        <v>2</v>
      </c>
      <c r="C27" s="33">
        <v>150000000</v>
      </c>
      <c r="D27" s="23" cm="1">
        <f t="array" ref="D27">C27*INDEX(O:O,MATCH(B27,N:N,0))</f>
        <v>7500000</v>
      </c>
      <c r="E27" s="30">
        <f t="shared" si="2"/>
        <v>0.3</v>
      </c>
      <c r="F27" s="30" t="e" cm="1">
        <f t="array" ref="F27">INDEX(QuestPickGet!I:I,MATCH(A27,QuestPickGet!C:C,0),0)</f>
        <v>#N/A</v>
      </c>
      <c r="G27" s="30" t="e">
        <f>F27/QuestGetLevel!$D$51</f>
        <v>#N/A</v>
      </c>
      <c r="H27" s="30" t="e">
        <f>ROUND(F27/QuestGetLevel!$D$149,4)</f>
        <v>#N/A</v>
      </c>
      <c r="I27" s="30" t="e">
        <f>F27/QuestGetLevel!$D$274</f>
        <v>#N/A</v>
      </c>
      <c r="J27" s="30" t="e">
        <f>G27*'数值体验表 '!$M$11</f>
        <v>#N/A</v>
      </c>
      <c r="K27" s="29" t="e">
        <f t="shared" si="1"/>
        <v>#N/A</v>
      </c>
    </row>
    <row r="28" spans="1:11">
      <c r="A28" s="23">
        <v>27</v>
      </c>
      <c r="B28">
        <v>2</v>
      </c>
      <c r="C28" s="26">
        <v>180000000</v>
      </c>
    </row>
    <row r="29" spans="1:11">
      <c r="A29" s="23">
        <v>28</v>
      </c>
      <c r="B29">
        <v>2</v>
      </c>
      <c r="C29" s="26">
        <v>225000000</v>
      </c>
    </row>
    <row r="30" spans="1:11">
      <c r="A30" s="23">
        <v>29</v>
      </c>
      <c r="B30">
        <v>2</v>
      </c>
      <c r="C30" s="26">
        <v>300000000</v>
      </c>
    </row>
    <row r="31" spans="1:11">
      <c r="A31" s="23">
        <v>30</v>
      </c>
      <c r="B31">
        <v>2</v>
      </c>
      <c r="C31" s="26">
        <v>350000000</v>
      </c>
    </row>
    <row r="32" spans="1:11">
      <c r="A32" s="23">
        <v>31</v>
      </c>
      <c r="B32">
        <v>2</v>
      </c>
      <c r="C32" s="26">
        <v>400000000</v>
      </c>
    </row>
    <row r="33" spans="1:3">
      <c r="A33" s="23">
        <v>32</v>
      </c>
      <c r="B33">
        <v>2</v>
      </c>
      <c r="C33" s="26">
        <v>500000000</v>
      </c>
    </row>
    <row r="34" spans="1:3">
      <c r="A34" s="23">
        <v>33</v>
      </c>
      <c r="B34">
        <v>2</v>
      </c>
      <c r="C34" s="26">
        <v>750000000</v>
      </c>
    </row>
    <row r="35" spans="1:3">
      <c r="A35" s="23">
        <v>34</v>
      </c>
      <c r="B35">
        <v>2</v>
      </c>
      <c r="C35" s="26">
        <v>1000000000</v>
      </c>
    </row>
    <row r="36" spans="1:3">
      <c r="A36" s="23">
        <v>35</v>
      </c>
      <c r="B36">
        <v>2</v>
      </c>
      <c r="C36" s="26">
        <v>1250000000</v>
      </c>
    </row>
    <row r="37" spans="1:3">
      <c r="A37" s="23">
        <v>36</v>
      </c>
      <c r="B37">
        <v>2</v>
      </c>
      <c r="C37" s="26">
        <v>1500000000</v>
      </c>
    </row>
    <row r="38" spans="1:3">
      <c r="A38" s="23">
        <v>37</v>
      </c>
      <c r="B38">
        <v>2</v>
      </c>
      <c r="C38" s="26">
        <v>2000000000</v>
      </c>
    </row>
    <row r="39" spans="1:3">
      <c r="A39" s="23">
        <v>38</v>
      </c>
      <c r="B39">
        <v>2</v>
      </c>
      <c r="C39" s="26">
        <v>5000000000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workbookViewId="0">
      <selection activeCell="I13" sqref="I13"/>
    </sheetView>
  </sheetViews>
  <sheetFormatPr defaultColWidth="9" defaultRowHeight="13.5"/>
  <cols>
    <col min="1" max="1" width="9" style="8"/>
    <col min="2" max="2" width="19.25" style="8" customWidth="1"/>
    <col min="3" max="3" width="17.125" style="8" customWidth="1"/>
    <col min="4" max="5" width="9" style="8"/>
    <col min="6" max="6" width="17.125" style="8" customWidth="1"/>
    <col min="7" max="8" width="15.1833333333333" style="8" customWidth="1"/>
    <col min="9" max="9" width="12.9083333333333" style="8" customWidth="1"/>
    <col min="10" max="16384" width="9" style="8"/>
  </cols>
  <sheetData>
    <row r="1" spans="1:11">
      <c r="A1" s="8" t="s">
        <v>352</v>
      </c>
      <c r="B1" s="8" t="s">
        <v>353</v>
      </c>
      <c r="C1" s="20" t="s">
        <v>337</v>
      </c>
      <c r="D1" s="8" t="s">
        <v>354</v>
      </c>
      <c r="E1" s="8" t="s">
        <v>355</v>
      </c>
      <c r="F1" s="8" t="s">
        <v>356</v>
      </c>
      <c r="G1" s="8" t="s">
        <v>357</v>
      </c>
      <c r="I1" s="8" t="s">
        <v>358</v>
      </c>
    </row>
    <row r="2" spans="1:11">
      <c r="A2" s="8" t="s">
        <v>359</v>
      </c>
      <c r="B2" s="8" t="s">
        <v>94</v>
      </c>
      <c r="C2" s="20" t="s">
        <v>94</v>
      </c>
      <c r="D2" s="8" t="s">
        <v>94</v>
      </c>
      <c r="E2" s="8" t="s">
        <v>94</v>
      </c>
      <c r="F2" s="8" t="s">
        <v>94</v>
      </c>
      <c r="G2" s="8" t="s">
        <v>94</v>
      </c>
      <c r="I2" s="8" t="s">
        <v>94</v>
      </c>
    </row>
    <row r="3" spans="1:11">
      <c r="A3" s="8" t="s">
        <v>95</v>
      </c>
      <c r="B3" s="8" t="s">
        <v>95</v>
      </c>
      <c r="C3" s="20" t="s">
        <v>150</v>
      </c>
      <c r="D3" s="8" t="s">
        <v>95</v>
      </c>
      <c r="E3" s="8" t="s">
        <v>95</v>
      </c>
      <c r="F3" s="8" t="s">
        <v>95</v>
      </c>
      <c r="G3" s="8" t="s">
        <v>95</v>
      </c>
      <c r="I3" s="8" t="s">
        <v>95</v>
      </c>
    </row>
    <row r="4" ht="67.5" spans="1:11">
      <c r="A4" s="8" t="s">
        <v>360</v>
      </c>
      <c r="B4" s="21" t="s">
        <v>361</v>
      </c>
      <c r="C4" s="20" t="s">
        <v>362</v>
      </c>
      <c r="D4" s="22" t="s">
        <v>363</v>
      </c>
      <c r="E4" s="22" t="s">
        <v>364</v>
      </c>
      <c r="F4" s="8" t="s">
        <v>365</v>
      </c>
      <c r="G4" s="8" t="s">
        <v>366</v>
      </c>
      <c r="I4" s="8" t="s">
        <v>367</v>
      </c>
      <c r="K4" s="8" t="s">
        <v>368</v>
      </c>
    </row>
    <row r="5" spans="1:11">
      <c r="A5" s="23">
        <v>1</v>
      </c>
      <c r="B5" s="8">
        <v>6</v>
      </c>
      <c r="C5" s="23">
        <v>10000</v>
      </c>
      <c r="D5" s="24">
        <v>2</v>
      </c>
      <c r="E5" s="23">
        <v>1</v>
      </c>
      <c r="F5" s="25">
        <v>0</v>
      </c>
      <c r="G5" s="8">
        <f>ROUND($G$20*(bet对应表!C2/bet对应表!$C$17),0)</f>
        <v>422</v>
      </c>
      <c r="I5" s="8">
        <f t="shared" ref="I5:I10" si="0">F5*G5</f>
        <v>0</v>
      </c>
    </row>
    <row r="6" spans="1:11">
      <c r="A6" s="23">
        <v>2</v>
      </c>
      <c r="B6" s="8">
        <v>6</v>
      </c>
      <c r="C6" s="23">
        <v>30000</v>
      </c>
      <c r="D6" s="24">
        <v>2</v>
      </c>
      <c r="E6" s="23">
        <v>2</v>
      </c>
      <c r="F6" s="25">
        <v>0</v>
      </c>
      <c r="G6" s="8">
        <f>ROUND($G$20*(bet对应表!C3/bet对应表!$C$17),0)</f>
        <v>1267</v>
      </c>
      <c r="I6" s="8">
        <f t="shared" si="0"/>
        <v>0</v>
      </c>
    </row>
    <row r="7" spans="1:11">
      <c r="A7" s="23">
        <v>3</v>
      </c>
      <c r="B7" s="8">
        <v>6</v>
      </c>
      <c r="C7" s="23">
        <v>90000</v>
      </c>
      <c r="D7" s="24">
        <v>2</v>
      </c>
      <c r="E7" s="23">
        <v>3</v>
      </c>
      <c r="F7" s="25">
        <v>0</v>
      </c>
      <c r="G7" s="8">
        <f>ROUND($G$20*(bet对应表!C4/bet对应表!$C$17),0)</f>
        <v>3800</v>
      </c>
      <c r="I7" s="8">
        <f t="shared" si="0"/>
        <v>0</v>
      </c>
    </row>
    <row r="8" spans="1:11">
      <c r="A8" s="23">
        <v>4</v>
      </c>
      <c r="B8" s="8">
        <v>6</v>
      </c>
      <c r="C8" s="23">
        <v>100000</v>
      </c>
      <c r="D8" s="24">
        <v>2</v>
      </c>
      <c r="E8" s="23">
        <v>4</v>
      </c>
      <c r="F8" s="25">
        <v>0</v>
      </c>
      <c r="G8" s="8">
        <f>ROUND($G$20*(bet对应表!C5/bet对应表!$C$17),0)</f>
        <v>4222</v>
      </c>
      <c r="I8" s="8">
        <f t="shared" si="0"/>
        <v>0</v>
      </c>
    </row>
    <row r="9" spans="1:11">
      <c r="A9" s="23">
        <v>5</v>
      </c>
      <c r="B9" s="8">
        <v>6</v>
      </c>
      <c r="C9" s="23">
        <v>150000</v>
      </c>
      <c r="D9" s="24">
        <v>2</v>
      </c>
      <c r="E9" s="23">
        <v>5</v>
      </c>
      <c r="F9" s="25">
        <v>0</v>
      </c>
      <c r="G9" s="8">
        <f>ROUND($G$20*(bet对应表!C6/bet对应表!$C$17),0)</f>
        <v>6333</v>
      </c>
      <c r="I9" s="8">
        <f t="shared" si="0"/>
        <v>0</v>
      </c>
    </row>
    <row r="10" spans="1:11">
      <c r="A10" s="23">
        <v>6</v>
      </c>
      <c r="B10" s="8">
        <v>6</v>
      </c>
      <c r="C10" s="23">
        <v>200000</v>
      </c>
      <c r="D10" s="24">
        <v>2</v>
      </c>
      <c r="E10" s="23">
        <v>6</v>
      </c>
      <c r="F10" s="25">
        <v>0.02</v>
      </c>
      <c r="G10" s="8">
        <f>ROUND($G$20*(bet对应表!C7/bet对应表!$C$17)*($F$20/F10),0)</f>
        <v>84444</v>
      </c>
      <c r="I10" s="8">
        <f t="shared" si="0"/>
        <v>1688.88</v>
      </c>
      <c r="K10" s="8">
        <v>30.4</v>
      </c>
    </row>
    <row r="11" spans="1:11">
      <c r="A11" s="23">
        <v>7</v>
      </c>
      <c r="B11" s="8">
        <v>6</v>
      </c>
      <c r="C11" s="23">
        <v>300000</v>
      </c>
      <c r="D11" s="24">
        <v>2</v>
      </c>
      <c r="E11" s="23">
        <v>7</v>
      </c>
      <c r="F11" s="25">
        <v>0.02</v>
      </c>
      <c r="G11" s="8">
        <f>ROUND($G$20*(bet对应表!C8/bet对应表!$C$17)*($F$20/F11),0)</f>
        <v>126667</v>
      </c>
      <c r="I11" s="8">
        <f t="shared" ref="I11:I19" si="1">ROUND(F11*G11,0)</f>
        <v>2533</v>
      </c>
      <c r="K11" s="8">
        <v>76</v>
      </c>
    </row>
    <row r="12" spans="1:11">
      <c r="A12" s="23">
        <v>8</v>
      </c>
      <c r="B12" s="8">
        <v>6</v>
      </c>
      <c r="C12" s="23">
        <v>500000</v>
      </c>
      <c r="D12" s="24">
        <v>2</v>
      </c>
      <c r="E12" s="23">
        <v>8</v>
      </c>
      <c r="F12" s="25">
        <v>0.04</v>
      </c>
      <c r="G12" s="8">
        <f>ROUND($G$20*(bet对应表!C9/bet对应表!$C$17)*($F$20/F12),0)</f>
        <v>105556</v>
      </c>
      <c r="I12" s="8">
        <f t="shared" si="1"/>
        <v>4222</v>
      </c>
      <c r="K12" s="8">
        <v>152</v>
      </c>
    </row>
    <row r="13" spans="1:11">
      <c r="A13" s="23">
        <v>9</v>
      </c>
      <c r="B13" s="8">
        <v>6</v>
      </c>
      <c r="C13" s="23">
        <v>750000</v>
      </c>
      <c r="D13" s="24">
        <v>2</v>
      </c>
      <c r="E13" s="23">
        <v>9</v>
      </c>
      <c r="F13" s="25">
        <v>0.06</v>
      </c>
      <c r="G13" s="8">
        <f>ROUND($G$20*(bet对应表!C10/bet对应表!$C$17)*($F$20/F13),0)</f>
        <v>105556</v>
      </c>
      <c r="I13" s="8">
        <f t="shared" si="1"/>
        <v>6333</v>
      </c>
      <c r="K13" s="8">
        <v>304</v>
      </c>
    </row>
    <row r="14" spans="1:11">
      <c r="A14" s="23">
        <v>10</v>
      </c>
      <c r="B14" s="8">
        <v>6</v>
      </c>
      <c r="C14" s="23">
        <v>1000000</v>
      </c>
      <c r="D14" s="24">
        <v>2</v>
      </c>
      <c r="E14" s="23">
        <v>10</v>
      </c>
      <c r="F14" s="25">
        <v>0.08</v>
      </c>
      <c r="G14" s="8">
        <f>ROUND($G$20*(bet对应表!C11/bet对应表!$C$17)*($F$20/F14),0)</f>
        <v>105556</v>
      </c>
      <c r="I14" s="8">
        <f t="shared" si="1"/>
        <v>8444</v>
      </c>
      <c r="K14" s="8">
        <v>760</v>
      </c>
    </row>
    <row r="15" spans="1:11">
      <c r="A15" s="23">
        <v>11</v>
      </c>
      <c r="B15" s="8">
        <v>6</v>
      </c>
      <c r="C15" s="23">
        <v>1500000</v>
      </c>
      <c r="D15" s="24">
        <v>2</v>
      </c>
      <c r="E15" s="23">
        <v>11</v>
      </c>
      <c r="F15" s="25">
        <v>0.1</v>
      </c>
      <c r="G15" s="8">
        <f>ROUND($G$20*(bet对应表!C12/bet对应表!$C$17)*($F$20/F15),0)</f>
        <v>126667</v>
      </c>
      <c r="I15" s="8">
        <f t="shared" si="1"/>
        <v>12667</v>
      </c>
      <c r="K15" s="8">
        <v>1520</v>
      </c>
    </row>
    <row r="16" spans="1:11">
      <c r="A16" s="23">
        <v>12</v>
      </c>
      <c r="B16" s="8">
        <v>6</v>
      </c>
      <c r="C16" s="23">
        <v>2000000</v>
      </c>
      <c r="D16" s="24">
        <v>2</v>
      </c>
      <c r="E16" s="23">
        <v>12</v>
      </c>
      <c r="F16" s="25">
        <v>0.12</v>
      </c>
      <c r="G16" s="8">
        <f>ROUND($G$20*(bet对应表!C13/bet对应表!$C$17)*($F$20/F16),0)</f>
        <v>140741</v>
      </c>
      <c r="I16" s="8">
        <f t="shared" si="1"/>
        <v>16889</v>
      </c>
      <c r="K16" s="8">
        <v>3040</v>
      </c>
    </row>
    <row r="17" spans="1:11">
      <c r="A17" s="23">
        <v>13</v>
      </c>
      <c r="B17" s="8">
        <v>6</v>
      </c>
      <c r="C17" s="23">
        <v>3000000</v>
      </c>
      <c r="D17" s="24">
        <v>2</v>
      </c>
      <c r="E17" s="23">
        <v>13</v>
      </c>
      <c r="F17" s="25">
        <v>0.14</v>
      </c>
      <c r="G17" s="8">
        <f>ROUND($G$20*(bet对应表!C14/bet对应表!$C$17)*($F$20/F17),0)</f>
        <v>180952</v>
      </c>
      <c r="I17" s="8">
        <f t="shared" si="1"/>
        <v>25333</v>
      </c>
      <c r="K17" s="8">
        <v>7600</v>
      </c>
    </row>
    <row r="18" spans="1:11">
      <c r="A18" s="23">
        <v>14</v>
      </c>
      <c r="B18" s="8">
        <v>6</v>
      </c>
      <c r="C18" s="23">
        <v>4000000</v>
      </c>
      <c r="D18" s="24">
        <v>2</v>
      </c>
      <c r="E18" s="23">
        <v>14</v>
      </c>
      <c r="F18" s="25">
        <v>0.16</v>
      </c>
      <c r="G18" s="8">
        <f>ROUND($G$20*(bet对应表!C15/bet对应表!$C$17)*($F$20/F18),0)</f>
        <v>211111</v>
      </c>
      <c r="I18" s="8">
        <f t="shared" si="1"/>
        <v>33778</v>
      </c>
      <c r="K18" s="8">
        <v>15200</v>
      </c>
    </row>
    <row r="19" spans="1:11">
      <c r="A19" s="23">
        <v>15</v>
      </c>
      <c r="B19" s="8">
        <v>6</v>
      </c>
      <c r="C19" s="23">
        <v>6000000</v>
      </c>
      <c r="D19" s="24">
        <v>2</v>
      </c>
      <c r="E19" s="23">
        <v>15</v>
      </c>
      <c r="F19" s="25">
        <v>0.18</v>
      </c>
      <c r="G19" s="8">
        <f>ROUND($G$20*(bet对应表!C16/bet对应表!$C$17)*($F$20/F19),0)</f>
        <v>281481</v>
      </c>
      <c r="I19" s="8">
        <f t="shared" si="1"/>
        <v>50667</v>
      </c>
      <c r="K19" s="8">
        <v>30400</v>
      </c>
    </row>
    <row r="20" spans="1:11">
      <c r="A20" s="23">
        <v>16</v>
      </c>
      <c r="B20" s="8">
        <v>6</v>
      </c>
      <c r="C20" s="23">
        <v>9000000</v>
      </c>
      <c r="D20" s="24">
        <v>2</v>
      </c>
      <c r="E20" s="23">
        <v>16</v>
      </c>
      <c r="F20" s="25">
        <v>0.2</v>
      </c>
      <c r="G20" s="8">
        <v>380000</v>
      </c>
      <c r="I20" s="8">
        <f t="shared" ref="I19:I30" si="2">F20*G20</f>
        <v>76000</v>
      </c>
      <c r="K20" s="8">
        <v>76000</v>
      </c>
    </row>
    <row r="21" spans="1:11">
      <c r="A21" s="23">
        <v>17</v>
      </c>
      <c r="B21" s="8">
        <v>6</v>
      </c>
      <c r="C21" s="23">
        <v>10000000</v>
      </c>
      <c r="D21" s="24">
        <v>2</v>
      </c>
      <c r="E21" s="23">
        <v>17</v>
      </c>
      <c r="F21" s="25">
        <v>0.2</v>
      </c>
      <c r="G21" s="8">
        <f t="shared" ref="G21:G30" si="3">K21/F21</f>
        <v>140</v>
      </c>
      <c r="I21" s="8">
        <f t="shared" si="2"/>
        <v>28</v>
      </c>
      <c r="K21" s="8">
        <v>28</v>
      </c>
    </row>
    <row r="22" spans="1:11">
      <c r="A22" s="23">
        <v>18</v>
      </c>
      <c r="B22" s="8">
        <v>6</v>
      </c>
      <c r="C22" s="23">
        <v>12000000</v>
      </c>
      <c r="D22" s="24">
        <v>2</v>
      </c>
      <c r="E22" s="23">
        <v>18</v>
      </c>
      <c r="F22" s="25">
        <v>0.2</v>
      </c>
      <c r="G22" s="8">
        <f t="shared" si="3"/>
        <v>700</v>
      </c>
      <c r="I22" s="8">
        <f t="shared" si="2"/>
        <v>140</v>
      </c>
      <c r="K22" s="8">
        <v>140</v>
      </c>
    </row>
    <row r="23" spans="1:11">
      <c r="A23" s="23">
        <v>19</v>
      </c>
      <c r="B23" s="8">
        <v>6</v>
      </c>
      <c r="C23" s="23">
        <v>15000000</v>
      </c>
      <c r="D23" s="24">
        <v>2</v>
      </c>
      <c r="E23" s="23">
        <v>19</v>
      </c>
      <c r="F23" s="25">
        <v>0.2</v>
      </c>
      <c r="G23" s="8">
        <f t="shared" si="3"/>
        <v>2800</v>
      </c>
      <c r="I23" s="8">
        <f t="shared" si="2"/>
        <v>560</v>
      </c>
      <c r="K23" s="8">
        <v>560</v>
      </c>
    </row>
    <row r="24" spans="1:11">
      <c r="A24" s="23">
        <v>20</v>
      </c>
      <c r="B24" s="8">
        <v>6</v>
      </c>
      <c r="C24" s="23">
        <v>20000000</v>
      </c>
      <c r="D24" s="24">
        <v>2</v>
      </c>
      <c r="E24" s="23">
        <v>20</v>
      </c>
      <c r="F24" s="25">
        <v>1</v>
      </c>
      <c r="G24" s="8">
        <f t="shared" si="3"/>
        <v>2800</v>
      </c>
      <c r="I24" s="8">
        <f t="shared" si="2"/>
        <v>2800</v>
      </c>
      <c r="K24" s="8">
        <v>2800</v>
      </c>
    </row>
    <row r="25" spans="1:11">
      <c r="A25" s="23">
        <v>21</v>
      </c>
      <c r="B25" s="8">
        <v>6</v>
      </c>
      <c r="C25" s="23">
        <v>30000000</v>
      </c>
      <c r="D25" s="24">
        <v>2</v>
      </c>
      <c r="E25" s="23">
        <v>21</v>
      </c>
      <c r="F25" s="25">
        <v>1</v>
      </c>
      <c r="G25" s="8">
        <f t="shared" si="3"/>
        <v>14000</v>
      </c>
      <c r="I25" s="8">
        <f t="shared" si="2"/>
        <v>14000</v>
      </c>
      <c r="K25" s="8">
        <v>14000</v>
      </c>
    </row>
    <row r="26" spans="1:11">
      <c r="A26" s="23">
        <v>22</v>
      </c>
      <c r="B26" s="8">
        <v>6</v>
      </c>
      <c r="C26" s="23">
        <v>40000000</v>
      </c>
      <c r="D26" s="24">
        <v>2</v>
      </c>
      <c r="E26" s="23">
        <v>22</v>
      </c>
      <c r="F26" s="25">
        <v>1</v>
      </c>
      <c r="G26" s="8">
        <f t="shared" si="3"/>
        <v>56000</v>
      </c>
      <c r="I26" s="8">
        <f t="shared" si="2"/>
        <v>56000</v>
      </c>
      <c r="K26" s="8">
        <v>56000</v>
      </c>
    </row>
    <row r="27" spans="1:11">
      <c r="A27" s="23">
        <v>23</v>
      </c>
      <c r="B27" s="8">
        <v>6</v>
      </c>
      <c r="C27" s="23">
        <v>60000000</v>
      </c>
      <c r="D27" s="24">
        <v>2</v>
      </c>
      <c r="E27" s="23">
        <v>23</v>
      </c>
      <c r="F27" s="25">
        <v>0.2</v>
      </c>
      <c r="G27" s="8">
        <f t="shared" si="3"/>
        <v>240</v>
      </c>
      <c r="I27" s="8">
        <f t="shared" si="2"/>
        <v>48</v>
      </c>
      <c r="K27" s="8">
        <v>48</v>
      </c>
    </row>
    <row r="28" spans="1:11">
      <c r="A28" s="23">
        <v>24</v>
      </c>
      <c r="B28" s="8">
        <v>6</v>
      </c>
      <c r="C28" s="23">
        <v>90000000</v>
      </c>
      <c r="D28" s="24">
        <v>2</v>
      </c>
      <c r="E28" s="23">
        <v>24</v>
      </c>
      <c r="F28" s="25">
        <v>0.5</v>
      </c>
      <c r="G28" s="8">
        <f t="shared" si="3"/>
        <v>960</v>
      </c>
      <c r="I28" s="8">
        <f t="shared" si="2"/>
        <v>480</v>
      </c>
      <c r="K28" s="8">
        <v>480</v>
      </c>
    </row>
    <row r="29" spans="1:11">
      <c r="A29" s="23">
        <v>25</v>
      </c>
      <c r="B29" s="8">
        <v>6</v>
      </c>
      <c r="C29" s="23">
        <v>100000000</v>
      </c>
      <c r="D29" s="24">
        <v>2</v>
      </c>
      <c r="E29" s="23">
        <v>25</v>
      </c>
      <c r="F29" s="25">
        <v>1</v>
      </c>
      <c r="G29" s="8">
        <f t="shared" si="3"/>
        <v>4800</v>
      </c>
      <c r="I29" s="8">
        <f t="shared" si="2"/>
        <v>4800</v>
      </c>
      <c r="K29" s="8">
        <v>4800</v>
      </c>
    </row>
    <row r="30" spans="1:11">
      <c r="A30" s="23">
        <v>26</v>
      </c>
      <c r="B30" s="8">
        <v>6</v>
      </c>
      <c r="C30" s="23">
        <v>150000000</v>
      </c>
      <c r="D30" s="24">
        <v>2</v>
      </c>
      <c r="E30" s="23">
        <v>26</v>
      </c>
      <c r="F30" s="25">
        <v>1</v>
      </c>
      <c r="G30" s="8">
        <f t="shared" si="3"/>
        <v>24000</v>
      </c>
      <c r="I30" s="8">
        <f t="shared" si="2"/>
        <v>24000</v>
      </c>
      <c r="K30" s="8">
        <v>24000</v>
      </c>
    </row>
    <row r="31" spans="1:11">
      <c r="A31" s="23">
        <v>27</v>
      </c>
      <c r="B31" s="8">
        <v>6</v>
      </c>
      <c r="C31" s="23">
        <v>180000000</v>
      </c>
      <c r="D31" s="24">
        <v>2</v>
      </c>
      <c r="E31" s="23">
        <v>27</v>
      </c>
    </row>
    <row r="32" spans="1:11">
      <c r="A32" s="23">
        <v>28</v>
      </c>
      <c r="B32" s="8">
        <v>6</v>
      </c>
      <c r="C32" s="23">
        <v>225000000</v>
      </c>
      <c r="D32" s="24">
        <v>2</v>
      </c>
      <c r="E32" s="23">
        <v>28</v>
      </c>
    </row>
    <row r="33" spans="1:5">
      <c r="A33" s="23">
        <v>29</v>
      </c>
      <c r="B33" s="8">
        <v>6</v>
      </c>
      <c r="C33" s="23">
        <v>300000000</v>
      </c>
      <c r="D33" s="24">
        <v>2</v>
      </c>
      <c r="E33" s="23">
        <v>29</v>
      </c>
    </row>
    <row r="34" spans="1:5">
      <c r="A34" s="23">
        <v>30</v>
      </c>
      <c r="B34" s="8">
        <v>6</v>
      </c>
      <c r="C34" s="23">
        <v>350000000</v>
      </c>
      <c r="D34" s="24">
        <v>2</v>
      </c>
      <c r="E34" s="23">
        <v>30</v>
      </c>
    </row>
    <row r="35" spans="1:5">
      <c r="A35" s="23">
        <v>31</v>
      </c>
      <c r="B35" s="8">
        <v>6</v>
      </c>
      <c r="C35" s="23">
        <v>400000000</v>
      </c>
      <c r="D35" s="24">
        <v>2</v>
      </c>
      <c r="E35" s="23">
        <v>31</v>
      </c>
    </row>
    <row r="36" spans="1:5">
      <c r="A36" s="23">
        <v>32</v>
      </c>
      <c r="B36" s="8">
        <v>6</v>
      </c>
      <c r="C36" s="23">
        <v>500000000</v>
      </c>
      <c r="D36" s="24">
        <v>2</v>
      </c>
      <c r="E36" s="23">
        <v>32</v>
      </c>
    </row>
    <row r="37" spans="1:5">
      <c r="A37" s="23">
        <v>33</v>
      </c>
      <c r="B37" s="8">
        <v>6</v>
      </c>
      <c r="C37" s="23">
        <v>750000000</v>
      </c>
      <c r="D37" s="24">
        <v>2</v>
      </c>
      <c r="E37" s="23">
        <v>33</v>
      </c>
    </row>
    <row r="38" spans="1:5">
      <c r="A38" s="23">
        <v>34</v>
      </c>
      <c r="B38" s="8">
        <v>6</v>
      </c>
      <c r="C38" s="23">
        <v>1000000000</v>
      </c>
      <c r="D38" s="24">
        <v>2</v>
      </c>
      <c r="E38" s="23">
        <v>34</v>
      </c>
    </row>
    <row r="39" spans="1:5">
      <c r="A39" s="23">
        <v>35</v>
      </c>
      <c r="B39" s="8">
        <v>6</v>
      </c>
      <c r="C39" s="23">
        <v>1250000000</v>
      </c>
      <c r="D39" s="24">
        <v>2</v>
      </c>
      <c r="E39" s="23">
        <v>35</v>
      </c>
    </row>
    <row r="40" spans="1:5">
      <c r="A40" s="23">
        <v>36</v>
      </c>
      <c r="B40" s="8">
        <v>6</v>
      </c>
      <c r="C40" s="23">
        <v>1500000000</v>
      </c>
      <c r="D40" s="24">
        <v>2</v>
      </c>
      <c r="E40" s="23">
        <v>36</v>
      </c>
    </row>
    <row r="41" spans="1:5">
      <c r="A41" s="23">
        <v>37</v>
      </c>
      <c r="B41" s="8">
        <v>6</v>
      </c>
      <c r="C41" s="23">
        <v>2000000000</v>
      </c>
      <c r="D41" s="24">
        <v>2</v>
      </c>
      <c r="E41" s="23">
        <v>37</v>
      </c>
    </row>
    <row r="42" spans="1:5">
      <c r="A42" s="23">
        <v>38</v>
      </c>
      <c r="B42" s="8">
        <v>6</v>
      </c>
      <c r="C42" s="23">
        <v>5000000000</v>
      </c>
      <c r="D42" s="24">
        <v>2</v>
      </c>
      <c r="E42" s="23">
        <v>38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4"/>
  <sheetViews>
    <sheetView workbookViewId="0">
      <selection activeCell="B274" sqref="B274"/>
    </sheetView>
  </sheetViews>
  <sheetFormatPr defaultColWidth="9" defaultRowHeight="13.5"/>
  <cols>
    <col min="1" max="1" width="9" style="7"/>
    <col min="2" max="2" width="30.125" style="7" customWidth="1"/>
    <col min="3" max="3" width="15.125" style="7" customWidth="1"/>
    <col min="4" max="4" width="20.8166666666667" style="9" customWidth="1"/>
    <col min="5" max="5" width="9" style="7"/>
    <col min="6" max="6" width="12.8166666666667" style="7"/>
    <col min="7" max="7" width="10.3666666666667" style="7" customWidth="1"/>
    <col min="8" max="8" width="11.725" style="7"/>
    <col min="9" max="16384" width="9" style="7"/>
  </cols>
  <sheetData>
    <row r="1" s="7" customFormat="1" spans="1:10">
      <c r="A1" s="7" t="s">
        <v>352</v>
      </c>
      <c r="B1" s="7" t="s">
        <v>369</v>
      </c>
      <c r="C1" s="7" t="s">
        <v>370</v>
      </c>
      <c r="D1" s="9" t="s">
        <v>371</v>
      </c>
    </row>
    <row r="2" s="7" customFormat="1" spans="1:10">
      <c r="A2" s="7" t="s">
        <v>359</v>
      </c>
      <c r="B2" s="7" t="s">
        <v>94</v>
      </c>
      <c r="C2" s="7" t="s">
        <v>94</v>
      </c>
      <c r="D2" s="9" t="s">
        <v>94</v>
      </c>
    </row>
    <row r="3" s="7" customFormat="1" spans="1:10">
      <c r="A3" s="7" t="s">
        <v>95</v>
      </c>
      <c r="B3" s="7" t="s">
        <v>95</v>
      </c>
      <c r="C3" s="7" t="s">
        <v>95</v>
      </c>
      <c r="D3" s="9" t="s">
        <v>95</v>
      </c>
    </row>
    <row r="4" s="7" customFormat="1" spans="1:10">
      <c r="A4" s="7" t="s">
        <v>372</v>
      </c>
      <c r="B4" s="7" t="s">
        <v>373</v>
      </c>
      <c r="C4" s="7" t="s">
        <v>374</v>
      </c>
      <c r="D4" s="9" t="s">
        <v>375</v>
      </c>
    </row>
    <row r="5" s="7" customFormat="1" spans="1:10">
      <c r="A5" s="7">
        <v>1</v>
      </c>
      <c r="B5" s="7">
        <v>1000</v>
      </c>
      <c r="C5" s="8">
        <v>3</v>
      </c>
      <c r="D5" s="10">
        <f>B5/C5</f>
        <v>333.333333333333</v>
      </c>
    </row>
    <row r="6" s="7" customFormat="1" spans="1:10">
      <c r="A6" s="7">
        <v>2</v>
      </c>
      <c r="B6" s="7">
        <v>1000</v>
      </c>
      <c r="C6" s="8">
        <v>3</v>
      </c>
      <c r="D6" s="10">
        <f t="shared" ref="D6:D69" si="0">B6/C6</f>
        <v>333.333333333333</v>
      </c>
    </row>
    <row r="7" s="7" customFormat="1" spans="1:10">
      <c r="A7" s="7">
        <v>3</v>
      </c>
      <c r="B7" s="7">
        <v>1000</v>
      </c>
      <c r="C7" s="8">
        <v>3</v>
      </c>
      <c r="D7" s="10">
        <f t="shared" si="0"/>
        <v>333.333333333333</v>
      </c>
    </row>
    <row r="8" s="7" customFormat="1" spans="1:10">
      <c r="A8" s="7">
        <v>4</v>
      </c>
      <c r="B8" s="7">
        <v>1000</v>
      </c>
      <c r="C8" s="8">
        <v>3</v>
      </c>
      <c r="D8" s="10">
        <f t="shared" si="0"/>
        <v>333.333333333333</v>
      </c>
    </row>
    <row r="9" s="8" customFormat="1" spans="1:10">
      <c r="A9" s="7">
        <v>5</v>
      </c>
      <c r="B9" s="7">
        <v>1000</v>
      </c>
      <c r="C9" s="8">
        <v>3</v>
      </c>
      <c r="D9" s="10">
        <f t="shared" si="0"/>
        <v>333.333333333333</v>
      </c>
      <c r="E9" s="7"/>
      <c r="F9" s="7"/>
      <c r="G9" s="7"/>
      <c r="H9" s="7"/>
      <c r="I9" s="7"/>
      <c r="J9" s="7"/>
    </row>
    <row r="10" spans="1:10">
      <c r="A10" s="7">
        <v>6</v>
      </c>
      <c r="B10" s="7">
        <v>1000</v>
      </c>
      <c r="C10" s="8">
        <v>3</v>
      </c>
      <c r="D10" s="10">
        <f t="shared" si="0"/>
        <v>333.333333333333</v>
      </c>
    </row>
    <row r="11" spans="1:10">
      <c r="A11" s="7">
        <v>7</v>
      </c>
      <c r="B11" s="7">
        <v>1000</v>
      </c>
      <c r="C11" s="8">
        <v>3</v>
      </c>
      <c r="D11" s="10">
        <f t="shared" si="0"/>
        <v>333.333333333333</v>
      </c>
    </row>
    <row r="12" spans="1:10">
      <c r="A12" s="7">
        <v>8</v>
      </c>
      <c r="B12" s="7">
        <v>1000</v>
      </c>
      <c r="C12" s="8">
        <v>3</v>
      </c>
      <c r="D12" s="10">
        <f t="shared" si="0"/>
        <v>333.333333333333</v>
      </c>
    </row>
    <row r="13" spans="1:10">
      <c r="A13" s="7">
        <v>9</v>
      </c>
      <c r="B13" s="7">
        <v>1000</v>
      </c>
      <c r="C13" s="8">
        <v>3</v>
      </c>
      <c r="D13" s="10">
        <f t="shared" si="0"/>
        <v>333.333333333333</v>
      </c>
    </row>
    <row r="14" spans="1:10">
      <c r="A14" s="7">
        <v>10</v>
      </c>
      <c r="B14" s="7">
        <v>1000</v>
      </c>
      <c r="C14" s="8">
        <v>3</v>
      </c>
      <c r="D14" s="10">
        <f t="shared" si="0"/>
        <v>333.333333333333</v>
      </c>
    </row>
    <row r="15" spans="1:10">
      <c r="A15" s="7">
        <v>11</v>
      </c>
      <c r="B15" s="7">
        <v>1500</v>
      </c>
      <c r="C15" s="8">
        <v>3</v>
      </c>
      <c r="D15" s="10">
        <f t="shared" si="0"/>
        <v>500</v>
      </c>
    </row>
    <row r="16" spans="1:10">
      <c r="A16" s="7">
        <v>12</v>
      </c>
      <c r="B16" s="7">
        <v>1500</v>
      </c>
      <c r="C16" s="8">
        <v>3</v>
      </c>
      <c r="D16" s="10">
        <f t="shared" si="0"/>
        <v>500</v>
      </c>
    </row>
    <row r="17" spans="1:4">
      <c r="A17" s="7">
        <v>13</v>
      </c>
      <c r="B17" s="7">
        <v>1500</v>
      </c>
      <c r="C17" s="8">
        <v>3</v>
      </c>
      <c r="D17" s="10">
        <f t="shared" si="0"/>
        <v>500</v>
      </c>
    </row>
    <row r="18" spans="1:4">
      <c r="A18" s="7">
        <v>14</v>
      </c>
      <c r="B18" s="7">
        <v>1500</v>
      </c>
      <c r="C18" s="8">
        <v>3</v>
      </c>
      <c r="D18" s="10">
        <f t="shared" si="0"/>
        <v>500</v>
      </c>
    </row>
    <row r="19" spans="1:4">
      <c r="A19" s="7">
        <v>15</v>
      </c>
      <c r="B19" s="7">
        <v>1500</v>
      </c>
      <c r="C19" s="8">
        <v>3</v>
      </c>
      <c r="D19" s="10">
        <f t="shared" si="0"/>
        <v>500</v>
      </c>
    </row>
    <row r="20" spans="1:4">
      <c r="A20" s="7">
        <v>16</v>
      </c>
      <c r="B20" s="7">
        <v>1500</v>
      </c>
      <c r="C20" s="8">
        <v>3</v>
      </c>
      <c r="D20" s="10">
        <f t="shared" si="0"/>
        <v>500</v>
      </c>
    </row>
    <row r="21" spans="1:4">
      <c r="A21" s="7">
        <v>17</v>
      </c>
      <c r="B21" s="7">
        <v>1500</v>
      </c>
      <c r="C21" s="8">
        <v>3</v>
      </c>
      <c r="D21" s="10">
        <f t="shared" si="0"/>
        <v>500</v>
      </c>
    </row>
    <row r="22" spans="1:4">
      <c r="A22" s="7">
        <v>18</v>
      </c>
      <c r="B22" s="7">
        <v>1500</v>
      </c>
      <c r="C22" s="8">
        <v>3</v>
      </c>
      <c r="D22" s="10">
        <f t="shared" si="0"/>
        <v>500</v>
      </c>
    </row>
    <row r="23" spans="1:4">
      <c r="A23" s="7">
        <v>19</v>
      </c>
      <c r="B23" s="7">
        <v>1500</v>
      </c>
      <c r="C23" s="8">
        <v>3</v>
      </c>
      <c r="D23" s="10">
        <f t="shared" si="0"/>
        <v>500</v>
      </c>
    </row>
    <row r="24" spans="1:4">
      <c r="A24" s="7">
        <v>20</v>
      </c>
      <c r="B24" s="7">
        <v>1500</v>
      </c>
      <c r="C24" s="8">
        <v>3</v>
      </c>
      <c r="D24" s="10">
        <f t="shared" si="0"/>
        <v>500</v>
      </c>
    </row>
    <row r="25" spans="1:4">
      <c r="A25" s="7">
        <v>21</v>
      </c>
      <c r="B25" s="7">
        <v>2000</v>
      </c>
      <c r="C25" s="8">
        <v>3</v>
      </c>
      <c r="D25" s="10">
        <f t="shared" si="0"/>
        <v>666.666666666667</v>
      </c>
    </row>
    <row r="26" spans="1:4">
      <c r="A26" s="7">
        <v>22</v>
      </c>
      <c r="B26" s="7">
        <v>2000</v>
      </c>
      <c r="C26" s="8">
        <v>3</v>
      </c>
      <c r="D26" s="10">
        <f t="shared" si="0"/>
        <v>666.666666666667</v>
      </c>
    </row>
    <row r="27" spans="1:4">
      <c r="A27" s="7">
        <v>23</v>
      </c>
      <c r="B27" s="7">
        <v>2000</v>
      </c>
      <c r="C27" s="8">
        <v>3</v>
      </c>
      <c r="D27" s="10">
        <f t="shared" si="0"/>
        <v>666.666666666667</v>
      </c>
    </row>
    <row r="28" spans="1:4">
      <c r="A28" s="7">
        <v>24</v>
      </c>
      <c r="B28" s="7">
        <v>2000</v>
      </c>
      <c r="C28" s="8">
        <v>3</v>
      </c>
      <c r="D28" s="10">
        <f t="shared" si="0"/>
        <v>666.666666666667</v>
      </c>
    </row>
    <row r="29" spans="1:4">
      <c r="A29" s="7">
        <v>25</v>
      </c>
      <c r="B29" s="7">
        <v>2000</v>
      </c>
      <c r="C29" s="8">
        <v>3</v>
      </c>
      <c r="D29" s="10">
        <f t="shared" si="0"/>
        <v>666.666666666667</v>
      </c>
    </row>
    <row r="30" spans="1:4">
      <c r="A30" s="7">
        <v>26</v>
      </c>
      <c r="B30" s="7">
        <v>2000</v>
      </c>
      <c r="C30" s="8">
        <v>3</v>
      </c>
      <c r="D30" s="10">
        <f t="shared" si="0"/>
        <v>666.666666666667</v>
      </c>
    </row>
    <row r="31" spans="1:4">
      <c r="A31" s="7">
        <v>27</v>
      </c>
      <c r="B31" s="7">
        <v>2000</v>
      </c>
      <c r="C31" s="8">
        <v>3</v>
      </c>
      <c r="D31" s="10">
        <f t="shared" si="0"/>
        <v>666.666666666667</v>
      </c>
    </row>
    <row r="32" spans="1:4">
      <c r="A32" s="7">
        <v>28</v>
      </c>
      <c r="B32" s="7">
        <v>2000</v>
      </c>
      <c r="C32" s="8">
        <v>3</v>
      </c>
      <c r="D32" s="10">
        <f t="shared" si="0"/>
        <v>666.666666666667</v>
      </c>
    </row>
    <row r="33" spans="1:4">
      <c r="A33" s="7">
        <v>29</v>
      </c>
      <c r="B33" s="7">
        <v>2000</v>
      </c>
      <c r="C33" s="8">
        <v>3</v>
      </c>
      <c r="D33" s="10">
        <f t="shared" si="0"/>
        <v>666.666666666667</v>
      </c>
    </row>
    <row r="34" spans="1:4">
      <c r="A34" s="7">
        <v>30</v>
      </c>
      <c r="B34" s="7">
        <v>2000</v>
      </c>
      <c r="C34" s="8">
        <v>3</v>
      </c>
      <c r="D34" s="10">
        <f t="shared" si="0"/>
        <v>666.666666666667</v>
      </c>
    </row>
    <row r="35" spans="1:4">
      <c r="A35" s="7">
        <v>31</v>
      </c>
      <c r="B35" s="7">
        <v>2500</v>
      </c>
      <c r="C35" s="8">
        <v>3</v>
      </c>
      <c r="D35" s="10">
        <f t="shared" si="0"/>
        <v>833.333333333333</v>
      </c>
    </row>
    <row r="36" spans="1:4">
      <c r="A36" s="7">
        <v>32</v>
      </c>
      <c r="B36" s="7">
        <v>2500</v>
      </c>
      <c r="C36" s="8">
        <v>3</v>
      </c>
      <c r="D36" s="10">
        <f t="shared" si="0"/>
        <v>833.333333333333</v>
      </c>
    </row>
    <row r="37" spans="1:4">
      <c r="A37" s="7">
        <v>33</v>
      </c>
      <c r="B37" s="7">
        <v>2500</v>
      </c>
      <c r="C37" s="8">
        <v>3</v>
      </c>
      <c r="D37" s="10">
        <f t="shared" si="0"/>
        <v>833.333333333333</v>
      </c>
    </row>
    <row r="38" spans="1:4">
      <c r="A38" s="7">
        <v>34</v>
      </c>
      <c r="B38" s="7">
        <v>2500</v>
      </c>
      <c r="C38" s="8">
        <v>3</v>
      </c>
      <c r="D38" s="10">
        <f t="shared" si="0"/>
        <v>833.333333333333</v>
      </c>
    </row>
    <row r="39" spans="1:4">
      <c r="A39" s="7">
        <v>35</v>
      </c>
      <c r="B39" s="7">
        <v>2500</v>
      </c>
      <c r="C39" s="8">
        <v>3</v>
      </c>
      <c r="D39" s="10">
        <f t="shared" si="0"/>
        <v>833.333333333333</v>
      </c>
    </row>
    <row r="40" spans="1:4">
      <c r="A40" s="7">
        <v>36</v>
      </c>
      <c r="B40" s="7">
        <v>2500</v>
      </c>
      <c r="C40" s="8">
        <v>3</v>
      </c>
      <c r="D40" s="10">
        <f t="shared" si="0"/>
        <v>833.333333333333</v>
      </c>
    </row>
    <row r="41" spans="1:4">
      <c r="A41" s="7">
        <v>37</v>
      </c>
      <c r="B41" s="7">
        <v>2500</v>
      </c>
      <c r="C41" s="8">
        <v>3</v>
      </c>
      <c r="D41" s="10">
        <f t="shared" si="0"/>
        <v>833.333333333333</v>
      </c>
    </row>
    <row r="42" spans="1:4">
      <c r="A42" s="7">
        <v>38</v>
      </c>
      <c r="B42" s="7">
        <v>2500</v>
      </c>
      <c r="C42" s="8">
        <v>3</v>
      </c>
      <c r="D42" s="10">
        <f t="shared" si="0"/>
        <v>833.333333333333</v>
      </c>
    </row>
    <row r="43" spans="1:4">
      <c r="A43" s="7">
        <v>39</v>
      </c>
      <c r="B43" s="7">
        <v>2500</v>
      </c>
      <c r="C43" s="8">
        <v>3</v>
      </c>
      <c r="D43" s="10">
        <f t="shared" si="0"/>
        <v>833.333333333333</v>
      </c>
    </row>
    <row r="44" spans="1:4">
      <c r="A44" s="7">
        <v>40</v>
      </c>
      <c r="B44" s="7">
        <v>2500</v>
      </c>
      <c r="C44" s="8">
        <v>3</v>
      </c>
      <c r="D44" s="10">
        <f t="shared" si="0"/>
        <v>833.333333333333</v>
      </c>
    </row>
    <row r="45" spans="1:4">
      <c r="A45" s="7">
        <v>41</v>
      </c>
      <c r="B45" s="8">
        <v>3000</v>
      </c>
      <c r="C45" s="8">
        <v>3</v>
      </c>
      <c r="D45" s="10">
        <f t="shared" si="0"/>
        <v>1000</v>
      </c>
    </row>
    <row r="46" spans="1:4">
      <c r="A46" s="7">
        <v>42</v>
      </c>
      <c r="B46" s="8">
        <v>3000</v>
      </c>
      <c r="C46" s="8">
        <v>3</v>
      </c>
      <c r="D46" s="10">
        <f t="shared" si="0"/>
        <v>1000</v>
      </c>
    </row>
    <row r="47" spans="1:4">
      <c r="A47" s="7">
        <v>43</v>
      </c>
      <c r="B47" s="8">
        <v>3000</v>
      </c>
      <c r="C47" s="8">
        <v>3</v>
      </c>
      <c r="D47" s="10">
        <f t="shared" si="0"/>
        <v>1000</v>
      </c>
    </row>
    <row r="48" spans="1:4">
      <c r="A48" s="7">
        <v>44</v>
      </c>
      <c r="B48" s="8">
        <v>3000</v>
      </c>
      <c r="C48" s="8">
        <v>3</v>
      </c>
      <c r="D48" s="10">
        <f t="shared" si="0"/>
        <v>1000</v>
      </c>
    </row>
    <row r="49" spans="1:4">
      <c r="A49" s="7">
        <v>45</v>
      </c>
      <c r="B49" s="8">
        <v>3000</v>
      </c>
      <c r="C49" s="8">
        <v>3</v>
      </c>
      <c r="D49" s="10">
        <f t="shared" si="0"/>
        <v>1000</v>
      </c>
    </row>
    <row r="50" spans="1:4">
      <c r="A50" s="7">
        <v>46</v>
      </c>
      <c r="B50" s="8">
        <v>3000</v>
      </c>
      <c r="C50" s="8">
        <v>3</v>
      </c>
      <c r="D50" s="10">
        <f t="shared" si="0"/>
        <v>1000</v>
      </c>
    </row>
    <row r="51" spans="1:4">
      <c r="A51" s="11">
        <v>47</v>
      </c>
      <c r="B51" s="11">
        <v>3000</v>
      </c>
      <c r="C51" s="11">
        <v>3</v>
      </c>
      <c r="D51" s="12">
        <f t="shared" si="0"/>
        <v>1000</v>
      </c>
    </row>
    <row r="52" spans="1:4">
      <c r="A52" s="7">
        <v>48</v>
      </c>
      <c r="B52" s="8">
        <v>3000</v>
      </c>
      <c r="C52" s="8">
        <v>3</v>
      </c>
      <c r="D52" s="10">
        <f t="shared" si="0"/>
        <v>1000</v>
      </c>
    </row>
    <row r="53" spans="1:4">
      <c r="A53" s="7">
        <v>49</v>
      </c>
      <c r="B53" s="8">
        <v>3000</v>
      </c>
      <c r="C53" s="8">
        <v>3</v>
      </c>
      <c r="D53" s="10">
        <f t="shared" si="0"/>
        <v>1000</v>
      </c>
    </row>
    <row r="54" spans="1:4">
      <c r="A54" s="7">
        <v>50</v>
      </c>
      <c r="B54" s="8">
        <v>3000</v>
      </c>
      <c r="C54" s="8">
        <v>3</v>
      </c>
      <c r="D54" s="10">
        <f t="shared" si="0"/>
        <v>1000</v>
      </c>
    </row>
    <row r="55" spans="1:4">
      <c r="A55" s="7">
        <v>51</v>
      </c>
      <c r="B55" s="8">
        <v>3000</v>
      </c>
      <c r="C55" s="8">
        <v>3</v>
      </c>
      <c r="D55" s="10">
        <f t="shared" si="0"/>
        <v>1000</v>
      </c>
    </row>
    <row r="56" spans="1:4">
      <c r="A56" s="7">
        <v>52</v>
      </c>
      <c r="B56" s="8">
        <v>3000</v>
      </c>
      <c r="C56" s="8">
        <v>3</v>
      </c>
      <c r="D56" s="10">
        <f t="shared" si="0"/>
        <v>1000</v>
      </c>
    </row>
    <row r="57" spans="1:4">
      <c r="A57" s="7">
        <v>53</v>
      </c>
      <c r="B57" s="8">
        <v>3000</v>
      </c>
      <c r="C57" s="8">
        <v>3</v>
      </c>
      <c r="D57" s="10">
        <f t="shared" si="0"/>
        <v>1000</v>
      </c>
    </row>
    <row r="58" spans="1:4">
      <c r="A58" s="7">
        <v>54</v>
      </c>
      <c r="B58" s="8">
        <v>3000</v>
      </c>
      <c r="C58" s="8">
        <v>3</v>
      </c>
      <c r="D58" s="10">
        <f t="shared" si="0"/>
        <v>1000</v>
      </c>
    </row>
    <row r="59" spans="1:4">
      <c r="A59" s="7">
        <v>55</v>
      </c>
      <c r="B59" s="8">
        <v>3000</v>
      </c>
      <c r="C59" s="8">
        <v>3</v>
      </c>
      <c r="D59" s="10">
        <f t="shared" si="0"/>
        <v>1000</v>
      </c>
    </row>
    <row r="60" spans="1:4">
      <c r="A60" s="7">
        <v>56</v>
      </c>
      <c r="B60" s="8">
        <v>3000</v>
      </c>
      <c r="C60" s="8">
        <v>3</v>
      </c>
      <c r="D60" s="10">
        <f t="shared" si="0"/>
        <v>1000</v>
      </c>
    </row>
    <row r="61" spans="1:4">
      <c r="A61" s="7">
        <v>57</v>
      </c>
      <c r="B61" s="8">
        <v>3000</v>
      </c>
      <c r="C61" s="8">
        <v>3</v>
      </c>
      <c r="D61" s="10">
        <f t="shared" si="0"/>
        <v>1000</v>
      </c>
    </row>
    <row r="62" spans="1:4">
      <c r="A62" s="7">
        <v>58</v>
      </c>
      <c r="B62" s="8">
        <v>3000</v>
      </c>
      <c r="C62" s="8">
        <v>3</v>
      </c>
      <c r="D62" s="10">
        <f t="shared" si="0"/>
        <v>1000</v>
      </c>
    </row>
    <row r="63" spans="1:4">
      <c r="A63" s="7">
        <v>59</v>
      </c>
      <c r="B63" s="8">
        <v>3000</v>
      </c>
      <c r="C63" s="8">
        <v>3</v>
      </c>
      <c r="D63" s="10">
        <f t="shared" si="0"/>
        <v>1000</v>
      </c>
    </row>
    <row r="64" spans="1:4">
      <c r="A64" s="7">
        <v>60</v>
      </c>
      <c r="B64" s="8">
        <v>3000</v>
      </c>
      <c r="C64" s="8">
        <v>3</v>
      </c>
      <c r="D64" s="10">
        <f t="shared" si="0"/>
        <v>1000</v>
      </c>
    </row>
    <row r="65" spans="1:4">
      <c r="A65" s="7">
        <v>61</v>
      </c>
      <c r="B65" s="8">
        <v>3500</v>
      </c>
      <c r="C65" s="8">
        <v>3</v>
      </c>
      <c r="D65" s="10">
        <f t="shared" si="0"/>
        <v>1166.66666666667</v>
      </c>
    </row>
    <row r="66" spans="1:4">
      <c r="A66" s="7">
        <v>62</v>
      </c>
      <c r="B66" s="8">
        <v>3500</v>
      </c>
      <c r="C66" s="8">
        <v>3</v>
      </c>
      <c r="D66" s="10">
        <f t="shared" si="0"/>
        <v>1166.66666666667</v>
      </c>
    </row>
    <row r="67" spans="1:4">
      <c r="A67" s="7">
        <v>63</v>
      </c>
      <c r="B67" s="8">
        <v>3500</v>
      </c>
      <c r="C67" s="8">
        <v>3</v>
      </c>
      <c r="D67" s="10">
        <f t="shared" si="0"/>
        <v>1166.66666666667</v>
      </c>
    </row>
    <row r="68" spans="1:4">
      <c r="A68" s="7">
        <v>64</v>
      </c>
      <c r="B68" s="8">
        <v>3500</v>
      </c>
      <c r="C68" s="7">
        <v>3</v>
      </c>
      <c r="D68" s="10">
        <f t="shared" si="0"/>
        <v>1166.66666666667</v>
      </c>
    </row>
    <row r="69" spans="1:4">
      <c r="A69" s="7">
        <v>65</v>
      </c>
      <c r="B69" s="8">
        <v>3500</v>
      </c>
      <c r="C69" s="8">
        <v>3</v>
      </c>
      <c r="D69" s="10">
        <f t="shared" si="0"/>
        <v>1166.66666666667</v>
      </c>
    </row>
    <row r="70" spans="1:4">
      <c r="A70" s="7">
        <v>66</v>
      </c>
      <c r="B70" s="8">
        <v>3500</v>
      </c>
      <c r="C70" s="7">
        <v>3</v>
      </c>
      <c r="D70" s="10">
        <f t="shared" ref="D70:D133" si="1">B70/C70</f>
        <v>1166.66666666667</v>
      </c>
    </row>
    <row r="71" spans="1:4">
      <c r="A71" s="7">
        <v>67</v>
      </c>
      <c r="B71" s="8">
        <v>3500</v>
      </c>
      <c r="C71" s="8">
        <v>3</v>
      </c>
      <c r="D71" s="10">
        <f t="shared" si="1"/>
        <v>1166.66666666667</v>
      </c>
    </row>
    <row r="72" spans="1:4">
      <c r="A72" s="7">
        <v>68</v>
      </c>
      <c r="B72" s="8">
        <v>3500</v>
      </c>
      <c r="C72" s="7">
        <v>3</v>
      </c>
      <c r="D72" s="10">
        <f t="shared" si="1"/>
        <v>1166.66666666667</v>
      </c>
    </row>
    <row r="73" spans="1:4">
      <c r="A73" s="7">
        <v>69</v>
      </c>
      <c r="B73" s="8">
        <v>3500</v>
      </c>
      <c r="C73" s="8">
        <v>3</v>
      </c>
      <c r="D73" s="10">
        <f t="shared" si="1"/>
        <v>1166.66666666667</v>
      </c>
    </row>
    <row r="74" spans="1:4">
      <c r="A74" s="7">
        <v>70</v>
      </c>
      <c r="B74" s="8">
        <v>3500</v>
      </c>
      <c r="C74" s="7">
        <v>3</v>
      </c>
      <c r="D74" s="10">
        <f t="shared" si="1"/>
        <v>1166.66666666667</v>
      </c>
    </row>
    <row r="75" spans="1:4">
      <c r="A75" s="7">
        <v>71</v>
      </c>
      <c r="B75" s="7">
        <v>4000</v>
      </c>
      <c r="C75" s="8">
        <v>3</v>
      </c>
      <c r="D75" s="10">
        <f t="shared" si="1"/>
        <v>1333.33333333333</v>
      </c>
    </row>
    <row r="76" spans="1:4">
      <c r="A76" s="7">
        <v>72</v>
      </c>
      <c r="B76" s="7">
        <v>4000</v>
      </c>
      <c r="C76" s="7">
        <v>3</v>
      </c>
      <c r="D76" s="10">
        <f t="shared" si="1"/>
        <v>1333.33333333333</v>
      </c>
    </row>
    <row r="77" spans="1:4">
      <c r="A77" s="7">
        <v>73</v>
      </c>
      <c r="B77" s="7">
        <v>4000</v>
      </c>
      <c r="C77" s="8">
        <v>3</v>
      </c>
      <c r="D77" s="10">
        <f t="shared" si="1"/>
        <v>1333.33333333333</v>
      </c>
    </row>
    <row r="78" spans="1:4">
      <c r="A78" s="7">
        <v>74</v>
      </c>
      <c r="B78" s="7">
        <v>4000</v>
      </c>
      <c r="C78" s="7">
        <v>3</v>
      </c>
      <c r="D78" s="10">
        <f t="shared" si="1"/>
        <v>1333.33333333333</v>
      </c>
    </row>
    <row r="79" spans="1:4">
      <c r="A79" s="7">
        <v>75</v>
      </c>
      <c r="B79" s="7">
        <v>4000</v>
      </c>
      <c r="C79" s="8">
        <v>3</v>
      </c>
      <c r="D79" s="10">
        <f t="shared" si="1"/>
        <v>1333.33333333333</v>
      </c>
    </row>
    <row r="80" spans="1:4">
      <c r="A80" s="7">
        <v>76</v>
      </c>
      <c r="B80" s="7">
        <v>4000</v>
      </c>
      <c r="C80" s="7">
        <v>3</v>
      </c>
      <c r="D80" s="10">
        <f t="shared" si="1"/>
        <v>1333.33333333333</v>
      </c>
    </row>
    <row r="81" spans="1:4">
      <c r="A81" s="7">
        <v>77</v>
      </c>
      <c r="B81" s="7">
        <v>4000</v>
      </c>
      <c r="C81" s="8">
        <v>3</v>
      </c>
      <c r="D81" s="10">
        <f t="shared" si="1"/>
        <v>1333.33333333333</v>
      </c>
    </row>
    <row r="82" spans="1:4">
      <c r="A82" s="7">
        <v>78</v>
      </c>
      <c r="B82" s="7">
        <v>4000</v>
      </c>
      <c r="C82" s="7">
        <v>3</v>
      </c>
      <c r="D82" s="10">
        <f t="shared" si="1"/>
        <v>1333.33333333333</v>
      </c>
    </row>
    <row r="83" spans="1:4">
      <c r="A83" s="7">
        <v>79</v>
      </c>
      <c r="B83" s="7">
        <v>4000</v>
      </c>
      <c r="C83" s="8">
        <v>3</v>
      </c>
      <c r="D83" s="10">
        <f t="shared" si="1"/>
        <v>1333.33333333333</v>
      </c>
    </row>
    <row r="84" spans="1:4">
      <c r="A84" s="7">
        <v>80</v>
      </c>
      <c r="B84" s="7">
        <v>4000</v>
      </c>
      <c r="C84" s="7">
        <v>3</v>
      </c>
      <c r="D84" s="10">
        <f t="shared" si="1"/>
        <v>1333.33333333333</v>
      </c>
    </row>
    <row r="85" spans="1:4">
      <c r="A85" s="7">
        <v>81</v>
      </c>
      <c r="B85" s="7">
        <v>4500</v>
      </c>
      <c r="C85" s="8">
        <v>3</v>
      </c>
      <c r="D85" s="10">
        <f t="shared" si="1"/>
        <v>1500</v>
      </c>
    </row>
    <row r="86" spans="1:4">
      <c r="A86" s="7">
        <v>82</v>
      </c>
      <c r="B86" s="7">
        <v>4500</v>
      </c>
      <c r="C86" s="7">
        <v>3</v>
      </c>
      <c r="D86" s="10">
        <f t="shared" si="1"/>
        <v>1500</v>
      </c>
    </row>
    <row r="87" spans="1:4">
      <c r="A87" s="7">
        <v>83</v>
      </c>
      <c r="B87" s="7">
        <v>4500</v>
      </c>
      <c r="C87" s="8">
        <v>3</v>
      </c>
      <c r="D87" s="10">
        <f t="shared" si="1"/>
        <v>1500</v>
      </c>
    </row>
    <row r="88" spans="1:4">
      <c r="A88" s="7">
        <v>84</v>
      </c>
      <c r="B88" s="7">
        <v>4500</v>
      </c>
      <c r="C88" s="7">
        <v>3</v>
      </c>
      <c r="D88" s="10">
        <f t="shared" si="1"/>
        <v>1500</v>
      </c>
    </row>
    <row r="89" spans="1:4">
      <c r="A89" s="7">
        <v>85</v>
      </c>
      <c r="B89" s="7">
        <v>4500</v>
      </c>
      <c r="C89" s="8">
        <v>3</v>
      </c>
      <c r="D89" s="10">
        <f t="shared" si="1"/>
        <v>1500</v>
      </c>
    </row>
    <row r="90" spans="1:4">
      <c r="A90" s="7">
        <v>86</v>
      </c>
      <c r="B90" s="7">
        <v>4500</v>
      </c>
      <c r="C90" s="7">
        <v>3</v>
      </c>
      <c r="D90" s="10">
        <f t="shared" si="1"/>
        <v>1500</v>
      </c>
    </row>
    <row r="91" spans="1:4">
      <c r="A91" s="7">
        <v>87</v>
      </c>
      <c r="B91" s="7">
        <v>4500</v>
      </c>
      <c r="C91" s="8">
        <v>3</v>
      </c>
      <c r="D91" s="10">
        <f t="shared" si="1"/>
        <v>1500</v>
      </c>
    </row>
    <row r="92" spans="1:4">
      <c r="A92" s="7">
        <v>88</v>
      </c>
      <c r="B92" s="7">
        <v>4500</v>
      </c>
      <c r="C92" s="7">
        <v>3</v>
      </c>
      <c r="D92" s="10">
        <f t="shared" si="1"/>
        <v>1500</v>
      </c>
    </row>
    <row r="93" spans="1:4">
      <c r="A93" s="7">
        <v>89</v>
      </c>
      <c r="B93" s="7">
        <v>4500</v>
      </c>
      <c r="C93" s="8">
        <v>3</v>
      </c>
      <c r="D93" s="10">
        <f t="shared" si="1"/>
        <v>1500</v>
      </c>
    </row>
    <row r="94" spans="1:4">
      <c r="A94" s="13">
        <v>90</v>
      </c>
      <c r="B94" s="13">
        <v>4500</v>
      </c>
      <c r="C94" s="13">
        <v>3</v>
      </c>
      <c r="D94" s="14">
        <f t="shared" si="1"/>
        <v>1500</v>
      </c>
    </row>
    <row r="95" spans="1:4">
      <c r="A95" s="7">
        <v>91</v>
      </c>
      <c r="B95" s="7">
        <v>5000</v>
      </c>
      <c r="C95" s="8">
        <v>3</v>
      </c>
      <c r="D95" s="10">
        <f t="shared" si="1"/>
        <v>1666.66666666667</v>
      </c>
    </row>
    <row r="96" spans="1:4">
      <c r="A96" s="7">
        <v>92</v>
      </c>
      <c r="B96" s="7">
        <v>5000</v>
      </c>
      <c r="C96" s="7">
        <v>3</v>
      </c>
      <c r="D96" s="10">
        <f t="shared" si="1"/>
        <v>1666.66666666667</v>
      </c>
    </row>
    <row r="97" spans="1:4">
      <c r="A97" s="7">
        <v>93</v>
      </c>
      <c r="B97" s="7">
        <v>5000</v>
      </c>
      <c r="C97" s="8">
        <v>3</v>
      </c>
      <c r="D97" s="10">
        <f t="shared" si="1"/>
        <v>1666.66666666667</v>
      </c>
    </row>
    <row r="98" spans="1:4">
      <c r="A98" s="7">
        <v>94</v>
      </c>
      <c r="B98" s="7">
        <v>5000</v>
      </c>
      <c r="C98" s="7">
        <v>3</v>
      </c>
      <c r="D98" s="10">
        <f t="shared" si="1"/>
        <v>1666.66666666667</v>
      </c>
    </row>
    <row r="99" spans="1:4">
      <c r="A99" s="7">
        <v>95</v>
      </c>
      <c r="B99" s="7">
        <v>5000</v>
      </c>
      <c r="C99" s="8">
        <v>3</v>
      </c>
      <c r="D99" s="10">
        <f t="shared" si="1"/>
        <v>1666.66666666667</v>
      </c>
    </row>
    <row r="100" spans="1:4">
      <c r="A100" s="7">
        <v>96</v>
      </c>
      <c r="B100" s="7">
        <f>B95+500</f>
        <v>5500</v>
      </c>
      <c r="C100" s="7">
        <v>3</v>
      </c>
      <c r="D100" s="10">
        <f t="shared" si="1"/>
        <v>1833.33333333333</v>
      </c>
    </row>
    <row r="101" spans="1:4">
      <c r="A101" s="7">
        <v>97</v>
      </c>
      <c r="B101" s="7">
        <f>B100</f>
        <v>5500</v>
      </c>
      <c r="C101" s="8">
        <v>3</v>
      </c>
      <c r="D101" s="10">
        <f t="shared" si="1"/>
        <v>1833.33333333333</v>
      </c>
    </row>
    <row r="102" spans="1:4">
      <c r="A102" s="7">
        <v>98</v>
      </c>
      <c r="B102" s="7">
        <f>B100</f>
        <v>5500</v>
      </c>
      <c r="C102" s="7">
        <v>3</v>
      </c>
      <c r="D102" s="10">
        <f t="shared" si="1"/>
        <v>1833.33333333333</v>
      </c>
    </row>
    <row r="103" spans="1:4">
      <c r="A103" s="7">
        <v>99</v>
      </c>
      <c r="B103" s="7">
        <f>B100</f>
        <v>5500</v>
      </c>
      <c r="C103" s="8">
        <v>3</v>
      </c>
      <c r="D103" s="10">
        <f t="shared" si="1"/>
        <v>1833.33333333333</v>
      </c>
    </row>
    <row r="104" spans="1:4">
      <c r="A104" s="7">
        <v>100</v>
      </c>
      <c r="B104" s="7">
        <f>B100</f>
        <v>5500</v>
      </c>
      <c r="C104" s="7">
        <v>3</v>
      </c>
      <c r="D104" s="10">
        <f t="shared" si="1"/>
        <v>1833.33333333333</v>
      </c>
    </row>
    <row r="105" spans="1:4">
      <c r="A105" s="7">
        <v>101</v>
      </c>
      <c r="B105" s="7">
        <f>B100+500</f>
        <v>6000</v>
      </c>
      <c r="C105" s="8">
        <v>3</v>
      </c>
      <c r="D105" s="10">
        <f t="shared" si="1"/>
        <v>2000</v>
      </c>
    </row>
    <row r="106" spans="1:4">
      <c r="A106" s="7">
        <v>102</v>
      </c>
      <c r="B106" s="7">
        <f>B105</f>
        <v>6000</v>
      </c>
      <c r="C106" s="7">
        <v>3</v>
      </c>
      <c r="D106" s="10">
        <f t="shared" si="1"/>
        <v>2000</v>
      </c>
    </row>
    <row r="107" spans="1:4">
      <c r="A107" s="7">
        <v>103</v>
      </c>
      <c r="B107" s="7">
        <f>B105</f>
        <v>6000</v>
      </c>
      <c r="C107" s="7">
        <v>3</v>
      </c>
      <c r="D107" s="10">
        <f t="shared" si="1"/>
        <v>2000</v>
      </c>
    </row>
    <row r="108" spans="1:4">
      <c r="A108" s="7">
        <v>104</v>
      </c>
      <c r="B108" s="7">
        <f>B105</f>
        <v>6000</v>
      </c>
      <c r="C108" s="8">
        <v>3</v>
      </c>
      <c r="D108" s="10">
        <f t="shared" si="1"/>
        <v>2000</v>
      </c>
    </row>
    <row r="109" spans="1:4">
      <c r="A109" s="7">
        <v>105</v>
      </c>
      <c r="B109" s="7">
        <f>B105</f>
        <v>6000</v>
      </c>
      <c r="C109" s="7">
        <v>3</v>
      </c>
      <c r="D109" s="10">
        <f t="shared" si="1"/>
        <v>2000</v>
      </c>
    </row>
    <row r="110" spans="1:4">
      <c r="A110" s="7">
        <v>106</v>
      </c>
      <c r="B110" s="7">
        <f>B105+500</f>
        <v>6500</v>
      </c>
      <c r="C110" s="8">
        <v>3</v>
      </c>
      <c r="D110" s="10">
        <f t="shared" si="1"/>
        <v>2166.66666666667</v>
      </c>
    </row>
    <row r="111" spans="1:4">
      <c r="A111" s="7">
        <v>107</v>
      </c>
      <c r="B111" s="7">
        <f>B110</f>
        <v>6500</v>
      </c>
      <c r="C111" s="7">
        <v>3</v>
      </c>
      <c r="D111" s="10">
        <f t="shared" si="1"/>
        <v>2166.66666666667</v>
      </c>
    </row>
    <row r="112" spans="1:4">
      <c r="A112" s="7">
        <v>108</v>
      </c>
      <c r="B112" s="7">
        <f>B110</f>
        <v>6500</v>
      </c>
      <c r="C112" s="8">
        <v>3</v>
      </c>
      <c r="D112" s="10">
        <f t="shared" si="1"/>
        <v>2166.66666666667</v>
      </c>
    </row>
    <row r="113" spans="1:4">
      <c r="A113" s="7">
        <v>109</v>
      </c>
      <c r="B113" s="7">
        <f>B110</f>
        <v>6500</v>
      </c>
      <c r="C113" s="7">
        <v>3</v>
      </c>
      <c r="D113" s="10">
        <f t="shared" si="1"/>
        <v>2166.66666666667</v>
      </c>
    </row>
    <row r="114" spans="1:4">
      <c r="A114" s="7">
        <v>110</v>
      </c>
      <c r="B114" s="7">
        <f>B110</f>
        <v>6500</v>
      </c>
      <c r="C114" s="8">
        <v>3</v>
      </c>
      <c r="D114" s="10">
        <f t="shared" si="1"/>
        <v>2166.66666666667</v>
      </c>
    </row>
    <row r="115" spans="1:4">
      <c r="A115" s="7">
        <v>111</v>
      </c>
      <c r="B115" s="7">
        <f>B110+500</f>
        <v>7000</v>
      </c>
      <c r="C115" s="7">
        <v>3</v>
      </c>
      <c r="D115" s="10">
        <f t="shared" si="1"/>
        <v>2333.33333333333</v>
      </c>
    </row>
    <row r="116" spans="1:4">
      <c r="A116" s="7">
        <v>112</v>
      </c>
      <c r="B116" s="7">
        <f>B115</f>
        <v>7000</v>
      </c>
      <c r="C116" s="8">
        <v>3</v>
      </c>
      <c r="D116" s="10">
        <f t="shared" si="1"/>
        <v>2333.33333333333</v>
      </c>
    </row>
    <row r="117" spans="1:4">
      <c r="A117" s="7">
        <v>113</v>
      </c>
      <c r="B117" s="7">
        <f>B115</f>
        <v>7000</v>
      </c>
      <c r="C117" s="7">
        <v>3</v>
      </c>
      <c r="D117" s="10">
        <f t="shared" si="1"/>
        <v>2333.33333333333</v>
      </c>
    </row>
    <row r="118" spans="1:4">
      <c r="A118" s="7">
        <v>114</v>
      </c>
      <c r="B118" s="7">
        <f>B115</f>
        <v>7000</v>
      </c>
      <c r="C118" s="8">
        <v>3</v>
      </c>
      <c r="D118" s="10">
        <f t="shared" si="1"/>
        <v>2333.33333333333</v>
      </c>
    </row>
    <row r="119" spans="1:4">
      <c r="A119" s="7">
        <v>115</v>
      </c>
      <c r="B119" s="7">
        <f>B115</f>
        <v>7000</v>
      </c>
      <c r="C119" s="7">
        <v>3</v>
      </c>
      <c r="D119" s="10">
        <f t="shared" si="1"/>
        <v>2333.33333333333</v>
      </c>
    </row>
    <row r="120" spans="1:4">
      <c r="A120" s="7">
        <v>116</v>
      </c>
      <c r="B120" s="7">
        <f>B115+500</f>
        <v>7500</v>
      </c>
      <c r="C120" s="8">
        <v>3</v>
      </c>
      <c r="D120" s="10">
        <f t="shared" si="1"/>
        <v>2500</v>
      </c>
    </row>
    <row r="121" spans="1:4">
      <c r="A121" s="7">
        <v>117</v>
      </c>
      <c r="B121" s="7">
        <f>B120</f>
        <v>7500</v>
      </c>
      <c r="C121" s="7">
        <v>3</v>
      </c>
      <c r="D121" s="10">
        <f t="shared" si="1"/>
        <v>2500</v>
      </c>
    </row>
    <row r="122" spans="1:4">
      <c r="A122" s="7">
        <v>118</v>
      </c>
      <c r="B122" s="7">
        <f>B120</f>
        <v>7500</v>
      </c>
      <c r="C122" s="8">
        <v>3</v>
      </c>
      <c r="D122" s="10">
        <f t="shared" si="1"/>
        <v>2500</v>
      </c>
    </row>
    <row r="123" spans="1:4">
      <c r="A123" s="7">
        <v>119</v>
      </c>
      <c r="B123" s="7">
        <f>B120</f>
        <v>7500</v>
      </c>
      <c r="C123" s="7">
        <v>3</v>
      </c>
      <c r="D123" s="10">
        <f t="shared" si="1"/>
        <v>2500</v>
      </c>
    </row>
    <row r="124" spans="1:4">
      <c r="A124" s="7">
        <v>120</v>
      </c>
      <c r="B124" s="7">
        <f>B120</f>
        <v>7500</v>
      </c>
      <c r="C124" s="8">
        <v>3</v>
      </c>
      <c r="D124" s="10">
        <f t="shared" si="1"/>
        <v>2500</v>
      </c>
    </row>
    <row r="125" spans="1:4">
      <c r="A125" s="7">
        <v>121</v>
      </c>
      <c r="B125" s="7">
        <f>B120+500</f>
        <v>8000</v>
      </c>
      <c r="C125" s="7">
        <v>3</v>
      </c>
      <c r="D125" s="10">
        <f t="shared" si="1"/>
        <v>2666.66666666667</v>
      </c>
    </row>
    <row r="126" spans="1:4">
      <c r="A126" s="7">
        <v>122</v>
      </c>
      <c r="B126" s="7">
        <f>B125</f>
        <v>8000</v>
      </c>
      <c r="C126" s="8">
        <v>3</v>
      </c>
      <c r="D126" s="10">
        <f t="shared" si="1"/>
        <v>2666.66666666667</v>
      </c>
    </row>
    <row r="127" spans="1:4">
      <c r="A127" s="7">
        <v>123</v>
      </c>
      <c r="B127" s="7">
        <f>B125</f>
        <v>8000</v>
      </c>
      <c r="C127" s="7">
        <v>3</v>
      </c>
      <c r="D127" s="10">
        <f t="shared" si="1"/>
        <v>2666.66666666667</v>
      </c>
    </row>
    <row r="128" spans="1:4">
      <c r="A128" s="7">
        <v>124</v>
      </c>
      <c r="B128" s="7">
        <f>B125</f>
        <v>8000</v>
      </c>
      <c r="C128" s="8">
        <v>3</v>
      </c>
      <c r="D128" s="10">
        <f t="shared" si="1"/>
        <v>2666.66666666667</v>
      </c>
    </row>
    <row r="129" spans="1:4">
      <c r="A129" s="7">
        <v>125</v>
      </c>
      <c r="B129" s="7">
        <f>B125</f>
        <v>8000</v>
      </c>
      <c r="C129" s="7">
        <v>3</v>
      </c>
      <c r="D129" s="10">
        <f t="shared" si="1"/>
        <v>2666.66666666667</v>
      </c>
    </row>
    <row r="130" spans="1:4">
      <c r="A130" s="7">
        <v>126</v>
      </c>
      <c r="B130" s="7">
        <f>B125+500</f>
        <v>8500</v>
      </c>
      <c r="C130" s="8">
        <v>3</v>
      </c>
      <c r="D130" s="10">
        <f t="shared" si="1"/>
        <v>2833.33333333333</v>
      </c>
    </row>
    <row r="131" spans="1:4">
      <c r="A131" s="7">
        <v>127</v>
      </c>
      <c r="B131" s="7">
        <f>B130</f>
        <v>8500</v>
      </c>
      <c r="C131" s="7">
        <v>3</v>
      </c>
      <c r="D131" s="10">
        <f t="shared" si="1"/>
        <v>2833.33333333333</v>
      </c>
    </row>
    <row r="132" spans="1:4">
      <c r="A132" s="7">
        <v>128</v>
      </c>
      <c r="B132" s="7">
        <f>B130</f>
        <v>8500</v>
      </c>
      <c r="C132" s="8">
        <v>3</v>
      </c>
      <c r="D132" s="10">
        <f t="shared" si="1"/>
        <v>2833.33333333333</v>
      </c>
    </row>
    <row r="133" spans="1:4">
      <c r="A133" s="7">
        <v>129</v>
      </c>
      <c r="B133" s="7">
        <f>B130</f>
        <v>8500</v>
      </c>
      <c r="C133" s="7">
        <v>3</v>
      </c>
      <c r="D133" s="10">
        <f t="shared" si="1"/>
        <v>2833.33333333333</v>
      </c>
    </row>
    <row r="134" spans="1:4">
      <c r="A134" s="7">
        <v>130</v>
      </c>
      <c r="B134" s="7">
        <f>B130</f>
        <v>8500</v>
      </c>
      <c r="C134" s="8">
        <v>3</v>
      </c>
      <c r="D134" s="10">
        <f t="shared" ref="D134:D197" si="2">B134/C134</f>
        <v>2833.33333333333</v>
      </c>
    </row>
    <row r="135" spans="1:4">
      <c r="A135" s="7">
        <v>131</v>
      </c>
      <c r="B135" s="7">
        <f>B130+500</f>
        <v>9000</v>
      </c>
      <c r="C135" s="7">
        <v>3</v>
      </c>
      <c r="D135" s="10">
        <f t="shared" si="2"/>
        <v>3000</v>
      </c>
    </row>
    <row r="136" spans="1:4">
      <c r="A136" s="7">
        <v>132</v>
      </c>
      <c r="B136" s="7">
        <f>B135</f>
        <v>9000</v>
      </c>
      <c r="C136" s="8">
        <v>3</v>
      </c>
      <c r="D136" s="10">
        <f t="shared" si="2"/>
        <v>3000</v>
      </c>
    </row>
    <row r="137" spans="1:4">
      <c r="A137" s="7">
        <v>133</v>
      </c>
      <c r="B137" s="7">
        <f>B135</f>
        <v>9000</v>
      </c>
      <c r="C137" s="7">
        <v>3</v>
      </c>
      <c r="D137" s="10">
        <f t="shared" si="2"/>
        <v>3000</v>
      </c>
    </row>
    <row r="138" spans="1:4">
      <c r="A138" s="7">
        <v>134</v>
      </c>
      <c r="B138" s="7">
        <f>B135</f>
        <v>9000</v>
      </c>
      <c r="C138" s="8">
        <v>3</v>
      </c>
      <c r="D138" s="10">
        <f t="shared" si="2"/>
        <v>3000</v>
      </c>
    </row>
    <row r="139" spans="1:4">
      <c r="A139" s="7">
        <v>135</v>
      </c>
      <c r="B139" s="7">
        <f>B135</f>
        <v>9000</v>
      </c>
      <c r="C139" s="7">
        <v>3</v>
      </c>
      <c r="D139" s="10">
        <f t="shared" si="2"/>
        <v>3000</v>
      </c>
    </row>
    <row r="140" spans="1:4">
      <c r="A140" s="7">
        <v>136</v>
      </c>
      <c r="B140" s="7">
        <v>9000</v>
      </c>
      <c r="C140" s="8">
        <v>3</v>
      </c>
      <c r="D140" s="10">
        <f t="shared" si="2"/>
        <v>3000</v>
      </c>
    </row>
    <row r="141" spans="1:4">
      <c r="A141" s="7">
        <v>137</v>
      </c>
      <c r="B141" s="7">
        <v>9000</v>
      </c>
      <c r="C141" s="7">
        <v>3</v>
      </c>
      <c r="D141" s="10">
        <f t="shared" si="2"/>
        <v>3000</v>
      </c>
    </row>
    <row r="142" spans="1:4">
      <c r="A142" s="7">
        <v>138</v>
      </c>
      <c r="B142" s="7">
        <f>B140</f>
        <v>9000</v>
      </c>
      <c r="C142" s="8">
        <v>3</v>
      </c>
      <c r="D142" s="10">
        <f t="shared" si="2"/>
        <v>3000</v>
      </c>
    </row>
    <row r="143" spans="1:4">
      <c r="A143" s="7">
        <v>139</v>
      </c>
      <c r="B143" s="7">
        <f>B140</f>
        <v>9000</v>
      </c>
      <c r="C143" s="7">
        <v>3</v>
      </c>
      <c r="D143" s="10">
        <f t="shared" si="2"/>
        <v>3000</v>
      </c>
    </row>
    <row r="144" spans="1:4">
      <c r="A144" s="7">
        <v>140</v>
      </c>
      <c r="B144" s="7">
        <f>B140</f>
        <v>9000</v>
      </c>
      <c r="C144" s="8">
        <v>3</v>
      </c>
      <c r="D144" s="10">
        <f t="shared" si="2"/>
        <v>3000</v>
      </c>
    </row>
    <row r="145" spans="1:4">
      <c r="A145" s="7">
        <v>141</v>
      </c>
      <c r="B145" s="7">
        <f t="shared" ref="B145:B151" si="3">B141</f>
        <v>9000</v>
      </c>
      <c r="C145" s="7">
        <v>3</v>
      </c>
      <c r="D145" s="10">
        <f t="shared" si="2"/>
        <v>3000</v>
      </c>
    </row>
    <row r="146" spans="1:4">
      <c r="A146" s="7">
        <v>142</v>
      </c>
      <c r="B146" s="7">
        <f t="shared" si="3"/>
        <v>9000</v>
      </c>
      <c r="C146" s="8">
        <v>3</v>
      </c>
      <c r="D146" s="10">
        <f t="shared" si="2"/>
        <v>3000</v>
      </c>
    </row>
    <row r="147" spans="1:4">
      <c r="A147" s="7">
        <v>143</v>
      </c>
      <c r="B147" s="7">
        <f t="shared" si="3"/>
        <v>9000</v>
      </c>
      <c r="C147" s="7">
        <v>3</v>
      </c>
      <c r="D147" s="10">
        <f t="shared" si="2"/>
        <v>3000</v>
      </c>
    </row>
    <row r="148" spans="1:4">
      <c r="A148" s="7">
        <v>144</v>
      </c>
      <c r="B148" s="7">
        <f t="shared" si="3"/>
        <v>9000</v>
      </c>
      <c r="C148" s="8">
        <v>3</v>
      </c>
      <c r="D148" s="10">
        <f t="shared" si="2"/>
        <v>3000</v>
      </c>
    </row>
    <row r="149" spans="1:4">
      <c r="A149" s="15">
        <v>145</v>
      </c>
      <c r="B149" s="15">
        <v>9000</v>
      </c>
      <c r="C149" s="15">
        <v>3</v>
      </c>
      <c r="D149" s="16">
        <f t="shared" si="2"/>
        <v>3000</v>
      </c>
    </row>
    <row r="150" spans="1:4">
      <c r="A150" s="7">
        <v>146</v>
      </c>
      <c r="B150" s="7">
        <f t="shared" si="3"/>
        <v>9000</v>
      </c>
      <c r="C150" s="8">
        <v>3</v>
      </c>
      <c r="D150" s="10">
        <f t="shared" si="2"/>
        <v>3000</v>
      </c>
    </row>
    <row r="151" spans="1:4">
      <c r="A151" s="7">
        <v>147</v>
      </c>
      <c r="B151" s="7">
        <f t="shared" si="3"/>
        <v>9000</v>
      </c>
      <c r="C151" s="7">
        <v>3</v>
      </c>
      <c r="D151" s="10">
        <f t="shared" si="2"/>
        <v>3000</v>
      </c>
    </row>
    <row r="152" spans="1:4">
      <c r="A152" s="7">
        <v>148</v>
      </c>
      <c r="B152" s="7">
        <f t="shared" ref="B152:B164" si="4">B148</f>
        <v>9000</v>
      </c>
      <c r="C152" s="8">
        <v>3</v>
      </c>
      <c r="D152" s="10">
        <f t="shared" si="2"/>
        <v>3000</v>
      </c>
    </row>
    <row r="153" spans="1:4">
      <c r="A153" s="7">
        <v>149</v>
      </c>
      <c r="B153" s="7">
        <f t="shared" si="4"/>
        <v>9000</v>
      </c>
      <c r="C153" s="7">
        <v>3</v>
      </c>
      <c r="D153" s="10">
        <f t="shared" si="2"/>
        <v>3000</v>
      </c>
    </row>
    <row r="154" spans="1:4">
      <c r="A154" s="7">
        <v>150</v>
      </c>
      <c r="B154" s="7">
        <f t="shared" si="4"/>
        <v>9000</v>
      </c>
      <c r="C154" s="8">
        <v>3</v>
      </c>
      <c r="D154" s="10">
        <f t="shared" si="2"/>
        <v>3000</v>
      </c>
    </row>
    <row r="155" spans="1:4">
      <c r="A155" s="7">
        <v>151</v>
      </c>
      <c r="B155" s="7">
        <f t="shared" si="4"/>
        <v>9000</v>
      </c>
      <c r="C155" s="7">
        <v>3</v>
      </c>
      <c r="D155" s="10">
        <f t="shared" si="2"/>
        <v>3000</v>
      </c>
    </row>
    <row r="156" spans="1:4">
      <c r="A156" s="7">
        <v>152</v>
      </c>
      <c r="B156" s="7">
        <f t="shared" si="4"/>
        <v>9000</v>
      </c>
      <c r="C156" s="8">
        <v>3</v>
      </c>
      <c r="D156" s="10">
        <f t="shared" si="2"/>
        <v>3000</v>
      </c>
    </row>
    <row r="157" spans="1:4">
      <c r="A157" s="7">
        <v>153</v>
      </c>
      <c r="B157" s="7">
        <f t="shared" si="4"/>
        <v>9000</v>
      </c>
      <c r="C157" s="7">
        <v>3</v>
      </c>
      <c r="D157" s="10">
        <f t="shared" si="2"/>
        <v>3000</v>
      </c>
    </row>
    <row r="158" spans="1:4">
      <c r="A158" s="7">
        <v>154</v>
      </c>
      <c r="B158" s="7">
        <f t="shared" si="4"/>
        <v>9000</v>
      </c>
      <c r="C158" s="8">
        <v>3</v>
      </c>
      <c r="D158" s="10">
        <f t="shared" si="2"/>
        <v>3000</v>
      </c>
    </row>
    <row r="159" spans="1:4">
      <c r="A159" s="7">
        <v>155</v>
      </c>
      <c r="B159" s="7">
        <f t="shared" si="4"/>
        <v>9000</v>
      </c>
      <c r="C159" s="7">
        <v>3</v>
      </c>
      <c r="D159" s="10">
        <f t="shared" si="2"/>
        <v>3000</v>
      </c>
    </row>
    <row r="160" spans="1:4">
      <c r="A160" s="7">
        <v>156</v>
      </c>
      <c r="B160" s="7">
        <f t="shared" si="4"/>
        <v>9000</v>
      </c>
      <c r="C160" s="8">
        <v>3</v>
      </c>
      <c r="D160" s="10">
        <f t="shared" si="2"/>
        <v>3000</v>
      </c>
    </row>
    <row r="161" spans="1:4">
      <c r="A161" s="7">
        <v>157</v>
      </c>
      <c r="B161" s="7">
        <f t="shared" si="4"/>
        <v>9000</v>
      </c>
      <c r="C161" s="7">
        <v>3</v>
      </c>
      <c r="D161" s="10">
        <f t="shared" si="2"/>
        <v>3000</v>
      </c>
    </row>
    <row r="162" spans="1:4">
      <c r="A162" s="7">
        <v>158</v>
      </c>
      <c r="B162" s="7">
        <f t="shared" si="4"/>
        <v>9000</v>
      </c>
      <c r="C162" s="8">
        <v>3</v>
      </c>
      <c r="D162" s="10">
        <f t="shared" si="2"/>
        <v>3000</v>
      </c>
    </row>
    <row r="163" spans="1:4">
      <c r="A163" s="7">
        <v>159</v>
      </c>
      <c r="B163" s="7">
        <f t="shared" si="4"/>
        <v>9000</v>
      </c>
      <c r="C163" s="7">
        <v>3</v>
      </c>
      <c r="D163" s="10">
        <f t="shared" si="2"/>
        <v>3000</v>
      </c>
    </row>
    <row r="164" spans="1:4">
      <c r="A164" s="7">
        <v>160</v>
      </c>
      <c r="B164" s="7">
        <f t="shared" si="4"/>
        <v>9000</v>
      </c>
      <c r="C164" s="8">
        <v>3</v>
      </c>
      <c r="D164" s="10">
        <f t="shared" si="2"/>
        <v>3000</v>
      </c>
    </row>
    <row r="165" spans="1:4">
      <c r="A165" s="7">
        <v>161</v>
      </c>
      <c r="B165" s="7">
        <f>B145+500</f>
        <v>9500</v>
      </c>
      <c r="C165" s="7">
        <v>3</v>
      </c>
      <c r="D165" s="10">
        <f t="shared" si="2"/>
        <v>3166.66666666667</v>
      </c>
    </row>
    <row r="166" spans="1:4">
      <c r="A166" s="7">
        <v>162</v>
      </c>
      <c r="B166" s="7">
        <f>B165</f>
        <v>9500</v>
      </c>
      <c r="C166" s="8">
        <v>3</v>
      </c>
      <c r="D166" s="10">
        <f t="shared" si="2"/>
        <v>3166.66666666667</v>
      </c>
    </row>
    <row r="167" spans="1:4">
      <c r="A167" s="7">
        <v>163</v>
      </c>
      <c r="B167" s="7">
        <f>B165</f>
        <v>9500</v>
      </c>
      <c r="C167" s="7">
        <v>3</v>
      </c>
      <c r="D167" s="10">
        <f t="shared" si="2"/>
        <v>3166.66666666667</v>
      </c>
    </row>
    <row r="168" spans="1:4">
      <c r="A168" s="7">
        <v>164</v>
      </c>
      <c r="B168" s="7">
        <f>B165</f>
        <v>9500</v>
      </c>
      <c r="C168" s="8">
        <v>3</v>
      </c>
      <c r="D168" s="10">
        <f t="shared" si="2"/>
        <v>3166.66666666667</v>
      </c>
    </row>
    <row r="169" spans="1:4">
      <c r="A169" s="7">
        <v>165</v>
      </c>
      <c r="B169" s="7">
        <f>B165</f>
        <v>9500</v>
      </c>
      <c r="C169" s="7">
        <v>3</v>
      </c>
      <c r="D169" s="10">
        <f t="shared" si="2"/>
        <v>3166.66666666667</v>
      </c>
    </row>
    <row r="170" spans="1:4">
      <c r="A170" s="7">
        <v>166</v>
      </c>
      <c r="B170" s="7">
        <f>B165+500</f>
        <v>10000</v>
      </c>
      <c r="C170" s="8">
        <v>3</v>
      </c>
      <c r="D170" s="10">
        <f t="shared" si="2"/>
        <v>3333.33333333333</v>
      </c>
    </row>
    <row r="171" spans="1:4">
      <c r="A171" s="7">
        <v>167</v>
      </c>
      <c r="B171" s="7">
        <f>B170</f>
        <v>10000</v>
      </c>
      <c r="C171" s="7">
        <v>3</v>
      </c>
      <c r="D171" s="10">
        <f t="shared" si="2"/>
        <v>3333.33333333333</v>
      </c>
    </row>
    <row r="172" spans="1:4">
      <c r="A172" s="7">
        <v>168</v>
      </c>
      <c r="B172" s="7">
        <f>B170</f>
        <v>10000</v>
      </c>
      <c r="C172" s="8">
        <v>3</v>
      </c>
      <c r="D172" s="10">
        <f t="shared" si="2"/>
        <v>3333.33333333333</v>
      </c>
    </row>
    <row r="173" spans="1:4">
      <c r="A173" s="7">
        <v>169</v>
      </c>
      <c r="B173" s="7">
        <f>B170</f>
        <v>10000</v>
      </c>
      <c r="C173" s="7">
        <v>3</v>
      </c>
      <c r="D173" s="10">
        <f t="shared" si="2"/>
        <v>3333.33333333333</v>
      </c>
    </row>
    <row r="174" spans="1:4">
      <c r="A174" s="7">
        <v>170</v>
      </c>
      <c r="B174" s="7">
        <f>B170</f>
        <v>10000</v>
      </c>
      <c r="C174" s="8">
        <v>3</v>
      </c>
      <c r="D174" s="10">
        <f t="shared" si="2"/>
        <v>3333.33333333333</v>
      </c>
    </row>
    <row r="175" spans="1:4">
      <c r="A175" s="7">
        <v>171</v>
      </c>
      <c r="B175" s="7">
        <f>B170+500</f>
        <v>10500</v>
      </c>
      <c r="C175" s="7">
        <v>3</v>
      </c>
      <c r="D175" s="10">
        <f t="shared" si="2"/>
        <v>3500</v>
      </c>
    </row>
    <row r="176" spans="1:4">
      <c r="A176" s="7">
        <v>172</v>
      </c>
      <c r="B176" s="7">
        <f>B175</f>
        <v>10500</v>
      </c>
      <c r="C176" s="8">
        <v>3</v>
      </c>
      <c r="D176" s="10">
        <f t="shared" si="2"/>
        <v>3500</v>
      </c>
    </row>
    <row r="177" spans="1:4">
      <c r="A177" s="7">
        <v>173</v>
      </c>
      <c r="B177" s="7">
        <f>B175</f>
        <v>10500</v>
      </c>
      <c r="C177" s="7">
        <v>3</v>
      </c>
      <c r="D177" s="10">
        <f t="shared" si="2"/>
        <v>3500</v>
      </c>
    </row>
    <row r="178" spans="1:4">
      <c r="A178" s="7">
        <v>174</v>
      </c>
      <c r="B178" s="7">
        <f>B175</f>
        <v>10500</v>
      </c>
      <c r="C178" s="8">
        <v>3</v>
      </c>
      <c r="D178" s="10">
        <f t="shared" si="2"/>
        <v>3500</v>
      </c>
    </row>
    <row r="179" spans="1:4">
      <c r="A179" s="7">
        <v>175</v>
      </c>
      <c r="B179" s="7">
        <f>B175</f>
        <v>10500</v>
      </c>
      <c r="C179" s="7">
        <v>3</v>
      </c>
      <c r="D179" s="10">
        <f t="shared" si="2"/>
        <v>3500</v>
      </c>
    </row>
    <row r="180" spans="1:4">
      <c r="A180" s="7">
        <v>176</v>
      </c>
      <c r="B180" s="7">
        <f>B175+500</f>
        <v>11000</v>
      </c>
      <c r="C180" s="8">
        <v>3</v>
      </c>
      <c r="D180" s="10">
        <f t="shared" si="2"/>
        <v>3666.66666666667</v>
      </c>
    </row>
    <row r="181" spans="1:4">
      <c r="A181" s="7">
        <v>177</v>
      </c>
      <c r="B181" s="7">
        <f>B180</f>
        <v>11000</v>
      </c>
      <c r="C181" s="7">
        <v>3</v>
      </c>
      <c r="D181" s="10">
        <f t="shared" si="2"/>
        <v>3666.66666666667</v>
      </c>
    </row>
    <row r="182" spans="1:4">
      <c r="A182" s="7">
        <v>178</v>
      </c>
      <c r="B182" s="7">
        <f>B180</f>
        <v>11000</v>
      </c>
      <c r="C182" s="8">
        <v>3</v>
      </c>
      <c r="D182" s="10">
        <f t="shared" si="2"/>
        <v>3666.66666666667</v>
      </c>
    </row>
    <row r="183" spans="1:4">
      <c r="A183" s="7">
        <v>179</v>
      </c>
      <c r="B183" s="7">
        <f>B180</f>
        <v>11000</v>
      </c>
      <c r="C183" s="7">
        <v>3</v>
      </c>
      <c r="D183" s="10">
        <f t="shared" si="2"/>
        <v>3666.66666666667</v>
      </c>
    </row>
    <row r="184" spans="1:4">
      <c r="A184" s="7">
        <v>180</v>
      </c>
      <c r="B184" s="7">
        <f>B180</f>
        <v>11000</v>
      </c>
      <c r="C184" s="8">
        <v>3</v>
      </c>
      <c r="D184" s="10">
        <f t="shared" si="2"/>
        <v>3666.66666666667</v>
      </c>
    </row>
    <row r="185" spans="1:4">
      <c r="A185" s="7">
        <v>181</v>
      </c>
      <c r="B185" s="7">
        <f>B180+500</f>
        <v>11500</v>
      </c>
      <c r="C185" s="7">
        <v>3</v>
      </c>
      <c r="D185" s="10">
        <f t="shared" si="2"/>
        <v>3833.33333333333</v>
      </c>
    </row>
    <row r="186" spans="1:4">
      <c r="A186" s="7">
        <v>182</v>
      </c>
      <c r="B186" s="7">
        <f>B185</f>
        <v>11500</v>
      </c>
      <c r="C186" s="8">
        <v>3</v>
      </c>
      <c r="D186" s="10">
        <f t="shared" si="2"/>
        <v>3833.33333333333</v>
      </c>
    </row>
    <row r="187" spans="1:4">
      <c r="A187" s="7">
        <v>183</v>
      </c>
      <c r="B187" s="7">
        <f>B185</f>
        <v>11500</v>
      </c>
      <c r="C187" s="7">
        <v>3</v>
      </c>
      <c r="D187" s="10">
        <f t="shared" si="2"/>
        <v>3833.33333333333</v>
      </c>
    </row>
    <row r="188" spans="1:4">
      <c r="A188" s="7">
        <v>184</v>
      </c>
      <c r="B188" s="7">
        <f>B185</f>
        <v>11500</v>
      </c>
      <c r="C188" s="8">
        <v>3</v>
      </c>
      <c r="D188" s="10">
        <f t="shared" si="2"/>
        <v>3833.33333333333</v>
      </c>
    </row>
    <row r="189" spans="1:4">
      <c r="A189" s="7">
        <v>185</v>
      </c>
      <c r="B189" s="7">
        <f>B185</f>
        <v>11500</v>
      </c>
      <c r="C189" s="7">
        <v>3</v>
      </c>
      <c r="D189" s="10">
        <f t="shared" si="2"/>
        <v>3833.33333333333</v>
      </c>
    </row>
    <row r="190" spans="1:4">
      <c r="A190" s="7">
        <v>186</v>
      </c>
      <c r="B190" s="7">
        <f>B185+500</f>
        <v>12000</v>
      </c>
      <c r="C190" s="8">
        <v>3</v>
      </c>
      <c r="D190" s="10">
        <f t="shared" si="2"/>
        <v>4000</v>
      </c>
    </row>
    <row r="191" spans="1:4">
      <c r="A191" s="7">
        <v>187</v>
      </c>
      <c r="B191" s="7">
        <f>B190</f>
        <v>12000</v>
      </c>
      <c r="C191" s="7">
        <v>3</v>
      </c>
      <c r="D191" s="10">
        <f t="shared" si="2"/>
        <v>4000</v>
      </c>
    </row>
    <row r="192" spans="1:4">
      <c r="A192" s="7">
        <v>188</v>
      </c>
      <c r="B192" s="7">
        <f>B190</f>
        <v>12000</v>
      </c>
      <c r="C192" s="8">
        <v>3</v>
      </c>
      <c r="D192" s="10">
        <f t="shared" si="2"/>
        <v>4000</v>
      </c>
    </row>
    <row r="193" spans="1:4">
      <c r="A193" s="7">
        <v>189</v>
      </c>
      <c r="B193" s="7">
        <f>B190</f>
        <v>12000</v>
      </c>
      <c r="C193" s="7">
        <v>3</v>
      </c>
      <c r="D193" s="10">
        <f t="shared" si="2"/>
        <v>4000</v>
      </c>
    </row>
    <row r="194" spans="1:4">
      <c r="A194" s="7">
        <v>190</v>
      </c>
      <c r="B194" s="7">
        <f>B190</f>
        <v>12000</v>
      </c>
      <c r="C194" s="8">
        <v>3</v>
      </c>
      <c r="D194" s="10">
        <f t="shared" si="2"/>
        <v>4000</v>
      </c>
    </row>
    <row r="195" spans="1:4">
      <c r="A195" s="7">
        <v>191</v>
      </c>
      <c r="B195" s="7">
        <f>B190+500</f>
        <v>12500</v>
      </c>
      <c r="C195" s="7">
        <v>3</v>
      </c>
      <c r="D195" s="10">
        <f t="shared" si="2"/>
        <v>4166.66666666667</v>
      </c>
    </row>
    <row r="196" spans="1:4">
      <c r="A196" s="7">
        <v>192</v>
      </c>
      <c r="B196" s="7">
        <f>B195</f>
        <v>12500</v>
      </c>
      <c r="C196" s="8">
        <v>3</v>
      </c>
      <c r="D196" s="10">
        <f t="shared" si="2"/>
        <v>4166.66666666667</v>
      </c>
    </row>
    <row r="197" spans="1:4">
      <c r="A197" s="7">
        <v>193</v>
      </c>
      <c r="B197" s="7">
        <f>B195</f>
        <v>12500</v>
      </c>
      <c r="C197" s="7">
        <v>3</v>
      </c>
      <c r="D197" s="10">
        <f t="shared" si="2"/>
        <v>4166.66666666667</v>
      </c>
    </row>
    <row r="198" spans="1:4">
      <c r="A198" s="7">
        <v>194</v>
      </c>
      <c r="B198" s="7">
        <f>B195</f>
        <v>12500</v>
      </c>
      <c r="C198" s="8">
        <v>3</v>
      </c>
      <c r="D198" s="10">
        <f t="shared" ref="D198:D218" si="5">B198/C198</f>
        <v>4166.66666666667</v>
      </c>
    </row>
    <row r="199" spans="1:4">
      <c r="A199" s="7">
        <v>195</v>
      </c>
      <c r="B199" s="7">
        <f>B195</f>
        <v>12500</v>
      </c>
      <c r="C199" s="7">
        <v>3</v>
      </c>
      <c r="D199" s="10">
        <f t="shared" si="5"/>
        <v>4166.66666666667</v>
      </c>
    </row>
    <row r="200" spans="1:4">
      <c r="A200" s="7">
        <v>196</v>
      </c>
      <c r="B200" s="7">
        <f>B195+500</f>
        <v>13000</v>
      </c>
      <c r="C200" s="8">
        <v>3</v>
      </c>
      <c r="D200" s="10">
        <f t="shared" si="5"/>
        <v>4333.33333333333</v>
      </c>
    </row>
    <row r="201" spans="1:4">
      <c r="A201" s="7">
        <v>197</v>
      </c>
      <c r="B201" s="7">
        <f>B200</f>
        <v>13000</v>
      </c>
      <c r="C201" s="7">
        <v>3</v>
      </c>
      <c r="D201" s="10">
        <f t="shared" si="5"/>
        <v>4333.33333333333</v>
      </c>
    </row>
    <row r="202" spans="1:4">
      <c r="A202" s="7">
        <v>198</v>
      </c>
      <c r="B202" s="7">
        <f>B200</f>
        <v>13000</v>
      </c>
      <c r="C202" s="8">
        <v>3</v>
      </c>
      <c r="D202" s="10">
        <f t="shared" si="5"/>
        <v>4333.33333333333</v>
      </c>
    </row>
    <row r="203" spans="1:4">
      <c r="A203" s="7">
        <v>199</v>
      </c>
      <c r="B203" s="7">
        <f>B200</f>
        <v>13000</v>
      </c>
      <c r="C203" s="7">
        <v>3</v>
      </c>
      <c r="D203" s="10">
        <f t="shared" si="5"/>
        <v>4333.33333333333</v>
      </c>
    </row>
    <row r="204" spans="1:4">
      <c r="A204" s="13">
        <v>200</v>
      </c>
      <c r="B204" s="13">
        <f>B200</f>
        <v>13000</v>
      </c>
      <c r="C204" s="17">
        <v>3</v>
      </c>
      <c r="D204" s="14">
        <f t="shared" si="5"/>
        <v>4333.33333333333</v>
      </c>
    </row>
    <row r="205" spans="1:4">
      <c r="A205" s="7">
        <v>201</v>
      </c>
      <c r="B205" s="7">
        <f>B204+2000</f>
        <v>15000</v>
      </c>
      <c r="C205" s="7">
        <v>3</v>
      </c>
      <c r="D205" s="10">
        <f t="shared" si="5"/>
        <v>5000</v>
      </c>
    </row>
    <row r="206" spans="1:4">
      <c r="A206" s="7">
        <v>202</v>
      </c>
      <c r="B206" s="7">
        <f t="shared" ref="B206:B212" si="6">B205</f>
        <v>15000</v>
      </c>
      <c r="C206" s="8">
        <v>3</v>
      </c>
      <c r="D206" s="10">
        <f t="shared" si="5"/>
        <v>5000</v>
      </c>
    </row>
    <row r="207" spans="1:4">
      <c r="A207" s="7">
        <v>203</v>
      </c>
      <c r="B207" s="7">
        <f t="shared" si="6"/>
        <v>15000</v>
      </c>
      <c r="C207" s="7">
        <v>3</v>
      </c>
      <c r="D207" s="10">
        <f t="shared" si="5"/>
        <v>5000</v>
      </c>
    </row>
    <row r="208" spans="1:4">
      <c r="A208" s="7">
        <v>204</v>
      </c>
      <c r="B208" s="7">
        <f t="shared" si="6"/>
        <v>15000</v>
      </c>
      <c r="C208" s="8">
        <v>3</v>
      </c>
      <c r="D208" s="10">
        <f t="shared" si="5"/>
        <v>5000</v>
      </c>
    </row>
    <row r="209" spans="1:4">
      <c r="A209" s="7">
        <v>205</v>
      </c>
      <c r="B209" s="7">
        <f>B208+2000</f>
        <v>17000</v>
      </c>
      <c r="C209" s="7">
        <v>3</v>
      </c>
      <c r="D209" s="10">
        <f t="shared" si="5"/>
        <v>5666.66666666667</v>
      </c>
    </row>
    <row r="210" spans="1:4">
      <c r="A210" s="7">
        <v>206</v>
      </c>
      <c r="B210" s="7">
        <f t="shared" ref="B210:B212" si="7">B209</f>
        <v>17000</v>
      </c>
      <c r="C210" s="8">
        <v>3</v>
      </c>
      <c r="D210" s="10">
        <f t="shared" si="5"/>
        <v>5666.66666666667</v>
      </c>
    </row>
    <row r="211" spans="1:4">
      <c r="A211" s="7">
        <v>207</v>
      </c>
      <c r="B211" s="7">
        <f t="shared" si="7"/>
        <v>17000</v>
      </c>
      <c r="C211" s="7">
        <v>3</v>
      </c>
      <c r="D211" s="10">
        <f t="shared" si="5"/>
        <v>5666.66666666667</v>
      </c>
    </row>
    <row r="212" spans="1:4">
      <c r="A212" s="7">
        <v>208</v>
      </c>
      <c r="B212" s="7">
        <f t="shared" si="7"/>
        <v>17000</v>
      </c>
      <c r="C212" s="8">
        <v>3</v>
      </c>
      <c r="D212" s="10">
        <f t="shared" si="5"/>
        <v>5666.66666666667</v>
      </c>
    </row>
    <row r="213" spans="1:4">
      <c r="A213" s="7">
        <v>209</v>
      </c>
      <c r="B213" s="7">
        <f>B212+2000</f>
        <v>19000</v>
      </c>
      <c r="C213" s="7">
        <v>3</v>
      </c>
      <c r="D213" s="10">
        <f t="shared" si="5"/>
        <v>6333.33333333333</v>
      </c>
    </row>
    <row r="214" spans="1:4">
      <c r="A214" s="7">
        <v>210</v>
      </c>
      <c r="B214" s="7">
        <f t="shared" ref="B214:B216" si="8">B213</f>
        <v>19000</v>
      </c>
      <c r="C214" s="8">
        <v>3</v>
      </c>
      <c r="D214" s="10">
        <f t="shared" si="5"/>
        <v>6333.33333333333</v>
      </c>
    </row>
    <row r="215" spans="1:4">
      <c r="A215" s="7">
        <v>211</v>
      </c>
      <c r="B215" s="7">
        <f t="shared" si="8"/>
        <v>19000</v>
      </c>
      <c r="C215" s="7">
        <v>3</v>
      </c>
      <c r="D215" s="10">
        <f t="shared" si="5"/>
        <v>6333.33333333333</v>
      </c>
    </row>
    <row r="216" spans="1:4">
      <c r="A216" s="7">
        <v>212</v>
      </c>
      <c r="B216" s="7">
        <f t="shared" si="8"/>
        <v>19000</v>
      </c>
      <c r="C216" s="8">
        <v>3</v>
      </c>
      <c r="D216" s="10">
        <f t="shared" si="5"/>
        <v>6333.33333333333</v>
      </c>
    </row>
    <row r="217" spans="1:4">
      <c r="A217" s="7">
        <v>213</v>
      </c>
      <c r="B217" s="7">
        <f>B216+2000</f>
        <v>21000</v>
      </c>
      <c r="C217" s="7">
        <v>3</v>
      </c>
      <c r="D217" s="10">
        <f t="shared" si="5"/>
        <v>7000</v>
      </c>
    </row>
    <row r="218" spans="1:4">
      <c r="A218" s="7">
        <v>214</v>
      </c>
      <c r="B218" s="7">
        <f t="shared" ref="B218:B220" si="9">B217</f>
        <v>21000</v>
      </c>
      <c r="C218" s="8">
        <v>3</v>
      </c>
      <c r="D218" s="10">
        <f t="shared" si="5"/>
        <v>7000</v>
      </c>
    </row>
    <row r="219" spans="1:4">
      <c r="A219" s="7">
        <v>215</v>
      </c>
      <c r="B219" s="7">
        <f t="shared" si="9"/>
        <v>21000</v>
      </c>
      <c r="C219" s="7">
        <v>3</v>
      </c>
      <c r="D219" s="10">
        <f t="shared" ref="D219:D250" si="10">B219/C219</f>
        <v>7000</v>
      </c>
    </row>
    <row r="220" spans="1:4">
      <c r="A220" s="7">
        <v>216</v>
      </c>
      <c r="B220" s="7">
        <f t="shared" si="9"/>
        <v>21000</v>
      </c>
      <c r="C220" s="8">
        <v>3</v>
      </c>
      <c r="D220" s="10">
        <f t="shared" si="10"/>
        <v>7000</v>
      </c>
    </row>
    <row r="221" spans="1:4">
      <c r="A221" s="7">
        <v>217</v>
      </c>
      <c r="B221" s="7">
        <f>B220+2000</f>
        <v>23000</v>
      </c>
      <c r="C221" s="7">
        <v>3</v>
      </c>
      <c r="D221" s="10">
        <f t="shared" si="10"/>
        <v>7666.66666666667</v>
      </c>
    </row>
    <row r="222" spans="1:4">
      <c r="A222" s="7">
        <v>218</v>
      </c>
      <c r="B222" s="7">
        <f t="shared" ref="B222:B224" si="11">B221</f>
        <v>23000</v>
      </c>
      <c r="C222" s="8">
        <v>3</v>
      </c>
      <c r="D222" s="10">
        <f t="shared" si="10"/>
        <v>7666.66666666667</v>
      </c>
    </row>
    <row r="223" spans="1:4">
      <c r="A223" s="7">
        <v>219</v>
      </c>
      <c r="B223" s="7">
        <f t="shared" si="11"/>
        <v>23000</v>
      </c>
      <c r="C223" s="7">
        <v>3</v>
      </c>
      <c r="D223" s="10">
        <f t="shared" si="10"/>
        <v>7666.66666666667</v>
      </c>
    </row>
    <row r="224" spans="1:4">
      <c r="A224" s="7">
        <v>220</v>
      </c>
      <c r="B224" s="7">
        <f t="shared" si="11"/>
        <v>23000</v>
      </c>
      <c r="C224" s="8">
        <v>3</v>
      </c>
      <c r="D224" s="10">
        <f t="shared" si="10"/>
        <v>7666.66666666667</v>
      </c>
    </row>
    <row r="225" spans="1:4">
      <c r="A225" s="7">
        <v>221</v>
      </c>
      <c r="B225" s="7">
        <f>B224+2000</f>
        <v>25000</v>
      </c>
      <c r="C225" s="7">
        <v>3</v>
      </c>
      <c r="D225" s="10">
        <f t="shared" si="10"/>
        <v>8333.33333333333</v>
      </c>
    </row>
    <row r="226" spans="1:4">
      <c r="A226" s="7">
        <v>222</v>
      </c>
      <c r="B226" s="7">
        <f t="shared" ref="B226:B228" si="12">B225</f>
        <v>25000</v>
      </c>
      <c r="C226" s="8">
        <v>3</v>
      </c>
      <c r="D226" s="10">
        <f t="shared" si="10"/>
        <v>8333.33333333333</v>
      </c>
    </row>
    <row r="227" spans="1:4">
      <c r="A227" s="7">
        <v>223</v>
      </c>
      <c r="B227" s="7">
        <f t="shared" si="12"/>
        <v>25000</v>
      </c>
      <c r="C227" s="7">
        <v>3</v>
      </c>
      <c r="D227" s="10">
        <f t="shared" si="10"/>
        <v>8333.33333333333</v>
      </c>
    </row>
    <row r="228" spans="1:4">
      <c r="A228" s="7">
        <v>224</v>
      </c>
      <c r="B228" s="7">
        <f t="shared" si="12"/>
        <v>25000</v>
      </c>
      <c r="C228" s="8">
        <v>3</v>
      </c>
      <c r="D228" s="10">
        <f t="shared" si="10"/>
        <v>8333.33333333333</v>
      </c>
    </row>
    <row r="229" spans="1:4">
      <c r="A229" s="7">
        <v>225</v>
      </c>
      <c r="B229" s="7">
        <f>B228+2000</f>
        <v>27000</v>
      </c>
      <c r="C229" s="7">
        <v>3</v>
      </c>
      <c r="D229" s="10">
        <f t="shared" si="10"/>
        <v>9000</v>
      </c>
    </row>
    <row r="230" spans="1:4">
      <c r="A230" s="7">
        <v>226</v>
      </c>
      <c r="B230" s="7">
        <f t="shared" ref="B230:B232" si="13">B229</f>
        <v>27000</v>
      </c>
      <c r="C230" s="8">
        <v>3</v>
      </c>
      <c r="D230" s="10">
        <f t="shared" si="10"/>
        <v>9000</v>
      </c>
    </row>
    <row r="231" spans="1:4">
      <c r="A231" s="7">
        <v>227</v>
      </c>
      <c r="B231" s="7">
        <f t="shared" si="13"/>
        <v>27000</v>
      </c>
      <c r="C231" s="7">
        <v>3</v>
      </c>
      <c r="D231" s="10">
        <f t="shared" si="10"/>
        <v>9000</v>
      </c>
    </row>
    <row r="232" spans="1:4">
      <c r="A232" s="7">
        <v>228</v>
      </c>
      <c r="B232" s="7">
        <f t="shared" si="13"/>
        <v>27000</v>
      </c>
      <c r="C232" s="8">
        <v>3</v>
      </c>
      <c r="D232" s="10">
        <f t="shared" si="10"/>
        <v>9000</v>
      </c>
    </row>
    <row r="233" spans="1:4">
      <c r="A233" s="7">
        <v>229</v>
      </c>
      <c r="B233" s="7">
        <f>B232+2000</f>
        <v>29000</v>
      </c>
      <c r="C233" s="7">
        <v>3</v>
      </c>
      <c r="D233" s="10">
        <f t="shared" si="10"/>
        <v>9666.66666666667</v>
      </c>
    </row>
    <row r="234" spans="1:4">
      <c r="A234" s="7">
        <v>230</v>
      </c>
      <c r="B234" s="7">
        <f t="shared" ref="B234:B236" si="14">B233</f>
        <v>29000</v>
      </c>
      <c r="C234" s="8">
        <v>3</v>
      </c>
      <c r="D234" s="10">
        <f t="shared" si="10"/>
        <v>9666.66666666667</v>
      </c>
    </row>
    <row r="235" spans="1:4">
      <c r="A235" s="7">
        <v>231</v>
      </c>
      <c r="B235" s="7">
        <f t="shared" si="14"/>
        <v>29000</v>
      </c>
      <c r="C235" s="7">
        <v>3</v>
      </c>
      <c r="D235" s="10">
        <f t="shared" si="10"/>
        <v>9666.66666666667</v>
      </c>
    </row>
    <row r="236" spans="1:4">
      <c r="A236" s="7">
        <v>232</v>
      </c>
      <c r="B236" s="7">
        <f t="shared" si="14"/>
        <v>29000</v>
      </c>
      <c r="C236" s="8">
        <v>3</v>
      </c>
      <c r="D236" s="10">
        <f t="shared" si="10"/>
        <v>9666.66666666667</v>
      </c>
    </row>
    <row r="237" spans="1:4">
      <c r="A237" s="7">
        <v>233</v>
      </c>
      <c r="B237" s="7">
        <f>B236+2000</f>
        <v>31000</v>
      </c>
      <c r="C237" s="7">
        <v>3</v>
      </c>
      <c r="D237" s="10">
        <f t="shared" si="10"/>
        <v>10333.3333333333</v>
      </c>
    </row>
    <row r="238" spans="1:4">
      <c r="A238" s="7">
        <v>234</v>
      </c>
      <c r="B238" s="7">
        <f t="shared" ref="B238:B240" si="15">B237</f>
        <v>31000</v>
      </c>
      <c r="C238" s="8">
        <v>3</v>
      </c>
      <c r="D238" s="10">
        <f t="shared" si="10"/>
        <v>10333.3333333333</v>
      </c>
    </row>
    <row r="239" spans="1:4">
      <c r="A239" s="7">
        <v>235</v>
      </c>
      <c r="B239" s="7">
        <f t="shared" si="15"/>
        <v>31000</v>
      </c>
      <c r="C239" s="7">
        <v>3</v>
      </c>
      <c r="D239" s="10">
        <f t="shared" si="10"/>
        <v>10333.3333333333</v>
      </c>
    </row>
    <row r="240" spans="1:4">
      <c r="A240" s="7">
        <v>236</v>
      </c>
      <c r="B240" s="7">
        <f t="shared" si="15"/>
        <v>31000</v>
      </c>
      <c r="C240" s="8">
        <v>3</v>
      </c>
      <c r="D240" s="10">
        <f t="shared" si="10"/>
        <v>10333.3333333333</v>
      </c>
    </row>
    <row r="241" spans="1:4">
      <c r="A241" s="7">
        <v>237</v>
      </c>
      <c r="B241" s="7">
        <f>B240+2000</f>
        <v>33000</v>
      </c>
      <c r="C241" s="7">
        <v>3</v>
      </c>
      <c r="D241" s="10">
        <f t="shared" si="10"/>
        <v>11000</v>
      </c>
    </row>
    <row r="242" spans="1:4">
      <c r="A242" s="7">
        <v>238</v>
      </c>
      <c r="B242" s="7">
        <f t="shared" ref="B242:B244" si="16">B241</f>
        <v>33000</v>
      </c>
      <c r="C242" s="8">
        <v>3</v>
      </c>
      <c r="D242" s="10">
        <f t="shared" si="10"/>
        <v>11000</v>
      </c>
    </row>
    <row r="243" spans="1:4">
      <c r="A243" s="7">
        <v>239</v>
      </c>
      <c r="B243" s="7">
        <f t="shared" si="16"/>
        <v>33000</v>
      </c>
      <c r="C243" s="7">
        <v>3</v>
      </c>
      <c r="D243" s="10">
        <f t="shared" si="10"/>
        <v>11000</v>
      </c>
    </row>
    <row r="244" spans="1:4">
      <c r="A244" s="7">
        <v>240</v>
      </c>
      <c r="B244" s="7">
        <f t="shared" si="16"/>
        <v>33000</v>
      </c>
      <c r="C244" s="8">
        <v>3</v>
      </c>
      <c r="D244" s="10">
        <f t="shared" si="10"/>
        <v>11000</v>
      </c>
    </row>
    <row r="245" spans="1:4">
      <c r="A245" s="7">
        <v>241</v>
      </c>
      <c r="B245" s="7">
        <f>B244+2000</f>
        <v>35000</v>
      </c>
      <c r="C245" s="7">
        <v>3</v>
      </c>
      <c r="D245" s="10">
        <f t="shared" si="10"/>
        <v>11666.6666666667</v>
      </c>
    </row>
    <row r="246" spans="1:4">
      <c r="A246" s="7">
        <v>242</v>
      </c>
      <c r="B246" s="7">
        <f t="shared" ref="B246:B248" si="17">B245</f>
        <v>35000</v>
      </c>
      <c r="C246" s="8">
        <v>3</v>
      </c>
      <c r="D246" s="10">
        <f t="shared" si="10"/>
        <v>11666.6666666667</v>
      </c>
    </row>
    <row r="247" spans="1:4">
      <c r="A247" s="7">
        <v>243</v>
      </c>
      <c r="B247" s="7">
        <f t="shared" si="17"/>
        <v>35000</v>
      </c>
      <c r="C247" s="7">
        <v>3</v>
      </c>
      <c r="D247" s="10">
        <f t="shared" si="10"/>
        <v>11666.6666666667</v>
      </c>
    </row>
    <row r="248" spans="1:4">
      <c r="A248" s="7">
        <v>244</v>
      </c>
      <c r="B248" s="7">
        <f t="shared" si="17"/>
        <v>35000</v>
      </c>
      <c r="C248" s="8">
        <v>3</v>
      </c>
      <c r="D248" s="10">
        <f t="shared" si="10"/>
        <v>11666.6666666667</v>
      </c>
    </row>
    <row r="249" spans="1:4">
      <c r="A249" s="7">
        <v>245</v>
      </c>
      <c r="B249" s="7">
        <f>B248+2000</f>
        <v>37000</v>
      </c>
      <c r="C249" s="7">
        <v>3</v>
      </c>
      <c r="D249" s="10">
        <f t="shared" si="10"/>
        <v>12333.3333333333</v>
      </c>
    </row>
    <row r="250" spans="1:4">
      <c r="A250" s="7">
        <v>246</v>
      </c>
      <c r="B250" s="7">
        <f t="shared" ref="B250:B252" si="18">B249</f>
        <v>37000</v>
      </c>
      <c r="C250" s="8">
        <v>3</v>
      </c>
      <c r="D250" s="10">
        <f t="shared" si="10"/>
        <v>12333.3333333333</v>
      </c>
    </row>
    <row r="251" spans="1:4">
      <c r="A251" s="7">
        <v>247</v>
      </c>
      <c r="B251" s="7">
        <f t="shared" si="18"/>
        <v>37000</v>
      </c>
      <c r="C251" s="7">
        <v>3</v>
      </c>
      <c r="D251" s="10">
        <f t="shared" ref="D251:D274" si="19">B251/C251</f>
        <v>12333.3333333333</v>
      </c>
    </row>
    <row r="252" spans="1:4">
      <c r="A252" s="7">
        <v>248</v>
      </c>
      <c r="B252" s="7">
        <f t="shared" si="18"/>
        <v>37000</v>
      </c>
      <c r="C252" s="8">
        <v>3</v>
      </c>
      <c r="D252" s="10">
        <f t="shared" si="19"/>
        <v>12333.3333333333</v>
      </c>
    </row>
    <row r="253" spans="1:4">
      <c r="A253" s="7">
        <v>249</v>
      </c>
      <c r="B253" s="7">
        <f>B252+2000</f>
        <v>39000</v>
      </c>
      <c r="C253" s="7">
        <v>3</v>
      </c>
      <c r="D253" s="10">
        <f t="shared" si="19"/>
        <v>13000</v>
      </c>
    </row>
    <row r="254" spans="1:4">
      <c r="A254" s="7">
        <v>250</v>
      </c>
      <c r="B254" s="7">
        <f t="shared" ref="B254:B256" si="20">B253</f>
        <v>39000</v>
      </c>
      <c r="C254" s="8">
        <v>3</v>
      </c>
      <c r="D254" s="10">
        <f t="shared" si="19"/>
        <v>13000</v>
      </c>
    </row>
    <row r="255" spans="1:4">
      <c r="A255" s="7">
        <v>251</v>
      </c>
      <c r="B255" s="7">
        <f t="shared" si="20"/>
        <v>39000</v>
      </c>
      <c r="C255" s="7">
        <v>3</v>
      </c>
      <c r="D255" s="10">
        <f t="shared" si="19"/>
        <v>13000</v>
      </c>
    </row>
    <row r="256" spans="1:4">
      <c r="A256" s="7">
        <v>252</v>
      </c>
      <c r="B256" s="7">
        <f t="shared" si="20"/>
        <v>39000</v>
      </c>
      <c r="C256" s="8">
        <v>3</v>
      </c>
      <c r="D256" s="10">
        <f t="shared" si="19"/>
        <v>13000</v>
      </c>
    </row>
    <row r="257" spans="1:4">
      <c r="A257" s="7">
        <v>253</v>
      </c>
      <c r="B257" s="7">
        <f>B256+2000</f>
        <v>41000</v>
      </c>
      <c r="C257" s="7">
        <v>3</v>
      </c>
      <c r="D257" s="10">
        <f t="shared" si="19"/>
        <v>13666.6666666667</v>
      </c>
    </row>
    <row r="258" spans="1:4">
      <c r="A258" s="7">
        <v>254</v>
      </c>
      <c r="B258" s="7">
        <f t="shared" ref="B258:B260" si="21">B257</f>
        <v>41000</v>
      </c>
      <c r="C258" s="8">
        <v>3</v>
      </c>
      <c r="D258" s="10">
        <f t="shared" si="19"/>
        <v>13666.6666666667</v>
      </c>
    </row>
    <row r="259" spans="1:4">
      <c r="A259" s="7">
        <v>255</v>
      </c>
      <c r="B259" s="7">
        <f t="shared" si="21"/>
        <v>41000</v>
      </c>
      <c r="C259" s="7">
        <v>3</v>
      </c>
      <c r="D259" s="10">
        <f t="shared" si="19"/>
        <v>13666.6666666667</v>
      </c>
    </row>
    <row r="260" spans="1:4">
      <c r="A260" s="7">
        <v>256</v>
      </c>
      <c r="B260" s="7">
        <f t="shared" si="21"/>
        <v>41000</v>
      </c>
      <c r="C260" s="8">
        <v>3</v>
      </c>
      <c r="D260" s="10">
        <f t="shared" si="19"/>
        <v>13666.6666666667</v>
      </c>
    </row>
    <row r="261" spans="1:4">
      <c r="A261" s="7">
        <v>257</v>
      </c>
      <c r="B261" s="7">
        <f>B260+2000</f>
        <v>43000</v>
      </c>
      <c r="C261" s="7">
        <v>3</v>
      </c>
      <c r="D261" s="10">
        <f t="shared" si="19"/>
        <v>14333.3333333333</v>
      </c>
    </row>
    <row r="262" spans="1:4">
      <c r="A262" s="7">
        <v>258</v>
      </c>
      <c r="B262" s="7">
        <f t="shared" ref="B262:B264" si="22">B261</f>
        <v>43000</v>
      </c>
      <c r="C262" s="8">
        <v>3</v>
      </c>
      <c r="D262" s="10">
        <f t="shared" si="19"/>
        <v>14333.3333333333</v>
      </c>
    </row>
    <row r="263" spans="1:4">
      <c r="A263" s="7">
        <v>259</v>
      </c>
      <c r="B263" s="7">
        <f t="shared" si="22"/>
        <v>43000</v>
      </c>
      <c r="C263" s="7">
        <v>3</v>
      </c>
      <c r="D263" s="10">
        <f t="shared" si="19"/>
        <v>14333.3333333333</v>
      </c>
    </row>
    <row r="264" spans="1:4">
      <c r="A264" s="7">
        <v>260</v>
      </c>
      <c r="B264" s="7">
        <f t="shared" si="22"/>
        <v>43000</v>
      </c>
      <c r="C264" s="8">
        <v>3</v>
      </c>
      <c r="D264" s="10">
        <f t="shared" si="19"/>
        <v>14333.3333333333</v>
      </c>
    </row>
    <row r="265" spans="1:4">
      <c r="A265" s="7">
        <v>261</v>
      </c>
      <c r="B265" s="7">
        <f>B264+2000</f>
        <v>45000</v>
      </c>
      <c r="C265" s="7">
        <v>3</v>
      </c>
      <c r="D265" s="10">
        <f t="shared" si="19"/>
        <v>15000</v>
      </c>
    </row>
    <row r="266" spans="1:4">
      <c r="A266" s="7">
        <v>262</v>
      </c>
      <c r="B266" s="7">
        <f t="shared" ref="B266:B273" si="23">B265</f>
        <v>45000</v>
      </c>
      <c r="C266" s="8">
        <v>3</v>
      </c>
      <c r="D266" s="10">
        <f t="shared" si="19"/>
        <v>15000</v>
      </c>
    </row>
    <row r="267" spans="1:4">
      <c r="A267" s="7">
        <v>263</v>
      </c>
      <c r="B267" s="7">
        <f t="shared" si="23"/>
        <v>45000</v>
      </c>
      <c r="C267" s="7">
        <v>3</v>
      </c>
      <c r="D267" s="10">
        <f t="shared" si="19"/>
        <v>15000</v>
      </c>
    </row>
    <row r="268" spans="1:4">
      <c r="A268" s="7">
        <v>264</v>
      </c>
      <c r="B268" s="7">
        <f t="shared" si="23"/>
        <v>45000</v>
      </c>
      <c r="C268" s="8">
        <v>3</v>
      </c>
      <c r="D268" s="10">
        <f t="shared" si="19"/>
        <v>15000</v>
      </c>
    </row>
    <row r="269" spans="1:4">
      <c r="A269" s="7">
        <v>265</v>
      </c>
      <c r="B269" s="7">
        <f t="shared" si="23"/>
        <v>45000</v>
      </c>
      <c r="C269" s="7">
        <v>3</v>
      </c>
      <c r="D269" s="10">
        <f t="shared" si="19"/>
        <v>15000</v>
      </c>
    </row>
    <row r="270" spans="1:4">
      <c r="A270" s="7">
        <v>266</v>
      </c>
      <c r="B270" s="7">
        <f t="shared" si="23"/>
        <v>45000</v>
      </c>
      <c r="C270" s="8">
        <v>3</v>
      </c>
      <c r="D270" s="10">
        <f t="shared" si="19"/>
        <v>15000</v>
      </c>
    </row>
    <row r="271" spans="1:4">
      <c r="A271" s="7">
        <v>267</v>
      </c>
      <c r="B271" s="7">
        <f t="shared" si="23"/>
        <v>45000</v>
      </c>
      <c r="C271" s="7">
        <v>3</v>
      </c>
      <c r="D271" s="10">
        <f t="shared" si="19"/>
        <v>15000</v>
      </c>
    </row>
    <row r="272" spans="1:4">
      <c r="A272" s="7">
        <v>268</v>
      </c>
      <c r="B272" s="7">
        <f t="shared" si="23"/>
        <v>45000</v>
      </c>
      <c r="C272" s="8">
        <v>3</v>
      </c>
      <c r="D272" s="10">
        <f t="shared" si="19"/>
        <v>15000</v>
      </c>
    </row>
    <row r="273" spans="1:4">
      <c r="A273" s="7">
        <v>269</v>
      </c>
      <c r="B273" s="7">
        <f t="shared" si="23"/>
        <v>45000</v>
      </c>
      <c r="C273" s="7">
        <v>3</v>
      </c>
      <c r="D273" s="10">
        <f t="shared" si="19"/>
        <v>15000</v>
      </c>
    </row>
    <row r="274" spans="1:4">
      <c r="A274" s="18">
        <v>270</v>
      </c>
      <c r="B274" s="18">
        <v>45000</v>
      </c>
      <c r="C274" s="18">
        <v>3</v>
      </c>
      <c r="D274" s="19">
        <f t="shared" si="19"/>
        <v>15000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selection activeCell="K28" sqref="K28"/>
    </sheetView>
  </sheetViews>
  <sheetFormatPr defaultColWidth="8.725" defaultRowHeight="13.5"/>
  <cols>
    <col min="10" max="10" width="24" customWidth="1"/>
  </cols>
  <sheetData>
    <row r="1" spans="1:16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2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 spans="1:16">
      <c r="A2" s="1" t="s">
        <v>94</v>
      </c>
      <c r="B2" s="1" t="s">
        <v>94</v>
      </c>
      <c r="C2" s="1" t="s">
        <v>145</v>
      </c>
      <c r="D2" s="1" t="s">
        <v>146</v>
      </c>
      <c r="E2" s="1" t="s">
        <v>94</v>
      </c>
      <c r="F2" s="1" t="s">
        <v>94</v>
      </c>
      <c r="G2" s="1" t="s">
        <v>94</v>
      </c>
      <c r="H2" s="1" t="s">
        <v>94</v>
      </c>
      <c r="I2" s="1" t="s">
        <v>146</v>
      </c>
      <c r="J2" s="2" t="s">
        <v>94</v>
      </c>
      <c r="K2" s="1" t="s">
        <v>94</v>
      </c>
      <c r="L2" s="1" t="s">
        <v>146</v>
      </c>
      <c r="M2" s="1" t="s">
        <v>94</v>
      </c>
      <c r="N2" s="1" t="s">
        <v>94</v>
      </c>
      <c r="O2" s="1" t="s">
        <v>146</v>
      </c>
      <c r="P2" s="1" t="s">
        <v>94</v>
      </c>
    </row>
    <row r="3" spans="1:16">
      <c r="A3" s="1" t="s">
        <v>95</v>
      </c>
      <c r="B3" s="1" t="s">
        <v>147</v>
      </c>
      <c r="C3" s="1" t="s">
        <v>147</v>
      </c>
      <c r="D3" s="1" t="s">
        <v>147</v>
      </c>
      <c r="E3" s="1" t="s">
        <v>147</v>
      </c>
      <c r="F3" s="1" t="s">
        <v>147</v>
      </c>
      <c r="G3" s="1" t="s">
        <v>147</v>
      </c>
      <c r="H3" s="1" t="s">
        <v>147</v>
      </c>
      <c r="I3" s="1" t="s">
        <v>147</v>
      </c>
      <c r="J3" s="2" t="s">
        <v>147</v>
      </c>
      <c r="K3" s="1" t="s">
        <v>147</v>
      </c>
      <c r="L3" s="1" t="s">
        <v>147</v>
      </c>
      <c r="M3" s="1" t="s">
        <v>147</v>
      </c>
      <c r="N3" s="1" t="s">
        <v>147</v>
      </c>
      <c r="O3" s="1" t="s">
        <v>147</v>
      </c>
      <c r="P3" s="1" t="s">
        <v>147</v>
      </c>
    </row>
    <row r="4" ht="135" spans="1:16">
      <c r="A4" s="3" t="s">
        <v>148</v>
      </c>
      <c r="B4" s="4" t="s">
        <v>149</v>
      </c>
      <c r="C4" s="4" t="s">
        <v>150</v>
      </c>
      <c r="D4" s="4" t="s">
        <v>151</v>
      </c>
      <c r="E4" s="4" t="s">
        <v>152</v>
      </c>
      <c r="F4" s="4" t="s">
        <v>153</v>
      </c>
      <c r="G4" s="4" t="s">
        <v>154</v>
      </c>
      <c r="H4" s="4" t="s">
        <v>155</v>
      </c>
      <c r="I4" s="4" t="s">
        <v>156</v>
      </c>
      <c r="J4" s="5" t="s">
        <v>157</v>
      </c>
      <c r="K4" s="4" t="s">
        <v>155</v>
      </c>
      <c r="L4" s="4" t="s">
        <v>158</v>
      </c>
      <c r="M4" s="3" t="s">
        <v>159</v>
      </c>
      <c r="N4" s="4" t="s">
        <v>155</v>
      </c>
      <c r="O4" s="4" t="s">
        <v>160</v>
      </c>
      <c r="P4" s="3" t="s">
        <v>161</v>
      </c>
    </row>
    <row r="5" spans="1:16">
      <c r="A5" s="1">
        <v>0</v>
      </c>
      <c r="B5" s="1">
        <v>-1</v>
      </c>
      <c r="C5" s="1" t="s">
        <v>162</v>
      </c>
      <c r="D5" s="1">
        <v>0</v>
      </c>
      <c r="E5" s="1">
        <v>6</v>
      </c>
      <c r="F5" s="1">
        <v>0</v>
      </c>
      <c r="G5" s="1">
        <v>0</v>
      </c>
      <c r="H5" s="1">
        <v>18</v>
      </c>
      <c r="I5" s="1">
        <v>1</v>
      </c>
      <c r="J5" s="2">
        <v>210000000</v>
      </c>
      <c r="K5" s="1">
        <v>3</v>
      </c>
      <c r="L5" s="1">
        <v>10000</v>
      </c>
      <c r="M5" s="1">
        <v>360</v>
      </c>
      <c r="N5" s="1"/>
      <c r="O5" s="1"/>
      <c r="P5" s="1"/>
    </row>
    <row r="6" spans="1:16">
      <c r="A6" s="1">
        <v>0</v>
      </c>
      <c r="B6" s="1">
        <v>0</v>
      </c>
      <c r="C6" s="1" t="s">
        <v>163</v>
      </c>
      <c r="D6" s="1">
        <v>60</v>
      </c>
      <c r="E6" s="1">
        <v>6</v>
      </c>
      <c r="F6" s="1">
        <v>0</v>
      </c>
      <c r="G6" s="1">
        <v>0</v>
      </c>
      <c r="H6" s="1">
        <v>18</v>
      </c>
      <c r="I6" s="1">
        <v>1</v>
      </c>
      <c r="J6" s="2">
        <v>7500000</v>
      </c>
      <c r="K6" s="1">
        <v>3</v>
      </c>
      <c r="L6" s="1">
        <v>10000</v>
      </c>
      <c r="M6" s="1">
        <v>15</v>
      </c>
      <c r="N6" s="1"/>
      <c r="O6" s="1"/>
      <c r="P6" s="1"/>
    </row>
    <row r="7" spans="1:16">
      <c r="A7" s="1">
        <v>0</v>
      </c>
      <c r="B7" s="1">
        <v>1</v>
      </c>
      <c r="C7" s="1" t="s">
        <v>164</v>
      </c>
      <c r="D7" s="1">
        <v>125</v>
      </c>
      <c r="E7" s="1">
        <v>6</v>
      </c>
      <c r="F7" s="1">
        <v>0</v>
      </c>
      <c r="G7" s="1">
        <v>0</v>
      </c>
      <c r="H7" s="1">
        <v>18</v>
      </c>
      <c r="I7" s="1">
        <v>1</v>
      </c>
      <c r="J7" s="2">
        <v>11500000</v>
      </c>
      <c r="K7" s="1">
        <v>3</v>
      </c>
      <c r="L7" s="1">
        <v>10000</v>
      </c>
      <c r="M7" s="1">
        <v>20</v>
      </c>
      <c r="N7" s="1"/>
      <c r="O7" s="1"/>
      <c r="P7" s="1"/>
    </row>
    <row r="8" spans="1:16">
      <c r="A8" s="1">
        <v>0</v>
      </c>
      <c r="B8" s="1">
        <v>2</v>
      </c>
      <c r="C8" s="1" t="s">
        <v>165</v>
      </c>
      <c r="D8" s="1">
        <v>250</v>
      </c>
      <c r="E8" s="1">
        <v>6</v>
      </c>
      <c r="F8" s="1">
        <v>0</v>
      </c>
      <c r="G8" s="1">
        <v>0</v>
      </c>
      <c r="H8" s="1">
        <v>18</v>
      </c>
      <c r="I8" s="1">
        <v>1</v>
      </c>
      <c r="J8" s="2">
        <v>15000000</v>
      </c>
      <c r="K8" s="1">
        <v>3</v>
      </c>
      <c r="L8" s="1">
        <v>10000</v>
      </c>
      <c r="M8" s="1">
        <v>25</v>
      </c>
      <c r="N8" s="1"/>
      <c r="O8" s="1"/>
      <c r="P8" s="1"/>
    </row>
    <row r="9" spans="1:16">
      <c r="A9" s="1">
        <v>0</v>
      </c>
      <c r="B9" s="1">
        <v>3</v>
      </c>
      <c r="C9" s="1" t="s">
        <v>166</v>
      </c>
      <c r="D9" s="1">
        <v>500</v>
      </c>
      <c r="E9" s="1">
        <v>6</v>
      </c>
      <c r="F9" s="1">
        <v>0</v>
      </c>
      <c r="G9" s="1">
        <v>0</v>
      </c>
      <c r="H9" s="1">
        <v>18</v>
      </c>
      <c r="I9" s="1">
        <v>1</v>
      </c>
      <c r="J9" s="2">
        <v>22500000</v>
      </c>
      <c r="K9" s="1">
        <v>3</v>
      </c>
      <c r="L9" s="1">
        <v>10000</v>
      </c>
      <c r="M9" s="1">
        <v>40</v>
      </c>
      <c r="N9" s="1"/>
      <c r="O9" s="1"/>
      <c r="P9" s="1"/>
    </row>
    <row r="10" spans="1:16">
      <c r="A10" s="1">
        <v>0</v>
      </c>
      <c r="B10" s="1">
        <v>4</v>
      </c>
      <c r="C10" s="1" t="s">
        <v>167</v>
      </c>
      <c r="D10" s="1">
        <v>1000</v>
      </c>
      <c r="E10" s="1">
        <v>6</v>
      </c>
      <c r="F10" s="1">
        <v>10</v>
      </c>
      <c r="G10" s="1">
        <v>1</v>
      </c>
      <c r="H10" s="1">
        <v>18</v>
      </c>
      <c r="I10" s="1">
        <v>1</v>
      </c>
      <c r="J10" s="2">
        <v>33500000</v>
      </c>
      <c r="K10" s="1">
        <v>3</v>
      </c>
      <c r="L10" s="1">
        <v>10000</v>
      </c>
      <c r="M10" s="1">
        <v>60</v>
      </c>
      <c r="N10" s="1"/>
      <c r="O10" s="1"/>
      <c r="P10" s="1"/>
    </row>
    <row r="11" spans="1:16">
      <c r="A11" s="1">
        <v>0</v>
      </c>
      <c r="B11" s="1">
        <v>5</v>
      </c>
      <c r="C11" s="1" t="s">
        <v>168</v>
      </c>
      <c r="D11" s="6">
        <v>1750</v>
      </c>
      <c r="E11" s="1">
        <v>6</v>
      </c>
      <c r="F11" s="1">
        <v>0</v>
      </c>
      <c r="G11" s="1">
        <v>0</v>
      </c>
      <c r="H11" s="1">
        <v>18</v>
      </c>
      <c r="I11" s="1">
        <v>1</v>
      </c>
      <c r="J11" s="2">
        <v>48500000</v>
      </c>
      <c r="K11" s="1">
        <v>3</v>
      </c>
      <c r="L11" s="1">
        <v>10000</v>
      </c>
      <c r="M11" s="1">
        <v>85</v>
      </c>
      <c r="N11" s="1"/>
      <c r="O11" s="1"/>
      <c r="P11" s="1"/>
    </row>
    <row r="12" spans="1:16">
      <c r="A12" s="1">
        <v>0</v>
      </c>
      <c r="B12" s="1">
        <v>6</v>
      </c>
      <c r="C12" s="1" t="s">
        <v>169</v>
      </c>
      <c r="D12" s="6">
        <v>2500</v>
      </c>
      <c r="E12" s="1">
        <v>6</v>
      </c>
      <c r="F12" s="1">
        <v>20</v>
      </c>
      <c r="G12" s="1">
        <v>1</v>
      </c>
      <c r="H12" s="1">
        <v>18</v>
      </c>
      <c r="I12" s="1">
        <v>1</v>
      </c>
      <c r="J12" s="2">
        <v>67500000</v>
      </c>
      <c r="K12" s="1">
        <v>3</v>
      </c>
      <c r="L12" s="1">
        <v>10000</v>
      </c>
      <c r="M12" s="1">
        <v>115</v>
      </c>
      <c r="N12" s="1"/>
      <c r="O12" s="1"/>
      <c r="P12" s="1"/>
    </row>
    <row r="13" spans="1:16">
      <c r="A13" s="1">
        <v>0</v>
      </c>
      <c r="B13" s="1">
        <v>7</v>
      </c>
      <c r="C13" s="1" t="s">
        <v>170</v>
      </c>
      <c r="D13" s="6">
        <v>3500</v>
      </c>
      <c r="E13" s="1">
        <v>6</v>
      </c>
      <c r="F13" s="1">
        <v>30</v>
      </c>
      <c r="G13" s="1">
        <v>1</v>
      </c>
      <c r="H13" s="1">
        <v>18</v>
      </c>
      <c r="I13" s="1">
        <v>1</v>
      </c>
      <c r="J13" s="2">
        <v>93500000</v>
      </c>
      <c r="K13" s="1">
        <v>3</v>
      </c>
      <c r="L13" s="1">
        <v>10000</v>
      </c>
      <c r="M13" s="1">
        <v>160</v>
      </c>
      <c r="N13" s="1"/>
      <c r="O13" s="1"/>
      <c r="P13" s="1"/>
    </row>
    <row r="14" spans="1:16">
      <c r="A14" s="1">
        <v>1</v>
      </c>
      <c r="B14" s="1">
        <v>-1</v>
      </c>
      <c r="C14" s="1" t="s">
        <v>171</v>
      </c>
      <c r="D14" s="1">
        <v>0</v>
      </c>
      <c r="E14" s="1">
        <v>6</v>
      </c>
      <c r="F14" s="1">
        <v>0</v>
      </c>
      <c r="G14" s="1">
        <v>0</v>
      </c>
      <c r="H14" s="1">
        <v>18</v>
      </c>
      <c r="I14" s="1">
        <v>1</v>
      </c>
      <c r="J14" s="2">
        <v>227500000</v>
      </c>
      <c r="K14" s="1">
        <v>3</v>
      </c>
      <c r="L14" s="1">
        <v>10000</v>
      </c>
      <c r="M14" s="1">
        <v>390</v>
      </c>
      <c r="N14" s="1"/>
      <c r="O14" s="1"/>
      <c r="P14" s="1"/>
    </row>
    <row r="15" spans="1:16">
      <c r="A15" s="1">
        <v>1</v>
      </c>
      <c r="B15" s="1">
        <v>0</v>
      </c>
      <c r="C15" s="1" t="s">
        <v>172</v>
      </c>
      <c r="D15" s="1">
        <v>65</v>
      </c>
      <c r="E15" s="1">
        <v>6</v>
      </c>
      <c r="F15" s="1">
        <v>0</v>
      </c>
      <c r="G15" s="1">
        <v>0</v>
      </c>
      <c r="H15" s="1">
        <v>18</v>
      </c>
      <c r="I15" s="1">
        <v>1</v>
      </c>
      <c r="J15" s="2">
        <v>8000000</v>
      </c>
      <c r="K15" s="1">
        <v>3</v>
      </c>
      <c r="L15" s="1">
        <v>10000</v>
      </c>
      <c r="M15" s="1">
        <v>15</v>
      </c>
      <c r="N15" s="1"/>
      <c r="O15" s="1"/>
      <c r="P15" s="1"/>
    </row>
    <row r="16" spans="1:16">
      <c r="A16" s="1">
        <v>1</v>
      </c>
      <c r="B16" s="1">
        <v>1</v>
      </c>
      <c r="C16" s="1" t="s">
        <v>173</v>
      </c>
      <c r="D16" s="1">
        <v>140</v>
      </c>
      <c r="E16" s="1">
        <v>6</v>
      </c>
      <c r="F16" s="1">
        <v>0</v>
      </c>
      <c r="G16" s="1">
        <v>0</v>
      </c>
      <c r="H16" s="1">
        <v>18</v>
      </c>
      <c r="I16" s="1">
        <v>1</v>
      </c>
      <c r="J16" s="2">
        <v>12500000</v>
      </c>
      <c r="K16" s="1">
        <v>3</v>
      </c>
      <c r="L16" s="1">
        <v>10000</v>
      </c>
      <c r="M16" s="1">
        <v>20</v>
      </c>
      <c r="N16" s="1"/>
      <c r="O16" s="1"/>
      <c r="P16" s="1"/>
    </row>
    <row r="17" spans="1:16">
      <c r="A17" s="1">
        <v>1</v>
      </c>
      <c r="B17" s="1">
        <v>2</v>
      </c>
      <c r="C17" s="1" t="s">
        <v>174</v>
      </c>
      <c r="D17" s="1">
        <v>275</v>
      </c>
      <c r="E17" s="1">
        <v>6</v>
      </c>
      <c r="F17" s="1">
        <v>0</v>
      </c>
      <c r="G17" s="1">
        <v>0</v>
      </c>
      <c r="H17" s="1">
        <v>18</v>
      </c>
      <c r="I17" s="1">
        <v>1</v>
      </c>
      <c r="J17" s="2">
        <v>16500000</v>
      </c>
      <c r="K17" s="1">
        <v>3</v>
      </c>
      <c r="L17" s="1">
        <v>10000</v>
      </c>
      <c r="M17" s="1">
        <v>30</v>
      </c>
      <c r="N17" s="1"/>
      <c r="O17" s="1"/>
      <c r="P17" s="1"/>
    </row>
    <row r="18" spans="1:16">
      <c r="A18" s="1">
        <v>1</v>
      </c>
      <c r="B18" s="1">
        <v>3</v>
      </c>
      <c r="C18" s="1" t="s">
        <v>175</v>
      </c>
      <c r="D18" s="1">
        <v>550</v>
      </c>
      <c r="E18" s="1">
        <v>6</v>
      </c>
      <c r="F18" s="1">
        <v>0</v>
      </c>
      <c r="G18" s="1">
        <v>0</v>
      </c>
      <c r="H18" s="1">
        <v>18</v>
      </c>
      <c r="I18" s="1">
        <v>1</v>
      </c>
      <c r="J18" s="2">
        <v>24500000</v>
      </c>
      <c r="K18" s="1">
        <v>3</v>
      </c>
      <c r="L18" s="1">
        <v>10000</v>
      </c>
      <c r="M18" s="1">
        <v>40</v>
      </c>
      <c r="N18" s="1"/>
      <c r="O18" s="1"/>
      <c r="P18" s="1"/>
    </row>
    <row r="19" spans="1:16">
      <c r="A19" s="1">
        <v>1</v>
      </c>
      <c r="B19" s="1">
        <v>4</v>
      </c>
      <c r="C19" s="1" t="s">
        <v>176</v>
      </c>
      <c r="D19" s="1">
        <v>1100</v>
      </c>
      <c r="E19" s="1">
        <v>6</v>
      </c>
      <c r="F19" s="1">
        <v>0</v>
      </c>
      <c r="G19" s="1">
        <v>0</v>
      </c>
      <c r="H19" s="1">
        <v>18</v>
      </c>
      <c r="I19" s="1">
        <v>1</v>
      </c>
      <c r="J19" s="2">
        <v>37000000</v>
      </c>
      <c r="K19" s="1">
        <v>3</v>
      </c>
      <c r="L19" s="1">
        <v>10000</v>
      </c>
      <c r="M19" s="1">
        <v>65</v>
      </c>
      <c r="N19" s="1"/>
      <c r="O19" s="1"/>
      <c r="P19" s="1"/>
    </row>
    <row r="20" spans="1:16">
      <c r="A20" s="1">
        <v>1</v>
      </c>
      <c r="B20" s="1">
        <v>5</v>
      </c>
      <c r="C20" s="1" t="s">
        <v>177</v>
      </c>
      <c r="D20" s="1">
        <v>2000</v>
      </c>
      <c r="E20" s="1">
        <v>6</v>
      </c>
      <c r="F20" s="1">
        <v>0</v>
      </c>
      <c r="G20" s="1">
        <v>0</v>
      </c>
      <c r="H20" s="1">
        <v>18</v>
      </c>
      <c r="I20" s="1">
        <v>1</v>
      </c>
      <c r="J20" s="2">
        <v>53500000</v>
      </c>
      <c r="K20" s="1">
        <v>3</v>
      </c>
      <c r="L20" s="1">
        <v>10000</v>
      </c>
      <c r="M20" s="1">
        <v>90</v>
      </c>
      <c r="N20" s="1"/>
      <c r="O20" s="1"/>
      <c r="P20" s="1"/>
    </row>
    <row r="21" spans="1:16">
      <c r="A21" s="1">
        <v>1</v>
      </c>
      <c r="B21" s="1">
        <v>6</v>
      </c>
      <c r="C21" s="1" t="s">
        <v>178</v>
      </c>
      <c r="D21" s="1">
        <v>3000</v>
      </c>
      <c r="E21" s="1">
        <v>6</v>
      </c>
      <c r="F21" s="1">
        <v>70</v>
      </c>
      <c r="G21" s="1">
        <v>1</v>
      </c>
      <c r="H21" s="1">
        <v>18</v>
      </c>
      <c r="I21" s="1">
        <v>1</v>
      </c>
      <c r="J21" s="2">
        <v>74000000</v>
      </c>
      <c r="K21" s="1">
        <v>3</v>
      </c>
      <c r="L21" s="1">
        <v>10000</v>
      </c>
      <c r="M21" s="1">
        <v>125</v>
      </c>
      <c r="N21" s="1"/>
      <c r="O21" s="1"/>
      <c r="P21" s="1"/>
    </row>
    <row r="22" spans="1:16">
      <c r="A22" s="1">
        <v>1</v>
      </c>
      <c r="B22" s="1">
        <v>7</v>
      </c>
      <c r="C22" s="1" t="s">
        <v>179</v>
      </c>
      <c r="D22" s="1">
        <v>4000</v>
      </c>
      <c r="E22" s="1">
        <v>6</v>
      </c>
      <c r="F22" s="1">
        <v>80</v>
      </c>
      <c r="G22" s="1">
        <v>1</v>
      </c>
      <c r="H22" s="1">
        <v>18</v>
      </c>
      <c r="I22" s="1">
        <v>1</v>
      </c>
      <c r="J22" s="2">
        <v>100000000</v>
      </c>
      <c r="K22" s="1">
        <v>3</v>
      </c>
      <c r="L22" s="1">
        <v>10000</v>
      </c>
      <c r="M22" s="1">
        <v>175</v>
      </c>
      <c r="N22" s="1"/>
      <c r="O22" s="1"/>
      <c r="P22" s="1"/>
    </row>
    <row r="23" spans="1:16">
      <c r="A23" s="1">
        <v>2</v>
      </c>
      <c r="B23" s="1">
        <v>-1</v>
      </c>
      <c r="C23" s="1" t="s">
        <v>180</v>
      </c>
      <c r="D23" s="1">
        <v>0</v>
      </c>
      <c r="E23" s="1">
        <v>6</v>
      </c>
      <c r="F23" s="1">
        <v>0</v>
      </c>
      <c r="G23" s="1">
        <v>0</v>
      </c>
      <c r="H23" s="1">
        <v>18</v>
      </c>
      <c r="I23" s="1">
        <v>1</v>
      </c>
      <c r="J23" s="2">
        <v>245000000</v>
      </c>
      <c r="K23" s="1">
        <v>3</v>
      </c>
      <c r="L23" s="1">
        <v>10000</v>
      </c>
      <c r="M23" s="1">
        <v>420</v>
      </c>
      <c r="N23" s="1"/>
      <c r="O23" s="1"/>
      <c r="P23" s="1"/>
    </row>
    <row r="24" spans="1:16">
      <c r="A24" s="1">
        <v>2</v>
      </c>
      <c r="B24" s="1">
        <v>0</v>
      </c>
      <c r="C24" s="1" t="s">
        <v>181</v>
      </c>
      <c r="D24" s="1">
        <v>70</v>
      </c>
      <c r="E24" s="1">
        <v>6</v>
      </c>
      <c r="F24" s="1">
        <v>0</v>
      </c>
      <c r="G24" s="1">
        <v>0</v>
      </c>
      <c r="H24" s="1">
        <v>18</v>
      </c>
      <c r="I24" s="1">
        <v>1</v>
      </c>
      <c r="J24" s="2">
        <v>9000000</v>
      </c>
      <c r="K24" s="1">
        <v>3</v>
      </c>
      <c r="L24" s="1">
        <v>10000</v>
      </c>
      <c r="M24" s="1">
        <v>15</v>
      </c>
      <c r="N24" s="1"/>
      <c r="O24" s="1"/>
      <c r="P24" s="1"/>
    </row>
    <row r="25" spans="1:16">
      <c r="A25" s="1">
        <v>2</v>
      </c>
      <c r="B25" s="1">
        <v>1</v>
      </c>
      <c r="C25" s="1" t="s">
        <v>182</v>
      </c>
      <c r="D25" s="1">
        <v>150</v>
      </c>
      <c r="E25" s="1">
        <v>6</v>
      </c>
      <c r="F25" s="1">
        <v>0</v>
      </c>
      <c r="G25" s="1">
        <v>0</v>
      </c>
      <c r="H25" s="1">
        <v>18</v>
      </c>
      <c r="I25" s="1">
        <v>1</v>
      </c>
      <c r="J25" s="2">
        <v>13500000</v>
      </c>
      <c r="K25" s="1">
        <v>3</v>
      </c>
      <c r="L25" s="1">
        <v>10000</v>
      </c>
      <c r="M25" s="1">
        <v>20</v>
      </c>
      <c r="N25" s="1"/>
      <c r="O25" s="1"/>
      <c r="P25" s="1"/>
    </row>
    <row r="26" spans="1:16">
      <c r="A26" s="1">
        <v>2</v>
      </c>
      <c r="B26" s="1">
        <v>2</v>
      </c>
      <c r="C26" s="1" t="s">
        <v>183</v>
      </c>
      <c r="D26" s="1">
        <v>300</v>
      </c>
      <c r="E26" s="1">
        <v>6</v>
      </c>
      <c r="F26" s="1">
        <v>0</v>
      </c>
      <c r="G26" s="1">
        <v>0</v>
      </c>
      <c r="H26" s="1">
        <v>18</v>
      </c>
      <c r="I26" s="1">
        <v>1</v>
      </c>
      <c r="J26" s="2">
        <v>18000000</v>
      </c>
      <c r="K26" s="1">
        <v>3</v>
      </c>
      <c r="L26" s="1">
        <v>10000</v>
      </c>
      <c r="M26" s="1">
        <v>30</v>
      </c>
      <c r="N26" s="1"/>
      <c r="O26" s="1"/>
      <c r="P26" s="1"/>
    </row>
    <row r="27" spans="1:16">
      <c r="A27" s="1">
        <v>2</v>
      </c>
      <c r="B27" s="1">
        <v>3</v>
      </c>
      <c r="C27" s="1" t="s">
        <v>184</v>
      </c>
      <c r="D27" s="1">
        <v>600</v>
      </c>
      <c r="E27" s="1">
        <v>6</v>
      </c>
      <c r="F27" s="1">
        <v>0</v>
      </c>
      <c r="G27" s="1">
        <v>0</v>
      </c>
      <c r="H27" s="1">
        <v>18</v>
      </c>
      <c r="I27" s="1">
        <v>1</v>
      </c>
      <c r="J27" s="2">
        <v>27000000</v>
      </c>
      <c r="K27" s="1">
        <v>3</v>
      </c>
      <c r="L27" s="1">
        <v>10000</v>
      </c>
      <c r="M27" s="1">
        <v>45</v>
      </c>
      <c r="N27" s="1"/>
      <c r="O27" s="1"/>
      <c r="P27" s="1"/>
    </row>
    <row r="28" spans="1:16">
      <c r="A28" s="1">
        <v>2</v>
      </c>
      <c r="B28" s="1">
        <v>4</v>
      </c>
      <c r="C28" s="1" t="s">
        <v>185</v>
      </c>
      <c r="D28" s="1">
        <v>1200</v>
      </c>
      <c r="E28" s="1">
        <v>6</v>
      </c>
      <c r="F28" s="1">
        <v>0</v>
      </c>
      <c r="G28" s="1">
        <v>0</v>
      </c>
      <c r="H28" s="1">
        <v>18</v>
      </c>
      <c r="I28" s="1">
        <v>1</v>
      </c>
      <c r="J28" s="2">
        <v>40000000</v>
      </c>
      <c r="K28" s="1">
        <v>3</v>
      </c>
      <c r="L28" s="1">
        <v>10000</v>
      </c>
      <c r="M28" s="1">
        <v>70</v>
      </c>
      <c r="N28" s="1"/>
      <c r="O28" s="1"/>
      <c r="P28" s="1"/>
    </row>
    <row r="29" spans="1:16">
      <c r="A29" s="1">
        <v>2</v>
      </c>
      <c r="B29" s="1">
        <v>5</v>
      </c>
      <c r="C29" s="1" t="s">
        <v>186</v>
      </c>
      <c r="D29" s="1">
        <v>2250</v>
      </c>
      <c r="E29" s="1">
        <v>6</v>
      </c>
      <c r="F29" s="1">
        <v>0</v>
      </c>
      <c r="G29" s="1">
        <v>0</v>
      </c>
      <c r="H29" s="1">
        <v>18</v>
      </c>
      <c r="I29" s="1">
        <v>1</v>
      </c>
      <c r="J29" s="2">
        <v>58000000</v>
      </c>
      <c r="K29" s="1">
        <v>3</v>
      </c>
      <c r="L29" s="1">
        <v>10000</v>
      </c>
      <c r="M29" s="1">
        <v>100</v>
      </c>
      <c r="N29" s="1"/>
      <c r="O29" s="1"/>
      <c r="P29" s="1"/>
    </row>
    <row r="30" spans="1:16">
      <c r="A30" s="1">
        <v>2</v>
      </c>
      <c r="B30" s="1">
        <v>6</v>
      </c>
      <c r="C30" s="1" t="s">
        <v>187</v>
      </c>
      <c r="D30" s="1">
        <v>3500</v>
      </c>
      <c r="E30" s="1">
        <v>6</v>
      </c>
      <c r="F30" s="1">
        <v>70</v>
      </c>
      <c r="G30" s="1">
        <v>1</v>
      </c>
      <c r="H30" s="1">
        <v>18</v>
      </c>
      <c r="I30" s="1">
        <v>1</v>
      </c>
      <c r="J30" s="2">
        <v>81500000</v>
      </c>
      <c r="K30" s="1">
        <v>3</v>
      </c>
      <c r="L30" s="1">
        <v>10000</v>
      </c>
      <c r="M30" s="1">
        <v>140</v>
      </c>
      <c r="N30" s="1"/>
      <c r="O30" s="1"/>
      <c r="P30" s="1"/>
    </row>
    <row r="31" spans="1:16">
      <c r="A31" s="1">
        <v>2</v>
      </c>
      <c r="B31" s="1">
        <v>7</v>
      </c>
      <c r="C31" s="1" t="s">
        <v>188</v>
      </c>
      <c r="D31" s="1">
        <v>4500</v>
      </c>
      <c r="E31" s="1">
        <v>6</v>
      </c>
      <c r="F31" s="1">
        <v>80</v>
      </c>
      <c r="G31" s="1">
        <v>1</v>
      </c>
      <c r="H31" s="1">
        <v>18</v>
      </c>
      <c r="I31" s="1">
        <v>1</v>
      </c>
      <c r="J31" s="2">
        <v>110000000</v>
      </c>
      <c r="K31" s="1">
        <v>3</v>
      </c>
      <c r="L31" s="1">
        <v>10000</v>
      </c>
      <c r="M31" s="1">
        <v>200</v>
      </c>
      <c r="N31" s="1"/>
      <c r="O31" s="1"/>
      <c r="P3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用户分布</vt:lpstr>
      <vt:lpstr>竞品体验</vt:lpstr>
      <vt:lpstr>数值体验表 </vt:lpstr>
      <vt:lpstr>QuestPlinkoWeight</vt:lpstr>
      <vt:lpstr>WeightCalculate</vt:lpstr>
      <vt:lpstr>Stagereward</vt:lpstr>
      <vt:lpstr>道具id表</vt:lpstr>
      <vt:lpstr>bet对应表</vt:lpstr>
      <vt:lpstr>QuestPickGet</vt:lpstr>
      <vt:lpstr>QuestGetLevel</vt:lpstr>
      <vt:lpstr>QuestPlinkoStageReward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mmog</dc:creator>
  <cp:lastModifiedBy>企业用户_244823163</cp:lastModifiedBy>
  <dcterms:created xsi:type="dcterms:W3CDTF">2026-04-22T02:30:00Z</dcterms:created>
  <dcterms:modified xsi:type="dcterms:W3CDTF">2026-06-17T02:42:33Z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7AB241D59096495E824F9ED30A3250FE_13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