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5" activeTab="1"/>
  </bookViews>
  <sheets>
    <sheet name="frenzy进度" sheetId="10" r:id="rId1"/>
    <sheet name="TreasureHuntReward" sheetId="1" r:id="rId2"/>
    <sheet name="TreasureHuntLevel" sheetId="11" r:id="rId3"/>
    <sheet name="道具" sheetId="3" r:id="rId4"/>
    <sheet name="转换" sheetId="5" r:id="rId5"/>
    <sheet name="体验表-备份" sheetId="7" state="hidden" r:id="rId6"/>
    <sheet name="体验表-带进度条" sheetId="6" r:id="rId7"/>
    <sheet name="体验表-12.11" sheetId="9" r:id="rId8"/>
    <sheet name="体验表-原始" sheetId="8" state="hidden" r:id="rId9"/>
  </sheets>
  <definedNames>
    <definedName name="_xlnm._FilterDatabase" localSheetId="1" hidden="1">TreasureHuntReward!$A$1:$T$477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<sst xmlns="http://schemas.openxmlformats.org/spreadsheetml/2006/main" count="1799" uniqueCount="559">
  <si>
    <t>档位</t>
  </si>
  <si>
    <t>价格</t>
  </si>
  <si>
    <t>金币</t>
  </si>
  <si>
    <t>等价物</t>
  </si>
  <si>
    <t>进度金币</t>
  </si>
  <si>
    <t>进度等价物</t>
  </si>
  <si>
    <t>付费美金</t>
  </si>
  <si>
    <t>进度美金</t>
  </si>
  <si>
    <t>合计</t>
  </si>
  <si>
    <t>总折扣</t>
  </si>
  <si>
    <t>进度折扣</t>
  </si>
  <si>
    <t>单位金币</t>
  </si>
  <si>
    <t>单位钻石</t>
  </si>
  <si>
    <t>Id</t>
  </si>
  <si>
    <t>Group</t>
  </si>
  <si>
    <t>Type</t>
  </si>
  <si>
    <r>
      <rPr>
        <sz val="11"/>
        <color theme="1"/>
        <rFont val="宋体"/>
        <charset val="134"/>
        <scheme val="minor"/>
      </rPr>
      <t>ItemID</t>
    </r>
    <r>
      <rPr>
        <sz val="11"/>
        <color theme="1"/>
        <rFont val="宋体"/>
        <charset val="134"/>
        <scheme val="minor"/>
      </rPr>
      <t>gp</t>
    </r>
  </si>
  <si>
    <t>ItemIDiap</t>
  </si>
  <si>
    <t>Money</t>
  </si>
  <si>
    <t>Sort</t>
  </si>
  <si>
    <t>exp</t>
  </si>
  <si>
    <t>RewardType1</t>
  </si>
  <si>
    <t>RewardItem1</t>
  </si>
  <si>
    <t>RewardCount1</t>
  </si>
  <si>
    <t>RewardType2</t>
  </si>
  <si>
    <t>RewardItem2</t>
  </si>
  <si>
    <t>RewardCount2</t>
  </si>
  <si>
    <t>RewardType3</t>
  </si>
  <si>
    <t>RewardItem3</t>
  </si>
  <si>
    <t>RewardCount3</t>
  </si>
  <si>
    <t>RewardType4</t>
  </si>
  <si>
    <t>RewardItem4</t>
  </si>
  <si>
    <t>RewardCount4</t>
  </si>
  <si>
    <r>
      <rPr>
        <sz val="11"/>
        <color theme="1"/>
        <rFont val="宋体"/>
        <charset val="134"/>
        <scheme val="minor"/>
      </rPr>
      <t>int</t>
    </r>
    <r>
      <rPr>
        <sz val="11"/>
        <color theme="1"/>
        <rFont val="宋体"/>
        <charset val="134"/>
        <scheme val="minor"/>
      </rPr>
      <t>_key</t>
    </r>
  </si>
  <si>
    <t>int</t>
  </si>
  <si>
    <t>string</t>
  </si>
  <si>
    <t>uint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</si>
  <si>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s</t>
    </r>
  </si>
  <si>
    <t>cs</t>
  </si>
  <si>
    <t>唯一索引</t>
  </si>
  <si>
    <t>分组定价</t>
  </si>
  <si>
    <t>1.free
2.购买项</t>
  </si>
  <si>
    <t>谷歌订单号</t>
  </si>
  <si>
    <t>苹果订单号</t>
  </si>
  <si>
    <t>排序</t>
  </si>
  <si>
    <t>经验</t>
  </si>
  <si>
    <r>
      <rPr>
        <sz val="11"/>
        <color theme="1"/>
        <rFont val="宋体"/>
        <charset val="134"/>
        <scheme val="minor"/>
      </rPr>
      <t>奖励类型
1金币
2钻石
3道具
4卡包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rFont val="宋体"/>
        <charset val="134"/>
        <scheme val="minor"/>
      </rPr>
      <t>9美金(查表)
17美金金币</t>
    </r>
  </si>
  <si>
    <t>奖励物品ID1
1金币
2钻石
3物品id</t>
  </si>
  <si>
    <t>奖励数量1</t>
  </si>
  <si>
    <t>stage</t>
  </si>
  <si>
    <t>score</t>
  </si>
  <si>
    <t>long</t>
  </si>
  <si>
    <t>// 阶段</t>
  </si>
  <si>
    <t>// 升级所需积分</t>
  </si>
  <si>
    <t>name</t>
  </si>
  <si>
    <t>_comm</t>
  </si>
  <si>
    <t>itemID</t>
  </si>
  <si>
    <t>string_lan</t>
  </si>
  <si>
    <t>uint_key</t>
  </si>
  <si>
    <t>skip</t>
  </si>
  <si>
    <t>//名字</t>
  </si>
  <si>
    <t>//注释</t>
  </si>
  <si>
    <t>//物品的ID</t>
  </si>
  <si>
    <t>新手礼包</t>
  </si>
  <si>
    <t>老手礼包</t>
  </si>
  <si>
    <t>登录礼包</t>
  </si>
  <si>
    <t>#UIAvatar42</t>
  </si>
  <si>
    <t>默认头像框</t>
  </si>
  <si>
    <t>#UIAvatar43</t>
  </si>
  <si>
    <t>财富榜第1名</t>
  </si>
  <si>
    <t>#UIAvatar44</t>
  </si>
  <si>
    <t>财富榜第2名</t>
  </si>
  <si>
    <t>#UIAvatar45</t>
  </si>
  <si>
    <t>财富榜第3名</t>
  </si>
  <si>
    <t>#UIAvatar46</t>
  </si>
  <si>
    <t>财富榜第4-20名</t>
  </si>
  <si>
    <t>#UIAvatar47</t>
  </si>
  <si>
    <t>财富榜第21-50名</t>
  </si>
  <si>
    <t>#UIAvatar48</t>
  </si>
  <si>
    <t>battlePass头像框</t>
  </si>
  <si>
    <t>#UIAvatar49</t>
  </si>
  <si>
    <t>vip1头像框</t>
  </si>
  <si>
    <t>#UIAvatar50</t>
  </si>
  <si>
    <t>vip2头像框</t>
  </si>
  <si>
    <t>#UIAvatar51</t>
  </si>
  <si>
    <t>vip3头像框</t>
  </si>
  <si>
    <t>#UIAvatar52</t>
  </si>
  <si>
    <t>vip4头像框</t>
  </si>
  <si>
    <t>#UIAvatar53</t>
  </si>
  <si>
    <t>vip5头像框</t>
  </si>
  <si>
    <t>#UIAvatar54</t>
  </si>
  <si>
    <t>vip6头像框</t>
  </si>
  <si>
    <t>#UIAvatar55</t>
  </si>
  <si>
    <t>vip7头像框</t>
  </si>
  <si>
    <t>#UIAvatar56</t>
  </si>
  <si>
    <t>vip8头像框</t>
  </si>
  <si>
    <t>#UIAvatar57</t>
  </si>
  <si>
    <t>vip9头像框</t>
  </si>
  <si>
    <t>#UIAvatar58</t>
  </si>
  <si>
    <t>周卡月卡头像框</t>
  </si>
  <si>
    <t>#UIAvatar59</t>
  </si>
  <si>
    <t>管理员头像框</t>
  </si>
  <si>
    <t>#UIAvatar60</t>
  </si>
  <si>
    <t>新手任务头像框</t>
  </si>
  <si>
    <t>#UIAvatar62</t>
  </si>
  <si>
    <t>万圣节头像框</t>
  </si>
  <si>
    <t>#UIAvatar63</t>
  </si>
  <si>
    <t>感恩节头像框</t>
  </si>
  <si>
    <t>#UIDeckName1</t>
  </si>
  <si>
    <t>默认牌背</t>
  </si>
  <si>
    <t>#UIDeckName2</t>
  </si>
  <si>
    <t>battlePass牌背</t>
  </si>
  <si>
    <t>#UIDeckName3</t>
  </si>
  <si>
    <t>vip牌背</t>
  </si>
  <si>
    <t>#UIBubbleName1</t>
  </si>
  <si>
    <t>聊天气泡</t>
  </si>
  <si>
    <t>#UIBubbleName3</t>
  </si>
  <si>
    <t>vip聊天气泡</t>
  </si>
  <si>
    <t>#UIBubbleName4</t>
  </si>
  <si>
    <t>battlePass聊天气泡</t>
  </si>
  <si>
    <t>#UIVip2Tip</t>
  </si>
  <si>
    <t>vip2奖励提示(只做提示）</t>
  </si>
  <si>
    <t>#UIVip9Tip</t>
  </si>
  <si>
    <t>vip9奖励提示(只做提示）</t>
  </si>
  <si>
    <t>#UIBubbleName5</t>
  </si>
  <si>
    <t>新手任务聊天气泡</t>
  </si>
  <si>
    <t>#UIBubbleName6</t>
  </si>
  <si>
    <t>万圣节聊天气泡</t>
  </si>
  <si>
    <t>#UITableName1</t>
  </si>
  <si>
    <t>默认牌桌</t>
  </si>
  <si>
    <t>#UITableName2</t>
  </si>
  <si>
    <t>vip牌桌</t>
  </si>
  <si>
    <t>#EXCELItemName1</t>
  </si>
  <si>
    <t>6M金币赛门票</t>
  </si>
  <si>
    <t>#EXCELItemName2</t>
  </si>
  <si>
    <t>1M金币赛门票</t>
  </si>
  <si>
    <t>#EXCELItemName3</t>
  </si>
  <si>
    <t>中级满人赛门票</t>
  </si>
  <si>
    <t>#EXCELItemName15</t>
  </si>
  <si>
    <t>中级兑换券赛门票</t>
  </si>
  <si>
    <t>#EXCELItemName16</t>
  </si>
  <si>
    <t>初级兑换券赛门票</t>
  </si>
  <si>
    <t>50里拉话费赛门票</t>
  </si>
  <si>
    <t>#EXCELItemName6</t>
  </si>
  <si>
    <t>100钻石赛门票</t>
  </si>
  <si>
    <t>#EXCELItemName7</t>
  </si>
  <si>
    <t>500钻石赛门票</t>
  </si>
  <si>
    <t>#EXCELItemName8</t>
  </si>
  <si>
    <t>150钻石赛门票</t>
  </si>
  <si>
    <t>#EXCELItemName19</t>
  </si>
  <si>
    <t>新锦标赛门票</t>
  </si>
  <si>
    <t>#EXCELItemName10</t>
  </si>
  <si>
    <t>20里拉电话卡兑换券</t>
  </si>
  <si>
    <t>#EXCELItemName11</t>
  </si>
  <si>
    <t>25里拉电话卡兑换券</t>
  </si>
  <si>
    <t>#EXCELItemName13</t>
  </si>
  <si>
    <t>50里拉电话卡兑换券</t>
  </si>
  <si>
    <t>#EXCELItemName17</t>
  </si>
  <si>
    <t>电话卡兑换券碎片</t>
  </si>
  <si>
    <t>#PMarket10</t>
  </si>
  <si>
    <t>奖券</t>
  </si>
  <si>
    <t>#PLottery49</t>
  </si>
  <si>
    <t>夺宝券</t>
  </si>
  <si>
    <t>#UIAvatar19</t>
  </si>
  <si>
    <t>头像框</t>
  </si>
  <si>
    <t>#UIAvatar20</t>
  </si>
  <si>
    <t>#PItem1</t>
  </si>
  <si>
    <t>#UIAvatar9</t>
  </si>
  <si>
    <t>#UIAvatar10</t>
  </si>
  <si>
    <t>#UIAvatar11</t>
  </si>
  <si>
    <t>#UIAvatar12</t>
  </si>
  <si>
    <t>#UIAvatar13</t>
  </si>
  <si>
    <t>#UIAvatar14</t>
  </si>
  <si>
    <t>#UIAvatar15</t>
  </si>
  <si>
    <t>#UIAvatar16</t>
  </si>
  <si>
    <t>#UIAvatar17</t>
  </si>
  <si>
    <t>#UIAvatar18</t>
  </si>
  <si>
    <t>#UIAvatar1</t>
  </si>
  <si>
    <t>球衣（30天）</t>
  </si>
  <si>
    <t>#UIAvatar25</t>
  </si>
  <si>
    <t>VAV</t>
  </si>
  <si>
    <t>#UIAvatar2</t>
  </si>
  <si>
    <t>甜筒（30天）</t>
  </si>
  <si>
    <t>#UIAvatar3</t>
  </si>
  <si>
    <t>面包圈（30天）</t>
  </si>
  <si>
    <t>#UIAvatar4</t>
  </si>
  <si>
    <t>软糖（30天）</t>
  </si>
  <si>
    <t>#UIAvatar5</t>
  </si>
  <si>
    <t>热气球（30天）</t>
  </si>
  <si>
    <t>#UIAvatar6</t>
  </si>
  <si>
    <t>国旗（30天）</t>
  </si>
  <si>
    <t>#UIAvatar7</t>
  </si>
  <si>
    <t>糖水（30天）</t>
  </si>
  <si>
    <t>#UIAvatar8</t>
  </si>
  <si>
    <t>咖啡（30天）</t>
  </si>
  <si>
    <t>#UIAvatar21</t>
  </si>
  <si>
    <t>管理员（7天）</t>
  </si>
  <si>
    <t>#UIAvatar22</t>
  </si>
  <si>
    <t>两周年专属头像（永久）</t>
  </si>
  <si>
    <t>#UIAvatar23</t>
  </si>
  <si>
    <t>王冠头像（永久）</t>
  </si>
  <si>
    <t>#UIAvatar24</t>
  </si>
  <si>
    <t>新年神灯头像（永久）</t>
  </si>
  <si>
    <t>#UIAvatar26</t>
  </si>
  <si>
    <t>2020斋月头像</t>
  </si>
  <si>
    <t>#UIAvatar27</t>
  </si>
  <si>
    <t>2020古尔邦节头像框</t>
  </si>
  <si>
    <t>#UIAvatar28</t>
  </si>
  <si>
    <t>苏丹的花押</t>
  </si>
  <si>
    <t>#UIAvatar29</t>
  </si>
  <si>
    <t>97周年国旗头像</t>
  </si>
  <si>
    <t>#UIAvatar30</t>
  </si>
  <si>
    <t>2021新年头像（夺宝第一期）</t>
  </si>
  <si>
    <t>#UIAvatar31</t>
  </si>
  <si>
    <t>2021情人节头像（夺宝第二期）</t>
  </si>
  <si>
    <t>#UIAvatar32</t>
  </si>
  <si>
    <t>2021斋月头像（夺宝第三期）</t>
  </si>
  <si>
    <t>#UIAvatar33</t>
  </si>
  <si>
    <t>2021斋月敲鼓人</t>
  </si>
  <si>
    <t>#UIAvatar34</t>
  </si>
  <si>
    <t>2022年斋月郁金香</t>
  </si>
  <si>
    <t>#UIAvatar35</t>
  </si>
  <si>
    <t>2022年斋月字母</t>
  </si>
  <si>
    <t>#UIAvatar36</t>
  </si>
  <si>
    <t>星星进度礼包</t>
  </si>
  <si>
    <t>#UIAvatar37</t>
  </si>
  <si>
    <t>钥匙宝箱</t>
  </si>
  <si>
    <t>#UIAvatar38</t>
  </si>
  <si>
    <t>6周年头像框</t>
  </si>
  <si>
    <t>#UIAvatar39</t>
  </si>
  <si>
    <t>2022世界杯头像框</t>
  </si>
  <si>
    <t>#UIAvatar40</t>
  </si>
  <si>
    <t>2023年新年头像</t>
  </si>
  <si>
    <t>#UIAvatar41</t>
  </si>
  <si>
    <t>2023农历新年头像</t>
  </si>
  <si>
    <t>#PPackage7</t>
  </si>
  <si>
    <t>钻石折扣券</t>
  </si>
  <si>
    <t>#PItem65</t>
  </si>
  <si>
    <t>老虎机券</t>
  </si>
  <si>
    <t>#PItem66</t>
  </si>
  <si>
    <t>老虎机券x1</t>
  </si>
  <si>
    <t>#PItem67</t>
  </si>
  <si>
    <t>老虎机券x18</t>
  </si>
  <si>
    <t>#PItem68</t>
  </si>
  <si>
    <t>互动表情</t>
  </si>
  <si>
    <t>#PItem69</t>
  </si>
  <si>
    <t>互动表情x1</t>
  </si>
  <si>
    <t>#PItem70</t>
  </si>
  <si>
    <t>互动表情x200</t>
  </si>
  <si>
    <t>#PItem17</t>
  </si>
  <si>
    <t>3天特权表情(非道具)</t>
  </si>
  <si>
    <t>#PItem18</t>
  </si>
  <si>
    <t>7天特权表情(非道具)</t>
  </si>
  <si>
    <t>#PItem19</t>
  </si>
  <si>
    <t>30天特权表情(非道具)</t>
  </si>
  <si>
    <t>#PItem20</t>
  </si>
  <si>
    <t>下次奖励翻倍</t>
  </si>
  <si>
    <t>#PItem27</t>
  </si>
  <si>
    <t>房卡</t>
  </si>
  <si>
    <t>#PItem28</t>
  </si>
  <si>
    <t>房卡x10</t>
  </si>
  <si>
    <t>#PItem29</t>
  </si>
  <si>
    <t>房卡x50</t>
  </si>
  <si>
    <t>#PItem21</t>
  </si>
  <si>
    <t>VIP1礼包</t>
  </si>
  <si>
    <t>#PItem22</t>
  </si>
  <si>
    <t>VIP2礼包</t>
  </si>
  <si>
    <t>#PItem23</t>
  </si>
  <si>
    <t>VIP3礼包</t>
  </si>
  <si>
    <t>#PItem24</t>
  </si>
  <si>
    <t>VIP4礼包</t>
  </si>
  <si>
    <t>#PItem25</t>
  </si>
  <si>
    <t>VIP5礼包</t>
  </si>
  <si>
    <t>#PItem31</t>
  </si>
  <si>
    <t>迷你牌</t>
  </si>
  <si>
    <t>#PItem33</t>
  </si>
  <si>
    <t>黑6</t>
  </si>
  <si>
    <t>#PItem34</t>
  </si>
  <si>
    <t>红6</t>
  </si>
  <si>
    <t>#PItem35</t>
  </si>
  <si>
    <t>蓝6</t>
  </si>
  <si>
    <t>#PItem36</t>
  </si>
  <si>
    <t>黄6</t>
  </si>
  <si>
    <t>#PItem37</t>
  </si>
  <si>
    <t>假王牌</t>
  </si>
  <si>
    <t>#PWorldChat6</t>
  </si>
  <si>
    <t>喇叭</t>
  </si>
  <si>
    <t>#PWorldChat15</t>
  </si>
  <si>
    <t>喇叭x10</t>
  </si>
  <si>
    <t>#PWorldChat16</t>
  </si>
  <si>
    <t>喇叭x50</t>
  </si>
  <si>
    <t>#PItem39</t>
  </si>
  <si>
    <t>钥匙</t>
  </si>
  <si>
    <t>开斋节累计充值礼包1</t>
  </si>
  <si>
    <t>开斋节累计充值礼包2</t>
  </si>
  <si>
    <t>开斋节累计充值礼包3</t>
  </si>
  <si>
    <t>开斋节累计充值礼包4</t>
  </si>
  <si>
    <t>开斋节累计充值礼包5</t>
  </si>
  <si>
    <t>开斋特等奖</t>
  </si>
  <si>
    <t>开斋1等奖</t>
  </si>
  <si>
    <t>开斋2等奖</t>
  </si>
  <si>
    <t>开斋3等奖</t>
  </si>
  <si>
    <t>开斋4等奖</t>
  </si>
  <si>
    <t>开斋5等奖</t>
  </si>
  <si>
    <t>开斋6等奖</t>
  </si>
  <si>
    <t>存钱罐礼包1</t>
  </si>
  <si>
    <t>存钱罐礼包2</t>
  </si>
  <si>
    <t>存钱罐礼包3</t>
  </si>
  <si>
    <t>存钱罐礼包4</t>
  </si>
  <si>
    <t>存钱罐礼包5</t>
  </si>
  <si>
    <t>存钱罐礼包6</t>
  </si>
  <si>
    <t>存钱罐礼包7</t>
  </si>
  <si>
    <t>存钱罐礼包8</t>
  </si>
  <si>
    <t>存钱罐礼包9</t>
  </si>
  <si>
    <t>存钱罐礼包10</t>
  </si>
  <si>
    <t>存钱罐礼包11</t>
  </si>
  <si>
    <t>存钱罐礼包12</t>
  </si>
  <si>
    <t>存钱罐礼包13</t>
  </si>
  <si>
    <t>存钱罐礼包14</t>
  </si>
  <si>
    <t>#PItem71</t>
  </si>
  <si>
    <t>斋月拉丝糖</t>
  </si>
  <si>
    <t>#PItem72</t>
  </si>
  <si>
    <t>古尔邦节冰淇淋</t>
  </si>
  <si>
    <t>#PItem73</t>
  </si>
  <si>
    <t>pass收集物品</t>
  </si>
  <si>
    <t>联赛积分加成</t>
  </si>
  <si>
    <t>金色气泡</t>
  </si>
  <si>
    <t>刮刮卡JACKPOT收集道具</t>
  </si>
  <si>
    <t>cake</t>
  </si>
  <si>
    <t>蛋糕</t>
  </si>
  <si>
    <t>heart</t>
  </si>
  <si>
    <t>心</t>
  </si>
  <si>
    <t>Roadster</t>
  </si>
  <si>
    <t>跑车</t>
  </si>
  <si>
    <t>Houseboat</t>
  </si>
  <si>
    <t>游艇</t>
  </si>
  <si>
    <t>Castle</t>
  </si>
  <si>
    <t>城堡</t>
  </si>
  <si>
    <t>Necklace</t>
  </si>
  <si>
    <t>项链</t>
  </si>
  <si>
    <t>Flower</t>
  </si>
  <si>
    <t>玫瑰</t>
  </si>
  <si>
    <t>bombs</t>
  </si>
  <si>
    <t>炸弹</t>
  </si>
  <si>
    <t>like</t>
  </si>
  <si>
    <t>赞</t>
  </si>
  <si>
    <t>Punch</t>
  </si>
  <si>
    <t>击拳</t>
  </si>
  <si>
    <t>Bucket</t>
  </si>
  <si>
    <t>水桶</t>
  </si>
  <si>
    <t>Juicy 3</t>
  </si>
  <si>
    <t>果汁3</t>
  </si>
  <si>
    <t>Clap</t>
  </si>
  <si>
    <t>鼓掌</t>
  </si>
  <si>
    <t>Ring</t>
  </si>
  <si>
    <t>戒指</t>
  </si>
  <si>
    <t>Poo</t>
  </si>
  <si>
    <t>便便</t>
  </si>
  <si>
    <t>Fish</t>
  </si>
  <si>
    <t>鱼</t>
  </si>
  <si>
    <t>Turtle</t>
  </si>
  <si>
    <t>乌龟</t>
  </si>
  <si>
    <t>Kiss</t>
  </si>
  <si>
    <t>吻</t>
  </si>
  <si>
    <t>head</t>
  </si>
  <si>
    <t>帽子</t>
  </si>
  <si>
    <t>donkey</t>
  </si>
  <si>
    <t>驴</t>
  </si>
  <si>
    <t>snake</t>
  </si>
  <si>
    <t>蛇</t>
  </si>
  <si>
    <t>chocolate</t>
  </si>
  <si>
    <t>巧克力</t>
  </si>
  <si>
    <t>Dolls</t>
  </si>
  <si>
    <t>玩偶</t>
  </si>
  <si>
    <t>hot dog</t>
  </si>
  <si>
    <t>热狗</t>
  </si>
  <si>
    <t>Juicy 1</t>
  </si>
  <si>
    <t>果汁1</t>
  </si>
  <si>
    <t>Juicy 2</t>
  </si>
  <si>
    <t>果汁2</t>
  </si>
  <si>
    <t>Coffee</t>
  </si>
  <si>
    <t>咖啡</t>
  </si>
  <si>
    <t>Beer</t>
  </si>
  <si>
    <t>啤酒</t>
  </si>
  <si>
    <t>Snail</t>
  </si>
  <si>
    <t>蜗牛</t>
  </si>
  <si>
    <t>egg</t>
  </si>
  <si>
    <t>鸡蛋</t>
  </si>
  <si>
    <t>tea</t>
  </si>
  <si>
    <t>红茶</t>
  </si>
  <si>
    <t>Halloween candy</t>
  </si>
  <si>
    <t>万圣节-糖果</t>
  </si>
  <si>
    <t>Halloween pumpkin</t>
  </si>
  <si>
    <t>万圣节-南瓜</t>
  </si>
  <si>
    <t xml:space="preserve"> Spades Shark </t>
  </si>
  <si>
    <t>黑桃鲨</t>
  </si>
  <si>
    <t>Big Winner</t>
  </si>
  <si>
    <t>大赢家</t>
  </si>
  <si>
    <t>Money Magnet</t>
  </si>
  <si>
    <t>金钱磁铁</t>
  </si>
  <si>
    <t xml:space="preserve">Spades Ace </t>
  </si>
  <si>
    <t>黑桃 A</t>
  </si>
  <si>
    <t>Nil Ninja</t>
  </si>
  <si>
    <t>零点忍者</t>
  </si>
  <si>
    <t>Risk Taker</t>
  </si>
  <si>
    <t>冒险家</t>
  </si>
  <si>
    <t>Remaining Card</t>
  </si>
  <si>
    <t>记牌器3分钟</t>
  </si>
  <si>
    <t>记牌器1个</t>
  </si>
  <si>
    <t>FunEmoji-Heart</t>
  </si>
  <si>
    <t>心-表情道具</t>
  </si>
  <si>
    <t>FunEmoji-Turtle</t>
  </si>
  <si>
    <t>乌龟-表情道具</t>
  </si>
  <si>
    <t>FunEmoji-Like</t>
  </si>
  <si>
    <t>赞-表情道具</t>
  </si>
  <si>
    <t>FunEmoji-Poo</t>
  </si>
  <si>
    <t>便便-表情道具</t>
  </si>
  <si>
    <t>FunEmoji-Flower</t>
  </si>
  <si>
    <t>花-表情道具</t>
  </si>
  <si>
    <t>FunEmoji-Candy</t>
  </si>
  <si>
    <t>糖果-表情道具</t>
  </si>
  <si>
    <t>FunEmoji-Pumpkin</t>
  </si>
  <si>
    <t>南瓜-表情道具</t>
  </si>
  <si>
    <t>Revive Ticket</t>
  </si>
  <si>
    <t>大奖赛复活券</t>
  </si>
  <si>
    <t>Register Ticket</t>
  </si>
  <si>
    <t>大奖赛报名券</t>
  </si>
  <si>
    <t>Common Treasure</t>
  </si>
  <si>
    <t>每日宝箱1</t>
  </si>
  <si>
    <t>Rare Treasure</t>
  </si>
  <si>
    <t>每日宝箱2</t>
  </si>
  <si>
    <t>Deluxe Treasure</t>
  </si>
  <si>
    <t>每日宝箱3</t>
  </si>
  <si>
    <t>Epic Treasure</t>
  </si>
  <si>
    <t>每日宝箱4</t>
  </si>
  <si>
    <t>Premium Treasure</t>
  </si>
  <si>
    <t>每日宝箱5</t>
  </si>
  <si>
    <t>#ROLENAME1</t>
  </si>
  <si>
    <t>黑人女碎片</t>
  </si>
  <si>
    <t>#ROLENAME2</t>
  </si>
  <si>
    <t>黑人男碎片</t>
  </si>
  <si>
    <t>#ROLENAME3</t>
  </si>
  <si>
    <t>白人女碎片</t>
  </si>
  <si>
    <t>#ROLENAME4</t>
  </si>
  <si>
    <t>白人男碎片</t>
  </si>
  <si>
    <t>RaffleTicket</t>
  </si>
  <si>
    <t>pass抽奖券</t>
  </si>
  <si>
    <t>League xp +10%</t>
  </si>
  <si>
    <t>联赛经验加成</t>
  </si>
  <si>
    <t>League xp +30%</t>
  </si>
  <si>
    <t>League xp +40%</t>
  </si>
  <si>
    <t>League xp +50%</t>
  </si>
  <si>
    <t>SlotTicket</t>
  </si>
  <si>
    <t>老虎机抽奖券</t>
  </si>
  <si>
    <t>1 Star Pack</t>
  </si>
  <si>
    <t>卡包1星</t>
  </si>
  <si>
    <t>2 Stars Pack</t>
  </si>
  <si>
    <t>卡包2星</t>
  </si>
  <si>
    <t>3 Stars Pack</t>
  </si>
  <si>
    <t>卡包3星</t>
  </si>
  <si>
    <t>4 Stars Pack</t>
  </si>
  <si>
    <t>卡包4星</t>
  </si>
  <si>
    <t>5 Stars Pack</t>
  </si>
  <si>
    <t>卡包5星</t>
  </si>
  <si>
    <t>Ordinary Joker</t>
  </si>
  <si>
    <t>Joker Card1</t>
  </si>
  <si>
    <t>Gold Joker</t>
  </si>
  <si>
    <t>Joker Card2</t>
  </si>
  <si>
    <t>Fun Joker</t>
  </si>
  <si>
    <t>Joker Card3</t>
  </si>
  <si>
    <t>Super Joker</t>
  </si>
  <si>
    <t>Joker Card4</t>
  </si>
  <si>
    <t>6 Stars Pack</t>
  </si>
  <si>
    <t>卡包fun卡</t>
  </si>
  <si>
    <t>1星卡包</t>
  </si>
  <si>
    <t>2星卡包</t>
  </si>
  <si>
    <t>3星卡包</t>
  </si>
  <si>
    <t>4星卡包</t>
  </si>
  <si>
    <t>5星卡包</t>
  </si>
  <si>
    <t>钻石</t>
  </si>
  <si>
    <t>道具</t>
  </si>
  <si>
    <t>美金</t>
  </si>
  <si>
    <t>gp_hunt_99</t>
  </si>
  <si>
    <t>gp_hunt_199</t>
  </si>
  <si>
    <t>gp_hunt_1</t>
  </si>
  <si>
    <t>gp_hunt_2</t>
  </si>
  <si>
    <t>gp_hunt_499</t>
  </si>
  <si>
    <t>gp_hunt_599</t>
  </si>
  <si>
    <t>gp_hunt_699</t>
  </si>
  <si>
    <t>gp_hunt_3</t>
  </si>
  <si>
    <t>gp_hunt_4</t>
  </si>
  <si>
    <t>gp_hunt_999</t>
  </si>
  <si>
    <t>gp_hunt_5</t>
  </si>
  <si>
    <t>gp_hunt_6</t>
  </si>
  <si>
    <t>gp_hunt_1799</t>
  </si>
  <si>
    <t>gp_hunt_1999</t>
  </si>
  <si>
    <t>gp_hunt_2499</t>
  </si>
  <si>
    <t>gp_hunt_2999</t>
  </si>
  <si>
    <t>gp_hunt_3499</t>
  </si>
  <si>
    <t>gp_hunt_3999</t>
  </si>
  <si>
    <t>gp_hunt_4499</t>
  </si>
  <si>
    <t>gp_hunt_4999</t>
  </si>
  <si>
    <t>gp_hunt_5999</t>
  </si>
  <si>
    <t>gp_hunt_6999</t>
  </si>
  <si>
    <t>gp_hunt_7999</t>
  </si>
  <si>
    <t>gp_hunt_8999</t>
  </si>
  <si>
    <t>gp_hunt_9999</t>
  </si>
  <si>
    <t>iap_hunt_99</t>
  </si>
  <si>
    <t>iap_hunt_199</t>
  </si>
  <si>
    <t>iap_hunt_1</t>
  </si>
  <si>
    <t>iap_hunt_2</t>
  </si>
  <si>
    <t>iap_hunt_499</t>
  </si>
  <si>
    <t>iap_hunt_599</t>
  </si>
  <si>
    <t>iap_hunt_699</t>
  </si>
  <si>
    <t>iap_hunt_3</t>
  </si>
  <si>
    <t>iap_hunt_4</t>
  </si>
  <si>
    <t>iap_hunt_999</t>
  </si>
  <si>
    <t>iap_hunt_5</t>
  </si>
  <si>
    <t>iap_hunt_6</t>
  </si>
  <si>
    <t>iap_hunt_1799</t>
  </si>
  <si>
    <t>iap_hunt_1999</t>
  </si>
  <si>
    <t>iap_hunt_2499</t>
  </si>
  <si>
    <t>iap_hunt_2999</t>
  </si>
  <si>
    <t>iap_hunt_3499</t>
  </si>
  <si>
    <t>iap_hunt_3999</t>
  </si>
  <si>
    <t>iap_hunt_4499</t>
  </si>
  <si>
    <t>iap_hunt_4999</t>
  </si>
  <si>
    <t>iap_hunt_5999</t>
  </si>
  <si>
    <t>iap_hunt_6999</t>
  </si>
  <si>
    <t>iap_hunt_7999</t>
  </si>
  <si>
    <t>iap_hunt_8999</t>
  </si>
  <si>
    <t>iap_hunt_9999</t>
  </si>
  <si>
    <t>膨胀系数</t>
  </si>
  <si>
    <t>VIP膨胀</t>
  </si>
  <si>
    <t>仅VIP膨胀</t>
  </si>
  <si>
    <t>分组</t>
  </si>
  <si>
    <t>序列</t>
  </si>
  <si>
    <t>档位膨胀</t>
  </si>
  <si>
    <t>基础金币</t>
  </si>
  <si>
    <t>合计金币</t>
  </si>
  <si>
    <t>合计美金</t>
  </si>
  <si>
    <t>优惠比例</t>
  </si>
  <si>
    <t>奖励类型</t>
  </si>
  <si>
    <t>奖励类型
1金币
2钻石
3道具
4卡包
9美金(查表)
17美金金币</t>
  </si>
  <si>
    <t>数量</t>
  </si>
  <si>
    <t>档位金币</t>
  </si>
  <si>
    <t>档位美金</t>
  </si>
  <si>
    <t>进度序号</t>
  </si>
  <si>
    <t>关卡进度</t>
  </si>
  <si>
    <t>累计进度</t>
  </si>
  <si>
    <t>奖励类型1金币2钻石3道具4卡包9美金(查表)17美金金币</t>
  </si>
  <si>
    <t>折扣</t>
  </si>
  <si>
    <t>总计美金</t>
  </si>
  <si>
    <t>阶段</t>
  </si>
  <si>
    <t>积分</t>
  </si>
  <si>
    <t>累计积分</t>
  </si>
  <si>
    <t>总优惠比例</t>
  </si>
  <si>
    <t>优惠金币</t>
  </si>
  <si>
    <t>总优惠进度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</si>
</sst>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_ "/>
    <numFmt numFmtId="178" formatCode="_ * #,##0_ ;_ * \-#,##0_ ;_ * &quot;-&quot;??_ ;_ @_ "/>
    <numFmt numFmtId="179" formatCode="0.00_ "/>
    <numFmt numFmtId="180" formatCode="0_);[Red]\(0\)"/>
    <numFmt numFmtId="181" formatCode="0.00_);[Red]\(0.00\)"/>
    <numFmt numFmtId="182" formatCode="#,##0_);[Red]\(#,##0\)"/>
    <numFmt numFmtId="183" formatCode="#,##0_ "/>
    <numFmt numFmtId="184" formatCode="_ * #,##0.00_ ;_ * \-#,##0.00_ ;_ * &quot;-&quot;??.00_ ;_ @_ "/>
    <numFmt numFmtId="185" formatCode="_ * #,##0.0_ ;_ * \-#,##0.0_ ;_ 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7238074892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rgb="FFDEE0E3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9" borderId="12" applyNumberFormat="0" applyAlignment="0" applyProtection="0">
      <alignment vertical="center"/>
    </xf>
    <xf numFmtId="0" fontId="15" fillId="20" borderId="13" applyNumberFormat="0" applyAlignment="0" applyProtection="0">
      <alignment vertical="center"/>
    </xf>
    <xf numFmtId="0" fontId="16" fillId="20" borderId="12" applyNumberFormat="0" applyAlignment="0" applyProtection="0">
      <alignment vertical="center"/>
    </xf>
    <xf numFmtId="0" fontId="17" fillId="21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6" fontId="1" fillId="4" borderId="0" xfId="3" applyNumberFormat="1" applyFont="1" applyFill="1" applyAlignment="1">
      <alignment horizontal="center" vertical="center"/>
    </xf>
    <xf numFmtId="9" fontId="1" fillId="0" borderId="0" xfId="3" applyFont="1" applyAlignment="1">
      <alignment horizontal="center" vertical="center"/>
    </xf>
    <xf numFmtId="177" fontId="1" fillId="0" borderId="0" xfId="3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2" borderId="0" xfId="0" applyNumberFormat="1" applyFill="1" applyAlignment="1">
      <alignment horizontal="center" vertical="center"/>
    </xf>
    <xf numFmtId="179" fontId="0" fillId="3" borderId="0" xfId="0" applyNumberFormat="1" applyFill="1" applyAlignment="1">
      <alignment horizontal="center" vertical="center"/>
    </xf>
    <xf numFmtId="9" fontId="0" fillId="0" borderId="0" xfId="3" applyAlignment="1">
      <alignment horizontal="center" vertical="center"/>
    </xf>
    <xf numFmtId="9" fontId="0" fillId="0" borderId="0" xfId="3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4" fillId="4" borderId="1" xfId="3" applyNumberFormat="1" applyFont="1" applyFill="1" applyBorder="1" applyAlignment="1">
      <alignment horizontal="center" vertical="center"/>
    </xf>
    <xf numFmtId="9" fontId="4" fillId="0" borderId="1" xfId="3" applyFont="1" applyBorder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9" fontId="3" fillId="0" borderId="0" xfId="3" applyFont="1" applyBorder="1" applyAlignment="1">
      <alignment horizontal="center" vertical="center"/>
    </xf>
    <xf numFmtId="9" fontId="3" fillId="0" borderId="2" xfId="3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5" fillId="0" borderId="1" xfId="0" applyFont="1" applyBorder="1">
      <alignment vertical="center"/>
    </xf>
    <xf numFmtId="177" fontId="3" fillId="0" borderId="1" xfId="0" applyNumberFormat="1" applyFont="1" applyBorder="1" applyAlignment="1">
      <alignment horizontal="center" vertical="center"/>
    </xf>
    <xf numFmtId="179" fontId="3" fillId="2" borderId="1" xfId="0" applyNumberFormat="1" applyFont="1" applyFill="1" applyBorder="1" applyAlignment="1">
      <alignment horizontal="center" vertical="center"/>
    </xf>
    <xf numFmtId="180" fontId="3" fillId="0" borderId="2" xfId="3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/>
    </xf>
    <xf numFmtId="9" fontId="3" fillId="0" borderId="2" xfId="3" applyNumberFormat="1" applyFont="1" applyBorder="1" applyAlignment="1">
      <alignment horizontal="center" vertical="center"/>
    </xf>
    <xf numFmtId="182" fontId="3" fillId="0" borderId="2" xfId="3" applyNumberFormat="1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8" fontId="3" fillId="0" borderId="0" xfId="3" applyNumberFormat="1" applyFont="1" applyBorder="1" applyAlignment="1">
      <alignment horizontal="center" vertical="center"/>
    </xf>
    <xf numFmtId="180" fontId="0" fillId="7" borderId="0" xfId="0" applyNumberFormat="1" applyFill="1" applyAlignment="1">
      <alignment horizontal="center" vertical="center"/>
    </xf>
    <xf numFmtId="179" fontId="0" fillId="7" borderId="0" xfId="0" applyNumberFormat="1" applyFill="1" applyAlignment="1">
      <alignment horizontal="center" vertical="center"/>
    </xf>
    <xf numFmtId="177" fontId="0" fillId="7" borderId="0" xfId="0" applyNumberFormat="1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180" fontId="4" fillId="7" borderId="1" xfId="3" applyNumberFormat="1" applyFont="1" applyFill="1" applyBorder="1" applyAlignment="1">
      <alignment horizontal="center" vertical="center"/>
    </xf>
    <xf numFmtId="9" fontId="4" fillId="7" borderId="1" xfId="3" applyFont="1" applyFill="1" applyBorder="1" applyAlignment="1">
      <alignment horizontal="center" vertical="center"/>
    </xf>
    <xf numFmtId="177" fontId="4" fillId="7" borderId="1" xfId="3" applyNumberFormat="1" applyFont="1" applyFill="1" applyBorder="1" applyAlignment="1">
      <alignment horizontal="center" vertical="center" wrapText="1"/>
    </xf>
    <xf numFmtId="177" fontId="4" fillId="7" borderId="0" xfId="3" applyNumberFormat="1" applyFont="1" applyFill="1" applyBorder="1" applyAlignment="1">
      <alignment horizontal="center" vertical="center" wrapText="1"/>
    </xf>
    <xf numFmtId="178" fontId="3" fillId="7" borderId="0" xfId="3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80" fontId="3" fillId="7" borderId="1" xfId="0" applyNumberFormat="1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177" fontId="3" fillId="7" borderId="1" xfId="0" applyNumberFormat="1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180" fontId="3" fillId="0" borderId="1" xfId="3" applyNumberFormat="1" applyFont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9" fontId="3" fillId="0" borderId="1" xfId="3" applyNumberFormat="1" applyFont="1" applyBorder="1" applyAlignment="1">
      <alignment horizontal="center" vertical="center"/>
    </xf>
    <xf numFmtId="182" fontId="3" fillId="0" borderId="1" xfId="3" applyNumberFormat="1" applyFont="1" applyBorder="1" applyAlignment="1">
      <alignment horizontal="center" vertical="center"/>
    </xf>
    <xf numFmtId="9" fontId="3" fillId="0" borderId="0" xfId="3" applyNumberFormat="1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9" fontId="3" fillId="0" borderId="7" xfId="3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1" fontId="3" fillId="0" borderId="7" xfId="3" applyNumberFormat="1" applyFont="1" applyBorder="1" applyAlignment="1">
      <alignment horizontal="center" vertical="center"/>
    </xf>
    <xf numFmtId="180" fontId="3" fillId="0" borderId="7" xfId="3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3" fontId="5" fillId="0" borderId="8" xfId="0" applyNumberFormat="1" applyFont="1" applyBorder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 applyAlignment="1">
      <alignment horizontal="right" vertical="center"/>
    </xf>
    <xf numFmtId="0" fontId="1" fillId="12" borderId="0" xfId="0" applyFont="1" applyFill="1">
      <alignment vertical="center"/>
    </xf>
    <xf numFmtId="0" fontId="0" fillId="12" borderId="0" xfId="0" applyFill="1">
      <alignment vertical="center"/>
    </xf>
    <xf numFmtId="0" fontId="5" fillId="12" borderId="0" xfId="0" applyFont="1" applyFill="1">
      <alignment vertical="center"/>
    </xf>
    <xf numFmtId="0" fontId="0" fillId="13" borderId="0" xfId="0" applyFill="1">
      <alignment vertical="center"/>
    </xf>
    <xf numFmtId="0" fontId="5" fillId="13" borderId="0" xfId="0" applyFont="1" applyFill="1">
      <alignment vertical="center"/>
    </xf>
    <xf numFmtId="0" fontId="0" fillId="0" borderId="0" xfId="0" applyAlignment="1">
      <alignment horizontal="left" vertical="center" wrapText="1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0" fillId="0" borderId="0" xfId="0" applyProtection="1">
      <alignment vertical="center"/>
      <protection locked="0"/>
    </xf>
    <xf numFmtId="183" fontId="0" fillId="0" borderId="0" xfId="0" applyNumberFormat="1">
      <alignment vertical="center"/>
    </xf>
    <xf numFmtId="0" fontId="0" fillId="0" borderId="0" xfId="0" applyAlignment="1" applyProtection="1">
      <protection locked="0"/>
    </xf>
    <xf numFmtId="183" fontId="0" fillId="0" borderId="0" xfId="0" applyNumberFormat="1" applyAlignment="1"/>
    <xf numFmtId="0" fontId="0" fillId="16" borderId="0" xfId="0" applyFont="1" applyFill="1" applyAlignment="1">
      <alignment horizontal="center" vertical="center"/>
    </xf>
    <xf numFmtId="0" fontId="0" fillId="16" borderId="0" xfId="0" applyFont="1" applyFill="1">
      <alignment vertical="center"/>
    </xf>
    <xf numFmtId="178" fontId="0" fillId="16" borderId="0" xfId="0" applyNumberFormat="1" applyFont="1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178" fontId="0" fillId="16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Alignment="1" applyProtection="1">
      <alignment horizontal="left" vertical="center" wrapText="1"/>
      <protection locked="0"/>
    </xf>
    <xf numFmtId="183" fontId="0" fillId="0" borderId="0" xfId="0" applyNumberFormat="1" applyAlignment="1">
      <alignment horizontal="left" vertical="center" wrapText="1"/>
    </xf>
    <xf numFmtId="0" fontId="0" fillId="16" borderId="0" xfId="0" applyFont="1" applyFill="1" applyAlignment="1">
      <alignment horizontal="center" vertical="center" wrapText="1"/>
    </xf>
    <xf numFmtId="178" fontId="0" fillId="16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3" fontId="0" fillId="0" borderId="0" xfId="2" applyNumberFormat="1">
      <alignment vertical="center"/>
    </xf>
    <xf numFmtId="0" fontId="0" fillId="14" borderId="0" xfId="0" applyFill="1" applyProtection="1">
      <alignment vertical="center"/>
      <protection locked="0"/>
    </xf>
    <xf numFmtId="183" fontId="0" fillId="14" borderId="0" xfId="0" applyNumberFormat="1" applyFill="1">
      <alignment vertical="center"/>
    </xf>
    <xf numFmtId="3" fontId="0" fillId="14" borderId="0" xfId="2" applyNumberFormat="1" applyFill="1">
      <alignment vertical="center"/>
    </xf>
    <xf numFmtId="0" fontId="0" fillId="15" borderId="0" xfId="0" applyFill="1" applyProtection="1">
      <alignment vertical="center"/>
      <protection locked="0"/>
    </xf>
    <xf numFmtId="183" fontId="0" fillId="15" borderId="0" xfId="0" applyNumberFormat="1" applyFill="1">
      <alignment vertical="center"/>
    </xf>
    <xf numFmtId="3" fontId="0" fillId="15" borderId="0" xfId="2" applyNumberFormat="1" applyFill="1">
      <alignment vertical="center"/>
    </xf>
    <xf numFmtId="0" fontId="0" fillId="16" borderId="0" xfId="0" applyFill="1">
      <alignment vertical="center"/>
    </xf>
    <xf numFmtId="178" fontId="0" fillId="16" borderId="0" xfId="0" applyNumberFormat="1" applyFill="1">
      <alignment vertical="center"/>
    </xf>
    <xf numFmtId="0" fontId="0" fillId="17" borderId="0" xfId="0" applyFill="1">
      <alignment vertical="center"/>
    </xf>
    <xf numFmtId="0" fontId="0" fillId="0" borderId="0" xfId="0" applyFont="1" applyFill="1" applyAlignment="1">
      <alignment vertical="center"/>
    </xf>
    <xf numFmtId="0" fontId="0" fillId="17" borderId="0" xfId="0" applyFont="1" applyFill="1" applyAlignment="1">
      <alignment horizontal="center" vertical="center"/>
    </xf>
    <xf numFmtId="0" fontId="0" fillId="17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17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Fill="1">
      <alignment vertical="center"/>
    </xf>
    <xf numFmtId="184" fontId="0" fillId="0" borderId="0" xfId="0" applyNumberFormat="1">
      <alignment vertical="center"/>
    </xf>
    <xf numFmtId="178" fontId="0" fillId="0" borderId="0" xfId="0" applyNumberFormat="1">
      <alignment vertical="center"/>
    </xf>
    <xf numFmtId="185" fontId="0" fillId="0" borderId="0" xfId="0" applyNumberFormat="1">
      <alignment vertical="center"/>
    </xf>
    <xf numFmtId="9" fontId="0" fillId="0" borderId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workbookViewId="0">
      <selection activeCell="A1" sqref="A1"/>
    </sheetView>
  </sheetViews>
  <sheetFormatPr defaultColWidth="9" defaultRowHeight="13.5" outlineLevelRow="3"/>
  <cols>
    <col min="2" max="2" width="14.875" style="123" customWidth="1"/>
    <col min="3" max="3" width="14.875" style="124" customWidth="1"/>
    <col min="5" max="5" width="13.75" style="124" customWidth="1"/>
    <col min="6" max="6" width="13.125" style="124" customWidth="1"/>
    <col min="7" max="8" width="11" style="124" customWidth="1"/>
    <col min="9" max="9" width="7.375" style="125" customWidth="1"/>
    <col min="10" max="10" width="9" style="126" customWidth="1"/>
    <col min="11" max="11" width="9" style="126"/>
    <col min="14" max="15" width="13.75" customWidth="1"/>
  </cols>
  <sheetData>
    <row r="1" spans="1:16">
      <c r="A1" t="s">
        <v>0</v>
      </c>
      <c r="B1" s="123" t="s">
        <v>1</v>
      </c>
      <c r="C1" s="124" t="s">
        <v>2</v>
      </c>
      <c r="D1" t="s">
        <v>3</v>
      </c>
      <c r="E1" s="124" t="s">
        <v>4</v>
      </c>
      <c r="F1" s="124" t="s">
        <v>5</v>
      </c>
      <c r="G1" s="124" t="s">
        <v>6</v>
      </c>
      <c r="H1" s="124" t="s">
        <v>7</v>
      </c>
      <c r="I1" s="125" t="s">
        <v>8</v>
      </c>
      <c r="J1" s="126" t="s">
        <v>9</v>
      </c>
      <c r="K1" s="126" t="s">
        <v>10</v>
      </c>
      <c r="M1" t="s">
        <v>1</v>
      </c>
      <c r="N1" t="s">
        <v>2</v>
      </c>
      <c r="O1" t="s">
        <v>11</v>
      </c>
      <c r="P1" t="s">
        <v>12</v>
      </c>
    </row>
    <row r="2" spans="1:16">
      <c r="A2">
        <v>1</v>
      </c>
      <c r="B2" s="123">
        <v>1.99</v>
      </c>
      <c r="C2" s="124">
        <v>172000000</v>
      </c>
      <c r="D2">
        <v>200</v>
      </c>
      <c r="E2" s="124">
        <v>86400000</v>
      </c>
      <c r="F2" s="124">
        <v>0</v>
      </c>
      <c r="G2" s="124">
        <f>C2/$O$2</f>
        <v>10.1416296296296</v>
      </c>
      <c r="H2" s="124">
        <f>E2/$O$2+F2/$P$2</f>
        <v>5.0944</v>
      </c>
      <c r="I2" s="125">
        <f>(C2+E2)/$O$2+D2/$P$2</f>
        <v>17.2360296296296</v>
      </c>
      <c r="J2" s="126">
        <f>I2/B2</f>
        <v>8.66132142192444</v>
      </c>
      <c r="K2" s="126">
        <f>H2/G2</f>
        <v>0.502325581395349</v>
      </c>
      <c r="M2">
        <v>1.99</v>
      </c>
      <c r="N2" s="124">
        <v>33750000</v>
      </c>
      <c r="O2" s="124">
        <f>N2/M2</f>
        <v>16959798.9949749</v>
      </c>
      <c r="P2">
        <v>100</v>
      </c>
    </row>
    <row r="3" spans="1:16">
      <c r="A3">
        <v>2</v>
      </c>
      <c r="B3" s="123">
        <v>2.99</v>
      </c>
      <c r="C3" s="124">
        <v>259000000</v>
      </c>
      <c r="D3">
        <v>800</v>
      </c>
      <c r="E3" s="124">
        <v>860000000</v>
      </c>
      <c r="F3" s="124">
        <v>0</v>
      </c>
      <c r="G3" s="124">
        <f>C3/$O$2</f>
        <v>15.2714074074074</v>
      </c>
      <c r="H3" s="124">
        <f>E3/$O$2+F3/$P$2</f>
        <v>50.7081481481481</v>
      </c>
      <c r="I3" s="125">
        <f>(C3+E3)/$O$2+D3/$P$2</f>
        <v>73.9795555555556</v>
      </c>
      <c r="J3" s="126">
        <f>I3/B3</f>
        <v>24.7423262727611</v>
      </c>
      <c r="K3" s="126">
        <f>H3/G3</f>
        <v>3.32046332046332</v>
      </c>
    </row>
    <row r="4" spans="1:16">
      <c r="A4">
        <v>3</v>
      </c>
      <c r="B4" s="123">
        <v>9.99</v>
      </c>
      <c r="C4" s="124">
        <v>648000000</v>
      </c>
      <c r="D4">
        <v>1200</v>
      </c>
      <c r="E4" s="124">
        <v>0</v>
      </c>
      <c r="F4" s="124">
        <v>5000</v>
      </c>
      <c r="G4" s="124">
        <f>C4/$O$2</f>
        <v>38.208</v>
      </c>
      <c r="H4" s="124">
        <f>E4/$O$2+F4/$P$2</f>
        <v>50</v>
      </c>
      <c r="I4" s="125">
        <f>(C4+E4)/$O$2+D4/$P$2</f>
        <v>50.208</v>
      </c>
      <c r="J4" s="126">
        <f>I4/B4</f>
        <v>5.02582582582583</v>
      </c>
      <c r="K4" s="126">
        <f>H4/G4</f>
        <v>1.30862646566164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77"/>
  <sheetViews>
    <sheetView tabSelected="1" workbookViewId="0">
      <selection activeCell="J18" sqref="J18"/>
    </sheetView>
  </sheetViews>
  <sheetFormatPr defaultColWidth="9.25833333333333" defaultRowHeight="13.5"/>
  <cols>
    <col min="2" max="3" width="10.5" customWidth="1"/>
    <col min="4" max="4" width="13.7583333333333" customWidth="1"/>
    <col min="5" max="5" width="20.3833333333333" customWidth="1"/>
    <col min="6" max="8" width="9" customWidth="1"/>
    <col min="9" max="9" width="14.2583333333333" style="113" customWidth="1"/>
    <col min="10" max="10" width="12.7583333333333" style="113" customWidth="1"/>
    <col min="11" max="11" width="16" style="114" customWidth="1"/>
    <col min="12" max="12" width="12.7583333333333" style="115" customWidth="1"/>
    <col min="13" max="13" width="17.5" style="115" customWidth="1"/>
    <col min="14" max="14" width="16.5" style="115" customWidth="1"/>
    <col min="15" max="15" width="16.5" style="113" customWidth="1"/>
    <col min="16" max="16" width="17" style="113" customWidth="1"/>
    <col min="17" max="17" width="13.7583333333333" style="113" customWidth="1"/>
    <col min="18" max="18" width="13.7583333333333" style="97" customWidth="1"/>
    <col min="19" max="19" width="12.6333333333333" style="97" customWidth="1"/>
    <col min="20" max="20" width="15.2583333333333" style="97" customWidth="1"/>
  </cols>
  <sheetData>
    <row r="1" spans="1:20">
      <c r="A1" s="45" t="s">
        <v>13</v>
      </c>
      <c r="B1" s="45" t="s">
        <v>14</v>
      </c>
      <c r="C1" s="45" t="s">
        <v>15</v>
      </c>
      <c r="D1" s="116" t="s">
        <v>16</v>
      </c>
      <c r="E1" s="116" t="s">
        <v>17</v>
      </c>
      <c r="F1" s="98" t="s">
        <v>18</v>
      </c>
      <c r="G1" s="45" t="s">
        <v>19</v>
      </c>
      <c r="H1" s="45" t="s">
        <v>20</v>
      </c>
      <c r="I1" s="94" t="s">
        <v>21</v>
      </c>
      <c r="J1" s="95" t="s">
        <v>22</v>
      </c>
      <c r="K1" s="96" t="s">
        <v>23</v>
      </c>
      <c r="L1" s="117" t="s">
        <v>24</v>
      </c>
      <c r="M1" s="118" t="s">
        <v>25</v>
      </c>
      <c r="N1" s="118" t="s">
        <v>26</v>
      </c>
      <c r="O1" s="94" t="s">
        <v>27</v>
      </c>
      <c r="P1" s="95" t="s">
        <v>28</v>
      </c>
      <c r="Q1" s="95" t="s">
        <v>29</v>
      </c>
      <c r="R1" s="45" t="s">
        <v>30</v>
      </c>
      <c r="S1" s="119" t="s">
        <v>31</v>
      </c>
      <c r="T1" s="119" t="s">
        <v>32</v>
      </c>
    </row>
    <row r="2" spans="1:20">
      <c r="A2" s="45" t="s">
        <v>33</v>
      </c>
      <c r="B2" s="98" t="s">
        <v>34</v>
      </c>
      <c r="C2" s="98" t="s">
        <v>34</v>
      </c>
      <c r="D2" s="98" t="s">
        <v>35</v>
      </c>
      <c r="E2" s="98" t="s">
        <v>35</v>
      </c>
      <c r="F2" s="98" t="s">
        <v>34</v>
      </c>
      <c r="G2" s="45" t="s">
        <v>34</v>
      </c>
      <c r="H2" s="45" t="s">
        <v>34</v>
      </c>
      <c r="I2" s="94" t="s">
        <v>34</v>
      </c>
      <c r="J2" s="94" t="s">
        <v>36</v>
      </c>
      <c r="K2" s="99" t="s">
        <v>34</v>
      </c>
      <c r="L2" s="117" t="s">
        <v>34</v>
      </c>
      <c r="M2" s="117" t="s">
        <v>36</v>
      </c>
      <c r="N2" s="117" t="s">
        <v>34</v>
      </c>
      <c r="O2" s="94" t="s">
        <v>34</v>
      </c>
      <c r="P2" s="94" t="s">
        <v>36</v>
      </c>
      <c r="Q2" s="94" t="s">
        <v>34</v>
      </c>
      <c r="R2" s="45" t="s">
        <v>34</v>
      </c>
      <c r="S2" s="45" t="s">
        <v>36</v>
      </c>
      <c r="T2" s="45" t="s">
        <v>34</v>
      </c>
    </row>
    <row r="3" spans="1:20">
      <c r="A3" s="44" t="s">
        <v>37</v>
      </c>
      <c r="B3" s="98" t="s">
        <v>38</v>
      </c>
      <c r="C3" s="98" t="s">
        <v>38</v>
      </c>
      <c r="D3" s="98" t="s">
        <v>38</v>
      </c>
      <c r="E3" s="98" t="s">
        <v>38</v>
      </c>
      <c r="F3" s="98" t="s">
        <v>38</v>
      </c>
      <c r="G3" s="45" t="s">
        <v>37</v>
      </c>
      <c r="H3" s="45" t="s">
        <v>37</v>
      </c>
      <c r="I3" s="94" t="s">
        <v>37</v>
      </c>
      <c r="J3" s="94" t="s">
        <v>38</v>
      </c>
      <c r="K3" s="99" t="s">
        <v>38</v>
      </c>
      <c r="L3" s="117" t="s">
        <v>37</v>
      </c>
      <c r="M3" s="117" t="s">
        <v>38</v>
      </c>
      <c r="N3" s="117" t="s">
        <v>38</v>
      </c>
      <c r="O3" s="94" t="s">
        <v>37</v>
      </c>
      <c r="P3" s="94" t="s">
        <v>38</v>
      </c>
      <c r="Q3" s="94" t="s">
        <v>38</v>
      </c>
      <c r="R3" s="45" t="s">
        <v>37</v>
      </c>
      <c r="S3" s="45" t="s">
        <v>38</v>
      </c>
      <c r="T3" s="45" t="s">
        <v>38</v>
      </c>
    </row>
    <row r="4" ht="94.5" spans="1:20">
      <c r="A4" s="100" t="s">
        <v>39</v>
      </c>
      <c r="B4" s="100" t="s">
        <v>40</v>
      </c>
      <c r="C4" s="100" t="s">
        <v>41</v>
      </c>
      <c r="D4" s="100" t="s">
        <v>42</v>
      </c>
      <c r="E4" s="100" t="s">
        <v>43</v>
      </c>
      <c r="F4" s="100" t="s">
        <v>1</v>
      </c>
      <c r="G4" s="100" t="s">
        <v>44</v>
      </c>
      <c r="H4" s="100" t="s">
        <v>45</v>
      </c>
      <c r="I4" s="103" t="s">
        <v>46</v>
      </c>
      <c r="J4" s="103" t="s">
        <v>47</v>
      </c>
      <c r="K4" s="104" t="s">
        <v>48</v>
      </c>
      <c r="L4" s="120" t="str">
        <f>I4</f>
        <v>奖励类型
1金币
2钻石
3道具
4卡包
9美金(查表)
17美金金币</v>
      </c>
      <c r="M4" s="120" t="str">
        <f t="shared" ref="M4:T4" si="0">J4</f>
        <v>奖励物品ID1
1金币
2钻石
3物品id</v>
      </c>
      <c r="N4" s="120" t="str">
        <f t="shared" si="0"/>
        <v>奖励数量1</v>
      </c>
      <c r="O4" s="103" t="str">
        <f t="shared" si="0"/>
        <v>奖励类型
1金币
2钻石
3道具
4卡包
9美金(查表)
17美金金币</v>
      </c>
      <c r="P4" s="103" t="str">
        <f t="shared" si="0"/>
        <v>奖励物品ID1
1金币
2钻石
3物品id</v>
      </c>
      <c r="Q4" s="103" t="str">
        <f t="shared" si="0"/>
        <v>奖励数量1</v>
      </c>
      <c r="R4" s="100" t="str">
        <f t="shared" si="0"/>
        <v>奖励类型
1金币
2钻石
3道具
4卡包
9美金(查表)
17美金金币</v>
      </c>
      <c r="S4" s="100" t="str">
        <f t="shared" si="0"/>
        <v>奖励物品ID1
1金币
2钻石
3物品id</v>
      </c>
      <c r="T4" s="100" t="str">
        <f t="shared" si="0"/>
        <v>奖励数量1</v>
      </c>
    </row>
    <row r="5" spans="1:20">
      <c r="A5">
        <v>2001</v>
      </c>
      <c r="B5">
        <v>1</v>
      </c>
      <c r="C5" s="121">
        <v>2</v>
      </c>
      <c r="D5" s="122" t="str">
        <f>IFERROR(_xlfn.IFNA(VLOOKUP(ROUND(F5,0),道具!$B$271:$C$295,2,FALSE),""),"")</f>
        <v>gp_hunt_1</v>
      </c>
      <c r="E5" s="122" t="str">
        <f>IFERROR(_xlfn.IFNA(VLOOKUP(ROUND(F5,0),道具!$B$296:$C$320,2,FALSE),""),"")</f>
        <v>iap_hunt_1</v>
      </c>
      <c r="F5">
        <f>IF(转换!B3&gt;0,转换!B3*100,"")</f>
        <v>299</v>
      </c>
      <c r="G5">
        <v>2</v>
      </c>
      <c r="H5">
        <f>'体验表-带进度条'!R3</f>
        <v>10</v>
      </c>
      <c r="I5" s="113">
        <f>转换!I3</f>
        <v>9</v>
      </c>
      <c r="J5" s="113">
        <f>IF(I5=17,1,IF(I5=9,1,IF(转换!I3&gt;0,VLOOKUP(转换!H3,道具!B:C,2,FALSE),"")))</f>
        <v>1</v>
      </c>
      <c r="K5" s="114">
        <f>IF(转换!I3=17,ROUND(转换!J3*100/转换!$U$2,0),IF(转换!I3=9,F5,转换!J3))</f>
        <v>299</v>
      </c>
    </row>
    <row r="6" spans="1:20">
      <c r="A6">
        <v>2002</v>
      </c>
      <c r="B6">
        <v>1</v>
      </c>
      <c r="C6" s="121">
        <v>2</v>
      </c>
      <c r="D6" s="122" t="str">
        <f>IFERROR(_xlfn.IFNA(VLOOKUP(ROUND(F6,0),道具!$B$271:$C$295,2,FALSE),""),"")</f>
        <v>gp_hunt_2</v>
      </c>
      <c r="E6" s="122" t="str">
        <f>IFERROR(_xlfn.IFNA(VLOOKUP(ROUND(F6,0),道具!$B$296:$C$320,2,FALSE),""),"")</f>
        <v>iap_hunt_2</v>
      </c>
      <c r="F6">
        <f>IF(转换!B9&gt;0,转换!B9*100,"")</f>
        <v>399</v>
      </c>
      <c r="G6">
        <v>8</v>
      </c>
      <c r="H6">
        <f>'体验表-带进度条'!R9</f>
        <v>25</v>
      </c>
      <c r="I6" s="113">
        <f>转换!I9</f>
        <v>9</v>
      </c>
      <c r="J6" s="113">
        <f>IF(I6=17,1,IF(I6=9,1,IF(转换!I9&gt;0,VLOOKUP(转换!H9,道具!B:C,2,FALSE),"")))</f>
        <v>1</v>
      </c>
      <c r="K6" s="114">
        <f>IF(转换!I9=17,ROUND(转换!J9*100/转换!$U$2,0),IF(转换!I9=9,F6,转换!J9))</f>
        <v>399</v>
      </c>
    </row>
    <row r="7" spans="1:20">
      <c r="A7">
        <v>2003</v>
      </c>
      <c r="B7">
        <v>1</v>
      </c>
      <c r="C7" s="121">
        <v>2</v>
      </c>
      <c r="D7" s="122" t="str">
        <f>IFERROR(_xlfn.IFNA(VLOOKUP(ROUND(F7,0),道具!$B$271:$C$295,2,FALSE),""),"")</f>
        <v>gp_hunt_599</v>
      </c>
      <c r="E7" s="122" t="str">
        <f>IFERROR(_xlfn.IFNA(VLOOKUP(ROUND(F7,0),道具!$B$296:$C$320,2,FALSE),""),"")</f>
        <v>iap_hunt_599</v>
      </c>
      <c r="F7">
        <f>IF(转换!B15&gt;0,转换!B15*100,"")</f>
        <v>599</v>
      </c>
      <c r="G7">
        <v>14</v>
      </c>
      <c r="H7">
        <f>'体验表-带进度条'!R15</f>
        <v>35</v>
      </c>
      <c r="I7" s="113">
        <f>转换!I15</f>
        <v>9</v>
      </c>
      <c r="J7" s="113">
        <f>IF(I7=17,1,IF(I7=9,1,IF(转换!I15&gt;0,VLOOKUP(转换!H15,道具!B:C,2,FALSE),"")))</f>
        <v>1</v>
      </c>
      <c r="K7" s="114">
        <f>IF(转换!I15=17,ROUND(转换!J15*100/转换!$U$2,0),IF(转换!I15=9,F7,转换!J15))</f>
        <v>599</v>
      </c>
    </row>
    <row r="8" spans="1:20">
      <c r="A8">
        <v>2004</v>
      </c>
      <c r="B8">
        <v>1</v>
      </c>
      <c r="C8" s="121">
        <v>2</v>
      </c>
      <c r="D8" s="122" t="str">
        <f>IFERROR(_xlfn.IFNA(VLOOKUP(ROUND(F8,0),道具!$B$271:$C$295,2,FALSE),""),"")</f>
        <v>gp_hunt_699</v>
      </c>
      <c r="E8" s="122" t="str">
        <f>IFERROR(_xlfn.IFNA(VLOOKUP(ROUND(F8,0),道具!$B$296:$C$320,2,FALSE),""),"")</f>
        <v>iap_hunt_699</v>
      </c>
      <c r="F8">
        <f>IF(转换!B21&gt;0,转换!B21*100,"")</f>
        <v>699</v>
      </c>
      <c r="G8">
        <v>20</v>
      </c>
      <c r="H8">
        <f>'体验表-带进度条'!R21</f>
        <v>0</v>
      </c>
      <c r="I8" s="113">
        <f>转换!I21</f>
        <v>9</v>
      </c>
      <c r="J8" s="113">
        <f>IF(I8=17,1,IF(I8=9,1,IF(转换!I21&gt;0,VLOOKUP(转换!H21,道具!B:C,2,FALSE),"")))</f>
        <v>1</v>
      </c>
      <c r="K8" s="114">
        <f>IF(转换!I21=17,ROUND(转换!J21*100/转换!$U$2,0),IF(转换!I21=9,F8,转换!J21))</f>
        <v>699</v>
      </c>
    </row>
    <row r="9" spans="1:20">
      <c r="A9">
        <v>2005</v>
      </c>
      <c r="B9">
        <v>1</v>
      </c>
      <c r="C9" s="121">
        <v>2</v>
      </c>
      <c r="D9" s="122" t="str">
        <f>IFERROR(_xlfn.IFNA(VLOOKUP(ROUND(F9,0),道具!$B$271:$C$295,2,FALSE),""),"")</f>
        <v>gp_hunt_3</v>
      </c>
      <c r="E9" s="122" t="str">
        <f>IFERROR(_xlfn.IFNA(VLOOKUP(ROUND(F9,0),道具!$B$296:$C$320,2,FALSE),""),"")</f>
        <v>iap_hunt_3</v>
      </c>
      <c r="F9">
        <f>IF(转换!B27&gt;0,转换!B27*100,"")</f>
        <v>799</v>
      </c>
      <c r="G9">
        <v>26</v>
      </c>
      <c r="H9">
        <f>'体验表-带进度条'!R27</f>
        <v>10</v>
      </c>
      <c r="I9" s="113">
        <f>转换!I27</f>
        <v>9</v>
      </c>
      <c r="J9" s="113">
        <f>IF(I9=17,1,IF(I9=9,1,IF(转换!I27&gt;0,VLOOKUP(转换!H27,道具!B:C,2,FALSE),"")))</f>
        <v>1</v>
      </c>
      <c r="K9" s="114">
        <f>IF(转换!I27=17,ROUND(转换!J27*100/转换!$U$2,0),IF(转换!I27=9,F9,转换!J27))</f>
        <v>799</v>
      </c>
    </row>
    <row r="10" spans="1:20">
      <c r="A10">
        <v>2006</v>
      </c>
      <c r="B10">
        <v>1</v>
      </c>
      <c r="C10" s="121">
        <v>2</v>
      </c>
      <c r="D10" s="122" t="str">
        <f>IFERROR(_xlfn.IFNA(VLOOKUP(ROUND(F10,0),道具!$B$271:$C$295,2,FALSE),""),"")</f>
        <v>gp_hunt_4</v>
      </c>
      <c r="E10" s="122" t="str">
        <f>IFERROR(_xlfn.IFNA(VLOOKUP(ROUND(F10,0),道具!$B$296:$C$320,2,FALSE),""),"")</f>
        <v>iap_hunt_4</v>
      </c>
      <c r="F10">
        <f>IF(转换!B33&gt;0,转换!B33*100,"")</f>
        <v>899</v>
      </c>
      <c r="G10">
        <v>32</v>
      </c>
      <c r="H10">
        <f>'体验表-带进度条'!R33</f>
        <v>25</v>
      </c>
      <c r="I10" s="113">
        <f>转换!I33</f>
        <v>9</v>
      </c>
      <c r="J10" s="113">
        <f>IF(I10=17,1,IF(I10=9,1,IF(转换!I33&gt;0,VLOOKUP(转换!H33,道具!B:C,2,FALSE),"")))</f>
        <v>1</v>
      </c>
      <c r="K10" s="114">
        <f>IF(转换!I33=17,ROUND(转换!J33*100/转换!$U$2,0),IF(转换!I33=9,F10,转换!J33))</f>
        <v>899</v>
      </c>
    </row>
    <row r="11" spans="1:20">
      <c r="A11">
        <v>2007</v>
      </c>
      <c r="B11">
        <v>1</v>
      </c>
      <c r="C11" s="121">
        <v>2</v>
      </c>
      <c r="D11" s="122" t="str">
        <f>IFERROR(_xlfn.IFNA(VLOOKUP(ROUND(F11,0),道具!$B$271:$C$295,2,FALSE),""),"")</f>
        <v>gp_hunt_999</v>
      </c>
      <c r="E11" s="122" t="str">
        <f>IFERROR(_xlfn.IFNA(VLOOKUP(ROUND(F11,0),道具!$B$296:$C$320,2,FALSE),""),"")</f>
        <v>iap_hunt_999</v>
      </c>
      <c r="F11">
        <f>IF(转换!B39&gt;0,转换!B39*100,"")</f>
        <v>999</v>
      </c>
      <c r="G11">
        <v>38</v>
      </c>
      <c r="H11">
        <f>'体验表-带进度条'!R39</f>
        <v>35</v>
      </c>
      <c r="I11" s="113">
        <f>转换!I39</f>
        <v>9</v>
      </c>
      <c r="J11" s="113">
        <f>IF(I11=17,1,IF(I11=9,1,IF(转换!I39&gt;0,VLOOKUP(转换!H39,道具!B:C,2,FALSE),"")))</f>
        <v>1</v>
      </c>
      <c r="K11" s="114">
        <f>IF(转换!I39=17,ROUND(转换!J39*100/转换!$U$2,0),IF(转换!I39=9,F11,转换!J39))</f>
        <v>999</v>
      </c>
    </row>
    <row r="12" spans="1:20">
      <c r="A12">
        <v>1001</v>
      </c>
      <c r="B12">
        <v>1</v>
      </c>
      <c r="C12" s="121">
        <v>1</v>
      </c>
      <c r="D12" s="122" t="str">
        <f>IFERROR(_xlfn.IFNA(VLOOKUP(ROUND(F12,0),道具!$B$271:$C$295,2,FALSE),""),"")</f>
        <v/>
      </c>
      <c r="E12" s="122" t="str">
        <f>IFERROR(_xlfn.IFNA(VLOOKUP(ROUND(F12,0),道具!$B$296:$C$320,2,FALSE),""),"")</f>
        <v/>
      </c>
      <c r="F12" t="str">
        <f>IF(转换!B2&gt;0,转换!B2*100,"")</f>
        <v/>
      </c>
      <c r="G12">
        <v>1</v>
      </c>
      <c r="H12">
        <f>'体验表-带进度条'!R2</f>
        <v>20</v>
      </c>
      <c r="I12" s="113">
        <f>转换!I2</f>
        <v>1</v>
      </c>
      <c r="J12" s="113">
        <f>IF(I12=17,1,IF(I12=9,1,IF(转换!I2&gt;0,VLOOKUP(转换!H2,道具!B:C,2,FALSE),"")))</f>
        <v>1</v>
      </c>
      <c r="K12" s="114">
        <f>IF(转换!I2=17,ROUND(转换!J2*100/转换!$U$2,0),IF(转换!I2=9,F12,转换!J2))</f>
        <v>5000</v>
      </c>
    </row>
    <row r="13" spans="1:20">
      <c r="A13">
        <v>1002</v>
      </c>
      <c r="B13">
        <v>1</v>
      </c>
      <c r="C13" s="121">
        <v>1</v>
      </c>
      <c r="D13" s="122" t="str">
        <f>IFERROR(_xlfn.IFNA(VLOOKUP(ROUND(F13,0),道具!$B$271:$C$295,2,FALSE),""),"")</f>
        <v/>
      </c>
      <c r="E13" s="122" t="str">
        <f>IFERROR(_xlfn.IFNA(VLOOKUP(ROUND(F13,0),道具!$B$296:$C$320,2,FALSE),""),"")</f>
        <v/>
      </c>
      <c r="F13" t="str">
        <f>IF(转换!B4&gt;0,转换!B4*100,"")</f>
        <v/>
      </c>
      <c r="G13">
        <v>3</v>
      </c>
      <c r="H13">
        <f>'体验表-带进度条'!R4</f>
        <v>0</v>
      </c>
      <c r="I13" s="113">
        <f>转换!I4</f>
        <v>3</v>
      </c>
      <c r="J13" s="113">
        <f>IF(I13=17,1,IF(I13=9,1,IF(转换!I4&gt;0,VLOOKUP(转换!H4,道具!B:C,2,FALSE),"")))</f>
        <v>160001</v>
      </c>
      <c r="K13" s="114">
        <f>IF(转换!I4=17,ROUND(转换!J4*100/转换!$U$2,0),IF(转换!I4=9,F13,转换!J4))</f>
        <v>1</v>
      </c>
    </row>
    <row r="14" spans="1:20">
      <c r="A14">
        <v>1003</v>
      </c>
      <c r="B14">
        <v>1</v>
      </c>
      <c r="C14" s="121">
        <v>1</v>
      </c>
      <c r="D14" s="122" t="str">
        <f>IFERROR(_xlfn.IFNA(VLOOKUP(ROUND(F14,0),道具!$B$271:$C$295,2,FALSE),""),"")</f>
        <v/>
      </c>
      <c r="E14" s="122" t="str">
        <f>IFERROR(_xlfn.IFNA(VLOOKUP(ROUND(F14,0),道具!$B$296:$C$320,2,FALSE),""),"")</f>
        <v/>
      </c>
      <c r="F14" t="str">
        <f>IF(转换!B5&gt;0,转换!B5*100,"")</f>
        <v/>
      </c>
      <c r="G14">
        <v>4</v>
      </c>
      <c r="H14">
        <f>'体验表-带进度条'!R5</f>
        <v>0</v>
      </c>
      <c r="I14" s="113">
        <f>转换!I5</f>
        <v>17</v>
      </c>
      <c r="J14" s="113">
        <f>IF(I14=17,1,IF(I14=9,1,IF(转换!I5&gt;0,VLOOKUP(转换!H5,道具!B:C,2,FALSE),"")))</f>
        <v>1</v>
      </c>
      <c r="K14" s="114">
        <f>IF(转换!I5=17,ROUND(转换!J5*100/转换!$U$2,0),IF(转换!I5=9,F14,转换!J5))</f>
        <v>90</v>
      </c>
    </row>
    <row r="15" spans="1:20">
      <c r="A15">
        <v>1004</v>
      </c>
      <c r="B15">
        <v>1</v>
      </c>
      <c r="C15" s="121">
        <v>1</v>
      </c>
      <c r="D15" s="122" t="str">
        <f>IFERROR(_xlfn.IFNA(VLOOKUP(ROUND(F15,0),道具!$B$271:$C$295,2,FALSE),""),"")</f>
        <v/>
      </c>
      <c r="E15" s="122" t="str">
        <f>IFERROR(_xlfn.IFNA(VLOOKUP(ROUND(F15,0),道具!$B$296:$C$320,2,FALSE),""),"")</f>
        <v/>
      </c>
      <c r="F15" t="str">
        <f>IF(转换!B6&gt;0,转换!B6*100,"")</f>
        <v/>
      </c>
      <c r="G15">
        <v>5</v>
      </c>
      <c r="H15">
        <f>'体验表-带进度条'!R6</f>
        <v>10</v>
      </c>
      <c r="I15" s="113">
        <f>转换!I6</f>
        <v>4</v>
      </c>
      <c r="J15" s="113">
        <f>IF(I15=17,1,IF(I15=9,1,IF(转换!I6&gt;0,VLOOKUP(转换!H6,道具!B:C,2,FALSE),"")))</f>
        <v>100002</v>
      </c>
      <c r="K15" s="114">
        <f>IF(转换!I6=17,ROUND(转换!J6*100/转换!$U$2,0),IF(转换!I6=9,F15,转换!J6))</f>
        <v>1</v>
      </c>
    </row>
    <row r="16" spans="1:20">
      <c r="A16">
        <v>1005</v>
      </c>
      <c r="B16">
        <v>1</v>
      </c>
      <c r="C16" s="121">
        <v>1</v>
      </c>
      <c r="D16" s="122" t="str">
        <f>IFERROR(_xlfn.IFNA(VLOOKUP(ROUND(F16,0),道具!$B$271:$C$295,2,FALSE),""),"")</f>
        <v/>
      </c>
      <c r="E16" s="122" t="str">
        <f>IFERROR(_xlfn.IFNA(VLOOKUP(ROUND(F16,0),道具!$B$296:$C$320,2,FALSE),""),"")</f>
        <v/>
      </c>
      <c r="F16" t="str">
        <f>IF(转换!B7&gt;0,转换!B7*100,"")</f>
        <v/>
      </c>
      <c r="G16">
        <v>6</v>
      </c>
      <c r="H16">
        <f>'体验表-带进度条'!R7</f>
        <v>0</v>
      </c>
      <c r="I16" s="113">
        <f>转换!I7</f>
        <v>3</v>
      </c>
      <c r="J16" s="113">
        <f>IF(I16=17,1,IF(I16=9,1,IF(转换!I7&gt;0,VLOOKUP(转换!H7,道具!B:C,2,FALSE),"")))</f>
        <v>192001</v>
      </c>
      <c r="K16" s="114">
        <f>IF(转换!I7=17,ROUND(转换!J7*100/转换!$U$2,0),IF(转换!I7=9,F16,转换!J7))</f>
        <v>5</v>
      </c>
    </row>
    <row r="17" spans="1:11">
      <c r="A17">
        <v>1006</v>
      </c>
      <c r="B17">
        <v>1</v>
      </c>
      <c r="C17" s="121">
        <v>1</v>
      </c>
      <c r="D17" s="122" t="str">
        <f>IFERROR(_xlfn.IFNA(VLOOKUP(ROUND(F17,0),道具!$B$271:$C$295,2,FALSE),""),"")</f>
        <v/>
      </c>
      <c r="E17" s="122" t="str">
        <f>IFERROR(_xlfn.IFNA(VLOOKUP(ROUND(F17,0),道具!$B$296:$C$320,2,FALSE),""),"")</f>
        <v/>
      </c>
      <c r="F17" t="str">
        <f>IF(转换!B8&gt;0,转换!B8*100,"")</f>
        <v/>
      </c>
      <c r="G17">
        <v>7</v>
      </c>
      <c r="H17">
        <f>'体验表-带进度条'!R8</f>
        <v>0</v>
      </c>
      <c r="I17" s="113">
        <f>转换!I8</f>
        <v>3</v>
      </c>
      <c r="J17" s="113">
        <f>IF(I17=17,1,IF(I17=9,1,IF(转换!I8&gt;0,VLOOKUP(转换!H8,道具!B:C,2,FALSE),"")))</f>
        <v>171001</v>
      </c>
      <c r="K17" s="114">
        <f>IF(转换!I8=17,ROUND(转换!J8*100/转换!$U$2,0),IF(转换!I8=9,F17,转换!J8))</f>
        <v>1</v>
      </c>
    </row>
    <row r="18" spans="1:11">
      <c r="A18">
        <v>1007</v>
      </c>
      <c r="B18">
        <v>1</v>
      </c>
      <c r="C18" s="121">
        <v>1</v>
      </c>
      <c r="D18" s="122" t="str">
        <f>IFERROR(_xlfn.IFNA(VLOOKUP(ROUND(F18,0),道具!$B$271:$C$295,2,FALSE),""),"")</f>
        <v/>
      </c>
      <c r="E18" s="122" t="str">
        <f>IFERROR(_xlfn.IFNA(VLOOKUP(ROUND(F18,0),道具!$B$296:$C$320,2,FALSE),""),"")</f>
        <v/>
      </c>
      <c r="F18" t="str">
        <f>IF(转换!B10&gt;0,转换!B10*100,"")</f>
        <v/>
      </c>
      <c r="G18">
        <v>9</v>
      </c>
      <c r="H18">
        <f>'体验表-带进度条'!R10</f>
        <v>0</v>
      </c>
      <c r="I18" s="113">
        <f>转换!I10</f>
        <v>3</v>
      </c>
      <c r="J18" s="113">
        <f>IF(I18=17,1,IF(I18=9,1,IF(转换!I10&gt;0,VLOOKUP(转换!H10,道具!B:C,2,FALSE),"")))</f>
        <v>160001</v>
      </c>
      <c r="K18" s="114">
        <f>IF(转换!I10=17,ROUND(转换!J10*100/转换!$U$2,0),IF(转换!I10=9,F18,转换!J10))</f>
        <v>2</v>
      </c>
    </row>
    <row r="19" spans="1:11">
      <c r="A19">
        <v>1008</v>
      </c>
      <c r="B19">
        <v>1</v>
      </c>
      <c r="C19" s="121">
        <v>1</v>
      </c>
      <c r="D19" s="122" t="str">
        <f>IFERROR(_xlfn.IFNA(VLOOKUP(ROUND(F19,0),道具!$B$271:$C$295,2,FALSE),""),"")</f>
        <v/>
      </c>
      <c r="E19" s="122" t="str">
        <f>IFERROR(_xlfn.IFNA(VLOOKUP(ROUND(F19,0),道具!$B$296:$C$320,2,FALSE),""),"")</f>
        <v/>
      </c>
      <c r="F19" t="str">
        <f>IF(转换!B11&gt;0,转换!B11*100,"")</f>
        <v/>
      </c>
      <c r="G19">
        <v>10</v>
      </c>
      <c r="H19">
        <f>'体验表-带进度条'!R11</f>
        <v>0</v>
      </c>
      <c r="I19" s="113">
        <f>转换!I11</f>
        <v>17</v>
      </c>
      <c r="J19" s="113">
        <f>IF(I19=17,1,IF(I19=9,1,IF(转换!I11&gt;0,VLOOKUP(转换!H11,道具!B:C,2,FALSE),"")))</f>
        <v>1</v>
      </c>
      <c r="K19" s="114">
        <f>IF(转换!I11=17,ROUND(转换!J11*100/转换!$U$2,0),IF(转换!I11=9,F19,转换!J11))</f>
        <v>18</v>
      </c>
    </row>
    <row r="20" spans="1:11">
      <c r="A20">
        <v>1009</v>
      </c>
      <c r="B20">
        <v>1</v>
      </c>
      <c r="C20" s="121">
        <v>1</v>
      </c>
      <c r="D20" s="122" t="str">
        <f>IFERROR(_xlfn.IFNA(VLOOKUP(ROUND(F20,0),道具!$B$271:$C$295,2,FALSE),""),"")</f>
        <v/>
      </c>
      <c r="E20" s="122" t="str">
        <f>IFERROR(_xlfn.IFNA(VLOOKUP(ROUND(F20,0),道具!$B$296:$C$320,2,FALSE),""),"")</f>
        <v/>
      </c>
      <c r="F20" t="str">
        <f>IF(转换!B12&gt;0,转换!B12*100,"")</f>
        <v/>
      </c>
      <c r="G20">
        <v>11</v>
      </c>
      <c r="H20">
        <f>'体验表-带进度条'!R12</f>
        <v>0</v>
      </c>
      <c r="I20" s="113">
        <f>转换!I12</f>
        <v>4</v>
      </c>
      <c r="J20" s="113">
        <f>IF(I20=17,1,IF(I20=9,1,IF(转换!I12&gt;0,VLOOKUP(转换!H12,道具!B:C,2,FALSE),"")))</f>
        <v>100003</v>
      </c>
      <c r="K20" s="114">
        <f>IF(转换!I12=17,ROUND(转换!J12*100/转换!$U$2,0),IF(转换!I12=9,F20,转换!J12))</f>
        <v>1</v>
      </c>
    </row>
    <row r="21" spans="1:11">
      <c r="A21">
        <v>1010</v>
      </c>
      <c r="B21">
        <v>1</v>
      </c>
      <c r="C21" s="121">
        <v>1</v>
      </c>
      <c r="D21" s="122" t="str">
        <f>IFERROR(_xlfn.IFNA(VLOOKUP(ROUND(F21,0),道具!$B$271:$C$295,2,FALSE),""),"")</f>
        <v/>
      </c>
      <c r="E21" s="122" t="str">
        <f>IFERROR(_xlfn.IFNA(VLOOKUP(ROUND(F21,0),道具!$B$296:$C$320,2,FALSE),""),"")</f>
        <v/>
      </c>
      <c r="F21" t="str">
        <f>IF(转换!B13&gt;0,转换!B13*100,"")</f>
        <v/>
      </c>
      <c r="G21">
        <v>12</v>
      </c>
      <c r="H21">
        <f>'体验表-带进度条'!R13</f>
        <v>0</v>
      </c>
      <c r="I21" s="113">
        <f>转换!I13</f>
        <v>3</v>
      </c>
      <c r="J21" s="113">
        <f>IF(I21=17,1,IF(I21=9,1,IF(转换!I13&gt;0,VLOOKUP(转换!H13,道具!B:C,2,FALSE),"")))</f>
        <v>192001</v>
      </c>
      <c r="K21" s="114">
        <f>IF(转换!I13=17,ROUND(转换!J13*100/转换!$U$2,0),IF(转换!I13=9,F21,转换!J13))</f>
        <v>10</v>
      </c>
    </row>
    <row r="22" spans="1:11">
      <c r="A22">
        <v>1011</v>
      </c>
      <c r="B22">
        <v>1</v>
      </c>
      <c r="C22" s="121">
        <v>1</v>
      </c>
      <c r="D22" s="122" t="str">
        <f>IFERROR(_xlfn.IFNA(VLOOKUP(ROUND(F22,0),道具!$B$271:$C$295,2,FALSE),""),"")</f>
        <v/>
      </c>
      <c r="E22" s="122" t="str">
        <f>IFERROR(_xlfn.IFNA(VLOOKUP(ROUND(F22,0),道具!$B$296:$C$320,2,FALSE),""),"")</f>
        <v/>
      </c>
      <c r="F22" t="str">
        <f>IF(转换!B14&gt;0,转换!B14*100,"")</f>
        <v/>
      </c>
      <c r="G22">
        <v>13</v>
      </c>
      <c r="H22">
        <f>'体验表-带进度条'!R14</f>
        <v>0</v>
      </c>
      <c r="I22" s="113">
        <f>转换!I14</f>
        <v>3</v>
      </c>
      <c r="J22" s="113">
        <f>IF(I22=17,1,IF(I22=9,1,IF(转换!I14&gt;0,VLOOKUP(转换!H14,道具!B:C,2,FALSE),"")))</f>
        <v>171002</v>
      </c>
      <c r="K22" s="114">
        <f>IF(转换!I14=17,ROUND(转换!J14*100/转换!$U$2,0),IF(转换!I14=9,F22,转换!J14))</f>
        <v>1</v>
      </c>
    </row>
    <row r="23" spans="1:11">
      <c r="A23">
        <v>1012</v>
      </c>
      <c r="B23">
        <v>1</v>
      </c>
      <c r="C23" s="121">
        <v>1</v>
      </c>
      <c r="D23" s="122" t="str">
        <f>IFERROR(_xlfn.IFNA(VLOOKUP(ROUND(F23,0),道具!$B$271:$C$295,2,FALSE),""),"")</f>
        <v/>
      </c>
      <c r="E23" s="122" t="str">
        <f>IFERROR(_xlfn.IFNA(VLOOKUP(ROUND(F23,0),道具!$B$296:$C$320,2,FALSE),""),"")</f>
        <v/>
      </c>
      <c r="F23" t="str">
        <f>IF(转换!B16&gt;0,转换!B16*100,"")</f>
        <v/>
      </c>
      <c r="G23">
        <v>15</v>
      </c>
      <c r="H23">
        <f>'体验表-带进度条'!R16</f>
        <v>0</v>
      </c>
      <c r="I23" s="113">
        <f>转换!I16</f>
        <v>3</v>
      </c>
      <c r="J23" s="113">
        <f>IF(I23=17,1,IF(I23=9,1,IF(转换!I16&gt;0,VLOOKUP(转换!H16,道具!B:C,2,FALSE),"")))</f>
        <v>160001</v>
      </c>
      <c r="K23" s="114">
        <f>IF(转换!I16=17,ROUND(转换!J16*100/转换!$U$2,0),IF(转换!I16=9,F23,转换!J16))</f>
        <v>3</v>
      </c>
    </row>
    <row r="24" spans="1:11">
      <c r="A24">
        <v>1013</v>
      </c>
      <c r="B24">
        <v>1</v>
      </c>
      <c r="C24" s="121">
        <v>1</v>
      </c>
      <c r="D24" s="122" t="str">
        <f>IFERROR(_xlfn.IFNA(VLOOKUP(ROUND(F24,0),道具!$B$271:$C$295,2,FALSE),""),"")</f>
        <v/>
      </c>
      <c r="E24" s="122" t="str">
        <f>IFERROR(_xlfn.IFNA(VLOOKUP(ROUND(F24,0),道具!$B$296:$C$320,2,FALSE),""),"")</f>
        <v/>
      </c>
      <c r="F24" t="str">
        <f>IF(转换!B17&gt;0,转换!B17*100,"")</f>
        <v/>
      </c>
      <c r="G24">
        <v>16</v>
      </c>
      <c r="H24">
        <f>'体验表-带进度条'!R17</f>
        <v>0</v>
      </c>
      <c r="I24" s="113">
        <f>转换!I17</f>
        <v>17</v>
      </c>
      <c r="J24" s="113">
        <f>IF(I24=17,1,IF(I24=9,1,IF(转换!I17&gt;0,VLOOKUP(转换!H17,道具!B:C,2,FALSE),"")))</f>
        <v>1</v>
      </c>
      <c r="K24" s="114">
        <f>IF(转换!I17=17,ROUND(转换!J17*100/转换!$U$2,0),IF(转换!I17=9,F24,转换!J17))</f>
        <v>45</v>
      </c>
    </row>
    <row r="25" spans="1:11">
      <c r="A25">
        <v>1014</v>
      </c>
      <c r="B25">
        <v>1</v>
      </c>
      <c r="C25" s="121">
        <v>1</v>
      </c>
      <c r="D25" s="122" t="str">
        <f>IFERROR(_xlfn.IFNA(VLOOKUP(ROUND(F25,0),道具!$B$271:$C$295,2,FALSE),""),"")</f>
        <v/>
      </c>
      <c r="E25" s="122" t="str">
        <f>IFERROR(_xlfn.IFNA(VLOOKUP(ROUND(F25,0),道具!$B$296:$C$320,2,FALSE),""),"")</f>
        <v/>
      </c>
      <c r="F25" t="str">
        <f>IF(转换!B18&gt;0,转换!B18*100,"")</f>
        <v/>
      </c>
      <c r="G25">
        <v>17</v>
      </c>
      <c r="H25">
        <f>'体验表-带进度条'!R18</f>
        <v>25</v>
      </c>
      <c r="I25" s="113">
        <f>转换!I18</f>
        <v>4</v>
      </c>
      <c r="J25" s="113">
        <f>IF(I25=17,1,IF(I25=9,1,IF(转换!I18&gt;0,VLOOKUP(转换!H18,道具!B:C,2,FALSE),"")))</f>
        <v>100004</v>
      </c>
      <c r="K25" s="114">
        <f>IF(转换!I18=17,ROUND(转换!J18*100/转换!$U$2,0),IF(转换!I18=9,F25,转换!J18))</f>
        <v>1</v>
      </c>
    </row>
    <row r="26" spans="1:11">
      <c r="A26">
        <v>1015</v>
      </c>
      <c r="B26">
        <v>1</v>
      </c>
      <c r="C26" s="121">
        <v>1</v>
      </c>
      <c r="D26" s="122" t="str">
        <f>IFERROR(_xlfn.IFNA(VLOOKUP(ROUND(F26,0),道具!$B$271:$C$295,2,FALSE),""),"")</f>
        <v/>
      </c>
      <c r="E26" s="122" t="str">
        <f>IFERROR(_xlfn.IFNA(VLOOKUP(ROUND(F26,0),道具!$B$296:$C$320,2,FALSE),""),"")</f>
        <v/>
      </c>
      <c r="F26" t="str">
        <f>IF(转换!B19&gt;0,转换!B19*100,"")</f>
        <v/>
      </c>
      <c r="G26">
        <v>18</v>
      </c>
      <c r="H26">
        <f>'体验表-带进度条'!R19</f>
        <v>0</v>
      </c>
      <c r="I26" s="113">
        <f>转换!I19</f>
        <v>3</v>
      </c>
      <c r="J26" s="113">
        <f>IF(I26=17,1,IF(I26=9,1,IF(转换!I19&gt;0,VLOOKUP(转换!H19,道具!B:C,2,FALSE),"")))</f>
        <v>192001</v>
      </c>
      <c r="K26" s="114">
        <f>IF(转换!I19=17,ROUND(转换!J19*100/转换!$U$2,0),IF(转换!I19=9,F26,转换!J19))</f>
        <v>15</v>
      </c>
    </row>
    <row r="27" ht="18" customHeight="1" spans="1:11">
      <c r="A27">
        <v>1016</v>
      </c>
      <c r="B27">
        <v>1</v>
      </c>
      <c r="C27" s="121">
        <v>1</v>
      </c>
      <c r="D27" s="122" t="str">
        <f>IFERROR(_xlfn.IFNA(VLOOKUP(ROUND(F27,0),道具!$B$271:$C$295,2,FALSE),""),"")</f>
        <v/>
      </c>
      <c r="E27" s="122" t="str">
        <f>IFERROR(_xlfn.IFNA(VLOOKUP(ROUND(F27,0),道具!$B$296:$C$320,2,FALSE),""),"")</f>
        <v/>
      </c>
      <c r="F27" t="str">
        <f>IF(转换!B20&gt;0,转换!B20*100,"")</f>
        <v/>
      </c>
      <c r="G27">
        <v>19</v>
      </c>
      <c r="H27">
        <f>'体验表-带进度条'!R20</f>
        <v>0</v>
      </c>
      <c r="I27" s="113">
        <f>转换!I20</f>
        <v>3</v>
      </c>
      <c r="J27" s="113">
        <f>IF(I27=17,1,IF(I27=9,1,IF(转换!I20&gt;0,VLOOKUP(转换!H20,道具!B:C,2,FALSE),"")))</f>
        <v>171001</v>
      </c>
      <c r="K27" s="114">
        <f>IF(转换!I20=17,ROUND(转换!J20*100/转换!$U$2,0),IF(转换!I20=9,F27,转换!J20))</f>
        <v>1</v>
      </c>
    </row>
    <row r="28" spans="1:11">
      <c r="A28">
        <v>1017</v>
      </c>
      <c r="B28">
        <v>1</v>
      </c>
      <c r="C28" s="121">
        <v>1</v>
      </c>
      <c r="D28" s="122" t="str">
        <f>IFERROR(_xlfn.IFNA(VLOOKUP(ROUND(F28,0),道具!$B$271:$C$295,2,FALSE),""),"")</f>
        <v/>
      </c>
      <c r="E28" s="122" t="str">
        <f>IFERROR(_xlfn.IFNA(VLOOKUP(ROUND(F28,0),道具!$B$296:$C$320,2,FALSE),""),"")</f>
        <v/>
      </c>
      <c r="F28" t="str">
        <f>IF(转换!B22&gt;0,转换!B22*100,"")</f>
        <v/>
      </c>
      <c r="G28">
        <v>21</v>
      </c>
      <c r="H28">
        <f>'体验表-带进度条'!R22</f>
        <v>0</v>
      </c>
      <c r="I28" s="113">
        <f>转换!I22</f>
        <v>3</v>
      </c>
      <c r="J28" s="113">
        <f>IF(I28=17,1,IF(I28=9,1,IF(转换!I22&gt;0,VLOOKUP(转换!H22,道具!B:C,2,FALSE),"")))</f>
        <v>160001</v>
      </c>
      <c r="K28" s="114">
        <f>IF(转换!I22=17,ROUND(转换!J22*100/转换!$U$2,0),IF(转换!I22=9,F28,转换!J22))</f>
        <v>4</v>
      </c>
    </row>
    <row r="29" spans="1:11">
      <c r="A29">
        <v>1018</v>
      </c>
      <c r="B29">
        <v>1</v>
      </c>
      <c r="C29" s="121">
        <v>1</v>
      </c>
      <c r="D29" s="122" t="str">
        <f>IFERROR(_xlfn.IFNA(VLOOKUP(ROUND(F29,0),道具!$B$271:$C$295,2,FALSE),""),"")</f>
        <v/>
      </c>
      <c r="E29" s="122" t="str">
        <f>IFERROR(_xlfn.IFNA(VLOOKUP(ROUND(F29,0),道具!$B$296:$C$320,2,FALSE),""),"")</f>
        <v/>
      </c>
      <c r="F29" t="str">
        <f>IF(转换!B23&gt;0,转换!B23*100,"")</f>
        <v/>
      </c>
      <c r="G29">
        <v>22</v>
      </c>
      <c r="H29">
        <f>'体验表-带进度条'!R23</f>
        <v>0</v>
      </c>
      <c r="I29" s="113">
        <f>转换!I23</f>
        <v>17</v>
      </c>
      <c r="J29" s="113">
        <f>IF(I29=17,1,IF(I29=9,1,IF(转换!I23&gt;0,VLOOKUP(转换!H23,道具!B:C,2,FALSE),"")))</f>
        <v>1</v>
      </c>
      <c r="K29" s="114">
        <f>IF(转换!I23=17,ROUND(转换!J23*100/转换!$U$2,0),IF(转换!I23=9,F29,转换!J23))</f>
        <v>72</v>
      </c>
    </row>
    <row r="30" spans="1:11">
      <c r="A30">
        <v>1019</v>
      </c>
      <c r="B30">
        <v>1</v>
      </c>
      <c r="C30" s="121">
        <v>1</v>
      </c>
      <c r="D30" s="122" t="str">
        <f>IFERROR(_xlfn.IFNA(VLOOKUP(ROUND(F30,0),道具!$B$271:$C$295,2,FALSE),""),"")</f>
        <v/>
      </c>
      <c r="E30" s="122" t="str">
        <f>IFERROR(_xlfn.IFNA(VLOOKUP(ROUND(F30,0),道具!$B$296:$C$320,2,FALSE),""),"")</f>
        <v/>
      </c>
      <c r="F30" t="str">
        <f>IF(转换!B24&gt;0,转换!B24*100,"")</f>
        <v/>
      </c>
      <c r="G30">
        <v>23</v>
      </c>
      <c r="H30">
        <f>'体验表-带进度条'!R24</f>
        <v>15</v>
      </c>
      <c r="I30" s="113">
        <f>转换!I24</f>
        <v>4</v>
      </c>
      <c r="J30" s="113">
        <f>IF(I30=17,1,IF(I30=9,1,IF(转换!I24&gt;0,VLOOKUP(转换!H24,道具!B:C,2,FALSE),"")))</f>
        <v>100004</v>
      </c>
      <c r="K30" s="114">
        <f>IF(转换!I24=17,ROUND(转换!J24*100/转换!$U$2,0),IF(转换!I24=9,F30,转换!J24))</f>
        <v>1</v>
      </c>
    </row>
    <row r="31" spans="1:11">
      <c r="A31">
        <v>1020</v>
      </c>
      <c r="B31">
        <v>1</v>
      </c>
      <c r="C31" s="121">
        <v>1</v>
      </c>
      <c r="D31" s="122" t="str">
        <f>IFERROR(_xlfn.IFNA(VLOOKUP(ROUND(F31,0),道具!$B$271:$C$295,2,FALSE),""),"")</f>
        <v/>
      </c>
      <c r="E31" s="122" t="str">
        <f>IFERROR(_xlfn.IFNA(VLOOKUP(ROUND(F31,0),道具!$B$296:$C$320,2,FALSE),""),"")</f>
        <v/>
      </c>
      <c r="F31" t="str">
        <f>IF(转换!B25&gt;0,转换!B25*100,"")</f>
        <v/>
      </c>
      <c r="G31">
        <v>24</v>
      </c>
      <c r="H31">
        <f>'体验表-带进度条'!R25</f>
        <v>0</v>
      </c>
      <c r="I31" s="113">
        <f>转换!I25</f>
        <v>3</v>
      </c>
      <c r="J31" s="113">
        <f>IF(I31=17,1,IF(I31=9,1,IF(转换!I25&gt;0,VLOOKUP(转换!H25,道具!B:C,2,FALSE),"")))</f>
        <v>192001</v>
      </c>
      <c r="K31" s="114">
        <f>IF(转换!I25=17,ROUND(转换!J25*100/转换!$U$2,0),IF(转换!I25=9,F31,转换!J25))</f>
        <v>20</v>
      </c>
    </row>
    <row r="32" spans="1:11">
      <c r="A32">
        <v>1021</v>
      </c>
      <c r="B32">
        <v>1</v>
      </c>
      <c r="C32" s="121">
        <v>1</v>
      </c>
      <c r="D32" s="122" t="str">
        <f>IFERROR(_xlfn.IFNA(VLOOKUP(ROUND(F32,0),道具!$B$271:$C$295,2,FALSE),""),"")</f>
        <v/>
      </c>
      <c r="E32" s="122" t="str">
        <f>IFERROR(_xlfn.IFNA(VLOOKUP(ROUND(F32,0),道具!$B$296:$C$320,2,FALSE),""),"")</f>
        <v/>
      </c>
      <c r="F32" t="str">
        <f>IF(转换!B26&gt;0,转换!B26*100,"")</f>
        <v/>
      </c>
      <c r="G32">
        <v>25</v>
      </c>
      <c r="H32">
        <f>'体验表-带进度条'!R26</f>
        <v>0</v>
      </c>
      <c r="I32" s="113">
        <f>转换!I26</f>
        <v>3</v>
      </c>
      <c r="J32" s="113">
        <f>IF(I32=17,1,IF(I32=9,1,IF(转换!I26&gt;0,VLOOKUP(转换!H26,道具!B:C,2,FALSE),"")))</f>
        <v>171002</v>
      </c>
      <c r="K32" s="114">
        <f>IF(转换!I26=17,ROUND(转换!J26*100/转换!$U$2,0),IF(转换!I26=9,F32,转换!J26))</f>
        <v>1</v>
      </c>
    </row>
    <row r="33" spans="1:20">
      <c r="A33">
        <v>1022</v>
      </c>
      <c r="B33">
        <v>1</v>
      </c>
      <c r="C33" s="121">
        <v>1</v>
      </c>
      <c r="D33" s="122" t="str">
        <f>IFERROR(_xlfn.IFNA(VLOOKUP(ROUND(F33,0),道具!$B$271:$C$295,2,FALSE),""),"")</f>
        <v/>
      </c>
      <c r="E33" s="122" t="str">
        <f>IFERROR(_xlfn.IFNA(VLOOKUP(ROUND(F33,0),道具!$B$296:$C$320,2,FALSE),""),"")</f>
        <v/>
      </c>
      <c r="F33" t="str">
        <f>IF(转换!B28&gt;0,转换!B28*100,"")</f>
        <v/>
      </c>
      <c r="G33">
        <v>27</v>
      </c>
      <c r="H33">
        <f>'体验表-带进度条'!R28</f>
        <v>0</v>
      </c>
      <c r="I33" s="113">
        <f>转换!I28</f>
        <v>3</v>
      </c>
      <c r="J33" s="113">
        <f>IF(I33=17,1,IF(I33=9,1,IF(转换!I28&gt;0,VLOOKUP(转换!H28,道具!B:C,2,FALSE),"")))</f>
        <v>160001</v>
      </c>
      <c r="K33" s="114">
        <f>IF(转换!I28=17,ROUND(转换!J28*100/转换!$U$2,0),IF(转换!I28=9,F33,转换!J28))</f>
        <v>5</v>
      </c>
    </row>
    <row r="34" spans="1:20">
      <c r="A34">
        <v>1023</v>
      </c>
      <c r="B34">
        <v>1</v>
      </c>
      <c r="C34" s="121">
        <v>1</v>
      </c>
      <c r="D34" s="122" t="str">
        <f>IFERROR(_xlfn.IFNA(VLOOKUP(ROUND(F34,0),道具!$B$271:$C$295,2,FALSE),""),"")</f>
        <v/>
      </c>
      <c r="E34" s="122" t="str">
        <f>IFERROR(_xlfn.IFNA(VLOOKUP(ROUND(F34,0),道具!$B$296:$C$320,2,FALSE),""),"")</f>
        <v/>
      </c>
      <c r="F34" t="str">
        <f>IF(转换!B29&gt;0,转换!B29*100,"")</f>
        <v/>
      </c>
      <c r="G34">
        <v>28</v>
      </c>
      <c r="H34">
        <f>'体验表-带进度条'!R29</f>
        <v>0</v>
      </c>
      <c r="I34" s="113">
        <f>转换!I29</f>
        <v>17</v>
      </c>
      <c r="J34" s="113">
        <f>IF(I34=17,1,IF(I34=9,1,IF(转换!I29&gt;0,VLOOKUP(转换!H29,道具!B:C,2,FALSE),"")))</f>
        <v>1</v>
      </c>
      <c r="K34" s="114">
        <f>IF(转换!I29=17,ROUND(转换!J29*100/转换!$U$2,0),IF(转换!I29=9,F34,转换!J29))</f>
        <v>36</v>
      </c>
    </row>
    <row r="35" spans="1:20">
      <c r="A35">
        <v>1024</v>
      </c>
      <c r="B35">
        <v>1</v>
      </c>
      <c r="C35" s="121">
        <v>1</v>
      </c>
      <c r="D35" s="122" t="str">
        <f>IFERROR(_xlfn.IFNA(VLOOKUP(ROUND(F35,0),道具!$B$271:$C$295,2,FALSE),""),"")</f>
        <v/>
      </c>
      <c r="E35" s="122" t="str">
        <f>IFERROR(_xlfn.IFNA(VLOOKUP(ROUND(F35,0),道具!$B$296:$C$320,2,FALSE),""),"")</f>
        <v/>
      </c>
      <c r="F35" t="str">
        <f>IF(转换!B30&gt;0,转换!B30*100,"")</f>
        <v/>
      </c>
      <c r="G35">
        <v>29</v>
      </c>
      <c r="H35">
        <f>'体验表-带进度条'!R30</f>
        <v>25</v>
      </c>
      <c r="I35" s="113">
        <f>转换!I30</f>
        <v>4</v>
      </c>
      <c r="J35" s="113">
        <f>IF(I35=17,1,IF(I35=9,1,IF(转换!I30&gt;0,VLOOKUP(转换!H30,道具!B:C,2,FALSE),"")))</f>
        <v>100005</v>
      </c>
      <c r="K35" s="114">
        <f>IF(转换!I30=17,ROUND(转换!J30*100/转换!$U$2,0),IF(转换!I30=9,F35,转换!J30))</f>
        <v>1</v>
      </c>
    </row>
    <row r="36" spans="1:20">
      <c r="A36">
        <v>1025</v>
      </c>
      <c r="B36">
        <v>1</v>
      </c>
      <c r="C36" s="121">
        <v>1</v>
      </c>
      <c r="D36" s="122" t="str">
        <f>IFERROR(_xlfn.IFNA(VLOOKUP(ROUND(F36,0),道具!$B$271:$C$295,2,FALSE),""),"")</f>
        <v/>
      </c>
      <c r="E36" s="122" t="str">
        <f>IFERROR(_xlfn.IFNA(VLOOKUP(ROUND(F36,0),道具!$B$296:$C$320,2,FALSE),""),"")</f>
        <v/>
      </c>
      <c r="F36" t="str">
        <f>IF(转换!B31&gt;0,转换!B31*100,"")</f>
        <v/>
      </c>
      <c r="G36">
        <v>30</v>
      </c>
      <c r="H36">
        <f>'体验表-带进度条'!R31</f>
        <v>0</v>
      </c>
      <c r="I36" s="113">
        <f>转换!I31</f>
        <v>3</v>
      </c>
      <c r="J36" s="113">
        <f>IF(I36=17,1,IF(I36=9,1,IF(转换!I31&gt;0,VLOOKUP(转换!H31,道具!B:C,2,FALSE),"")))</f>
        <v>192001</v>
      </c>
      <c r="K36" s="114">
        <f>IF(转换!I31=17,ROUND(转换!J31*100/转换!$U$2,0),IF(转换!I31=9,F36,转换!J31))</f>
        <v>25</v>
      </c>
    </row>
    <row r="37" spans="1:20">
      <c r="A37">
        <v>1026</v>
      </c>
      <c r="B37">
        <v>1</v>
      </c>
      <c r="C37" s="121">
        <v>1</v>
      </c>
      <c r="D37" s="122" t="str">
        <f>IFERROR(_xlfn.IFNA(VLOOKUP(ROUND(F37,0),道具!$B$271:$C$295,2,FALSE),""),"")</f>
        <v/>
      </c>
      <c r="E37" s="122" t="str">
        <f>IFERROR(_xlfn.IFNA(VLOOKUP(ROUND(F37,0),道具!$B$296:$C$320,2,FALSE),""),"")</f>
        <v/>
      </c>
      <c r="F37" t="str">
        <f>IF(转换!B32&gt;0,转换!B32*100,"")</f>
        <v/>
      </c>
      <c r="G37">
        <v>31</v>
      </c>
      <c r="H37">
        <f>'体验表-带进度条'!R32</f>
        <v>0</v>
      </c>
      <c r="I37" s="113">
        <f>转换!I32</f>
        <v>3</v>
      </c>
      <c r="J37" s="113">
        <f>IF(I37=17,1,IF(I37=9,1,IF(转换!I32&gt;0,VLOOKUP(转换!H32,道具!B:C,2,FALSE),"")))</f>
        <v>171001</v>
      </c>
      <c r="K37" s="114">
        <f>IF(转换!I32=17,ROUND(转换!J32*100/转换!$U$2,0),IF(转换!I32=9,F37,转换!J32))</f>
        <v>1</v>
      </c>
    </row>
    <row r="38" spans="1:20">
      <c r="A38">
        <v>1027</v>
      </c>
      <c r="B38">
        <v>1</v>
      </c>
      <c r="C38" s="121">
        <v>1</v>
      </c>
      <c r="D38" s="122" t="str">
        <f>IFERROR(_xlfn.IFNA(VLOOKUP(ROUND(F38,0),道具!$B$271:$C$295,2,FALSE),""),"")</f>
        <v/>
      </c>
      <c r="E38" s="122" t="str">
        <f>IFERROR(_xlfn.IFNA(VLOOKUP(ROUND(F38,0),道具!$B$296:$C$320,2,FALSE),""),"")</f>
        <v/>
      </c>
      <c r="F38" t="str">
        <f>IF(转换!B34&gt;0,转换!B34*100,"")</f>
        <v/>
      </c>
      <c r="G38">
        <v>33</v>
      </c>
      <c r="H38">
        <f>'体验表-带进度条'!R34</f>
        <v>0</v>
      </c>
      <c r="I38" s="113">
        <f>转换!I34</f>
        <v>3</v>
      </c>
      <c r="J38" s="113">
        <f>IF(I38=17,1,IF(I38=9,1,IF(转换!I34&gt;0,VLOOKUP(转换!H34,道具!B:C,2,FALSE),"")))</f>
        <v>160001</v>
      </c>
      <c r="K38" s="114">
        <f>IF(转换!I34=17,ROUND(转换!J34*100/转换!$U$2,0),IF(转换!I34=9,F38,转换!J34))</f>
        <v>6</v>
      </c>
    </row>
    <row r="39" spans="1:20">
      <c r="A39">
        <v>1028</v>
      </c>
      <c r="B39">
        <v>1</v>
      </c>
      <c r="C39" s="121">
        <v>1</v>
      </c>
      <c r="D39" s="122" t="str">
        <f>IFERROR(_xlfn.IFNA(VLOOKUP(ROUND(F39,0),道具!$B$271:$C$295,2,FALSE),""),"")</f>
        <v/>
      </c>
      <c r="E39" s="122" t="str">
        <f>IFERROR(_xlfn.IFNA(VLOOKUP(ROUND(F39,0),道具!$B$296:$C$320,2,FALSE),""),"")</f>
        <v/>
      </c>
      <c r="F39" t="str">
        <f>IF(转换!B35&gt;0,转换!B35*100,"")</f>
        <v/>
      </c>
      <c r="G39">
        <v>34</v>
      </c>
      <c r="H39">
        <f>'体验表-带进度条'!R35</f>
        <v>0</v>
      </c>
      <c r="I39" s="113">
        <f>转换!I35</f>
        <v>17</v>
      </c>
      <c r="J39" s="113">
        <f>IF(I39=17,1,IF(I39=9,1,IF(转换!I35&gt;0,VLOOKUP(转换!H35,道具!B:C,2,FALSE),"")))</f>
        <v>1</v>
      </c>
      <c r="K39" s="114">
        <f>IF(转换!I35=17,ROUND(转换!J35*100/转换!$U$2,0),IF(转换!I35=9,F39,转换!J35))</f>
        <v>108</v>
      </c>
    </row>
    <row r="40" spans="1:20">
      <c r="A40">
        <v>1029</v>
      </c>
      <c r="B40">
        <v>1</v>
      </c>
      <c r="C40" s="121">
        <v>1</v>
      </c>
      <c r="D40" s="122" t="str">
        <f>IFERROR(_xlfn.IFNA(VLOOKUP(ROUND(F40,0),道具!$B$271:$C$295,2,FALSE),""),"")</f>
        <v/>
      </c>
      <c r="E40" s="122" t="str">
        <f>IFERROR(_xlfn.IFNA(VLOOKUP(ROUND(F40,0),道具!$B$296:$C$320,2,FALSE),""),"")</f>
        <v/>
      </c>
      <c r="F40" t="str">
        <f>IF(转换!B36&gt;0,转换!B36*100,"")</f>
        <v/>
      </c>
      <c r="G40">
        <v>35</v>
      </c>
      <c r="H40">
        <f>'体验表-带进度条'!R36</f>
        <v>15</v>
      </c>
      <c r="I40" s="113">
        <f>转换!I36</f>
        <v>4</v>
      </c>
      <c r="J40" s="113">
        <f>IF(I40=17,1,IF(I40=9,1,IF(转换!I36&gt;0,VLOOKUP(转换!H36,道具!B:C,2,FALSE),"")))</f>
        <v>100005</v>
      </c>
      <c r="K40" s="114">
        <f>IF(转换!I36=17,ROUND(转换!J36*100/转换!$U$2,0),IF(转换!I36=9,F40,转换!J36))</f>
        <v>1</v>
      </c>
    </row>
    <row r="41" spans="1:20">
      <c r="A41">
        <v>1030</v>
      </c>
      <c r="B41">
        <v>1</v>
      </c>
      <c r="C41" s="121">
        <v>1</v>
      </c>
      <c r="D41" s="122" t="str">
        <f>IFERROR(_xlfn.IFNA(VLOOKUP(ROUND(F41,0),道具!$B$271:$C$295,2,FALSE),""),"")</f>
        <v/>
      </c>
      <c r="E41" s="122" t="str">
        <f>IFERROR(_xlfn.IFNA(VLOOKUP(ROUND(F41,0),道具!$B$296:$C$320,2,FALSE),""),"")</f>
        <v/>
      </c>
      <c r="F41" t="str">
        <f>IF(转换!B37&gt;0,转换!B37*100,"")</f>
        <v/>
      </c>
      <c r="G41">
        <v>36</v>
      </c>
      <c r="H41">
        <f>'体验表-带进度条'!R37</f>
        <v>0</v>
      </c>
      <c r="I41" s="113">
        <f>转换!I37</f>
        <v>3</v>
      </c>
      <c r="J41" s="113">
        <f>IF(I41=17,1,IF(I41=9,1,IF(转换!I37&gt;0,VLOOKUP(转换!H37,道具!B:C,2,FALSE),"")))</f>
        <v>192001</v>
      </c>
      <c r="K41" s="114">
        <f>IF(转换!I37=17,ROUND(转换!J37*100/转换!$U$2,0),IF(转换!I37=9,F41,转换!J37))</f>
        <v>30</v>
      </c>
    </row>
    <row r="42" spans="1:20">
      <c r="A42">
        <v>1031</v>
      </c>
      <c r="B42">
        <v>1</v>
      </c>
      <c r="C42" s="121">
        <v>1</v>
      </c>
      <c r="D42" s="122" t="str">
        <f>IFERROR(_xlfn.IFNA(VLOOKUP(ROUND(F42,0),道具!$B$271:$C$295,2,FALSE),""),"")</f>
        <v/>
      </c>
      <c r="E42" s="122" t="str">
        <f>IFERROR(_xlfn.IFNA(VLOOKUP(ROUND(F42,0),道具!$B$296:$C$320,2,FALSE),""),"")</f>
        <v/>
      </c>
      <c r="F42" t="str">
        <f>IF(转换!B38&gt;0,转换!B38*100,"")</f>
        <v/>
      </c>
      <c r="G42">
        <v>37</v>
      </c>
      <c r="H42">
        <f>'体验表-带进度条'!R38</f>
        <v>0</v>
      </c>
      <c r="I42" s="113">
        <f>转换!I38</f>
        <v>3</v>
      </c>
      <c r="J42" s="113">
        <f>IF(I42=17,1,IF(I42=9,1,IF(转换!I38&gt;0,VLOOKUP(转换!H38,道具!B:C,2,FALSE),"")))</f>
        <v>171002</v>
      </c>
      <c r="K42" s="114">
        <f>IF(转换!I38=17,ROUND(转换!J38*100/转换!$U$2,0),IF(转换!I38=9,F42,转换!J38))</f>
        <v>1</v>
      </c>
    </row>
    <row r="43" spans="1:20">
      <c r="A43">
        <v>1032</v>
      </c>
      <c r="B43">
        <v>1</v>
      </c>
      <c r="C43" s="121">
        <v>1</v>
      </c>
      <c r="D43" s="122" t="str">
        <f>IFERROR(_xlfn.IFNA(VLOOKUP(ROUND(F43,0),道具!$B$271:$C$295,2,FALSE),""),"")</f>
        <v/>
      </c>
      <c r="E43" s="122" t="str">
        <f>IFERROR(_xlfn.IFNA(VLOOKUP(ROUND(F43,0),道具!$B$296:$C$320,2,FALSE),""),"")</f>
        <v/>
      </c>
      <c r="F43" t="str">
        <f>IF(转换!B40&gt;0,转换!B40*100,"")</f>
        <v/>
      </c>
      <c r="G43">
        <v>39</v>
      </c>
      <c r="H43">
        <f>'体验表-带进度条'!R40</f>
        <v>0</v>
      </c>
      <c r="I43" s="113">
        <f>转换!I40</f>
        <v>3</v>
      </c>
      <c r="J43" s="113">
        <f>IF(I43=17,1,IF(I43=9,1,IF(转换!I40&gt;0,VLOOKUP(转换!H40,道具!B:C,2,FALSE),"")))</f>
        <v>160001</v>
      </c>
      <c r="K43" s="114">
        <f>IF(转换!I40=17,ROUND(转换!J40*100/转换!$U$2,0),IF(转换!I40=9,F43,转换!J40))</f>
        <v>7</v>
      </c>
    </row>
    <row r="44" spans="1:20">
      <c r="A44">
        <v>1033</v>
      </c>
      <c r="B44">
        <v>1</v>
      </c>
      <c r="C44" s="121">
        <v>1</v>
      </c>
      <c r="D44" s="122" t="str">
        <f>IFERROR(_xlfn.IFNA(VLOOKUP(ROUND(F44,0),道具!$B$271:$C$295,2,FALSE),""),"")</f>
        <v/>
      </c>
      <c r="E44" s="122" t="str">
        <f>IFERROR(_xlfn.IFNA(VLOOKUP(ROUND(F44,0),道具!$B$296:$C$320,2,FALSE),""),"")</f>
        <v/>
      </c>
      <c r="F44" t="str">
        <f>IF(转换!B41&gt;0,转换!B41*100,"")</f>
        <v/>
      </c>
      <c r="G44">
        <v>40</v>
      </c>
      <c r="H44">
        <f>'体验表-带进度条'!R41</f>
        <v>0</v>
      </c>
      <c r="I44" s="113">
        <f>转换!I41</f>
        <v>17</v>
      </c>
      <c r="J44" s="113">
        <f>IF(I44=17,1,IF(I44=9,1,IF(转换!I41&gt;0,VLOOKUP(转换!H41,道具!B:C,2,FALSE),"")))</f>
        <v>1</v>
      </c>
      <c r="K44" s="114">
        <f>IF(转换!I41=17,ROUND(转换!J41*100/转换!$U$2,0),IF(转换!I41=9,F44,转换!J41))</f>
        <v>108</v>
      </c>
    </row>
    <row r="45" spans="1:20">
      <c r="A45">
        <v>1034</v>
      </c>
      <c r="B45">
        <v>1</v>
      </c>
      <c r="C45" s="121">
        <v>1</v>
      </c>
      <c r="D45" s="122" t="str">
        <f>IFERROR(_xlfn.IFNA(VLOOKUP(ROUND(F45,0),道具!$B$271:$C$295,2,FALSE),""),"")</f>
        <v/>
      </c>
      <c r="E45" s="122" t="str">
        <f>IFERROR(_xlfn.IFNA(VLOOKUP(ROUND(F45,0),道具!$B$296:$C$320,2,FALSE),""),"")</f>
        <v/>
      </c>
      <c r="F45" t="str">
        <f>IF(转换!B42&gt;0,转换!B42*100,"")</f>
        <v/>
      </c>
      <c r="G45">
        <v>41</v>
      </c>
      <c r="H45">
        <f>'体验表-带进度条'!R42</f>
        <v>50</v>
      </c>
      <c r="I45" s="113">
        <f>转换!I42</f>
        <v>4</v>
      </c>
      <c r="J45" s="113">
        <f>IF(I45=17,1,IF(I45=9,1,IF(转换!I42&gt;0,VLOOKUP(转换!H42,道具!B:C,2,FALSE),"")))</f>
        <v>100006</v>
      </c>
      <c r="K45" s="114">
        <f>IF(转换!I42=17,ROUND(转换!J42*100/转换!$U$2,0),IF(转换!I42=9,F45,转换!J42))</f>
        <v>1</v>
      </c>
    </row>
    <row r="46" spans="1:20">
      <c r="A46">
        <v>1035</v>
      </c>
      <c r="B46">
        <v>1</v>
      </c>
      <c r="C46" s="121">
        <v>1</v>
      </c>
      <c r="D46" s="122" t="str">
        <f>IFERROR(_xlfn.IFNA(VLOOKUP(ROUND(F46,0),道具!$B$271:$C$295,2,FALSE),""),"")</f>
        <v/>
      </c>
      <c r="E46" s="122" t="str">
        <f>IFERROR(_xlfn.IFNA(VLOOKUP(ROUND(F46,0),道具!$B$296:$C$320,2,FALSE),""),"")</f>
        <v/>
      </c>
      <c r="F46" t="str">
        <f>IF(转换!B43&gt;0,转换!B43*100,"")</f>
        <v/>
      </c>
      <c r="G46">
        <v>42</v>
      </c>
      <c r="H46">
        <f>'体验表-带进度条'!R43</f>
        <v>0</v>
      </c>
      <c r="I46" s="113">
        <f>转换!I43</f>
        <v>3</v>
      </c>
      <c r="J46" s="113">
        <f>IF(I46=17,1,IF(I46=9,1,IF(转换!I43&gt;0,VLOOKUP(转换!H43,道具!B:C,2,FALSE),"")))</f>
        <v>192001</v>
      </c>
      <c r="K46" s="114">
        <f>IF(转换!I43=17,ROUND(转换!J43*100/转换!$U$2,0),IF(转换!I43=9,F46,转换!J43))</f>
        <v>35</v>
      </c>
    </row>
    <row r="47" spans="1:20">
      <c r="A47">
        <v>1036</v>
      </c>
      <c r="B47">
        <v>1</v>
      </c>
      <c r="C47" s="121">
        <v>1</v>
      </c>
      <c r="D47" s="122" t="str">
        <f>IFERROR(_xlfn.IFNA(VLOOKUP(ROUND(F47,0),道具!$B$271:$C$295,2,FALSE),""),"")</f>
        <v/>
      </c>
      <c r="E47" s="122" t="str">
        <f>IFERROR(_xlfn.IFNA(VLOOKUP(ROUND(F47,0),道具!$B$296:$C$320,2,FALSE),""),"")</f>
        <v/>
      </c>
      <c r="F47" t="str">
        <f>IF(转换!B44&gt;0,转换!B44*100,"")</f>
        <v/>
      </c>
      <c r="G47">
        <v>43</v>
      </c>
      <c r="H47">
        <f>'体验表-带进度条'!R44</f>
        <v>0</v>
      </c>
      <c r="I47" s="113">
        <f>转换!I44</f>
        <v>3</v>
      </c>
      <c r="J47" s="113">
        <f>IF(I47=17,1,IF(I47=9,1,IF(转换!I44&gt;0,VLOOKUP(转换!H44,道具!B:C,2,FALSE),"")))</f>
        <v>171001</v>
      </c>
      <c r="K47" s="114">
        <f>IF(转换!I44=17,ROUND(转换!J44*100/转换!$U$2,0),IF(转换!I44=9,F47,转换!J44))</f>
        <v>1</v>
      </c>
    </row>
    <row r="48" customFormat="1" spans="1:20">
      <c r="A48">
        <f>IF(C48=1,1001+COUNTIF($C$5:C47,1),2001+COUNTIF($C$5:C47,2))</f>
        <v>2008</v>
      </c>
      <c r="B48">
        <v>1</v>
      </c>
      <c r="C48" s="121">
        <v>2</v>
      </c>
      <c r="D48" s="122" t="str">
        <f>IFERROR(_xlfn.IFNA(VLOOKUP(ROUND(F48,0),道具!$B$271:$C$295,2,FALSE),""),"")</f>
        <v>gp_hunt_599</v>
      </c>
      <c r="E48" s="122" t="str">
        <f>IFERROR(_xlfn.IFNA(VLOOKUP(ROUND(F48,0),道具!$B$296:$C$320,2,FALSE),""),"")</f>
        <v>iap_hunt_599</v>
      </c>
      <c r="F48">
        <f>IF(转换!B46&gt;0,转换!B46*100,"")</f>
        <v>599</v>
      </c>
      <c r="G48">
        <v>2</v>
      </c>
      <c r="H48">
        <f>'体验表-带进度条'!R46</f>
        <v>10</v>
      </c>
      <c r="I48" s="113">
        <f>转换!I46</f>
        <v>9</v>
      </c>
      <c r="J48" s="113">
        <f>IF(I48=17,1,IF(I48=9,1,IF(转换!I46&gt;0,VLOOKUP(转换!H46,道具!B:C,2,FALSE),"")))</f>
        <v>1</v>
      </c>
      <c r="K48" s="114">
        <f>IF(转换!I46=17,ROUND(转换!J46*100/转换!$U$2,0),IF(转换!I46=9,F48,转换!J46))</f>
        <v>599</v>
      </c>
      <c r="L48" s="115"/>
      <c r="M48" s="115"/>
      <c r="N48" s="115"/>
      <c r="O48" s="113"/>
      <c r="P48" s="113"/>
      <c r="Q48" s="113"/>
      <c r="R48" s="97"/>
      <c r="S48" s="97"/>
      <c r="T48" s="97"/>
    </row>
    <row r="49" customFormat="1" spans="1:20">
      <c r="A49">
        <f>IF(C49=1,1001+COUNTIF($C$5:C48,1),2001+COUNTIF($C$5:C48,2))</f>
        <v>2009</v>
      </c>
      <c r="B49">
        <v>1</v>
      </c>
      <c r="C49" s="121">
        <v>2</v>
      </c>
      <c r="D49" s="122" t="str">
        <f>IFERROR(_xlfn.IFNA(VLOOKUP(ROUND(F49,0),道具!$B$271:$C$295,2,FALSE),""),"")</f>
        <v>gp_hunt_3</v>
      </c>
      <c r="E49" s="122" t="str">
        <f>IFERROR(_xlfn.IFNA(VLOOKUP(ROUND(F49,0),道具!$B$296:$C$320,2,FALSE),""),"")</f>
        <v>iap_hunt_3</v>
      </c>
      <c r="F49">
        <f>IF(转换!B52&gt;0,转换!B52*100,"")</f>
        <v>799</v>
      </c>
      <c r="G49">
        <v>8</v>
      </c>
      <c r="H49">
        <f>'体验表-带进度条'!R52</f>
        <v>25</v>
      </c>
      <c r="I49" s="113">
        <f>转换!I52</f>
        <v>9</v>
      </c>
      <c r="J49" s="113">
        <f>IF(I49=17,1,IF(I49=9,1,IF(转换!I52&gt;0,VLOOKUP(转换!H52,道具!B:C,2,FALSE),"")))</f>
        <v>1</v>
      </c>
      <c r="K49" s="114">
        <f>IF(转换!I52=17,ROUND(转换!J52*100/转换!$U$2,0),IF(转换!I52=9,F49,转换!J52))</f>
        <v>799</v>
      </c>
      <c r="L49" s="115"/>
      <c r="M49" s="115"/>
      <c r="N49" s="115"/>
      <c r="O49" s="113"/>
      <c r="P49" s="113"/>
      <c r="Q49" s="113"/>
      <c r="R49" s="97"/>
      <c r="S49" s="97"/>
      <c r="T49" s="97"/>
    </row>
    <row r="50" customFormat="1" spans="1:20">
      <c r="A50">
        <f>IF(C50=1,1001+COUNTIF($C$5:C49,1),2001+COUNTIF($C$5:C49,2))</f>
        <v>2010</v>
      </c>
      <c r="B50">
        <v>1</v>
      </c>
      <c r="C50" s="121">
        <v>2</v>
      </c>
      <c r="D50" s="122" t="str">
        <f>IFERROR(_xlfn.IFNA(VLOOKUP(ROUND(F50,0),道具!$B$271:$C$295,2,FALSE),""),"")</f>
        <v>gp_hunt_999</v>
      </c>
      <c r="E50" s="122" t="str">
        <f>IFERROR(_xlfn.IFNA(VLOOKUP(ROUND(F50,0),道具!$B$296:$C$320,2,FALSE),""),"")</f>
        <v>iap_hunt_999</v>
      </c>
      <c r="F50">
        <f>IF(转换!B58&gt;0,转换!B58*100,"")</f>
        <v>999</v>
      </c>
      <c r="G50">
        <v>14</v>
      </c>
      <c r="H50">
        <f>'体验表-带进度条'!R58</f>
        <v>35</v>
      </c>
      <c r="I50" s="113">
        <f>转换!I58</f>
        <v>9</v>
      </c>
      <c r="J50" s="113">
        <f>IF(I50=17,1,IF(I50=9,1,IF(转换!I58&gt;0,VLOOKUP(转换!H58,道具!B:C,2,FALSE),"")))</f>
        <v>1</v>
      </c>
      <c r="K50" s="114">
        <f>IF(转换!I58=17,ROUND(转换!J58*100/转换!$U$2,0),IF(转换!I58=9,F50,转换!J58))</f>
        <v>999</v>
      </c>
      <c r="L50" s="115"/>
      <c r="M50" s="115"/>
      <c r="N50" s="115"/>
      <c r="O50" s="113"/>
      <c r="P50" s="113"/>
      <c r="Q50" s="113"/>
      <c r="R50" s="97"/>
      <c r="S50" s="97"/>
      <c r="T50" s="97"/>
    </row>
    <row r="51" customFormat="1" spans="1:20">
      <c r="A51">
        <f>IF(C51=1,1001+COUNTIF($C$5:C50,1),2001+COUNTIF($C$5:C50,2))</f>
        <v>2011</v>
      </c>
      <c r="B51">
        <v>1</v>
      </c>
      <c r="C51" s="121">
        <v>2</v>
      </c>
      <c r="D51" s="122" t="str">
        <f>IFERROR(_xlfn.IFNA(VLOOKUP(ROUND(F51,0),道具!$B$271:$C$295,2,FALSE),""),"")</f>
        <v>gp_hunt_5</v>
      </c>
      <c r="E51" s="122" t="str">
        <f>IFERROR(_xlfn.IFNA(VLOOKUP(ROUND(F51,0),道具!$B$296:$C$320,2,FALSE),""),"")</f>
        <v>iap_hunt_5</v>
      </c>
      <c r="F51">
        <f>IF(转换!B64&gt;0,转换!B64*100,"")</f>
        <v>1299</v>
      </c>
      <c r="G51">
        <v>20</v>
      </c>
      <c r="H51">
        <f>'体验表-带进度条'!R64</f>
        <v>0</v>
      </c>
      <c r="I51" s="113">
        <f>转换!I64</f>
        <v>9</v>
      </c>
      <c r="J51" s="113">
        <f>IF(I51=17,1,IF(I51=9,1,IF(转换!I64&gt;0,VLOOKUP(转换!H64,道具!B:C,2,FALSE),"")))</f>
        <v>1</v>
      </c>
      <c r="K51" s="114">
        <f>IF(转换!I64=17,ROUND(转换!J64*100/转换!$U$2,0),IF(转换!I64=9,F51,转换!J64))</f>
        <v>1299</v>
      </c>
      <c r="L51" s="115"/>
      <c r="M51" s="115"/>
      <c r="N51" s="115"/>
      <c r="O51" s="113"/>
      <c r="P51" s="113"/>
      <c r="Q51" s="113"/>
      <c r="R51" s="97"/>
      <c r="S51" s="97"/>
      <c r="T51" s="97"/>
    </row>
    <row r="52" customFormat="1" spans="1:20">
      <c r="A52">
        <f>IF(C52=1,1001+COUNTIF($C$5:C51,1),2001+COUNTIF($C$5:C51,2))</f>
        <v>2012</v>
      </c>
      <c r="B52">
        <v>1</v>
      </c>
      <c r="C52" s="121">
        <v>2</v>
      </c>
      <c r="D52" s="122" t="str">
        <f>IFERROR(_xlfn.IFNA(VLOOKUP(ROUND(F52,0),道具!$B$271:$C$295,2,FALSE),""),"")</f>
        <v>gp_hunt_6</v>
      </c>
      <c r="E52" s="122" t="str">
        <f>IFERROR(_xlfn.IFNA(VLOOKUP(ROUND(F52,0),道具!$B$296:$C$320,2,FALSE),""),"")</f>
        <v>iap_hunt_6</v>
      </c>
      <c r="F52">
        <f>IF(转换!B70&gt;0,转换!B70*100,"")</f>
        <v>1499</v>
      </c>
      <c r="G52">
        <v>26</v>
      </c>
      <c r="H52">
        <f>'体验表-带进度条'!R70</f>
        <v>10</v>
      </c>
      <c r="I52" s="113">
        <f>转换!I70</f>
        <v>9</v>
      </c>
      <c r="J52" s="113">
        <f>IF(I52=17,1,IF(I52=9,1,IF(转换!I70&gt;0,VLOOKUP(转换!H70,道具!B:C,2,FALSE),"")))</f>
        <v>1</v>
      </c>
      <c r="K52" s="114">
        <f>IF(转换!I70=17,ROUND(转换!J70*100/转换!$U$2,0),IF(转换!I70=9,F52,转换!J70))</f>
        <v>1499</v>
      </c>
      <c r="L52" s="115"/>
      <c r="M52" s="115"/>
      <c r="N52" s="115"/>
      <c r="O52" s="113"/>
      <c r="P52" s="113"/>
      <c r="Q52" s="113"/>
      <c r="R52" s="97"/>
      <c r="S52" s="97"/>
      <c r="T52" s="97"/>
    </row>
    <row r="53" customFormat="1" spans="1:20">
      <c r="A53">
        <f>IF(C53=1,1001+COUNTIF($C$5:C52,1),2001+COUNTIF($C$5:C52,2))</f>
        <v>2013</v>
      </c>
      <c r="B53">
        <v>1</v>
      </c>
      <c r="C53" s="121">
        <v>2</v>
      </c>
      <c r="D53" s="122" t="str">
        <f>IFERROR(_xlfn.IFNA(VLOOKUP(ROUND(F53,0),道具!$B$271:$C$295,2,FALSE),""),"")</f>
        <v>gp_hunt_1799</v>
      </c>
      <c r="E53" s="122" t="str">
        <f>IFERROR(_xlfn.IFNA(VLOOKUP(ROUND(F53,0),道具!$B$296:$C$320,2,FALSE),""),"")</f>
        <v>iap_hunt_1799</v>
      </c>
      <c r="F53">
        <f>IF(转换!B76&gt;0,转换!B76*100,"")</f>
        <v>1799</v>
      </c>
      <c r="G53">
        <v>32</v>
      </c>
      <c r="H53">
        <f>'体验表-带进度条'!R76</f>
        <v>25</v>
      </c>
      <c r="I53" s="113">
        <f>转换!I76</f>
        <v>9</v>
      </c>
      <c r="J53" s="113">
        <f>IF(I53=17,1,IF(I53=9,1,IF(转换!I76&gt;0,VLOOKUP(转换!H76,道具!B:C,2,FALSE),"")))</f>
        <v>1</v>
      </c>
      <c r="K53" s="114">
        <f>IF(转换!I76=17,ROUND(转换!J76*100/转换!$U$2,0),IF(转换!I76=9,F53,转换!J76))</f>
        <v>1799</v>
      </c>
      <c r="L53" s="115"/>
      <c r="M53" s="115"/>
      <c r="N53" s="115"/>
      <c r="O53" s="113"/>
      <c r="P53" s="113"/>
      <c r="Q53" s="113"/>
      <c r="R53" s="97"/>
      <c r="S53" s="97"/>
      <c r="T53" s="97"/>
    </row>
    <row r="54" customFormat="1" spans="1:20">
      <c r="A54">
        <f>IF(C54=1,1001+COUNTIF($C$5:C53,1),2001+COUNTIF($C$5:C53,2))</f>
        <v>2014</v>
      </c>
      <c r="B54">
        <v>1</v>
      </c>
      <c r="C54" s="121">
        <v>2</v>
      </c>
      <c r="D54" s="122" t="str">
        <f>IFERROR(_xlfn.IFNA(VLOOKUP(ROUND(F54,0),道具!$B$271:$C$295,2,FALSE),""),"")</f>
        <v>gp_hunt_1999</v>
      </c>
      <c r="E54" s="122" t="str">
        <f>IFERROR(_xlfn.IFNA(VLOOKUP(ROUND(F54,0),道具!$B$296:$C$320,2,FALSE),""),"")</f>
        <v>iap_hunt_1999</v>
      </c>
      <c r="F54">
        <f>IF(转换!B82&gt;0,转换!B82*100,"")</f>
        <v>1999</v>
      </c>
      <c r="G54">
        <v>38</v>
      </c>
      <c r="H54">
        <f>'体验表-带进度条'!R82</f>
        <v>35</v>
      </c>
      <c r="I54" s="113">
        <f>转换!I82</f>
        <v>9</v>
      </c>
      <c r="J54" s="113">
        <f>IF(I54=17,1,IF(I54=9,1,IF(转换!I82&gt;0,VLOOKUP(转换!H82,道具!B:C,2,FALSE),"")))</f>
        <v>1</v>
      </c>
      <c r="K54" s="114">
        <f>IF(转换!I82=17,ROUND(转换!J82*100/转换!$U$2,0),IF(转换!I82=9,F54,转换!J82))</f>
        <v>1999</v>
      </c>
      <c r="L54" s="115"/>
      <c r="M54" s="115"/>
      <c r="N54" s="115"/>
      <c r="O54" s="113"/>
      <c r="P54" s="113"/>
      <c r="Q54" s="113"/>
      <c r="R54" s="97"/>
      <c r="S54" s="97"/>
      <c r="T54" s="97"/>
    </row>
    <row r="55" customFormat="1" spans="1:20">
      <c r="A55">
        <f>IF(C55=1,1001+COUNTIF($C$5:C54,1),2001+COUNTIF($C$5:C54,2))</f>
        <v>1037</v>
      </c>
      <c r="B55">
        <v>1</v>
      </c>
      <c r="C55" s="121">
        <v>1</v>
      </c>
      <c r="D55" s="122" t="str">
        <f>IFERROR(_xlfn.IFNA(VLOOKUP(ROUND(F55,0),道具!$B$271:$C$295,2,FALSE),""),"")</f>
        <v/>
      </c>
      <c r="E55" s="122" t="str">
        <f>IFERROR(_xlfn.IFNA(VLOOKUP(ROUND(F55,0),道具!$B$296:$C$320,2,FALSE),""),"")</f>
        <v/>
      </c>
      <c r="F55" t="str">
        <f>IF(转换!B45&gt;0,转换!B45*100,"")</f>
        <v/>
      </c>
      <c r="G55">
        <v>1</v>
      </c>
      <c r="H55">
        <f>'体验表-带进度条'!R45</f>
        <v>20</v>
      </c>
      <c r="I55" s="113">
        <f>转换!I45</f>
        <v>1</v>
      </c>
      <c r="J55" s="113">
        <f>IF(I55=17,1,IF(I55=9,1,IF(转换!I45&gt;0,VLOOKUP(转换!H45,道具!B:C,2,FALSE),"")))</f>
        <v>1</v>
      </c>
      <c r="K55" s="114">
        <f>IF(转换!I45=17,ROUND(转换!J45*100/转换!$U$2,0),IF(转换!I45=9,F55,转换!J45))</f>
        <v>5000</v>
      </c>
      <c r="L55" s="115"/>
      <c r="M55" s="115"/>
      <c r="N55" s="115"/>
      <c r="O55" s="113"/>
      <c r="P55" s="113"/>
      <c r="Q55" s="113"/>
      <c r="R55" s="97"/>
      <c r="S55" s="97"/>
      <c r="T55" s="97"/>
    </row>
    <row r="56" customFormat="1" spans="1:20">
      <c r="A56">
        <f>IF(C56=1,1001+COUNTIF($C$5:C55,1),2001+COUNTIF($C$5:C55,2))</f>
        <v>1038</v>
      </c>
      <c r="B56">
        <v>1</v>
      </c>
      <c r="C56" s="121">
        <v>1</v>
      </c>
      <c r="D56" s="122" t="str">
        <f>IFERROR(_xlfn.IFNA(VLOOKUP(ROUND(F56,0),道具!$B$271:$C$295,2,FALSE),""),"")</f>
        <v/>
      </c>
      <c r="E56" s="122" t="str">
        <f>IFERROR(_xlfn.IFNA(VLOOKUP(ROUND(F56,0),道具!$B$296:$C$320,2,FALSE),""),"")</f>
        <v/>
      </c>
      <c r="F56" t="str">
        <f>IF(转换!B47&gt;0,转换!B47*100,"")</f>
        <v/>
      </c>
      <c r="G56">
        <v>3</v>
      </c>
      <c r="H56">
        <f>'体验表-带进度条'!R47</f>
        <v>0</v>
      </c>
      <c r="I56" s="113">
        <f>转换!I47</f>
        <v>3</v>
      </c>
      <c r="J56" s="113">
        <f>IF(I56=17,1,IF(I56=9,1,IF(转换!I47&gt;0,VLOOKUP(转换!H47,道具!B:C,2,FALSE),"")))</f>
        <v>160001</v>
      </c>
      <c r="K56" s="114">
        <f>IF(转换!I47=17,ROUND(转换!J47*100/转换!$U$2,0),IF(转换!I47=9,F56,转换!J47))</f>
        <v>1</v>
      </c>
      <c r="L56" s="115"/>
      <c r="M56" s="115"/>
      <c r="N56" s="115"/>
      <c r="O56" s="113"/>
      <c r="P56" s="113"/>
      <c r="Q56" s="113"/>
      <c r="R56" s="97"/>
      <c r="S56" s="97"/>
      <c r="T56" s="97"/>
    </row>
    <row r="57" customFormat="1" spans="1:20">
      <c r="A57">
        <f>IF(C57=1,1001+COUNTIF($C$5:C56,1),2001+COUNTIF($C$5:C56,2))</f>
        <v>1039</v>
      </c>
      <c r="B57">
        <v>1</v>
      </c>
      <c r="C57" s="121">
        <v>1</v>
      </c>
      <c r="D57" s="122" t="str">
        <f>IFERROR(_xlfn.IFNA(VLOOKUP(ROUND(F57,0),道具!$B$271:$C$295,2,FALSE),""),"")</f>
        <v/>
      </c>
      <c r="E57" s="122" t="str">
        <f>IFERROR(_xlfn.IFNA(VLOOKUP(ROUND(F57,0),道具!$B$296:$C$320,2,FALSE),""),"")</f>
        <v/>
      </c>
      <c r="F57" t="str">
        <f>IF(转换!B48&gt;0,转换!B48*100,"")</f>
        <v/>
      </c>
      <c r="G57">
        <v>4</v>
      </c>
      <c r="H57">
        <f>'体验表-带进度条'!R48</f>
        <v>0</v>
      </c>
      <c r="I57" s="113">
        <f>转换!I48</f>
        <v>17</v>
      </c>
      <c r="J57" s="113">
        <f>IF(I57=17,1,IF(I57=9,1,IF(转换!I48&gt;0,VLOOKUP(转换!H48,道具!B:C,2,FALSE),"")))</f>
        <v>1</v>
      </c>
      <c r="K57" s="114">
        <f>IF(转换!I48=17,ROUND(转换!J48*100/转换!$U$2,0),IF(转换!I48=9,F57,转换!J48))</f>
        <v>201</v>
      </c>
      <c r="L57" s="115"/>
      <c r="M57" s="115"/>
      <c r="N57" s="115"/>
      <c r="O57" s="113"/>
      <c r="P57" s="113"/>
      <c r="Q57" s="113"/>
      <c r="R57" s="97"/>
      <c r="S57" s="97"/>
      <c r="T57" s="97"/>
    </row>
    <row r="58" customFormat="1" spans="1:20">
      <c r="A58">
        <f>IF(C58=1,1001+COUNTIF($C$5:C57,1),2001+COUNTIF($C$5:C57,2))</f>
        <v>1040</v>
      </c>
      <c r="B58">
        <v>1</v>
      </c>
      <c r="C58" s="121">
        <v>1</v>
      </c>
      <c r="D58" s="122" t="str">
        <f>IFERROR(_xlfn.IFNA(VLOOKUP(ROUND(F58,0),道具!$B$271:$C$295,2,FALSE),""),"")</f>
        <v/>
      </c>
      <c r="E58" s="122" t="str">
        <f>IFERROR(_xlfn.IFNA(VLOOKUP(ROUND(F58,0),道具!$B$296:$C$320,2,FALSE),""),"")</f>
        <v/>
      </c>
      <c r="F58" t="str">
        <f>IF(转换!B49&gt;0,转换!B49*100,"")</f>
        <v/>
      </c>
      <c r="G58">
        <v>5</v>
      </c>
      <c r="H58">
        <f>'体验表-带进度条'!R49</f>
        <v>10</v>
      </c>
      <c r="I58" s="113">
        <f>转换!I49</f>
        <v>4</v>
      </c>
      <c r="J58" s="113">
        <f>IF(I58=17,1,IF(I58=9,1,IF(转换!I49&gt;0,VLOOKUP(转换!H49,道具!B:C,2,FALSE),"")))</f>
        <v>100002</v>
      </c>
      <c r="K58" s="114">
        <f>IF(转换!I49=17,ROUND(转换!J49*100/转换!$U$2,0),IF(转换!I49=9,F58,转换!J49))</f>
        <v>1</v>
      </c>
      <c r="L58" s="115"/>
      <c r="M58" s="115"/>
      <c r="N58" s="115"/>
      <c r="O58" s="113"/>
      <c r="P58" s="113"/>
      <c r="Q58" s="113"/>
      <c r="R58" s="97"/>
      <c r="S58" s="97"/>
      <c r="T58" s="97"/>
    </row>
    <row r="59" customFormat="1" spans="1:20">
      <c r="A59">
        <f>IF(C59=1,1001+COUNTIF($C$5:C58,1),2001+COUNTIF($C$5:C58,2))</f>
        <v>1041</v>
      </c>
      <c r="B59">
        <v>1</v>
      </c>
      <c r="C59" s="121">
        <v>1</v>
      </c>
      <c r="D59" s="122" t="str">
        <f>IFERROR(_xlfn.IFNA(VLOOKUP(ROUND(F59,0),道具!$B$271:$C$295,2,FALSE),""),"")</f>
        <v/>
      </c>
      <c r="E59" s="122" t="str">
        <f>IFERROR(_xlfn.IFNA(VLOOKUP(ROUND(F59,0),道具!$B$296:$C$320,2,FALSE),""),"")</f>
        <v/>
      </c>
      <c r="F59" t="str">
        <f>IF(转换!B50&gt;0,转换!B50*100,"")</f>
        <v/>
      </c>
      <c r="G59">
        <v>6</v>
      </c>
      <c r="H59">
        <f>'体验表-带进度条'!R50</f>
        <v>0</v>
      </c>
      <c r="I59" s="113">
        <f>转换!I50</f>
        <v>3</v>
      </c>
      <c r="J59" s="113">
        <f>IF(I59=17,1,IF(I59=9,1,IF(转换!I50&gt;0,VLOOKUP(转换!H50,道具!B:C,2,FALSE),"")))</f>
        <v>192001</v>
      </c>
      <c r="K59" s="114">
        <f>IF(转换!I50=17,ROUND(转换!J50*100/转换!$U$2,0),IF(转换!I50=9,F59,转换!J50))</f>
        <v>5</v>
      </c>
      <c r="L59" s="115"/>
      <c r="M59" s="115"/>
      <c r="N59" s="115"/>
      <c r="O59" s="113"/>
      <c r="P59" s="113"/>
      <c r="Q59" s="113"/>
      <c r="R59" s="97"/>
      <c r="S59" s="97"/>
      <c r="T59" s="97"/>
    </row>
    <row r="60" customFormat="1" spans="1:20">
      <c r="A60">
        <f>IF(C60=1,1001+COUNTIF($C$5:C59,1),2001+COUNTIF($C$5:C59,2))</f>
        <v>1042</v>
      </c>
      <c r="B60">
        <v>1</v>
      </c>
      <c r="C60" s="121">
        <v>1</v>
      </c>
      <c r="D60" s="122" t="str">
        <f>IFERROR(_xlfn.IFNA(VLOOKUP(ROUND(F60,0),道具!$B$271:$C$295,2,FALSE),""),"")</f>
        <v/>
      </c>
      <c r="E60" s="122" t="str">
        <f>IFERROR(_xlfn.IFNA(VLOOKUP(ROUND(F60,0),道具!$B$296:$C$320,2,FALSE),""),"")</f>
        <v/>
      </c>
      <c r="F60" t="str">
        <f>IF(转换!B51&gt;0,转换!B51*100,"")</f>
        <v/>
      </c>
      <c r="G60">
        <v>7</v>
      </c>
      <c r="H60">
        <f>'体验表-带进度条'!R51</f>
        <v>0</v>
      </c>
      <c r="I60" s="113">
        <f>转换!I51</f>
        <v>3</v>
      </c>
      <c r="J60" s="113">
        <f>IF(I60=17,1,IF(I60=9,1,IF(转换!I51&gt;0,VLOOKUP(转换!H51,道具!B:C,2,FALSE),"")))</f>
        <v>171001</v>
      </c>
      <c r="K60" s="114">
        <f>IF(转换!I51=17,ROUND(转换!J51*100/转换!$U$2,0),IF(转换!I51=9,F60,转换!J51))</f>
        <v>1</v>
      </c>
      <c r="L60" s="115"/>
      <c r="M60" s="115"/>
      <c r="N60" s="115"/>
      <c r="O60" s="113"/>
      <c r="P60" s="113"/>
      <c r="Q60" s="113"/>
      <c r="R60" s="97"/>
      <c r="S60" s="97"/>
      <c r="T60" s="97"/>
    </row>
    <row r="61" customFormat="1" spans="1:20">
      <c r="A61">
        <f>IF(C61=1,1001+COUNTIF($C$5:C60,1),2001+COUNTIF($C$5:C60,2))</f>
        <v>1043</v>
      </c>
      <c r="B61">
        <v>1</v>
      </c>
      <c r="C61" s="121">
        <v>1</v>
      </c>
      <c r="D61" s="122" t="str">
        <f>IFERROR(_xlfn.IFNA(VLOOKUP(ROUND(F61,0),道具!$B$271:$C$295,2,FALSE),""),"")</f>
        <v/>
      </c>
      <c r="E61" s="122" t="str">
        <f>IFERROR(_xlfn.IFNA(VLOOKUP(ROUND(F61,0),道具!$B$296:$C$320,2,FALSE),""),"")</f>
        <v/>
      </c>
      <c r="F61" t="str">
        <f>IF(转换!B53&gt;0,转换!B53*100,"")</f>
        <v/>
      </c>
      <c r="G61">
        <v>9</v>
      </c>
      <c r="H61">
        <f>'体验表-带进度条'!R53</f>
        <v>0</v>
      </c>
      <c r="I61" s="113">
        <f>转换!I53</f>
        <v>3</v>
      </c>
      <c r="J61" s="113">
        <f>IF(I61=17,1,IF(I61=9,1,IF(转换!I53&gt;0,VLOOKUP(转换!H53,道具!B:C,2,FALSE),"")))</f>
        <v>160001</v>
      </c>
      <c r="K61" s="114">
        <f>IF(转换!I53=17,ROUND(转换!J53*100/转换!$U$2,0),IF(转换!I53=9,F61,转换!J53))</f>
        <v>2</v>
      </c>
      <c r="L61" s="115"/>
      <c r="M61" s="115"/>
      <c r="N61" s="115"/>
      <c r="O61" s="113"/>
      <c r="P61" s="113"/>
      <c r="Q61" s="113"/>
      <c r="R61" s="97"/>
      <c r="S61" s="97"/>
      <c r="T61" s="97"/>
    </row>
    <row r="62" customFormat="1" spans="1:20">
      <c r="A62">
        <f>IF(C62=1,1001+COUNTIF($C$5:C61,1),2001+COUNTIF($C$5:C61,2))</f>
        <v>1044</v>
      </c>
      <c r="B62">
        <v>1</v>
      </c>
      <c r="C62" s="121">
        <v>1</v>
      </c>
      <c r="D62" s="122" t="str">
        <f>IFERROR(_xlfn.IFNA(VLOOKUP(ROUND(F62,0),道具!$B$271:$C$295,2,FALSE),""),"")</f>
        <v/>
      </c>
      <c r="E62" s="122" t="str">
        <f>IFERROR(_xlfn.IFNA(VLOOKUP(ROUND(F62,0),道具!$B$296:$C$320,2,FALSE),""),"")</f>
        <v/>
      </c>
      <c r="F62" t="str">
        <f>IF(转换!B54&gt;0,转换!B54*100,"")</f>
        <v/>
      </c>
      <c r="G62">
        <v>10</v>
      </c>
      <c r="H62">
        <f>'体验表-带进度条'!R54</f>
        <v>0</v>
      </c>
      <c r="I62" s="113">
        <f>转换!I54</f>
        <v>17</v>
      </c>
      <c r="J62" s="113">
        <f>IF(I62=17,1,IF(I62=9,1,IF(转换!I54&gt;0,VLOOKUP(转换!H54,道具!B:C,2,FALSE),"")))</f>
        <v>1</v>
      </c>
      <c r="K62" s="114">
        <f>IF(转换!I54=17,ROUND(转换!J54*100/转换!$U$2,0),IF(转换!I54=9,F62,转换!J54))</f>
        <v>40</v>
      </c>
      <c r="L62" s="115"/>
      <c r="M62" s="115"/>
      <c r="N62" s="115"/>
      <c r="O62" s="113"/>
      <c r="P62" s="113"/>
      <c r="Q62" s="113"/>
      <c r="R62" s="97"/>
      <c r="S62" s="97"/>
      <c r="T62" s="97"/>
    </row>
    <row r="63" customFormat="1" spans="1:20">
      <c r="A63">
        <f>IF(C63=1,1001+COUNTIF($C$5:C62,1),2001+COUNTIF($C$5:C62,2))</f>
        <v>1045</v>
      </c>
      <c r="B63">
        <v>1</v>
      </c>
      <c r="C63" s="121">
        <v>1</v>
      </c>
      <c r="D63" s="122" t="str">
        <f>IFERROR(_xlfn.IFNA(VLOOKUP(ROUND(F63,0),道具!$B$271:$C$295,2,FALSE),""),"")</f>
        <v/>
      </c>
      <c r="E63" s="122" t="str">
        <f>IFERROR(_xlfn.IFNA(VLOOKUP(ROUND(F63,0),道具!$B$296:$C$320,2,FALSE),""),"")</f>
        <v/>
      </c>
      <c r="F63" t="str">
        <f>IF(转换!B55&gt;0,转换!B55*100,"")</f>
        <v/>
      </c>
      <c r="G63">
        <v>11</v>
      </c>
      <c r="H63">
        <f>'体验表-带进度条'!R55</f>
        <v>0</v>
      </c>
      <c r="I63" s="113">
        <f>转换!I55</f>
        <v>4</v>
      </c>
      <c r="J63" s="113">
        <f>IF(I63=17,1,IF(I63=9,1,IF(转换!I55&gt;0,VLOOKUP(转换!H55,道具!B:C,2,FALSE),"")))</f>
        <v>100003</v>
      </c>
      <c r="K63" s="114">
        <f>IF(转换!I55=17,ROUND(转换!J55*100/转换!$U$2,0),IF(转换!I55=9,F63,转换!J55))</f>
        <v>1</v>
      </c>
      <c r="L63" s="115"/>
      <c r="M63" s="115"/>
      <c r="N63" s="115"/>
      <c r="O63" s="113"/>
      <c r="P63" s="113"/>
      <c r="Q63" s="113"/>
      <c r="R63" s="97"/>
      <c r="S63" s="97"/>
      <c r="T63" s="97"/>
    </row>
    <row r="64" customFormat="1" spans="1:20">
      <c r="A64">
        <f>IF(C64=1,1001+COUNTIF($C$5:C63,1),2001+COUNTIF($C$5:C63,2))</f>
        <v>1046</v>
      </c>
      <c r="B64">
        <v>1</v>
      </c>
      <c r="C64" s="121">
        <v>1</v>
      </c>
      <c r="D64" s="122" t="str">
        <f>IFERROR(_xlfn.IFNA(VLOOKUP(ROUND(F64,0),道具!$B$271:$C$295,2,FALSE),""),"")</f>
        <v/>
      </c>
      <c r="E64" s="122" t="str">
        <f>IFERROR(_xlfn.IFNA(VLOOKUP(ROUND(F64,0),道具!$B$296:$C$320,2,FALSE),""),"")</f>
        <v/>
      </c>
      <c r="F64" t="str">
        <f>IF(转换!B56&gt;0,转换!B56*100,"")</f>
        <v/>
      </c>
      <c r="G64">
        <v>12</v>
      </c>
      <c r="H64">
        <f>'体验表-带进度条'!R56</f>
        <v>0</v>
      </c>
      <c r="I64" s="113">
        <f>转换!I56</f>
        <v>3</v>
      </c>
      <c r="J64" s="113">
        <f>IF(I64=17,1,IF(I64=9,1,IF(转换!I56&gt;0,VLOOKUP(转换!H56,道具!B:C,2,FALSE),"")))</f>
        <v>192001</v>
      </c>
      <c r="K64" s="114">
        <f>IF(转换!I56=17,ROUND(转换!J56*100/转换!$U$2,0),IF(转换!I56=9,F64,转换!J56))</f>
        <v>10</v>
      </c>
      <c r="L64" s="115"/>
      <c r="M64" s="115"/>
      <c r="N64" s="115"/>
      <c r="O64" s="113"/>
      <c r="P64" s="113"/>
      <c r="Q64" s="113"/>
      <c r="R64" s="97"/>
      <c r="S64" s="97"/>
      <c r="T64" s="97"/>
    </row>
    <row r="65" customFormat="1" spans="1:20">
      <c r="A65">
        <f>IF(C65=1,1001+COUNTIF($C$5:C64,1),2001+COUNTIF($C$5:C64,2))</f>
        <v>1047</v>
      </c>
      <c r="B65">
        <v>1</v>
      </c>
      <c r="C65" s="121">
        <v>1</v>
      </c>
      <c r="D65" s="122" t="str">
        <f>IFERROR(_xlfn.IFNA(VLOOKUP(ROUND(F65,0),道具!$B$271:$C$295,2,FALSE),""),"")</f>
        <v/>
      </c>
      <c r="E65" s="122" t="str">
        <f>IFERROR(_xlfn.IFNA(VLOOKUP(ROUND(F65,0),道具!$B$296:$C$320,2,FALSE),""),"")</f>
        <v/>
      </c>
      <c r="F65" t="str">
        <f>IF(转换!B57&gt;0,转换!B57*100,"")</f>
        <v/>
      </c>
      <c r="G65">
        <v>13</v>
      </c>
      <c r="H65">
        <f>'体验表-带进度条'!R57</f>
        <v>0</v>
      </c>
      <c r="I65" s="113">
        <f>转换!I57</f>
        <v>3</v>
      </c>
      <c r="J65" s="113">
        <f>IF(I65=17,1,IF(I65=9,1,IF(转换!I57&gt;0,VLOOKUP(转换!H57,道具!B:C,2,FALSE),"")))</f>
        <v>171002</v>
      </c>
      <c r="K65" s="114">
        <f>IF(转换!I57=17,ROUND(转换!J57*100/转换!$U$2,0),IF(转换!I57=9,F65,转换!J57))</f>
        <v>1</v>
      </c>
      <c r="L65" s="115"/>
      <c r="M65" s="115"/>
      <c r="N65" s="115"/>
      <c r="O65" s="113"/>
      <c r="P65" s="113"/>
      <c r="Q65" s="113"/>
      <c r="R65" s="97"/>
      <c r="S65" s="97"/>
      <c r="T65" s="97"/>
    </row>
    <row r="66" customFormat="1" spans="1:20">
      <c r="A66">
        <f>IF(C66=1,1001+COUNTIF($C$5:C65,1),2001+COUNTIF($C$5:C65,2))</f>
        <v>1048</v>
      </c>
      <c r="B66">
        <v>1</v>
      </c>
      <c r="C66" s="121">
        <v>1</v>
      </c>
      <c r="D66" s="122" t="str">
        <f>IFERROR(_xlfn.IFNA(VLOOKUP(ROUND(F66,0),道具!$B$271:$C$295,2,FALSE),""),"")</f>
        <v/>
      </c>
      <c r="E66" s="122" t="str">
        <f>IFERROR(_xlfn.IFNA(VLOOKUP(ROUND(F66,0),道具!$B$296:$C$320,2,FALSE),""),"")</f>
        <v/>
      </c>
      <c r="F66" t="str">
        <f>IF(转换!B59&gt;0,转换!B59*100,"")</f>
        <v/>
      </c>
      <c r="G66">
        <v>15</v>
      </c>
      <c r="H66">
        <f>'体验表-带进度条'!R59</f>
        <v>0</v>
      </c>
      <c r="I66" s="113">
        <f>转换!I59</f>
        <v>3</v>
      </c>
      <c r="J66" s="113">
        <f>IF(I66=17,1,IF(I66=9,1,IF(转换!I59&gt;0,VLOOKUP(转换!H59,道具!B:C,2,FALSE),"")))</f>
        <v>160001</v>
      </c>
      <c r="K66" s="114">
        <f>IF(转换!I59=17,ROUND(转换!J59*100/转换!$U$2,0),IF(转换!I59=9,F66,转换!J59))</f>
        <v>3</v>
      </c>
      <c r="L66" s="115"/>
      <c r="M66" s="115"/>
      <c r="N66" s="115"/>
      <c r="O66" s="113"/>
      <c r="P66" s="113"/>
      <c r="Q66" s="113"/>
      <c r="R66" s="97"/>
      <c r="S66" s="97"/>
      <c r="T66" s="97"/>
    </row>
    <row r="67" customFormat="1" spans="1:20">
      <c r="A67">
        <f>IF(C67=1,1001+COUNTIF($C$5:C66,1),2001+COUNTIF($C$5:C66,2))</f>
        <v>1049</v>
      </c>
      <c r="B67">
        <v>1</v>
      </c>
      <c r="C67" s="121">
        <v>1</v>
      </c>
      <c r="D67" s="122" t="str">
        <f>IFERROR(_xlfn.IFNA(VLOOKUP(ROUND(F67,0),道具!$B$271:$C$295,2,FALSE),""),"")</f>
        <v/>
      </c>
      <c r="E67" s="122" t="str">
        <f>IFERROR(_xlfn.IFNA(VLOOKUP(ROUND(F67,0),道具!$B$296:$C$320,2,FALSE),""),"")</f>
        <v/>
      </c>
      <c r="F67" t="str">
        <f>IF(转换!B60&gt;0,转换!B60*100,"")</f>
        <v/>
      </c>
      <c r="G67">
        <v>16</v>
      </c>
      <c r="H67">
        <f>'体验表-带进度条'!R60</f>
        <v>0</v>
      </c>
      <c r="I67" s="113">
        <f>转换!I60</f>
        <v>17</v>
      </c>
      <c r="J67" s="113">
        <f>IF(I67=17,1,IF(I67=9,1,IF(转换!I60&gt;0,VLOOKUP(转换!H60,道具!B:C,2,FALSE),"")))</f>
        <v>1</v>
      </c>
      <c r="K67" s="114">
        <f>IF(转换!I60=17,ROUND(转换!J60*100/转换!$U$2,0),IF(转换!I60=9,F67,转换!J60))</f>
        <v>201</v>
      </c>
      <c r="L67" s="115"/>
      <c r="M67" s="115"/>
      <c r="N67" s="115"/>
      <c r="O67" s="113"/>
      <c r="P67" s="113"/>
      <c r="Q67" s="113"/>
      <c r="R67" s="97"/>
      <c r="S67" s="97"/>
      <c r="T67" s="97"/>
    </row>
    <row r="68" customFormat="1" spans="1:20">
      <c r="A68">
        <f>IF(C68=1,1001+COUNTIF($C$5:C67,1),2001+COUNTIF($C$5:C67,2))</f>
        <v>1050</v>
      </c>
      <c r="B68">
        <v>1</v>
      </c>
      <c r="C68" s="121">
        <v>1</v>
      </c>
      <c r="D68" s="122" t="str">
        <f>IFERROR(_xlfn.IFNA(VLOOKUP(ROUND(F68,0),道具!$B$271:$C$295,2,FALSE),""),"")</f>
        <v/>
      </c>
      <c r="E68" s="122" t="str">
        <f>IFERROR(_xlfn.IFNA(VLOOKUP(ROUND(F68,0),道具!$B$296:$C$320,2,FALSE),""),"")</f>
        <v/>
      </c>
      <c r="F68" t="str">
        <f>IF(转换!B61&gt;0,转换!B61*100,"")</f>
        <v/>
      </c>
      <c r="G68">
        <v>17</v>
      </c>
      <c r="H68">
        <f>'体验表-带进度条'!R61</f>
        <v>25</v>
      </c>
      <c r="I68" s="113">
        <f>转换!I61</f>
        <v>4</v>
      </c>
      <c r="J68" s="113">
        <f>IF(I68=17,1,IF(I68=9,1,IF(转换!I61&gt;0,VLOOKUP(转换!H61,道具!B:C,2,FALSE),"")))</f>
        <v>100004</v>
      </c>
      <c r="K68" s="114">
        <f>IF(转换!I61=17,ROUND(转换!J61*100/转换!$U$2,0),IF(转换!I61=9,F68,转换!J61))</f>
        <v>1</v>
      </c>
      <c r="L68" s="115"/>
      <c r="M68" s="115"/>
      <c r="N68" s="115"/>
      <c r="O68" s="113"/>
      <c r="P68" s="113"/>
      <c r="Q68" s="113"/>
      <c r="R68" s="97"/>
      <c r="S68" s="97"/>
      <c r="T68" s="97"/>
    </row>
    <row r="69" customFormat="1" spans="1:20">
      <c r="A69">
        <f>IF(C69=1,1001+COUNTIF($C$5:C68,1),2001+COUNTIF($C$5:C68,2))</f>
        <v>1051</v>
      </c>
      <c r="B69">
        <v>1</v>
      </c>
      <c r="C69" s="121">
        <v>1</v>
      </c>
      <c r="D69" s="122" t="str">
        <f>IFERROR(_xlfn.IFNA(VLOOKUP(ROUND(F69,0),道具!$B$271:$C$295,2,FALSE),""),"")</f>
        <v/>
      </c>
      <c r="E69" s="122" t="str">
        <f>IFERROR(_xlfn.IFNA(VLOOKUP(ROUND(F69,0),道具!$B$296:$C$320,2,FALSE),""),"")</f>
        <v/>
      </c>
      <c r="F69" t="str">
        <f>IF(转换!B62&gt;0,转换!B62*100,"")</f>
        <v/>
      </c>
      <c r="G69">
        <v>18</v>
      </c>
      <c r="H69">
        <f>'体验表-带进度条'!R62</f>
        <v>0</v>
      </c>
      <c r="I69" s="113">
        <f>转换!I62</f>
        <v>3</v>
      </c>
      <c r="J69" s="113">
        <f>IF(I69=17,1,IF(I69=9,1,IF(转换!I62&gt;0,VLOOKUP(转换!H62,道具!B:C,2,FALSE),"")))</f>
        <v>192001</v>
      </c>
      <c r="K69" s="114">
        <f>IF(转换!I62=17,ROUND(转换!J62*100/转换!$U$2,0),IF(转换!I62=9,F69,转换!J62))</f>
        <v>15</v>
      </c>
      <c r="L69" s="115"/>
      <c r="M69" s="115"/>
      <c r="N69" s="115"/>
      <c r="O69" s="113"/>
      <c r="P69" s="113"/>
      <c r="Q69" s="113"/>
      <c r="R69" s="97"/>
      <c r="S69" s="97"/>
      <c r="T69" s="97"/>
    </row>
    <row r="70" customFormat="1" ht="18" customHeight="1" spans="1:20">
      <c r="A70">
        <f>IF(C70=1,1001+COUNTIF($C$5:C69,1),2001+COUNTIF($C$5:C69,2))</f>
        <v>1052</v>
      </c>
      <c r="B70">
        <v>1</v>
      </c>
      <c r="C70" s="121">
        <v>1</v>
      </c>
      <c r="D70" s="122" t="str">
        <f>IFERROR(_xlfn.IFNA(VLOOKUP(ROUND(F70,0),道具!$B$271:$C$295,2,FALSE),""),"")</f>
        <v/>
      </c>
      <c r="E70" s="122" t="str">
        <f>IFERROR(_xlfn.IFNA(VLOOKUP(ROUND(F70,0),道具!$B$296:$C$320,2,FALSE),""),"")</f>
        <v/>
      </c>
      <c r="F70" t="str">
        <f>IF(转换!B63&gt;0,转换!B63*100,"")</f>
        <v/>
      </c>
      <c r="G70">
        <v>19</v>
      </c>
      <c r="H70">
        <f>'体验表-带进度条'!R63</f>
        <v>0</v>
      </c>
      <c r="I70" s="113">
        <f>转换!I63</f>
        <v>3</v>
      </c>
      <c r="J70" s="113">
        <f>IF(I70=17,1,IF(I70=9,1,IF(转换!I63&gt;0,VLOOKUP(转换!H63,道具!B:C,2,FALSE),"")))</f>
        <v>171001</v>
      </c>
      <c r="K70" s="114">
        <f>IF(转换!I63=17,ROUND(转换!J63*100/转换!$U$2,0),IF(转换!I63=9,F70,转换!J63))</f>
        <v>1</v>
      </c>
      <c r="L70" s="115"/>
      <c r="M70" s="115"/>
      <c r="N70" s="115"/>
      <c r="O70" s="113"/>
      <c r="P70" s="113"/>
      <c r="Q70" s="113"/>
      <c r="R70" s="97"/>
      <c r="S70" s="97"/>
      <c r="T70" s="97"/>
    </row>
    <row r="71" customFormat="1" spans="1:20">
      <c r="A71">
        <f>IF(C71=1,1001+COUNTIF($C$5:C70,1),2001+COUNTIF($C$5:C70,2))</f>
        <v>1053</v>
      </c>
      <c r="B71">
        <v>1</v>
      </c>
      <c r="C71" s="121">
        <v>1</v>
      </c>
      <c r="D71" s="122" t="str">
        <f>IFERROR(_xlfn.IFNA(VLOOKUP(ROUND(F71,0),道具!$B$271:$C$295,2,FALSE),""),"")</f>
        <v/>
      </c>
      <c r="E71" s="122" t="str">
        <f>IFERROR(_xlfn.IFNA(VLOOKUP(ROUND(F71,0),道具!$B$296:$C$320,2,FALSE),""),"")</f>
        <v/>
      </c>
      <c r="F71" t="str">
        <f>IF(转换!B65&gt;0,转换!B65*100,"")</f>
        <v/>
      </c>
      <c r="G71">
        <v>21</v>
      </c>
      <c r="H71">
        <f>'体验表-带进度条'!R65</f>
        <v>0</v>
      </c>
      <c r="I71" s="113">
        <f>转换!I65</f>
        <v>3</v>
      </c>
      <c r="J71" s="113">
        <f>IF(I71=17,1,IF(I71=9,1,IF(转换!I65&gt;0,VLOOKUP(转换!H65,道具!B:C,2,FALSE),"")))</f>
        <v>160001</v>
      </c>
      <c r="K71" s="114">
        <f>IF(转换!I65=17,ROUND(转换!J65*100/转换!$U$2,0),IF(转换!I65=9,F71,转换!J65))</f>
        <v>4</v>
      </c>
      <c r="L71" s="115"/>
      <c r="M71" s="115"/>
      <c r="N71" s="115"/>
      <c r="O71" s="113"/>
      <c r="P71" s="113"/>
      <c r="Q71" s="113"/>
      <c r="R71" s="97"/>
      <c r="S71" s="97"/>
      <c r="T71" s="97"/>
    </row>
    <row r="72" customFormat="1" spans="1:20">
      <c r="A72">
        <f>IF(C72=1,1001+COUNTIF($C$5:C71,1),2001+COUNTIF($C$5:C71,2))</f>
        <v>1054</v>
      </c>
      <c r="B72">
        <v>1</v>
      </c>
      <c r="C72" s="121">
        <v>1</v>
      </c>
      <c r="D72" s="122" t="str">
        <f>IFERROR(_xlfn.IFNA(VLOOKUP(ROUND(F72,0),道具!$B$271:$C$295,2,FALSE),""),"")</f>
        <v/>
      </c>
      <c r="E72" s="122" t="str">
        <f>IFERROR(_xlfn.IFNA(VLOOKUP(ROUND(F72,0),道具!$B$296:$C$320,2,FALSE),""),"")</f>
        <v/>
      </c>
      <c r="F72" t="str">
        <f>IF(转换!B66&gt;0,转换!B66*100,"")</f>
        <v/>
      </c>
      <c r="G72">
        <v>22</v>
      </c>
      <c r="H72">
        <f>'体验表-带进度条'!R66</f>
        <v>0</v>
      </c>
      <c r="I72" s="113">
        <f>转换!I66</f>
        <v>17</v>
      </c>
      <c r="J72" s="113">
        <f>IF(I72=17,1,IF(I72=9,1,IF(转换!I66&gt;0,VLOOKUP(转换!H66,道具!B:C,2,FALSE),"")))</f>
        <v>1</v>
      </c>
      <c r="K72" s="114">
        <f>IF(转换!I66=17,ROUND(转换!J66*100/转换!$U$2,0),IF(转换!I66=9,F72,转换!J66))</f>
        <v>161</v>
      </c>
      <c r="L72" s="115"/>
      <c r="M72" s="115"/>
      <c r="N72" s="115"/>
      <c r="O72" s="113"/>
      <c r="P72" s="113"/>
      <c r="Q72" s="113"/>
      <c r="R72" s="97"/>
      <c r="S72" s="97"/>
      <c r="T72" s="97"/>
    </row>
    <row r="73" customFormat="1" spans="1:20">
      <c r="A73">
        <f>IF(C73=1,1001+COUNTIF($C$5:C72,1),2001+COUNTIF($C$5:C72,2))</f>
        <v>1055</v>
      </c>
      <c r="B73">
        <v>1</v>
      </c>
      <c r="C73" s="121">
        <v>1</v>
      </c>
      <c r="D73" s="122" t="str">
        <f>IFERROR(_xlfn.IFNA(VLOOKUP(ROUND(F73,0),道具!$B$271:$C$295,2,FALSE),""),"")</f>
        <v/>
      </c>
      <c r="E73" s="122" t="str">
        <f>IFERROR(_xlfn.IFNA(VLOOKUP(ROUND(F73,0),道具!$B$296:$C$320,2,FALSE),""),"")</f>
        <v/>
      </c>
      <c r="F73" t="str">
        <f>IF(转换!B67&gt;0,转换!B67*100,"")</f>
        <v/>
      </c>
      <c r="G73">
        <v>23</v>
      </c>
      <c r="H73">
        <f>'体验表-带进度条'!R67</f>
        <v>15</v>
      </c>
      <c r="I73" s="113">
        <f>转换!I67</f>
        <v>4</v>
      </c>
      <c r="J73" s="113">
        <f>IF(I73=17,1,IF(I73=9,1,IF(转换!I67&gt;0,VLOOKUP(转换!H67,道具!B:C,2,FALSE),"")))</f>
        <v>100004</v>
      </c>
      <c r="K73" s="114">
        <f>IF(转换!I67=17,ROUND(转换!J67*100/转换!$U$2,0),IF(转换!I67=9,F73,转换!J67))</f>
        <v>1</v>
      </c>
      <c r="L73" s="115"/>
      <c r="M73" s="115"/>
      <c r="N73" s="115"/>
      <c r="O73" s="113"/>
      <c r="P73" s="113"/>
      <c r="Q73" s="113"/>
      <c r="R73" s="97"/>
      <c r="S73" s="97"/>
      <c r="T73" s="97"/>
    </row>
    <row r="74" customFormat="1" spans="1:20">
      <c r="A74">
        <f>IF(C74=1,1001+COUNTIF($C$5:C73,1),2001+COUNTIF($C$5:C73,2))</f>
        <v>1056</v>
      </c>
      <c r="B74">
        <v>1</v>
      </c>
      <c r="C74" s="121">
        <v>1</v>
      </c>
      <c r="D74" s="122" t="str">
        <f>IFERROR(_xlfn.IFNA(VLOOKUP(ROUND(F74,0),道具!$B$271:$C$295,2,FALSE),""),"")</f>
        <v/>
      </c>
      <c r="E74" s="122" t="str">
        <f>IFERROR(_xlfn.IFNA(VLOOKUP(ROUND(F74,0),道具!$B$296:$C$320,2,FALSE),""),"")</f>
        <v/>
      </c>
      <c r="F74" t="str">
        <f>IF(转换!B68&gt;0,转换!B68*100,"")</f>
        <v/>
      </c>
      <c r="G74">
        <v>24</v>
      </c>
      <c r="H74">
        <f>'体验表-带进度条'!R68</f>
        <v>0</v>
      </c>
      <c r="I74" s="113">
        <f>转换!I68</f>
        <v>3</v>
      </c>
      <c r="J74" s="113">
        <f>IF(I74=17,1,IF(I74=9,1,IF(转换!I68&gt;0,VLOOKUP(转换!H68,道具!B:C,2,FALSE),"")))</f>
        <v>192001</v>
      </c>
      <c r="K74" s="114">
        <f>IF(转换!I68=17,ROUND(转换!J68*100/转换!$U$2,0),IF(转换!I68=9,F74,转换!J68))</f>
        <v>20</v>
      </c>
      <c r="L74" s="115"/>
      <c r="M74" s="115"/>
      <c r="N74" s="115"/>
      <c r="O74" s="113"/>
      <c r="P74" s="113"/>
      <c r="Q74" s="113"/>
      <c r="R74" s="97"/>
      <c r="S74" s="97"/>
      <c r="T74" s="97"/>
    </row>
    <row r="75" customFormat="1" spans="1:20">
      <c r="A75">
        <f>IF(C75=1,1001+COUNTIF($C$5:C74,1),2001+COUNTIF($C$5:C74,2))</f>
        <v>1057</v>
      </c>
      <c r="B75">
        <v>1</v>
      </c>
      <c r="C75" s="121">
        <v>1</v>
      </c>
      <c r="D75" s="122" t="str">
        <f>IFERROR(_xlfn.IFNA(VLOOKUP(ROUND(F75,0),道具!$B$271:$C$295,2,FALSE),""),"")</f>
        <v/>
      </c>
      <c r="E75" s="122" t="str">
        <f>IFERROR(_xlfn.IFNA(VLOOKUP(ROUND(F75,0),道具!$B$296:$C$320,2,FALSE),""),"")</f>
        <v/>
      </c>
      <c r="F75" t="str">
        <f>IF(转换!B69&gt;0,转换!B69*100,"")</f>
        <v/>
      </c>
      <c r="G75">
        <v>25</v>
      </c>
      <c r="H75">
        <f>'体验表-带进度条'!R69</f>
        <v>0</v>
      </c>
      <c r="I75" s="113">
        <f>转换!I69</f>
        <v>3</v>
      </c>
      <c r="J75" s="113">
        <f>IF(I75=17,1,IF(I75=9,1,IF(转换!I69&gt;0,VLOOKUP(转换!H69,道具!B:C,2,FALSE),"")))</f>
        <v>171002</v>
      </c>
      <c r="K75" s="114">
        <f>IF(转换!I69=17,ROUND(转换!J69*100/转换!$U$2,0),IF(转换!I69=9,F75,转换!J69))</f>
        <v>1</v>
      </c>
      <c r="L75" s="115"/>
      <c r="M75" s="115"/>
      <c r="N75" s="115"/>
      <c r="O75" s="113"/>
      <c r="P75" s="113"/>
      <c r="Q75" s="113"/>
      <c r="R75" s="97"/>
      <c r="S75" s="97"/>
      <c r="T75" s="97"/>
    </row>
    <row r="76" customFormat="1" spans="1:20">
      <c r="A76">
        <f>IF(C76=1,1001+COUNTIF($C$5:C75,1),2001+COUNTIF($C$5:C75,2))</f>
        <v>1058</v>
      </c>
      <c r="B76">
        <v>1</v>
      </c>
      <c r="C76" s="121">
        <v>1</v>
      </c>
      <c r="D76" s="122" t="str">
        <f>IFERROR(_xlfn.IFNA(VLOOKUP(ROUND(F76,0),道具!$B$271:$C$295,2,FALSE),""),"")</f>
        <v/>
      </c>
      <c r="E76" s="122" t="str">
        <f>IFERROR(_xlfn.IFNA(VLOOKUP(ROUND(F76,0),道具!$B$296:$C$320,2,FALSE),""),"")</f>
        <v/>
      </c>
      <c r="F76" t="str">
        <f>IF(转换!B71&gt;0,转换!B71*100,"")</f>
        <v/>
      </c>
      <c r="G76">
        <v>27</v>
      </c>
      <c r="H76">
        <f>'体验表-带进度条'!R71</f>
        <v>0</v>
      </c>
      <c r="I76" s="113">
        <f>转换!I71</f>
        <v>3</v>
      </c>
      <c r="J76" s="113">
        <f>IF(I76=17,1,IF(I76=9,1,IF(转换!I71&gt;0,VLOOKUP(转换!H71,道具!B:C,2,FALSE),"")))</f>
        <v>160001</v>
      </c>
      <c r="K76" s="114">
        <f>IF(转换!I71=17,ROUND(转换!J71*100/转换!$U$2,0),IF(转换!I71=9,F76,转换!J71))</f>
        <v>5</v>
      </c>
      <c r="L76" s="115"/>
      <c r="M76" s="115"/>
      <c r="N76" s="115"/>
      <c r="O76" s="113"/>
      <c r="P76" s="113"/>
      <c r="Q76" s="113"/>
      <c r="R76" s="97"/>
      <c r="S76" s="97"/>
      <c r="T76" s="97"/>
    </row>
    <row r="77" customFormat="1" spans="1:20">
      <c r="A77">
        <f>IF(C77=1,1001+COUNTIF($C$5:C76,1),2001+COUNTIF($C$5:C76,2))</f>
        <v>1059</v>
      </c>
      <c r="B77">
        <v>1</v>
      </c>
      <c r="C77" s="121">
        <v>1</v>
      </c>
      <c r="D77" s="122" t="str">
        <f>IFERROR(_xlfn.IFNA(VLOOKUP(ROUND(F77,0),道具!$B$271:$C$295,2,FALSE),""),"")</f>
        <v/>
      </c>
      <c r="E77" s="122" t="str">
        <f>IFERROR(_xlfn.IFNA(VLOOKUP(ROUND(F77,0),道具!$B$296:$C$320,2,FALSE),""),"")</f>
        <v/>
      </c>
      <c r="F77" t="str">
        <f>IF(转换!B72&gt;0,转换!B72*100,"")</f>
        <v/>
      </c>
      <c r="G77">
        <v>28</v>
      </c>
      <c r="H77">
        <f>'体验表-带进度条'!R72</f>
        <v>0</v>
      </c>
      <c r="I77" s="113">
        <f>转换!I72</f>
        <v>17</v>
      </c>
      <c r="J77" s="113">
        <f>IF(I77=17,1,IF(I77=9,1,IF(转换!I72&gt;0,VLOOKUP(转换!H72,道具!B:C,2,FALSE),"")))</f>
        <v>1</v>
      </c>
      <c r="K77" s="114">
        <f>IF(转换!I72=17,ROUND(转换!J72*100/转换!$U$2,0),IF(转换!I72=9,F77,转换!J72))</f>
        <v>100</v>
      </c>
      <c r="L77" s="115"/>
      <c r="M77" s="115"/>
      <c r="N77" s="115"/>
      <c r="O77" s="113"/>
      <c r="P77" s="113"/>
      <c r="Q77" s="113"/>
      <c r="R77" s="97"/>
      <c r="S77" s="97"/>
      <c r="T77" s="97"/>
    </row>
    <row r="78" customFormat="1" spans="1:20">
      <c r="A78">
        <f>IF(C78=1,1001+COUNTIF($C$5:C77,1),2001+COUNTIF($C$5:C77,2))</f>
        <v>1060</v>
      </c>
      <c r="B78">
        <v>1</v>
      </c>
      <c r="C78" s="121">
        <v>1</v>
      </c>
      <c r="D78" s="122" t="str">
        <f>IFERROR(_xlfn.IFNA(VLOOKUP(ROUND(F78,0),道具!$B$271:$C$295,2,FALSE),""),"")</f>
        <v/>
      </c>
      <c r="E78" s="122" t="str">
        <f>IFERROR(_xlfn.IFNA(VLOOKUP(ROUND(F78,0),道具!$B$296:$C$320,2,FALSE),""),"")</f>
        <v/>
      </c>
      <c r="F78" t="str">
        <f>IF(转换!B73&gt;0,转换!B73*100,"")</f>
        <v/>
      </c>
      <c r="G78">
        <v>29</v>
      </c>
      <c r="H78">
        <f>'体验表-带进度条'!R73</f>
        <v>25</v>
      </c>
      <c r="I78" s="113">
        <f>转换!I73</f>
        <v>4</v>
      </c>
      <c r="J78" s="113">
        <f>IF(I78=17,1,IF(I78=9,1,IF(转换!I73&gt;0,VLOOKUP(转换!H73,道具!B:C,2,FALSE),"")))</f>
        <v>100005</v>
      </c>
      <c r="K78" s="114">
        <f>IF(转换!I73=17,ROUND(转换!J73*100/转换!$U$2,0),IF(转换!I73=9,F78,转换!J73))</f>
        <v>1</v>
      </c>
      <c r="L78" s="115"/>
      <c r="M78" s="115"/>
      <c r="N78" s="115"/>
      <c r="O78" s="113"/>
      <c r="P78" s="113"/>
      <c r="Q78" s="113"/>
      <c r="R78" s="97"/>
      <c r="S78" s="97"/>
      <c r="T78" s="97"/>
    </row>
    <row r="79" customFormat="1" spans="1:20">
      <c r="A79">
        <f>IF(C79=1,1001+COUNTIF($C$5:C78,1),2001+COUNTIF($C$5:C78,2))</f>
        <v>1061</v>
      </c>
      <c r="B79">
        <v>1</v>
      </c>
      <c r="C79" s="121">
        <v>1</v>
      </c>
      <c r="D79" s="122" t="str">
        <f>IFERROR(_xlfn.IFNA(VLOOKUP(ROUND(F79,0),道具!$B$271:$C$295,2,FALSE),""),"")</f>
        <v/>
      </c>
      <c r="E79" s="122" t="str">
        <f>IFERROR(_xlfn.IFNA(VLOOKUP(ROUND(F79,0),道具!$B$296:$C$320,2,FALSE),""),"")</f>
        <v/>
      </c>
      <c r="F79" t="str">
        <f>IF(转换!B74&gt;0,转换!B74*100,"")</f>
        <v/>
      </c>
      <c r="G79">
        <v>30</v>
      </c>
      <c r="H79">
        <f>'体验表-带进度条'!R74</f>
        <v>0</v>
      </c>
      <c r="I79" s="113">
        <f>转换!I74</f>
        <v>3</v>
      </c>
      <c r="J79" s="113">
        <f>IF(I79=17,1,IF(I79=9,1,IF(转换!I74&gt;0,VLOOKUP(转换!H74,道具!B:C,2,FALSE),"")))</f>
        <v>192001</v>
      </c>
      <c r="K79" s="114">
        <f>IF(转换!I74=17,ROUND(转换!J74*100/转换!$U$2,0),IF(转换!I74=9,F79,转换!J74))</f>
        <v>25</v>
      </c>
      <c r="L79" s="115"/>
      <c r="M79" s="115"/>
      <c r="N79" s="115"/>
      <c r="O79" s="113"/>
      <c r="P79" s="113"/>
      <c r="Q79" s="113"/>
      <c r="R79" s="97"/>
      <c r="S79" s="97"/>
      <c r="T79" s="97"/>
    </row>
    <row r="80" customFormat="1" spans="1:20">
      <c r="A80">
        <f>IF(C80=1,1001+COUNTIF($C$5:C79,1),2001+COUNTIF($C$5:C79,2))</f>
        <v>1062</v>
      </c>
      <c r="B80">
        <v>1</v>
      </c>
      <c r="C80" s="121">
        <v>1</v>
      </c>
      <c r="D80" s="122" t="str">
        <f>IFERROR(_xlfn.IFNA(VLOOKUP(ROUND(F80,0),道具!$B$271:$C$295,2,FALSE),""),"")</f>
        <v/>
      </c>
      <c r="E80" s="122" t="str">
        <f>IFERROR(_xlfn.IFNA(VLOOKUP(ROUND(F80,0),道具!$B$296:$C$320,2,FALSE),""),"")</f>
        <v/>
      </c>
      <c r="F80" t="str">
        <f>IF(转换!B75&gt;0,转换!B75*100,"")</f>
        <v/>
      </c>
      <c r="G80">
        <v>31</v>
      </c>
      <c r="H80">
        <f>'体验表-带进度条'!R75</f>
        <v>0</v>
      </c>
      <c r="I80" s="113">
        <f>转换!I75</f>
        <v>3</v>
      </c>
      <c r="J80" s="113">
        <f>IF(I80=17,1,IF(I80=9,1,IF(转换!I75&gt;0,VLOOKUP(转换!H75,道具!B:C,2,FALSE),"")))</f>
        <v>171001</v>
      </c>
      <c r="K80" s="114">
        <f>IF(转换!I75=17,ROUND(转换!J75*100/转换!$U$2,0),IF(转换!I75=9,F80,转换!J75))</f>
        <v>1</v>
      </c>
      <c r="L80" s="115"/>
      <c r="M80" s="115"/>
      <c r="N80" s="115"/>
      <c r="O80" s="113"/>
      <c r="P80" s="113"/>
      <c r="Q80" s="113"/>
      <c r="R80" s="97"/>
      <c r="S80" s="97"/>
      <c r="T80" s="97"/>
    </row>
    <row r="81" customFormat="1" spans="1:20">
      <c r="A81">
        <f>IF(C81=1,1001+COUNTIF($C$5:C80,1),2001+COUNTIF($C$5:C80,2))</f>
        <v>1063</v>
      </c>
      <c r="B81">
        <v>1</v>
      </c>
      <c r="C81" s="121">
        <v>1</v>
      </c>
      <c r="D81" s="122" t="str">
        <f>IFERROR(_xlfn.IFNA(VLOOKUP(ROUND(F81,0),道具!$B$271:$C$295,2,FALSE),""),"")</f>
        <v/>
      </c>
      <c r="E81" s="122" t="str">
        <f>IFERROR(_xlfn.IFNA(VLOOKUP(ROUND(F81,0),道具!$B$296:$C$320,2,FALSE),""),"")</f>
        <v/>
      </c>
      <c r="F81" t="str">
        <f>IF(转换!B77&gt;0,转换!B77*100,"")</f>
        <v/>
      </c>
      <c r="G81">
        <v>33</v>
      </c>
      <c r="H81">
        <f>'体验表-带进度条'!R77</f>
        <v>0</v>
      </c>
      <c r="I81" s="113">
        <f>转换!I77</f>
        <v>3</v>
      </c>
      <c r="J81" s="113">
        <f>IF(I81=17,1,IF(I81=9,1,IF(转换!I77&gt;0,VLOOKUP(转换!H77,道具!B:C,2,FALSE),"")))</f>
        <v>160001</v>
      </c>
      <c r="K81" s="114">
        <f>IF(转换!I77=17,ROUND(转换!J77*100/转换!$U$2,0),IF(转换!I77=9,F81,转换!J77))</f>
        <v>6</v>
      </c>
      <c r="L81" s="115"/>
      <c r="M81" s="115"/>
      <c r="N81" s="115"/>
      <c r="O81" s="113"/>
      <c r="P81" s="113"/>
      <c r="Q81" s="113"/>
      <c r="R81" s="97"/>
      <c r="S81" s="97"/>
      <c r="T81" s="97"/>
    </row>
    <row r="82" customFormat="1" spans="1:20">
      <c r="A82">
        <f>IF(C82=1,1001+COUNTIF($C$5:C81,1),2001+COUNTIF($C$5:C81,2))</f>
        <v>1064</v>
      </c>
      <c r="B82">
        <v>1</v>
      </c>
      <c r="C82" s="121">
        <v>1</v>
      </c>
      <c r="D82" s="122" t="str">
        <f>IFERROR(_xlfn.IFNA(VLOOKUP(ROUND(F82,0),道具!$B$271:$C$295,2,FALSE),""),"")</f>
        <v/>
      </c>
      <c r="E82" s="122" t="str">
        <f>IFERROR(_xlfn.IFNA(VLOOKUP(ROUND(F82,0),道具!$B$296:$C$320,2,FALSE),""),"")</f>
        <v/>
      </c>
      <c r="F82" t="str">
        <f>IF(转换!B78&gt;0,转换!B78*100,"")</f>
        <v/>
      </c>
      <c r="G82">
        <v>34</v>
      </c>
      <c r="H82">
        <f>'体验表-带进度条'!R78</f>
        <v>0</v>
      </c>
      <c r="I82" s="113">
        <f>转换!I78</f>
        <v>17</v>
      </c>
      <c r="J82" s="113">
        <f>IF(I82=17,1,IF(I82=9,1,IF(转换!I78&gt;0,VLOOKUP(转换!H78,道具!B:C,2,FALSE),"")))</f>
        <v>1</v>
      </c>
      <c r="K82" s="114">
        <f>IF(转换!I78=17,ROUND(转换!J78*100/转换!$U$2,0),IF(转换!I78=9,F82,转换!J78))</f>
        <v>241</v>
      </c>
      <c r="L82" s="115"/>
      <c r="M82" s="115"/>
      <c r="N82" s="115"/>
      <c r="O82" s="113"/>
      <c r="P82" s="113"/>
      <c r="Q82" s="113"/>
      <c r="R82" s="97"/>
      <c r="S82" s="97"/>
      <c r="T82" s="97"/>
    </row>
    <row r="83" customFormat="1" spans="1:20">
      <c r="A83">
        <f>IF(C83=1,1001+COUNTIF($C$5:C82,1),2001+COUNTIF($C$5:C82,2))</f>
        <v>1065</v>
      </c>
      <c r="B83">
        <v>1</v>
      </c>
      <c r="C83" s="121">
        <v>1</v>
      </c>
      <c r="D83" s="122" t="str">
        <f>IFERROR(_xlfn.IFNA(VLOOKUP(ROUND(F83,0),道具!$B$271:$C$295,2,FALSE),""),"")</f>
        <v/>
      </c>
      <c r="E83" s="122" t="str">
        <f>IFERROR(_xlfn.IFNA(VLOOKUP(ROUND(F83,0),道具!$B$296:$C$320,2,FALSE),""),"")</f>
        <v/>
      </c>
      <c r="F83" t="str">
        <f>IF(转换!B79&gt;0,转换!B79*100,"")</f>
        <v/>
      </c>
      <c r="G83">
        <v>35</v>
      </c>
      <c r="H83">
        <f>'体验表-带进度条'!R79</f>
        <v>15</v>
      </c>
      <c r="I83" s="113">
        <f>转换!I79</f>
        <v>4</v>
      </c>
      <c r="J83" s="113">
        <f>IF(I83=17,1,IF(I83=9,1,IF(转换!I79&gt;0,VLOOKUP(转换!H79,道具!B:C,2,FALSE),"")))</f>
        <v>100005</v>
      </c>
      <c r="K83" s="114">
        <f>IF(转换!I79=17,ROUND(转换!J79*100/转换!$U$2,0),IF(转换!I79=9,F83,转换!J79))</f>
        <v>1</v>
      </c>
      <c r="L83" s="115"/>
      <c r="M83" s="115"/>
      <c r="N83" s="115"/>
      <c r="O83" s="113"/>
      <c r="P83" s="113"/>
      <c r="Q83" s="113"/>
      <c r="R83" s="97"/>
      <c r="S83" s="97"/>
      <c r="T83" s="97"/>
    </row>
    <row r="84" customFormat="1" spans="1:20">
      <c r="A84">
        <f>IF(C84=1,1001+COUNTIF($C$5:C83,1),2001+COUNTIF($C$5:C83,2))</f>
        <v>1066</v>
      </c>
      <c r="B84">
        <v>1</v>
      </c>
      <c r="C84" s="121">
        <v>1</v>
      </c>
      <c r="D84" s="122" t="str">
        <f>IFERROR(_xlfn.IFNA(VLOOKUP(ROUND(F84,0),道具!$B$271:$C$295,2,FALSE),""),"")</f>
        <v/>
      </c>
      <c r="E84" s="122" t="str">
        <f>IFERROR(_xlfn.IFNA(VLOOKUP(ROUND(F84,0),道具!$B$296:$C$320,2,FALSE),""),"")</f>
        <v/>
      </c>
      <c r="F84" t="str">
        <f>IF(转换!B80&gt;0,转换!B80*100,"")</f>
        <v/>
      </c>
      <c r="G84">
        <v>36</v>
      </c>
      <c r="H84">
        <f>'体验表-带进度条'!R80</f>
        <v>0</v>
      </c>
      <c r="I84" s="113">
        <f>转换!I80</f>
        <v>3</v>
      </c>
      <c r="J84" s="113">
        <f>IF(I84=17,1,IF(I84=9,1,IF(转换!I80&gt;0,VLOOKUP(转换!H80,道具!B:C,2,FALSE),"")))</f>
        <v>192001</v>
      </c>
      <c r="K84" s="114">
        <f>IF(转换!I80=17,ROUND(转换!J80*100/转换!$U$2,0),IF(转换!I80=9,F84,转换!J80))</f>
        <v>30</v>
      </c>
      <c r="L84" s="115"/>
      <c r="M84" s="115"/>
      <c r="N84" s="115"/>
      <c r="O84" s="113"/>
      <c r="P84" s="113"/>
      <c r="Q84" s="113"/>
      <c r="R84" s="97"/>
      <c r="S84" s="97"/>
      <c r="T84" s="97"/>
    </row>
    <row r="85" customFormat="1" spans="1:20">
      <c r="A85">
        <f>IF(C85=1,1001+COUNTIF($C$5:C84,1),2001+COUNTIF($C$5:C84,2))</f>
        <v>1067</v>
      </c>
      <c r="B85">
        <v>1</v>
      </c>
      <c r="C85" s="121">
        <v>1</v>
      </c>
      <c r="D85" s="122" t="str">
        <f>IFERROR(_xlfn.IFNA(VLOOKUP(ROUND(F85,0),道具!$B$271:$C$295,2,FALSE),""),"")</f>
        <v/>
      </c>
      <c r="E85" s="122" t="str">
        <f>IFERROR(_xlfn.IFNA(VLOOKUP(ROUND(F85,0),道具!$B$296:$C$320,2,FALSE),""),"")</f>
        <v/>
      </c>
      <c r="F85" t="str">
        <f>IF(转换!B81&gt;0,转换!B81*100,"")</f>
        <v/>
      </c>
      <c r="G85">
        <v>37</v>
      </c>
      <c r="H85">
        <f>'体验表-带进度条'!R81</f>
        <v>0</v>
      </c>
      <c r="I85" s="113">
        <f>转换!I81</f>
        <v>3</v>
      </c>
      <c r="J85" s="113">
        <f>IF(I85=17,1,IF(I85=9,1,IF(转换!I81&gt;0,VLOOKUP(转换!H81,道具!B:C,2,FALSE),"")))</f>
        <v>171002</v>
      </c>
      <c r="K85" s="114">
        <f>IF(转换!I81=17,ROUND(转换!J81*100/转换!$U$2,0),IF(转换!I81=9,F85,转换!J81))</f>
        <v>1</v>
      </c>
      <c r="L85" s="115"/>
      <c r="M85" s="115"/>
      <c r="N85" s="115"/>
      <c r="O85" s="113"/>
      <c r="P85" s="113"/>
      <c r="Q85" s="113"/>
      <c r="R85" s="97"/>
      <c r="S85" s="97"/>
      <c r="T85" s="97"/>
    </row>
    <row r="86" customFormat="1" spans="1:20">
      <c r="A86">
        <f>IF(C86=1,1001+COUNTIF($C$5:C85,1),2001+COUNTIF($C$5:C85,2))</f>
        <v>1068</v>
      </c>
      <c r="B86">
        <v>1</v>
      </c>
      <c r="C86" s="121">
        <v>1</v>
      </c>
      <c r="D86" s="122" t="str">
        <f>IFERROR(_xlfn.IFNA(VLOOKUP(ROUND(F86,0),道具!$B$271:$C$295,2,FALSE),""),"")</f>
        <v/>
      </c>
      <c r="E86" s="122" t="str">
        <f>IFERROR(_xlfn.IFNA(VLOOKUP(ROUND(F86,0),道具!$B$296:$C$320,2,FALSE),""),"")</f>
        <v/>
      </c>
      <c r="F86" t="str">
        <f>IF(转换!B83&gt;0,转换!B83*100,"")</f>
        <v/>
      </c>
      <c r="G86">
        <v>39</v>
      </c>
      <c r="H86">
        <f>'体验表-带进度条'!R83</f>
        <v>0</v>
      </c>
      <c r="I86" s="113">
        <f>转换!I83</f>
        <v>3</v>
      </c>
      <c r="J86" s="113">
        <f>IF(I86=17,1,IF(I86=9,1,IF(转换!I83&gt;0,VLOOKUP(转换!H83,道具!B:C,2,FALSE),"")))</f>
        <v>160001</v>
      </c>
      <c r="K86" s="114">
        <f>IF(转换!I83=17,ROUND(转换!J83*100/转换!$U$2,0),IF(转换!I83=9,F86,转换!J83))</f>
        <v>7</v>
      </c>
      <c r="L86" s="115"/>
      <c r="M86" s="115"/>
      <c r="N86" s="115"/>
      <c r="O86" s="113"/>
      <c r="P86" s="113"/>
      <c r="Q86" s="113"/>
      <c r="R86" s="97"/>
      <c r="S86" s="97"/>
      <c r="T86" s="97"/>
    </row>
    <row r="87" customFormat="1" spans="1:20">
      <c r="A87">
        <f>IF(C87=1,1001+COUNTIF($C$5:C86,1),2001+COUNTIF($C$5:C86,2))</f>
        <v>1069</v>
      </c>
      <c r="B87">
        <v>1</v>
      </c>
      <c r="C87" s="121">
        <v>1</v>
      </c>
      <c r="D87" s="122" t="str">
        <f>IFERROR(_xlfn.IFNA(VLOOKUP(ROUND(F87,0),道具!$B$271:$C$295,2,FALSE),""),"")</f>
        <v/>
      </c>
      <c r="E87" s="122" t="str">
        <f>IFERROR(_xlfn.IFNA(VLOOKUP(ROUND(F87,0),道具!$B$296:$C$320,2,FALSE),""),"")</f>
        <v/>
      </c>
      <c r="F87" t="str">
        <f>IF(转换!B84&gt;0,转换!B84*100,"")</f>
        <v/>
      </c>
      <c r="G87">
        <v>40</v>
      </c>
      <c r="H87">
        <f>'体验表-带进度条'!R84</f>
        <v>0</v>
      </c>
      <c r="I87" s="113">
        <f>转换!I84</f>
        <v>17</v>
      </c>
      <c r="J87" s="113">
        <f>IF(I87=17,1,IF(I87=9,1,IF(转换!I84&gt;0,VLOOKUP(转换!H84,道具!B:C,2,FALSE),"")))</f>
        <v>1</v>
      </c>
      <c r="K87" s="114">
        <f>IF(转换!I84=17,ROUND(转换!J84*100/转换!$U$2,0),IF(转换!I84=9,F87,转换!J84))</f>
        <v>241</v>
      </c>
      <c r="L87" s="115"/>
      <c r="M87" s="115"/>
      <c r="N87" s="115"/>
      <c r="O87" s="113"/>
      <c r="P87" s="113"/>
      <c r="Q87" s="113"/>
      <c r="R87" s="97"/>
      <c r="S87" s="97"/>
      <c r="T87" s="97"/>
    </row>
    <row r="88" customFormat="1" spans="1:20">
      <c r="A88">
        <f>IF(C88=1,1001+COUNTIF($C$5:C87,1),2001+COUNTIF($C$5:C87,2))</f>
        <v>1070</v>
      </c>
      <c r="B88">
        <v>1</v>
      </c>
      <c r="C88" s="121">
        <v>1</v>
      </c>
      <c r="D88" s="122" t="str">
        <f>IFERROR(_xlfn.IFNA(VLOOKUP(ROUND(F88,0),道具!$B$271:$C$295,2,FALSE),""),"")</f>
        <v/>
      </c>
      <c r="E88" s="122" t="str">
        <f>IFERROR(_xlfn.IFNA(VLOOKUP(ROUND(F88,0),道具!$B$296:$C$320,2,FALSE),""),"")</f>
        <v/>
      </c>
      <c r="F88" t="str">
        <f>IF(转换!B85&gt;0,转换!B85*100,"")</f>
        <v/>
      </c>
      <c r="G88">
        <v>41</v>
      </c>
      <c r="H88">
        <f>'体验表-带进度条'!R85</f>
        <v>50</v>
      </c>
      <c r="I88" s="113">
        <f>转换!I85</f>
        <v>4</v>
      </c>
      <c r="J88" s="113">
        <f>IF(I88=17,1,IF(I88=9,1,IF(转换!I85&gt;0,VLOOKUP(转换!H85,道具!B:C,2,FALSE),"")))</f>
        <v>100006</v>
      </c>
      <c r="K88" s="114">
        <f>IF(转换!I85=17,ROUND(转换!J85*100/转换!$U$2,0),IF(转换!I85=9,F88,转换!J85))</f>
        <v>1</v>
      </c>
      <c r="L88" s="115"/>
      <c r="M88" s="115"/>
      <c r="N88" s="115"/>
      <c r="O88" s="113"/>
      <c r="P88" s="113"/>
      <c r="Q88" s="113"/>
      <c r="R88" s="97"/>
      <c r="S88" s="97"/>
      <c r="T88" s="97"/>
    </row>
    <row r="89" customFormat="1" spans="1:20">
      <c r="A89">
        <f>IF(C89=1,1001+COUNTIF($C$5:C88,1),2001+COUNTIF($C$5:C88,2))</f>
        <v>1071</v>
      </c>
      <c r="B89">
        <v>1</v>
      </c>
      <c r="C89" s="121">
        <v>1</v>
      </c>
      <c r="D89" s="122" t="str">
        <f>IFERROR(_xlfn.IFNA(VLOOKUP(ROUND(F89,0),道具!$B$271:$C$295,2,FALSE),""),"")</f>
        <v/>
      </c>
      <c r="E89" s="122" t="str">
        <f>IFERROR(_xlfn.IFNA(VLOOKUP(ROUND(F89,0),道具!$B$296:$C$320,2,FALSE),""),"")</f>
        <v/>
      </c>
      <c r="F89" t="str">
        <f>IF(转换!B86&gt;0,转换!B86*100,"")</f>
        <v/>
      </c>
      <c r="G89">
        <v>42</v>
      </c>
      <c r="H89">
        <f>'体验表-带进度条'!R86</f>
        <v>0</v>
      </c>
      <c r="I89" s="113">
        <f>转换!I86</f>
        <v>3</v>
      </c>
      <c r="J89" s="113">
        <f>IF(I89=17,1,IF(I89=9,1,IF(转换!I86&gt;0,VLOOKUP(转换!H86,道具!B:C,2,FALSE),"")))</f>
        <v>192001</v>
      </c>
      <c r="K89" s="114">
        <f>IF(转换!I86=17,ROUND(转换!J86*100/转换!$U$2,0),IF(转换!I86=9,F89,转换!J86))</f>
        <v>35</v>
      </c>
      <c r="L89" s="115"/>
      <c r="M89" s="115"/>
      <c r="N89" s="115"/>
      <c r="O89" s="113"/>
      <c r="P89" s="113"/>
      <c r="Q89" s="113"/>
      <c r="R89" s="97"/>
      <c r="S89" s="97"/>
      <c r="T89" s="97"/>
    </row>
    <row r="90" customFormat="1" spans="1:20">
      <c r="A90">
        <f>IF(C90=1,1001+COUNTIF($C$5:C89,1),2001+COUNTIF($C$5:C89,2))</f>
        <v>1072</v>
      </c>
      <c r="B90">
        <v>1</v>
      </c>
      <c r="C90" s="121">
        <v>1</v>
      </c>
      <c r="D90" s="122" t="str">
        <f>IFERROR(_xlfn.IFNA(VLOOKUP(ROUND(F90,0),道具!$B$271:$C$295,2,FALSE),""),"")</f>
        <v/>
      </c>
      <c r="E90" s="122" t="str">
        <f>IFERROR(_xlfn.IFNA(VLOOKUP(ROUND(F90,0),道具!$B$296:$C$320,2,FALSE),""),"")</f>
        <v/>
      </c>
      <c r="F90" t="str">
        <f>IF(转换!B87&gt;0,转换!B87*100,"")</f>
        <v/>
      </c>
      <c r="G90">
        <v>43</v>
      </c>
      <c r="H90">
        <f>'体验表-带进度条'!R87</f>
        <v>0</v>
      </c>
      <c r="I90" s="113">
        <f>转换!I87</f>
        <v>3</v>
      </c>
      <c r="J90" s="113">
        <f>IF(I90=17,1,IF(I90=9,1,IF(转换!I87&gt;0,VLOOKUP(转换!H87,道具!B:C,2,FALSE),"")))</f>
        <v>171001</v>
      </c>
      <c r="K90" s="114">
        <f>IF(转换!I87=17,ROUND(转换!J87*100/转换!$U$2,0),IF(转换!I87=9,F90,转换!J87))</f>
        <v>1</v>
      </c>
      <c r="L90" s="115"/>
      <c r="M90" s="115"/>
      <c r="N90" s="115"/>
      <c r="O90" s="113"/>
      <c r="P90" s="113"/>
      <c r="Q90" s="113"/>
      <c r="R90" s="97"/>
      <c r="S90" s="97"/>
      <c r="T90" s="97"/>
    </row>
    <row r="91" customFormat="1" spans="1:20">
      <c r="A91">
        <f>IF(C91=1,1001+COUNTIF($C$5:C90,1),2001+COUNTIF($C$5:C90,2))</f>
        <v>2015</v>
      </c>
      <c r="B91">
        <v>1</v>
      </c>
      <c r="C91" s="121">
        <v>2</v>
      </c>
      <c r="D91" s="122" t="str">
        <f>IFERROR(_xlfn.IFNA(VLOOKUP(ROUND(F91,0),道具!$B$271:$C$295,2,FALSE),""),"")</f>
        <v>gp_hunt_599</v>
      </c>
      <c r="E91" s="122" t="str">
        <f>IFERROR(_xlfn.IFNA(VLOOKUP(ROUND(F91,0),道具!$B$296:$C$320,2,FALSE),""),"")</f>
        <v>iap_hunt_599</v>
      </c>
      <c r="F91">
        <f>IF(转换!B89&gt;0,转换!B89*100,"")</f>
        <v>599</v>
      </c>
      <c r="G91">
        <v>2</v>
      </c>
      <c r="H91">
        <f>'体验表-带进度条'!R89</f>
        <v>10</v>
      </c>
      <c r="I91" s="113">
        <f>转换!I89</f>
        <v>9</v>
      </c>
      <c r="J91" s="113">
        <f>IF(I91=17,1,IF(I91=9,1,IF(转换!I89&gt;0,VLOOKUP(转换!H89,道具!B:C,2,FALSE),"")))</f>
        <v>1</v>
      </c>
      <c r="K91" s="114">
        <f>IF(转换!I89=17,ROUND(转换!J89*100/转换!$U$2,0),IF(转换!I89=9,F91,转换!J89))</f>
        <v>599</v>
      </c>
      <c r="L91" s="115"/>
      <c r="M91" s="115"/>
      <c r="N91" s="115"/>
      <c r="O91" s="113"/>
      <c r="P91" s="113"/>
      <c r="Q91" s="113"/>
      <c r="R91" s="97"/>
      <c r="S91" s="97"/>
      <c r="T91" s="97"/>
    </row>
    <row r="92" customFormat="1" spans="1:20">
      <c r="A92">
        <f>IF(C92=1,1001+COUNTIF($C$5:C91,1),2001+COUNTIF($C$5:C91,2))</f>
        <v>2016</v>
      </c>
      <c r="B92">
        <v>1</v>
      </c>
      <c r="C92" s="121">
        <v>2</v>
      </c>
      <c r="D92" s="122" t="str">
        <f>IFERROR(_xlfn.IFNA(VLOOKUP(ROUND(F92,0),道具!$B$271:$C$295,2,FALSE),""),"")</f>
        <v>gp_hunt_3</v>
      </c>
      <c r="E92" s="122" t="str">
        <f>IFERROR(_xlfn.IFNA(VLOOKUP(ROUND(F92,0),道具!$B$296:$C$320,2,FALSE),""),"")</f>
        <v>iap_hunt_3</v>
      </c>
      <c r="F92">
        <f>IF(转换!B95&gt;0,转换!B95*100,"")</f>
        <v>799</v>
      </c>
      <c r="G92">
        <v>8</v>
      </c>
      <c r="H92">
        <f>'体验表-带进度条'!R95</f>
        <v>25</v>
      </c>
      <c r="I92" s="113">
        <f>转换!I95</f>
        <v>9</v>
      </c>
      <c r="J92" s="113">
        <f>IF(I92=17,1,IF(I92=9,1,IF(转换!I95&gt;0,VLOOKUP(转换!H95,道具!B:C,2,FALSE),"")))</f>
        <v>1</v>
      </c>
      <c r="K92" s="114">
        <f>IF(转换!I95=17,ROUND(转换!J95*100/转换!$U$2,0),IF(转换!I95=9,F92,转换!J95))</f>
        <v>799</v>
      </c>
      <c r="L92" s="115"/>
      <c r="M92" s="115"/>
      <c r="N92" s="115"/>
      <c r="O92" s="113"/>
      <c r="P92" s="113"/>
      <c r="Q92" s="113"/>
      <c r="R92" s="97"/>
      <c r="S92" s="97"/>
      <c r="T92" s="97"/>
    </row>
    <row r="93" customFormat="1" spans="1:20">
      <c r="A93">
        <f>IF(C93=1,1001+COUNTIF($C$5:C92,1),2001+COUNTIF($C$5:C92,2))</f>
        <v>2017</v>
      </c>
      <c r="B93">
        <v>1</v>
      </c>
      <c r="C93" s="121">
        <v>2</v>
      </c>
      <c r="D93" s="122" t="str">
        <f>IFERROR(_xlfn.IFNA(VLOOKUP(ROUND(F93,0),道具!$B$271:$C$295,2,FALSE),""),"")</f>
        <v>gp_hunt_999</v>
      </c>
      <c r="E93" s="122" t="str">
        <f>IFERROR(_xlfn.IFNA(VLOOKUP(ROUND(F93,0),道具!$B$296:$C$320,2,FALSE),""),"")</f>
        <v>iap_hunt_999</v>
      </c>
      <c r="F93">
        <f>IF(转换!B101&gt;0,转换!B101*100,"")</f>
        <v>999</v>
      </c>
      <c r="G93">
        <v>14</v>
      </c>
      <c r="H93">
        <f>'体验表-带进度条'!R101</f>
        <v>35</v>
      </c>
      <c r="I93" s="113">
        <f>转换!I101</f>
        <v>9</v>
      </c>
      <c r="J93" s="113">
        <f>IF(I93=17,1,IF(I93=9,1,IF(转换!I101&gt;0,VLOOKUP(转换!H101,道具!B:C,2,FALSE),"")))</f>
        <v>1</v>
      </c>
      <c r="K93" s="114">
        <f>IF(转换!I101=17,ROUND(转换!J101*100/转换!$U$2,0),IF(转换!I101=9,F93,转换!J101))</f>
        <v>999</v>
      </c>
      <c r="L93" s="115"/>
      <c r="M93" s="115"/>
      <c r="N93" s="115"/>
      <c r="O93" s="113"/>
      <c r="P93" s="113"/>
      <c r="Q93" s="113"/>
      <c r="R93" s="97"/>
      <c r="S93" s="97"/>
      <c r="T93" s="97"/>
    </row>
    <row r="94" customFormat="1" spans="1:20">
      <c r="A94">
        <f>IF(C94=1,1001+COUNTIF($C$5:C93,1),2001+COUNTIF($C$5:C93,2))</f>
        <v>2018</v>
      </c>
      <c r="B94">
        <v>1</v>
      </c>
      <c r="C94" s="121">
        <v>2</v>
      </c>
      <c r="D94" s="122" t="str">
        <f>IFERROR(_xlfn.IFNA(VLOOKUP(ROUND(F94,0),道具!$B$271:$C$295,2,FALSE),""),"")</f>
        <v>gp_hunt_5</v>
      </c>
      <c r="E94" s="122" t="str">
        <f>IFERROR(_xlfn.IFNA(VLOOKUP(ROUND(F94,0),道具!$B$296:$C$320,2,FALSE),""),"")</f>
        <v>iap_hunt_5</v>
      </c>
      <c r="F94">
        <f>IF(转换!B107&gt;0,转换!B107*100,"")</f>
        <v>1299</v>
      </c>
      <c r="G94">
        <v>20</v>
      </c>
      <c r="H94">
        <f>'体验表-带进度条'!R107</f>
        <v>0</v>
      </c>
      <c r="I94" s="113">
        <f>转换!I107</f>
        <v>9</v>
      </c>
      <c r="J94" s="113">
        <f>IF(I94=17,1,IF(I94=9,1,IF(转换!I107&gt;0,VLOOKUP(转换!H107,道具!B:C,2,FALSE),"")))</f>
        <v>1</v>
      </c>
      <c r="K94" s="114">
        <f>IF(转换!I107=17,ROUND(转换!J107*100/转换!$U$2,0),IF(转换!I107=9,F94,转换!J107))</f>
        <v>1299</v>
      </c>
      <c r="L94" s="115"/>
      <c r="M94" s="115"/>
      <c r="N94" s="115"/>
      <c r="O94" s="113"/>
      <c r="P94" s="113"/>
      <c r="Q94" s="113"/>
      <c r="R94" s="97"/>
      <c r="S94" s="97"/>
      <c r="T94" s="97"/>
    </row>
    <row r="95" customFormat="1" spans="1:20">
      <c r="A95">
        <f>IF(C95=1,1001+COUNTIF($C$5:C94,1),2001+COUNTIF($C$5:C94,2))</f>
        <v>2019</v>
      </c>
      <c r="B95">
        <v>1</v>
      </c>
      <c r="C95" s="121">
        <v>2</v>
      </c>
      <c r="D95" s="122" t="str">
        <f>IFERROR(_xlfn.IFNA(VLOOKUP(ROUND(F95,0),道具!$B$271:$C$295,2,FALSE),""),"")</f>
        <v>gp_hunt_6</v>
      </c>
      <c r="E95" s="122" t="str">
        <f>IFERROR(_xlfn.IFNA(VLOOKUP(ROUND(F95,0),道具!$B$296:$C$320,2,FALSE),""),"")</f>
        <v>iap_hunt_6</v>
      </c>
      <c r="F95">
        <f>IF(转换!B113&gt;0,转换!B113*100,"")</f>
        <v>1499</v>
      </c>
      <c r="G95">
        <v>26</v>
      </c>
      <c r="H95">
        <f>'体验表-带进度条'!R113</f>
        <v>10</v>
      </c>
      <c r="I95" s="113">
        <f>转换!I113</f>
        <v>9</v>
      </c>
      <c r="J95" s="113">
        <f>IF(I95=17,1,IF(I95=9,1,IF(转换!I113&gt;0,VLOOKUP(转换!H113,道具!B:C,2,FALSE),"")))</f>
        <v>1</v>
      </c>
      <c r="K95" s="114">
        <f>IF(转换!I113=17,ROUND(转换!J113*100/转换!$U$2,0),IF(转换!I113=9,F95,转换!J113))</f>
        <v>1499</v>
      </c>
      <c r="L95" s="115"/>
      <c r="M95" s="115"/>
      <c r="N95" s="115"/>
      <c r="O95" s="113"/>
      <c r="P95" s="113"/>
      <c r="Q95" s="113"/>
      <c r="R95" s="97"/>
      <c r="S95" s="97"/>
      <c r="T95" s="97"/>
    </row>
    <row r="96" customFormat="1" spans="1:20">
      <c r="A96">
        <f>IF(C96=1,1001+COUNTIF($C$5:C95,1),2001+COUNTIF($C$5:C95,2))</f>
        <v>2020</v>
      </c>
      <c r="B96">
        <v>1</v>
      </c>
      <c r="C96" s="121">
        <v>2</v>
      </c>
      <c r="D96" s="122" t="str">
        <f>IFERROR(_xlfn.IFNA(VLOOKUP(ROUND(F96,0),道具!$B$271:$C$295,2,FALSE),""),"")</f>
        <v>gp_hunt_1799</v>
      </c>
      <c r="E96" s="122" t="str">
        <f>IFERROR(_xlfn.IFNA(VLOOKUP(ROUND(F96,0),道具!$B$296:$C$320,2,FALSE),""),"")</f>
        <v>iap_hunt_1799</v>
      </c>
      <c r="F96">
        <f>IF(转换!B119&gt;0,转换!B119*100,"")</f>
        <v>1799</v>
      </c>
      <c r="G96">
        <v>32</v>
      </c>
      <c r="H96">
        <f>'体验表-带进度条'!R119</f>
        <v>25</v>
      </c>
      <c r="I96" s="113">
        <f>转换!I119</f>
        <v>9</v>
      </c>
      <c r="J96" s="113">
        <f>IF(I96=17,1,IF(I96=9,1,IF(转换!I119&gt;0,VLOOKUP(转换!H119,道具!B:C,2,FALSE),"")))</f>
        <v>1</v>
      </c>
      <c r="K96" s="114">
        <f>IF(转换!I119=17,ROUND(转换!J119*100/转换!$U$2,0),IF(转换!I119=9,F96,转换!J119))</f>
        <v>1799</v>
      </c>
      <c r="L96" s="115"/>
      <c r="M96" s="115"/>
      <c r="N96" s="115"/>
      <c r="O96" s="113"/>
      <c r="P96" s="113"/>
      <c r="Q96" s="113"/>
      <c r="R96" s="97"/>
      <c r="S96" s="97"/>
      <c r="T96" s="97"/>
    </row>
    <row r="97" customFormat="1" spans="1:20">
      <c r="A97">
        <f>IF(C97=1,1001+COUNTIF($C$5:C96,1),2001+COUNTIF($C$5:C96,2))</f>
        <v>2021</v>
      </c>
      <c r="B97">
        <v>1</v>
      </c>
      <c r="C97" s="121">
        <v>2</v>
      </c>
      <c r="D97" s="122" t="str">
        <f>IFERROR(_xlfn.IFNA(VLOOKUP(ROUND(F97,0),道具!$B$271:$C$295,2,FALSE),""),"")</f>
        <v>gp_hunt_1999</v>
      </c>
      <c r="E97" s="122" t="str">
        <f>IFERROR(_xlfn.IFNA(VLOOKUP(ROUND(F97,0),道具!$B$296:$C$320,2,FALSE),""),"")</f>
        <v>iap_hunt_1999</v>
      </c>
      <c r="F97">
        <f>IF(转换!B125&gt;0,转换!B125*100,"")</f>
        <v>1999</v>
      </c>
      <c r="G97">
        <v>38</v>
      </c>
      <c r="H97">
        <f>'体验表-带进度条'!R125</f>
        <v>35</v>
      </c>
      <c r="I97" s="113">
        <f>转换!I125</f>
        <v>9</v>
      </c>
      <c r="J97" s="113">
        <f>IF(I97=17,1,IF(I97=9,1,IF(转换!I125&gt;0,VLOOKUP(转换!H125,道具!B:C,2,FALSE),"")))</f>
        <v>1</v>
      </c>
      <c r="K97" s="114">
        <f>IF(转换!I125=17,ROUND(转换!J125*100/转换!$U$2,0),IF(转换!I125=9,F97,转换!J125))</f>
        <v>1999</v>
      </c>
      <c r="L97" s="115"/>
      <c r="M97" s="115"/>
      <c r="N97" s="115"/>
      <c r="O97" s="113"/>
      <c r="P97" s="113"/>
      <c r="Q97" s="113"/>
      <c r="R97" s="97"/>
      <c r="S97" s="97"/>
      <c r="T97" s="97"/>
    </row>
    <row r="98" customFormat="1" spans="1:20">
      <c r="A98">
        <f>IF(C98=1,1001+COUNTIF($C$5:C97,1),2001+COUNTIF($C$5:C97,2))</f>
        <v>1073</v>
      </c>
      <c r="B98">
        <v>1</v>
      </c>
      <c r="C98" s="121">
        <v>1</v>
      </c>
      <c r="D98" s="122" t="str">
        <f>IFERROR(_xlfn.IFNA(VLOOKUP(ROUND(F98,0),道具!$B$271:$C$295,2,FALSE),""),"")</f>
        <v/>
      </c>
      <c r="E98" s="122" t="str">
        <f>IFERROR(_xlfn.IFNA(VLOOKUP(ROUND(F98,0),道具!$B$296:$C$320,2,FALSE),""),"")</f>
        <v/>
      </c>
      <c r="F98" t="str">
        <f>IF(转换!B88&gt;0,转换!B88*100,"")</f>
        <v/>
      </c>
      <c r="G98">
        <v>1</v>
      </c>
      <c r="H98">
        <f>'体验表-带进度条'!R88</f>
        <v>20</v>
      </c>
      <c r="I98" s="113">
        <f>转换!I88</f>
        <v>1</v>
      </c>
      <c r="J98" s="113">
        <f>IF(I98=17,1,IF(I98=9,1,IF(转换!I88&gt;0,VLOOKUP(转换!H88,道具!B:C,2,FALSE),"")))</f>
        <v>1</v>
      </c>
      <c r="K98" s="114">
        <f>IF(转换!I88=17,ROUND(转换!J88*100/转换!$U$2,0),IF(转换!I88=9,F98,转换!J88))</f>
        <v>5000</v>
      </c>
      <c r="L98" s="115"/>
      <c r="M98" s="115"/>
      <c r="N98" s="115"/>
      <c r="O98" s="113"/>
      <c r="P98" s="113"/>
      <c r="Q98" s="113"/>
      <c r="R98" s="97"/>
      <c r="S98" s="97"/>
      <c r="T98" s="97"/>
    </row>
    <row r="99" customFormat="1" spans="1:20">
      <c r="A99">
        <f>IF(C99=1,1001+COUNTIF($C$5:C98,1),2001+COUNTIF($C$5:C98,2))</f>
        <v>1074</v>
      </c>
      <c r="B99">
        <v>1</v>
      </c>
      <c r="C99" s="121">
        <v>1</v>
      </c>
      <c r="D99" s="122" t="str">
        <f>IFERROR(_xlfn.IFNA(VLOOKUP(ROUND(F99,0),道具!$B$271:$C$295,2,FALSE),""),"")</f>
        <v/>
      </c>
      <c r="E99" s="122" t="str">
        <f>IFERROR(_xlfn.IFNA(VLOOKUP(ROUND(F99,0),道具!$B$296:$C$320,2,FALSE),""),"")</f>
        <v/>
      </c>
      <c r="F99" t="str">
        <f>IF(转换!B90&gt;0,转换!B90*100,"")</f>
        <v/>
      </c>
      <c r="G99">
        <v>3</v>
      </c>
      <c r="H99">
        <f>'体验表-带进度条'!R90</f>
        <v>0</v>
      </c>
      <c r="I99" s="113">
        <f>转换!I90</f>
        <v>3</v>
      </c>
      <c r="J99" s="113">
        <f>IF(I99=17,1,IF(I99=9,1,IF(转换!I90&gt;0,VLOOKUP(转换!H90,道具!B:C,2,FALSE),"")))</f>
        <v>160001</v>
      </c>
      <c r="K99" s="114">
        <f>IF(转换!I90=17,ROUND(转换!J90*100/转换!$U$2,0),IF(转换!I90=9,F99,转换!J90))</f>
        <v>1</v>
      </c>
      <c r="L99" s="115"/>
      <c r="M99" s="115"/>
      <c r="N99" s="115"/>
      <c r="O99" s="113"/>
      <c r="P99" s="113"/>
      <c r="Q99" s="113"/>
      <c r="R99" s="97"/>
      <c r="S99" s="97"/>
      <c r="T99" s="97"/>
    </row>
    <row r="100" customFormat="1" spans="1:20">
      <c r="A100">
        <f>IF(C100=1,1001+COUNTIF($C$5:C99,1),2001+COUNTIF($C$5:C99,2))</f>
        <v>1075</v>
      </c>
      <c r="B100">
        <v>1</v>
      </c>
      <c r="C100" s="121">
        <v>1</v>
      </c>
      <c r="D100" s="122" t="str">
        <f>IFERROR(_xlfn.IFNA(VLOOKUP(ROUND(F100,0),道具!$B$271:$C$295,2,FALSE),""),"")</f>
        <v/>
      </c>
      <c r="E100" s="122" t="str">
        <f>IFERROR(_xlfn.IFNA(VLOOKUP(ROUND(F100,0),道具!$B$296:$C$320,2,FALSE),""),"")</f>
        <v/>
      </c>
      <c r="F100" t="str">
        <f>IF(转换!B91&gt;0,转换!B91*100,"")</f>
        <v/>
      </c>
      <c r="G100">
        <v>4</v>
      </c>
      <c r="H100">
        <f>'体验表-带进度条'!R91</f>
        <v>0</v>
      </c>
      <c r="I100" s="113">
        <f>转换!I91</f>
        <v>17</v>
      </c>
      <c r="J100" s="113">
        <f>IF(I100=17,1,IF(I100=9,1,IF(转换!I91&gt;0,VLOOKUP(转换!H91,道具!B:C,2,FALSE),"")))</f>
        <v>1</v>
      </c>
      <c r="K100" s="114">
        <f>IF(转换!I91=17,ROUND(转换!J91*100/转换!$U$2,0),IF(转换!I91=9,F100,转换!J91))</f>
        <v>201</v>
      </c>
      <c r="L100" s="115"/>
      <c r="M100" s="115"/>
      <c r="N100" s="115"/>
      <c r="O100" s="113"/>
      <c r="P100" s="113"/>
      <c r="Q100" s="113"/>
      <c r="R100" s="97"/>
      <c r="S100" s="97"/>
      <c r="T100" s="97"/>
    </row>
    <row r="101" customFormat="1" spans="1:20">
      <c r="A101">
        <f>IF(C101=1,1001+COUNTIF($C$5:C100,1),2001+COUNTIF($C$5:C100,2))</f>
        <v>1076</v>
      </c>
      <c r="B101">
        <v>1</v>
      </c>
      <c r="C101" s="121">
        <v>1</v>
      </c>
      <c r="D101" s="122" t="str">
        <f>IFERROR(_xlfn.IFNA(VLOOKUP(ROUND(F101,0),道具!$B$271:$C$295,2,FALSE),""),"")</f>
        <v/>
      </c>
      <c r="E101" s="122" t="str">
        <f>IFERROR(_xlfn.IFNA(VLOOKUP(ROUND(F101,0),道具!$B$296:$C$320,2,FALSE),""),"")</f>
        <v/>
      </c>
      <c r="F101" t="str">
        <f>IF(转换!B92&gt;0,转换!B92*100,"")</f>
        <v/>
      </c>
      <c r="G101">
        <v>5</v>
      </c>
      <c r="H101">
        <f>'体验表-带进度条'!R92</f>
        <v>10</v>
      </c>
      <c r="I101" s="113">
        <f>转换!I92</f>
        <v>4</v>
      </c>
      <c r="J101" s="113">
        <f>IF(I101=17,1,IF(I101=9,1,IF(转换!I92&gt;0,VLOOKUP(转换!H92,道具!B:C,2,FALSE),"")))</f>
        <v>100002</v>
      </c>
      <c r="K101" s="114">
        <f>IF(转换!I92=17,ROUND(转换!J92*100/转换!$U$2,0),IF(转换!I92=9,F101,转换!J92))</f>
        <v>1</v>
      </c>
      <c r="L101" s="115"/>
      <c r="M101" s="115"/>
      <c r="N101" s="115"/>
      <c r="O101" s="113"/>
      <c r="P101" s="113"/>
      <c r="Q101" s="113"/>
      <c r="R101" s="97"/>
      <c r="S101" s="97"/>
      <c r="T101" s="97"/>
    </row>
    <row r="102" customFormat="1" spans="1:20">
      <c r="A102">
        <f>IF(C102=1,1001+COUNTIF($C$5:C101,1),2001+COUNTIF($C$5:C101,2))</f>
        <v>1077</v>
      </c>
      <c r="B102">
        <v>1</v>
      </c>
      <c r="C102" s="121">
        <v>1</v>
      </c>
      <c r="D102" s="122" t="str">
        <f>IFERROR(_xlfn.IFNA(VLOOKUP(ROUND(F102,0),道具!$B$271:$C$295,2,FALSE),""),"")</f>
        <v/>
      </c>
      <c r="E102" s="122" t="str">
        <f>IFERROR(_xlfn.IFNA(VLOOKUP(ROUND(F102,0),道具!$B$296:$C$320,2,FALSE),""),"")</f>
        <v/>
      </c>
      <c r="F102" t="str">
        <f>IF(转换!B93&gt;0,转换!B93*100,"")</f>
        <v/>
      </c>
      <c r="G102">
        <v>6</v>
      </c>
      <c r="H102">
        <f>'体验表-带进度条'!R93</f>
        <v>0</v>
      </c>
      <c r="I102" s="113">
        <f>转换!I93</f>
        <v>3</v>
      </c>
      <c r="J102" s="113">
        <f>IF(I102=17,1,IF(I102=9,1,IF(转换!I93&gt;0,VLOOKUP(转换!H93,道具!B:C,2,FALSE),"")))</f>
        <v>192001</v>
      </c>
      <c r="K102" s="114">
        <f>IF(转换!I93=17,ROUND(转换!J93*100/转换!$U$2,0),IF(转换!I93=9,F102,转换!J93))</f>
        <v>5</v>
      </c>
      <c r="L102" s="115"/>
      <c r="M102" s="115"/>
      <c r="N102" s="115"/>
      <c r="O102" s="113"/>
      <c r="P102" s="113"/>
      <c r="Q102" s="113"/>
      <c r="R102" s="97"/>
      <c r="S102" s="97"/>
      <c r="T102" s="97"/>
    </row>
    <row r="103" customFormat="1" spans="1:20">
      <c r="A103">
        <f>IF(C103=1,1001+COUNTIF($C$5:C102,1),2001+COUNTIF($C$5:C102,2))</f>
        <v>1078</v>
      </c>
      <c r="B103">
        <v>1</v>
      </c>
      <c r="C103" s="121">
        <v>1</v>
      </c>
      <c r="D103" s="122" t="str">
        <f>IFERROR(_xlfn.IFNA(VLOOKUP(ROUND(F103,0),道具!$B$271:$C$295,2,FALSE),""),"")</f>
        <v/>
      </c>
      <c r="E103" s="122" t="str">
        <f>IFERROR(_xlfn.IFNA(VLOOKUP(ROUND(F103,0),道具!$B$296:$C$320,2,FALSE),""),"")</f>
        <v/>
      </c>
      <c r="F103" t="str">
        <f>IF(转换!B94&gt;0,转换!B94*100,"")</f>
        <v/>
      </c>
      <c r="G103">
        <v>7</v>
      </c>
      <c r="H103">
        <f>'体验表-带进度条'!R94</f>
        <v>0</v>
      </c>
      <c r="I103" s="113">
        <f>转换!I94</f>
        <v>3</v>
      </c>
      <c r="J103" s="113">
        <f>IF(I103=17,1,IF(I103=9,1,IF(转换!I94&gt;0,VLOOKUP(转换!H94,道具!B:C,2,FALSE),"")))</f>
        <v>171001</v>
      </c>
      <c r="K103" s="114">
        <f>IF(转换!I94=17,ROUND(转换!J94*100/转换!$U$2,0),IF(转换!I94=9,F103,转换!J94))</f>
        <v>1</v>
      </c>
      <c r="L103" s="115"/>
      <c r="M103" s="115"/>
      <c r="N103" s="115"/>
      <c r="O103" s="113"/>
      <c r="P103" s="113"/>
      <c r="Q103" s="113"/>
      <c r="R103" s="97"/>
      <c r="S103" s="97"/>
      <c r="T103" s="97"/>
    </row>
    <row r="104" customFormat="1" spans="1:20">
      <c r="A104">
        <f>IF(C104=1,1001+COUNTIF($C$5:C103,1),2001+COUNTIF($C$5:C103,2))</f>
        <v>1079</v>
      </c>
      <c r="B104">
        <v>1</v>
      </c>
      <c r="C104" s="121">
        <v>1</v>
      </c>
      <c r="D104" s="122" t="str">
        <f>IFERROR(_xlfn.IFNA(VLOOKUP(ROUND(F104,0),道具!$B$271:$C$295,2,FALSE),""),"")</f>
        <v/>
      </c>
      <c r="E104" s="122" t="str">
        <f>IFERROR(_xlfn.IFNA(VLOOKUP(ROUND(F104,0),道具!$B$296:$C$320,2,FALSE),""),"")</f>
        <v/>
      </c>
      <c r="F104" t="str">
        <f>IF(转换!B96&gt;0,转换!B96*100,"")</f>
        <v/>
      </c>
      <c r="G104">
        <v>9</v>
      </c>
      <c r="H104">
        <f>'体验表-带进度条'!R96</f>
        <v>0</v>
      </c>
      <c r="I104" s="113">
        <f>转换!I96</f>
        <v>3</v>
      </c>
      <c r="J104" s="113">
        <f>IF(I104=17,1,IF(I104=9,1,IF(转换!I96&gt;0,VLOOKUP(转换!H96,道具!B:C,2,FALSE),"")))</f>
        <v>160001</v>
      </c>
      <c r="K104" s="114">
        <f>IF(转换!I96=17,ROUND(转换!J96*100/转换!$U$2,0),IF(转换!I96=9,F104,转换!J96))</f>
        <v>2</v>
      </c>
      <c r="L104" s="115"/>
      <c r="M104" s="115"/>
      <c r="N104" s="115"/>
      <c r="O104" s="113"/>
      <c r="P104" s="113"/>
      <c r="Q104" s="113"/>
      <c r="R104" s="97"/>
      <c r="S104" s="97"/>
      <c r="T104" s="97"/>
    </row>
    <row r="105" customFormat="1" spans="1:20">
      <c r="A105">
        <f>IF(C105=1,1001+COUNTIF($C$5:C104,1),2001+COUNTIF($C$5:C104,2))</f>
        <v>1080</v>
      </c>
      <c r="B105">
        <v>1</v>
      </c>
      <c r="C105" s="121">
        <v>1</v>
      </c>
      <c r="D105" s="122" t="str">
        <f>IFERROR(_xlfn.IFNA(VLOOKUP(ROUND(F105,0),道具!$B$271:$C$295,2,FALSE),""),"")</f>
        <v/>
      </c>
      <c r="E105" s="122" t="str">
        <f>IFERROR(_xlfn.IFNA(VLOOKUP(ROUND(F105,0),道具!$B$296:$C$320,2,FALSE),""),"")</f>
        <v/>
      </c>
      <c r="F105" t="str">
        <f>IF(转换!B97&gt;0,转换!B97*100,"")</f>
        <v/>
      </c>
      <c r="G105">
        <v>10</v>
      </c>
      <c r="H105">
        <f>'体验表-带进度条'!R97</f>
        <v>0</v>
      </c>
      <c r="I105" s="113">
        <f>转换!I97</f>
        <v>17</v>
      </c>
      <c r="J105" s="113">
        <f>IF(I105=17,1,IF(I105=9,1,IF(转换!I97&gt;0,VLOOKUP(转换!H97,道具!B:C,2,FALSE),"")))</f>
        <v>1</v>
      </c>
      <c r="K105" s="114">
        <f>IF(转换!I97=17,ROUND(转换!J97*100/转换!$U$2,0),IF(转换!I97=9,F105,转换!J97))</f>
        <v>40</v>
      </c>
      <c r="L105" s="115"/>
      <c r="M105" s="115"/>
      <c r="N105" s="115"/>
      <c r="O105" s="113"/>
      <c r="P105" s="113"/>
      <c r="Q105" s="113"/>
      <c r="R105" s="97"/>
      <c r="S105" s="97"/>
      <c r="T105" s="97"/>
    </row>
    <row r="106" customFormat="1" spans="1:20">
      <c r="A106">
        <f>IF(C106=1,1001+COUNTIF($C$5:C105,1),2001+COUNTIF($C$5:C105,2))</f>
        <v>1081</v>
      </c>
      <c r="B106">
        <v>1</v>
      </c>
      <c r="C106" s="121">
        <v>1</v>
      </c>
      <c r="D106" s="122" t="str">
        <f>IFERROR(_xlfn.IFNA(VLOOKUP(ROUND(F106,0),道具!$B$271:$C$295,2,FALSE),""),"")</f>
        <v/>
      </c>
      <c r="E106" s="122" t="str">
        <f>IFERROR(_xlfn.IFNA(VLOOKUP(ROUND(F106,0),道具!$B$296:$C$320,2,FALSE),""),"")</f>
        <v/>
      </c>
      <c r="F106" t="str">
        <f>IF(转换!B98&gt;0,转换!B98*100,"")</f>
        <v/>
      </c>
      <c r="G106">
        <v>11</v>
      </c>
      <c r="H106">
        <f>'体验表-带进度条'!R98</f>
        <v>0</v>
      </c>
      <c r="I106" s="113">
        <f>转换!I98</f>
        <v>4</v>
      </c>
      <c r="J106" s="113">
        <f>IF(I106=17,1,IF(I106=9,1,IF(转换!I98&gt;0,VLOOKUP(转换!H98,道具!B:C,2,FALSE),"")))</f>
        <v>100003</v>
      </c>
      <c r="K106" s="114">
        <f>IF(转换!I98=17,ROUND(转换!J98*100/转换!$U$2,0),IF(转换!I98=9,F106,转换!J98))</f>
        <v>1</v>
      </c>
      <c r="L106" s="115"/>
      <c r="M106" s="115"/>
      <c r="N106" s="115"/>
      <c r="O106" s="113"/>
      <c r="P106" s="113"/>
      <c r="Q106" s="113"/>
      <c r="R106" s="97"/>
      <c r="S106" s="97"/>
      <c r="T106" s="97"/>
    </row>
    <row r="107" customFormat="1" spans="1:20">
      <c r="A107">
        <f>IF(C107=1,1001+COUNTIF($C$5:C106,1),2001+COUNTIF($C$5:C106,2))</f>
        <v>1082</v>
      </c>
      <c r="B107">
        <v>1</v>
      </c>
      <c r="C107" s="121">
        <v>1</v>
      </c>
      <c r="D107" s="122" t="str">
        <f>IFERROR(_xlfn.IFNA(VLOOKUP(ROUND(F107,0),道具!$B$271:$C$295,2,FALSE),""),"")</f>
        <v/>
      </c>
      <c r="E107" s="122" t="str">
        <f>IFERROR(_xlfn.IFNA(VLOOKUP(ROUND(F107,0),道具!$B$296:$C$320,2,FALSE),""),"")</f>
        <v/>
      </c>
      <c r="F107" t="str">
        <f>IF(转换!B99&gt;0,转换!B99*100,"")</f>
        <v/>
      </c>
      <c r="G107">
        <v>12</v>
      </c>
      <c r="H107">
        <f>'体验表-带进度条'!R99</f>
        <v>0</v>
      </c>
      <c r="I107" s="113">
        <f>转换!I99</f>
        <v>3</v>
      </c>
      <c r="J107" s="113">
        <f>IF(I107=17,1,IF(I107=9,1,IF(转换!I99&gt;0,VLOOKUP(转换!H99,道具!B:C,2,FALSE),"")))</f>
        <v>192001</v>
      </c>
      <c r="K107" s="114">
        <f>IF(转换!I99=17,ROUND(转换!J99*100/转换!$U$2,0),IF(转换!I99=9,F107,转换!J99))</f>
        <v>10</v>
      </c>
      <c r="L107" s="115"/>
      <c r="M107" s="115"/>
      <c r="N107" s="115"/>
      <c r="O107" s="113"/>
      <c r="P107" s="113"/>
      <c r="Q107" s="113"/>
      <c r="R107" s="97"/>
      <c r="S107" s="97"/>
      <c r="T107" s="97"/>
    </row>
    <row r="108" customFormat="1" spans="1:20">
      <c r="A108">
        <f>IF(C108=1,1001+COUNTIF($C$5:C107,1),2001+COUNTIF($C$5:C107,2))</f>
        <v>1083</v>
      </c>
      <c r="B108">
        <v>1</v>
      </c>
      <c r="C108" s="121">
        <v>1</v>
      </c>
      <c r="D108" s="122" t="str">
        <f>IFERROR(_xlfn.IFNA(VLOOKUP(ROUND(F108,0),道具!$B$271:$C$295,2,FALSE),""),"")</f>
        <v/>
      </c>
      <c r="E108" s="122" t="str">
        <f>IFERROR(_xlfn.IFNA(VLOOKUP(ROUND(F108,0),道具!$B$296:$C$320,2,FALSE),""),"")</f>
        <v/>
      </c>
      <c r="F108" t="str">
        <f>IF(转换!B100&gt;0,转换!B100*100,"")</f>
        <v/>
      </c>
      <c r="G108">
        <v>13</v>
      </c>
      <c r="H108">
        <f>'体验表-带进度条'!R100</f>
        <v>0</v>
      </c>
      <c r="I108" s="113">
        <f>转换!I100</f>
        <v>3</v>
      </c>
      <c r="J108" s="113">
        <f>IF(I108=17,1,IF(I108=9,1,IF(转换!I100&gt;0,VLOOKUP(转换!H100,道具!B:C,2,FALSE),"")))</f>
        <v>171002</v>
      </c>
      <c r="K108" s="114">
        <f>IF(转换!I100=17,ROUND(转换!J100*100/转换!$U$2,0),IF(转换!I100=9,F108,转换!J100))</f>
        <v>1</v>
      </c>
      <c r="L108" s="115"/>
      <c r="M108" s="115"/>
      <c r="N108" s="115"/>
      <c r="O108" s="113"/>
      <c r="P108" s="113"/>
      <c r="Q108" s="113"/>
      <c r="R108" s="97"/>
      <c r="S108" s="97"/>
      <c r="T108" s="97"/>
    </row>
    <row r="109" customFormat="1" spans="1:20">
      <c r="A109">
        <f>IF(C109=1,1001+COUNTIF($C$5:C108,1),2001+COUNTIF($C$5:C108,2))</f>
        <v>1084</v>
      </c>
      <c r="B109">
        <v>1</v>
      </c>
      <c r="C109" s="121">
        <v>1</v>
      </c>
      <c r="D109" s="122" t="str">
        <f>IFERROR(_xlfn.IFNA(VLOOKUP(ROUND(F109,0),道具!$B$271:$C$295,2,FALSE),""),"")</f>
        <v/>
      </c>
      <c r="E109" s="122" t="str">
        <f>IFERROR(_xlfn.IFNA(VLOOKUP(ROUND(F109,0),道具!$B$296:$C$320,2,FALSE),""),"")</f>
        <v/>
      </c>
      <c r="F109" t="str">
        <f>IF(转换!B102&gt;0,转换!B102*100,"")</f>
        <v/>
      </c>
      <c r="G109">
        <v>15</v>
      </c>
      <c r="H109">
        <f>'体验表-带进度条'!R102</f>
        <v>0</v>
      </c>
      <c r="I109" s="113">
        <f>转换!I102</f>
        <v>3</v>
      </c>
      <c r="J109" s="113">
        <f>IF(I109=17,1,IF(I109=9,1,IF(转换!I102&gt;0,VLOOKUP(转换!H102,道具!B:C,2,FALSE),"")))</f>
        <v>160001</v>
      </c>
      <c r="K109" s="114">
        <f>IF(转换!I102=17,ROUND(转换!J102*100/转换!$U$2,0),IF(转换!I102=9,F109,转换!J102))</f>
        <v>3</v>
      </c>
      <c r="L109" s="115"/>
      <c r="M109" s="115"/>
      <c r="N109" s="115"/>
      <c r="O109" s="113"/>
      <c r="P109" s="113"/>
      <c r="Q109" s="113"/>
      <c r="R109" s="97"/>
      <c r="S109" s="97"/>
      <c r="T109" s="97"/>
    </row>
    <row r="110" customFormat="1" spans="1:20">
      <c r="A110">
        <f>IF(C110=1,1001+COUNTIF($C$5:C109,1),2001+COUNTIF($C$5:C109,2))</f>
        <v>1085</v>
      </c>
      <c r="B110">
        <v>1</v>
      </c>
      <c r="C110" s="121">
        <v>1</v>
      </c>
      <c r="D110" s="122" t="str">
        <f>IFERROR(_xlfn.IFNA(VLOOKUP(ROUND(F110,0),道具!$B$271:$C$295,2,FALSE),""),"")</f>
        <v/>
      </c>
      <c r="E110" s="122" t="str">
        <f>IFERROR(_xlfn.IFNA(VLOOKUP(ROUND(F110,0),道具!$B$296:$C$320,2,FALSE),""),"")</f>
        <v/>
      </c>
      <c r="F110" t="str">
        <f>IF(转换!B103&gt;0,转换!B103*100,"")</f>
        <v/>
      </c>
      <c r="G110">
        <v>16</v>
      </c>
      <c r="H110">
        <f>'体验表-带进度条'!R103</f>
        <v>0</v>
      </c>
      <c r="I110" s="113">
        <f>转换!I103</f>
        <v>17</v>
      </c>
      <c r="J110" s="113">
        <f>IF(I110=17,1,IF(I110=9,1,IF(转换!I103&gt;0,VLOOKUP(转换!H103,道具!B:C,2,FALSE),"")))</f>
        <v>1</v>
      </c>
      <c r="K110" s="114">
        <f>IF(转换!I103=17,ROUND(转换!J103*100/转换!$U$2,0),IF(转换!I103=9,F110,转换!J103))</f>
        <v>201</v>
      </c>
      <c r="L110" s="115"/>
      <c r="M110" s="115"/>
      <c r="N110" s="115"/>
      <c r="O110" s="113"/>
      <c r="P110" s="113"/>
      <c r="Q110" s="113"/>
      <c r="R110" s="97"/>
      <c r="S110" s="97"/>
      <c r="T110" s="97"/>
    </row>
    <row r="111" customFormat="1" spans="1:20">
      <c r="A111">
        <f>IF(C111=1,1001+COUNTIF($C$5:C110,1),2001+COUNTIF($C$5:C110,2))</f>
        <v>1086</v>
      </c>
      <c r="B111">
        <v>1</v>
      </c>
      <c r="C111" s="121">
        <v>1</v>
      </c>
      <c r="D111" s="122" t="str">
        <f>IFERROR(_xlfn.IFNA(VLOOKUP(ROUND(F111,0),道具!$B$271:$C$295,2,FALSE),""),"")</f>
        <v/>
      </c>
      <c r="E111" s="122" t="str">
        <f>IFERROR(_xlfn.IFNA(VLOOKUP(ROUND(F111,0),道具!$B$296:$C$320,2,FALSE),""),"")</f>
        <v/>
      </c>
      <c r="F111" t="str">
        <f>IF(转换!B104&gt;0,转换!B104*100,"")</f>
        <v/>
      </c>
      <c r="G111">
        <v>17</v>
      </c>
      <c r="H111">
        <f>'体验表-带进度条'!R104</f>
        <v>25</v>
      </c>
      <c r="I111" s="113">
        <f>转换!I104</f>
        <v>4</v>
      </c>
      <c r="J111" s="113">
        <f>IF(I111=17,1,IF(I111=9,1,IF(转换!I104&gt;0,VLOOKUP(转换!H104,道具!B:C,2,FALSE),"")))</f>
        <v>100004</v>
      </c>
      <c r="K111" s="114">
        <f>IF(转换!I104=17,ROUND(转换!J104*100/转换!$U$2,0),IF(转换!I104=9,F111,转换!J104))</f>
        <v>1</v>
      </c>
      <c r="L111" s="115"/>
      <c r="M111" s="115"/>
      <c r="N111" s="115"/>
      <c r="O111" s="113"/>
      <c r="P111" s="113"/>
      <c r="Q111" s="113"/>
      <c r="R111" s="97"/>
      <c r="S111" s="97"/>
      <c r="T111" s="97"/>
    </row>
    <row r="112" customFormat="1" spans="1:20">
      <c r="A112">
        <f>IF(C112=1,1001+COUNTIF($C$5:C111,1),2001+COUNTIF($C$5:C111,2))</f>
        <v>1087</v>
      </c>
      <c r="B112">
        <v>1</v>
      </c>
      <c r="C112" s="121">
        <v>1</v>
      </c>
      <c r="D112" s="122" t="str">
        <f>IFERROR(_xlfn.IFNA(VLOOKUP(ROUND(F112,0),道具!$B$271:$C$295,2,FALSE),""),"")</f>
        <v/>
      </c>
      <c r="E112" s="122" t="str">
        <f>IFERROR(_xlfn.IFNA(VLOOKUP(ROUND(F112,0),道具!$B$296:$C$320,2,FALSE),""),"")</f>
        <v/>
      </c>
      <c r="F112" t="str">
        <f>IF(转换!B105&gt;0,转换!B105*100,"")</f>
        <v/>
      </c>
      <c r="G112">
        <v>18</v>
      </c>
      <c r="H112">
        <f>'体验表-带进度条'!R105</f>
        <v>0</v>
      </c>
      <c r="I112" s="113">
        <f>转换!I105</f>
        <v>3</v>
      </c>
      <c r="J112" s="113">
        <f>IF(I112=17,1,IF(I112=9,1,IF(转换!I105&gt;0,VLOOKUP(转换!H105,道具!B:C,2,FALSE),"")))</f>
        <v>192001</v>
      </c>
      <c r="K112" s="114">
        <f>IF(转换!I105=17,ROUND(转换!J105*100/转换!$U$2,0),IF(转换!I105=9,F112,转换!J105))</f>
        <v>15</v>
      </c>
      <c r="L112" s="115"/>
      <c r="M112" s="115"/>
      <c r="N112" s="115"/>
      <c r="O112" s="113"/>
      <c r="P112" s="113"/>
      <c r="Q112" s="113"/>
      <c r="R112" s="97"/>
      <c r="S112" s="97"/>
      <c r="T112" s="97"/>
    </row>
    <row r="113" customFormat="1" ht="18" customHeight="1" spans="1:20">
      <c r="A113">
        <f>IF(C113=1,1001+COUNTIF($C$5:C112,1),2001+COUNTIF($C$5:C112,2))</f>
        <v>1088</v>
      </c>
      <c r="B113">
        <v>1</v>
      </c>
      <c r="C113" s="121">
        <v>1</v>
      </c>
      <c r="D113" s="122" t="str">
        <f>IFERROR(_xlfn.IFNA(VLOOKUP(ROUND(F113,0),道具!$B$271:$C$295,2,FALSE),""),"")</f>
        <v/>
      </c>
      <c r="E113" s="122" t="str">
        <f>IFERROR(_xlfn.IFNA(VLOOKUP(ROUND(F113,0),道具!$B$296:$C$320,2,FALSE),""),"")</f>
        <v/>
      </c>
      <c r="F113" t="str">
        <f>IF(转换!B106&gt;0,转换!B106*100,"")</f>
        <v/>
      </c>
      <c r="G113">
        <v>19</v>
      </c>
      <c r="H113">
        <f>'体验表-带进度条'!R106</f>
        <v>0</v>
      </c>
      <c r="I113" s="113">
        <f>转换!I106</f>
        <v>3</v>
      </c>
      <c r="J113" s="113">
        <f>IF(I113=17,1,IF(I113=9,1,IF(转换!I106&gt;0,VLOOKUP(转换!H106,道具!B:C,2,FALSE),"")))</f>
        <v>171001</v>
      </c>
      <c r="K113" s="114">
        <f>IF(转换!I106=17,ROUND(转换!J106*100/转换!$U$2,0),IF(转换!I106=9,F113,转换!J106))</f>
        <v>1</v>
      </c>
      <c r="L113" s="115"/>
      <c r="M113" s="115"/>
      <c r="N113" s="115"/>
      <c r="O113" s="113"/>
      <c r="P113" s="113"/>
      <c r="Q113" s="113"/>
      <c r="R113" s="97"/>
      <c r="S113" s="97"/>
      <c r="T113" s="97"/>
    </row>
    <row r="114" customFormat="1" spans="1:20">
      <c r="A114">
        <f>IF(C114=1,1001+COUNTIF($C$5:C113,1),2001+COUNTIF($C$5:C113,2))</f>
        <v>1089</v>
      </c>
      <c r="B114">
        <v>1</v>
      </c>
      <c r="C114" s="121">
        <v>1</v>
      </c>
      <c r="D114" s="122" t="str">
        <f>IFERROR(_xlfn.IFNA(VLOOKUP(ROUND(F114,0),道具!$B$271:$C$295,2,FALSE),""),"")</f>
        <v/>
      </c>
      <c r="E114" s="122" t="str">
        <f>IFERROR(_xlfn.IFNA(VLOOKUP(ROUND(F114,0),道具!$B$296:$C$320,2,FALSE),""),"")</f>
        <v/>
      </c>
      <c r="F114" t="str">
        <f>IF(转换!B108&gt;0,转换!B108*100,"")</f>
        <v/>
      </c>
      <c r="G114">
        <v>21</v>
      </c>
      <c r="H114">
        <f>'体验表-带进度条'!R108</f>
        <v>0</v>
      </c>
      <c r="I114" s="113">
        <f>转换!I108</f>
        <v>3</v>
      </c>
      <c r="J114" s="113">
        <f>IF(I114=17,1,IF(I114=9,1,IF(转换!I108&gt;0,VLOOKUP(转换!H108,道具!B:C,2,FALSE),"")))</f>
        <v>160001</v>
      </c>
      <c r="K114" s="114">
        <f>IF(转换!I108=17,ROUND(转换!J108*100/转换!$U$2,0),IF(转换!I108=9,F114,转换!J108))</f>
        <v>4</v>
      </c>
      <c r="L114" s="115"/>
      <c r="M114" s="115"/>
      <c r="N114" s="115"/>
      <c r="O114" s="113"/>
      <c r="P114" s="113"/>
      <c r="Q114" s="113"/>
      <c r="R114" s="97"/>
      <c r="S114" s="97"/>
      <c r="T114" s="97"/>
    </row>
    <row r="115" customFormat="1" spans="1:20">
      <c r="A115">
        <f>IF(C115=1,1001+COUNTIF($C$5:C114,1),2001+COUNTIF($C$5:C114,2))</f>
        <v>1090</v>
      </c>
      <c r="B115">
        <v>1</v>
      </c>
      <c r="C115" s="121">
        <v>1</v>
      </c>
      <c r="D115" s="122" t="str">
        <f>IFERROR(_xlfn.IFNA(VLOOKUP(ROUND(F115,0),道具!$B$271:$C$295,2,FALSE),""),"")</f>
        <v/>
      </c>
      <c r="E115" s="122" t="str">
        <f>IFERROR(_xlfn.IFNA(VLOOKUP(ROUND(F115,0),道具!$B$296:$C$320,2,FALSE),""),"")</f>
        <v/>
      </c>
      <c r="F115" t="str">
        <f>IF(转换!B109&gt;0,转换!B109*100,"")</f>
        <v/>
      </c>
      <c r="G115">
        <v>22</v>
      </c>
      <c r="H115">
        <f>'体验表-带进度条'!R109</f>
        <v>0</v>
      </c>
      <c r="I115" s="113">
        <f>转换!I109</f>
        <v>17</v>
      </c>
      <c r="J115" s="113">
        <f>IF(I115=17,1,IF(I115=9,1,IF(转换!I109&gt;0,VLOOKUP(转换!H109,道具!B:C,2,FALSE),"")))</f>
        <v>1</v>
      </c>
      <c r="K115" s="114">
        <f>IF(转换!I109=17,ROUND(转换!J109*100/转换!$U$2,0),IF(转换!I109=9,F115,转换!J109))</f>
        <v>161</v>
      </c>
      <c r="L115" s="115"/>
      <c r="M115" s="115"/>
      <c r="N115" s="115"/>
      <c r="O115" s="113"/>
      <c r="P115" s="113"/>
      <c r="Q115" s="113"/>
      <c r="R115" s="97"/>
      <c r="S115" s="97"/>
      <c r="T115" s="97"/>
    </row>
    <row r="116" customFormat="1" spans="1:20">
      <c r="A116">
        <f>IF(C116=1,1001+COUNTIF($C$5:C115,1),2001+COUNTIF($C$5:C115,2))</f>
        <v>1091</v>
      </c>
      <c r="B116">
        <v>1</v>
      </c>
      <c r="C116" s="121">
        <v>1</v>
      </c>
      <c r="D116" s="122" t="str">
        <f>IFERROR(_xlfn.IFNA(VLOOKUP(ROUND(F116,0),道具!$B$271:$C$295,2,FALSE),""),"")</f>
        <v/>
      </c>
      <c r="E116" s="122" t="str">
        <f>IFERROR(_xlfn.IFNA(VLOOKUP(ROUND(F116,0),道具!$B$296:$C$320,2,FALSE),""),"")</f>
        <v/>
      </c>
      <c r="F116" t="str">
        <f>IF(转换!B110&gt;0,转换!B110*100,"")</f>
        <v/>
      </c>
      <c r="G116">
        <v>23</v>
      </c>
      <c r="H116">
        <f>'体验表-带进度条'!R110</f>
        <v>15</v>
      </c>
      <c r="I116" s="113">
        <f>转换!I110</f>
        <v>4</v>
      </c>
      <c r="J116" s="113">
        <f>IF(I116=17,1,IF(I116=9,1,IF(转换!I110&gt;0,VLOOKUP(转换!H110,道具!B:C,2,FALSE),"")))</f>
        <v>100004</v>
      </c>
      <c r="K116" s="114">
        <f>IF(转换!I110=17,ROUND(转换!J110*100/转换!$U$2,0),IF(转换!I110=9,F116,转换!J110))</f>
        <v>1</v>
      </c>
      <c r="L116" s="115"/>
      <c r="M116" s="115"/>
      <c r="N116" s="115"/>
      <c r="O116" s="113"/>
      <c r="P116" s="113"/>
      <c r="Q116" s="113"/>
      <c r="R116" s="97"/>
      <c r="S116" s="97"/>
      <c r="T116" s="97"/>
    </row>
    <row r="117" customFormat="1" spans="1:20">
      <c r="A117">
        <f>IF(C117=1,1001+COUNTIF($C$5:C116,1),2001+COUNTIF($C$5:C116,2))</f>
        <v>1092</v>
      </c>
      <c r="B117">
        <v>1</v>
      </c>
      <c r="C117" s="121">
        <v>1</v>
      </c>
      <c r="D117" s="122" t="str">
        <f>IFERROR(_xlfn.IFNA(VLOOKUP(ROUND(F117,0),道具!$B$271:$C$295,2,FALSE),""),"")</f>
        <v/>
      </c>
      <c r="E117" s="122" t="str">
        <f>IFERROR(_xlfn.IFNA(VLOOKUP(ROUND(F117,0),道具!$B$296:$C$320,2,FALSE),""),"")</f>
        <v/>
      </c>
      <c r="F117" t="str">
        <f>IF(转换!B111&gt;0,转换!B111*100,"")</f>
        <v/>
      </c>
      <c r="G117">
        <v>24</v>
      </c>
      <c r="H117">
        <f>'体验表-带进度条'!R111</f>
        <v>0</v>
      </c>
      <c r="I117" s="113">
        <f>转换!I111</f>
        <v>3</v>
      </c>
      <c r="J117" s="113">
        <f>IF(I117=17,1,IF(I117=9,1,IF(转换!I111&gt;0,VLOOKUP(转换!H111,道具!B:C,2,FALSE),"")))</f>
        <v>192001</v>
      </c>
      <c r="K117" s="114">
        <f>IF(转换!I111=17,ROUND(转换!J111*100/转换!$U$2,0),IF(转换!I111=9,F117,转换!J111))</f>
        <v>20</v>
      </c>
      <c r="L117" s="115"/>
      <c r="M117" s="115"/>
      <c r="N117" s="115"/>
      <c r="O117" s="113"/>
      <c r="P117" s="113"/>
      <c r="Q117" s="113"/>
      <c r="R117" s="97"/>
      <c r="S117" s="97"/>
      <c r="T117" s="97"/>
    </row>
    <row r="118" customFormat="1" spans="1:20">
      <c r="A118">
        <f>IF(C118=1,1001+COUNTIF($C$5:C117,1),2001+COUNTIF($C$5:C117,2))</f>
        <v>1093</v>
      </c>
      <c r="B118">
        <v>1</v>
      </c>
      <c r="C118" s="121">
        <v>1</v>
      </c>
      <c r="D118" s="122" t="str">
        <f>IFERROR(_xlfn.IFNA(VLOOKUP(ROUND(F118,0),道具!$B$271:$C$295,2,FALSE),""),"")</f>
        <v/>
      </c>
      <c r="E118" s="122" t="str">
        <f>IFERROR(_xlfn.IFNA(VLOOKUP(ROUND(F118,0),道具!$B$296:$C$320,2,FALSE),""),"")</f>
        <v/>
      </c>
      <c r="F118" t="str">
        <f>IF(转换!B112&gt;0,转换!B112*100,"")</f>
        <v/>
      </c>
      <c r="G118">
        <v>25</v>
      </c>
      <c r="H118">
        <f>'体验表-带进度条'!R112</f>
        <v>0</v>
      </c>
      <c r="I118" s="113">
        <f>转换!I112</f>
        <v>3</v>
      </c>
      <c r="J118" s="113">
        <f>IF(I118=17,1,IF(I118=9,1,IF(转换!I112&gt;0,VLOOKUP(转换!H112,道具!B:C,2,FALSE),"")))</f>
        <v>171002</v>
      </c>
      <c r="K118" s="114">
        <f>IF(转换!I112=17,ROUND(转换!J112*100/转换!$U$2,0),IF(转换!I112=9,F118,转换!J112))</f>
        <v>1</v>
      </c>
      <c r="L118" s="115"/>
      <c r="M118" s="115"/>
      <c r="N118" s="115"/>
      <c r="O118" s="113"/>
      <c r="P118" s="113"/>
      <c r="Q118" s="113"/>
      <c r="R118" s="97"/>
      <c r="S118" s="97"/>
      <c r="T118" s="97"/>
    </row>
    <row r="119" customFormat="1" spans="1:20">
      <c r="A119">
        <f>IF(C119=1,1001+COUNTIF($C$5:C118,1),2001+COUNTIF($C$5:C118,2))</f>
        <v>1094</v>
      </c>
      <c r="B119">
        <v>1</v>
      </c>
      <c r="C119" s="121">
        <v>1</v>
      </c>
      <c r="D119" s="122" t="str">
        <f>IFERROR(_xlfn.IFNA(VLOOKUP(ROUND(F119,0),道具!$B$271:$C$295,2,FALSE),""),"")</f>
        <v/>
      </c>
      <c r="E119" s="122" t="str">
        <f>IFERROR(_xlfn.IFNA(VLOOKUP(ROUND(F119,0),道具!$B$296:$C$320,2,FALSE),""),"")</f>
        <v/>
      </c>
      <c r="F119" t="str">
        <f>IF(转换!B114&gt;0,转换!B114*100,"")</f>
        <v/>
      </c>
      <c r="G119">
        <v>27</v>
      </c>
      <c r="H119">
        <f>'体验表-带进度条'!R114</f>
        <v>0</v>
      </c>
      <c r="I119" s="113">
        <f>转换!I114</f>
        <v>3</v>
      </c>
      <c r="J119" s="113">
        <f>IF(I119=17,1,IF(I119=9,1,IF(转换!I114&gt;0,VLOOKUP(转换!H114,道具!B:C,2,FALSE),"")))</f>
        <v>160001</v>
      </c>
      <c r="K119" s="114">
        <f>IF(转换!I114=17,ROUND(转换!J114*100/转换!$U$2,0),IF(转换!I114=9,F119,转换!J114))</f>
        <v>5</v>
      </c>
      <c r="L119" s="115"/>
      <c r="M119" s="115"/>
      <c r="N119" s="115"/>
      <c r="O119" s="113"/>
      <c r="P119" s="113"/>
      <c r="Q119" s="113"/>
      <c r="R119" s="97"/>
      <c r="S119" s="97"/>
      <c r="T119" s="97"/>
    </row>
    <row r="120" customFormat="1" spans="1:20">
      <c r="A120">
        <f>IF(C120=1,1001+COUNTIF($C$5:C119,1),2001+COUNTIF($C$5:C119,2))</f>
        <v>1095</v>
      </c>
      <c r="B120">
        <v>1</v>
      </c>
      <c r="C120" s="121">
        <v>1</v>
      </c>
      <c r="D120" s="122" t="str">
        <f>IFERROR(_xlfn.IFNA(VLOOKUP(ROUND(F120,0),道具!$B$271:$C$295,2,FALSE),""),"")</f>
        <v/>
      </c>
      <c r="E120" s="122" t="str">
        <f>IFERROR(_xlfn.IFNA(VLOOKUP(ROUND(F120,0),道具!$B$296:$C$320,2,FALSE),""),"")</f>
        <v/>
      </c>
      <c r="F120" t="str">
        <f>IF(转换!B115&gt;0,转换!B115*100,"")</f>
        <v/>
      </c>
      <c r="G120">
        <v>28</v>
      </c>
      <c r="H120">
        <f>'体验表-带进度条'!R115</f>
        <v>0</v>
      </c>
      <c r="I120" s="113">
        <f>转换!I115</f>
        <v>17</v>
      </c>
      <c r="J120" s="113">
        <f>IF(I120=17,1,IF(I120=9,1,IF(转换!I115&gt;0,VLOOKUP(转换!H115,道具!B:C,2,FALSE),"")))</f>
        <v>1</v>
      </c>
      <c r="K120" s="114">
        <f>IF(转换!I115=17,ROUND(转换!J115*100/转换!$U$2,0),IF(转换!I115=9,F120,转换!J115))</f>
        <v>100</v>
      </c>
      <c r="L120" s="115"/>
      <c r="M120" s="115"/>
      <c r="N120" s="115"/>
      <c r="O120" s="113"/>
      <c r="P120" s="113"/>
      <c r="Q120" s="113"/>
      <c r="R120" s="97"/>
      <c r="S120" s="97"/>
      <c r="T120" s="97"/>
    </row>
    <row r="121" customFormat="1" spans="1:20">
      <c r="A121">
        <f>IF(C121=1,1001+COUNTIF($C$5:C120,1),2001+COUNTIF($C$5:C120,2))</f>
        <v>1096</v>
      </c>
      <c r="B121">
        <v>1</v>
      </c>
      <c r="C121" s="121">
        <v>1</v>
      </c>
      <c r="D121" s="122" t="str">
        <f>IFERROR(_xlfn.IFNA(VLOOKUP(ROUND(F121,0),道具!$B$271:$C$295,2,FALSE),""),"")</f>
        <v/>
      </c>
      <c r="E121" s="122" t="str">
        <f>IFERROR(_xlfn.IFNA(VLOOKUP(ROUND(F121,0),道具!$B$296:$C$320,2,FALSE),""),"")</f>
        <v/>
      </c>
      <c r="F121" t="str">
        <f>IF(转换!B116&gt;0,转换!B116*100,"")</f>
        <v/>
      </c>
      <c r="G121">
        <v>29</v>
      </c>
      <c r="H121">
        <f>'体验表-带进度条'!R116</f>
        <v>25</v>
      </c>
      <c r="I121" s="113">
        <f>转换!I116</f>
        <v>4</v>
      </c>
      <c r="J121" s="113">
        <f>IF(I121=17,1,IF(I121=9,1,IF(转换!I116&gt;0,VLOOKUP(转换!H116,道具!B:C,2,FALSE),"")))</f>
        <v>100005</v>
      </c>
      <c r="K121" s="114">
        <f>IF(转换!I116=17,ROUND(转换!J116*100/转换!$U$2,0),IF(转换!I116=9,F121,转换!J116))</f>
        <v>1</v>
      </c>
      <c r="L121" s="115"/>
      <c r="M121" s="115"/>
      <c r="N121" s="115"/>
      <c r="O121" s="113"/>
      <c r="P121" s="113"/>
      <c r="Q121" s="113"/>
      <c r="R121" s="97"/>
      <c r="S121" s="97"/>
      <c r="T121" s="97"/>
    </row>
    <row r="122" customFormat="1" spans="1:20">
      <c r="A122">
        <f>IF(C122=1,1001+COUNTIF($C$5:C121,1),2001+COUNTIF($C$5:C121,2))</f>
        <v>1097</v>
      </c>
      <c r="B122">
        <v>1</v>
      </c>
      <c r="C122" s="121">
        <v>1</v>
      </c>
      <c r="D122" s="122" t="str">
        <f>IFERROR(_xlfn.IFNA(VLOOKUP(ROUND(F122,0),道具!$B$271:$C$295,2,FALSE),""),"")</f>
        <v/>
      </c>
      <c r="E122" s="122" t="str">
        <f>IFERROR(_xlfn.IFNA(VLOOKUP(ROUND(F122,0),道具!$B$296:$C$320,2,FALSE),""),"")</f>
        <v/>
      </c>
      <c r="F122" t="str">
        <f>IF(转换!B117&gt;0,转换!B117*100,"")</f>
        <v/>
      </c>
      <c r="G122">
        <v>30</v>
      </c>
      <c r="H122">
        <f>'体验表-带进度条'!R117</f>
        <v>0</v>
      </c>
      <c r="I122" s="113">
        <f>转换!I117</f>
        <v>3</v>
      </c>
      <c r="J122" s="113">
        <f>IF(I122=17,1,IF(I122=9,1,IF(转换!I117&gt;0,VLOOKUP(转换!H117,道具!B:C,2,FALSE),"")))</f>
        <v>192001</v>
      </c>
      <c r="K122" s="114">
        <f>IF(转换!I117=17,ROUND(转换!J117*100/转换!$U$2,0),IF(转换!I117=9,F122,转换!J117))</f>
        <v>25</v>
      </c>
      <c r="L122" s="115"/>
      <c r="M122" s="115"/>
      <c r="N122" s="115"/>
      <c r="O122" s="113"/>
      <c r="P122" s="113"/>
      <c r="Q122" s="113"/>
      <c r="R122" s="97"/>
      <c r="S122" s="97"/>
      <c r="T122" s="97"/>
    </row>
    <row r="123" customFormat="1" spans="1:20">
      <c r="A123">
        <f>IF(C123=1,1001+COUNTIF($C$5:C122,1),2001+COUNTIF($C$5:C122,2))</f>
        <v>1098</v>
      </c>
      <c r="B123">
        <v>1</v>
      </c>
      <c r="C123" s="121">
        <v>1</v>
      </c>
      <c r="D123" s="122" t="str">
        <f>IFERROR(_xlfn.IFNA(VLOOKUP(ROUND(F123,0),道具!$B$271:$C$295,2,FALSE),""),"")</f>
        <v/>
      </c>
      <c r="E123" s="122" t="str">
        <f>IFERROR(_xlfn.IFNA(VLOOKUP(ROUND(F123,0),道具!$B$296:$C$320,2,FALSE),""),"")</f>
        <v/>
      </c>
      <c r="F123" t="str">
        <f>IF(转换!B118&gt;0,转换!B118*100,"")</f>
        <v/>
      </c>
      <c r="G123">
        <v>31</v>
      </c>
      <c r="H123">
        <f>'体验表-带进度条'!R118</f>
        <v>0</v>
      </c>
      <c r="I123" s="113">
        <f>转换!I118</f>
        <v>3</v>
      </c>
      <c r="J123" s="113">
        <f>IF(I123=17,1,IF(I123=9,1,IF(转换!I118&gt;0,VLOOKUP(转换!H118,道具!B:C,2,FALSE),"")))</f>
        <v>171001</v>
      </c>
      <c r="K123" s="114">
        <f>IF(转换!I118=17,ROUND(转换!J118*100/转换!$U$2,0),IF(转换!I118=9,F123,转换!J118))</f>
        <v>1</v>
      </c>
      <c r="L123" s="115"/>
      <c r="M123" s="115"/>
      <c r="N123" s="115"/>
      <c r="O123" s="113"/>
      <c r="P123" s="113"/>
      <c r="Q123" s="113"/>
      <c r="R123" s="97"/>
      <c r="S123" s="97"/>
      <c r="T123" s="97"/>
    </row>
    <row r="124" customFormat="1" spans="1:20">
      <c r="A124">
        <f>IF(C124=1,1001+COUNTIF($C$5:C123,1),2001+COUNTIF($C$5:C123,2))</f>
        <v>1099</v>
      </c>
      <c r="B124">
        <v>1</v>
      </c>
      <c r="C124" s="121">
        <v>1</v>
      </c>
      <c r="D124" s="122" t="str">
        <f>IFERROR(_xlfn.IFNA(VLOOKUP(ROUND(F124,0),道具!$B$271:$C$295,2,FALSE),""),"")</f>
        <v/>
      </c>
      <c r="E124" s="122" t="str">
        <f>IFERROR(_xlfn.IFNA(VLOOKUP(ROUND(F124,0),道具!$B$296:$C$320,2,FALSE),""),"")</f>
        <v/>
      </c>
      <c r="F124" t="str">
        <f>IF(转换!B120&gt;0,转换!B120*100,"")</f>
        <v/>
      </c>
      <c r="G124">
        <v>33</v>
      </c>
      <c r="H124">
        <f>'体验表-带进度条'!R120</f>
        <v>0</v>
      </c>
      <c r="I124" s="113">
        <f>转换!I120</f>
        <v>3</v>
      </c>
      <c r="J124" s="113">
        <f>IF(I124=17,1,IF(I124=9,1,IF(转换!I120&gt;0,VLOOKUP(转换!H120,道具!B:C,2,FALSE),"")))</f>
        <v>160001</v>
      </c>
      <c r="K124" s="114">
        <f>IF(转换!I120=17,ROUND(转换!J120*100/转换!$U$2,0),IF(转换!I120=9,F124,转换!J120))</f>
        <v>6</v>
      </c>
      <c r="L124" s="115"/>
      <c r="M124" s="115"/>
      <c r="N124" s="115"/>
      <c r="O124" s="113"/>
      <c r="P124" s="113"/>
      <c r="Q124" s="113"/>
      <c r="R124" s="97"/>
      <c r="S124" s="97"/>
      <c r="T124" s="97"/>
    </row>
    <row r="125" customFormat="1" spans="1:20">
      <c r="A125">
        <f>IF(C125=1,1001+COUNTIF($C$5:C124,1),2001+COUNTIF($C$5:C124,2))</f>
        <v>1100</v>
      </c>
      <c r="B125">
        <v>1</v>
      </c>
      <c r="C125" s="121">
        <v>1</v>
      </c>
      <c r="D125" s="122" t="str">
        <f>IFERROR(_xlfn.IFNA(VLOOKUP(ROUND(F125,0),道具!$B$271:$C$295,2,FALSE),""),"")</f>
        <v/>
      </c>
      <c r="E125" s="122" t="str">
        <f>IFERROR(_xlfn.IFNA(VLOOKUP(ROUND(F125,0),道具!$B$296:$C$320,2,FALSE),""),"")</f>
        <v/>
      </c>
      <c r="F125" t="str">
        <f>IF(转换!B121&gt;0,转换!B121*100,"")</f>
        <v/>
      </c>
      <c r="G125">
        <v>34</v>
      </c>
      <c r="H125">
        <f>'体验表-带进度条'!R121</f>
        <v>0</v>
      </c>
      <c r="I125" s="113">
        <f>转换!I121</f>
        <v>17</v>
      </c>
      <c r="J125" s="113">
        <f>IF(I125=17,1,IF(I125=9,1,IF(转换!I121&gt;0,VLOOKUP(转换!H121,道具!B:C,2,FALSE),"")))</f>
        <v>1</v>
      </c>
      <c r="K125" s="114">
        <f>IF(转换!I121=17,ROUND(转换!J121*100/转换!$U$2,0),IF(转换!I121=9,F125,转换!J121))</f>
        <v>241</v>
      </c>
      <c r="L125" s="115"/>
      <c r="M125" s="115"/>
      <c r="N125" s="115"/>
      <c r="O125" s="113"/>
      <c r="P125" s="113"/>
      <c r="Q125" s="113"/>
      <c r="R125" s="97"/>
      <c r="S125" s="97"/>
      <c r="T125" s="97"/>
    </row>
    <row r="126" customFormat="1" spans="1:20">
      <c r="A126">
        <f>IF(C126=1,1001+COUNTIF($C$5:C125,1),2001+COUNTIF($C$5:C125,2))</f>
        <v>1101</v>
      </c>
      <c r="B126">
        <v>1</v>
      </c>
      <c r="C126" s="121">
        <v>1</v>
      </c>
      <c r="D126" s="122" t="str">
        <f>IFERROR(_xlfn.IFNA(VLOOKUP(ROUND(F126,0),道具!$B$271:$C$295,2,FALSE),""),"")</f>
        <v/>
      </c>
      <c r="E126" s="122" t="str">
        <f>IFERROR(_xlfn.IFNA(VLOOKUP(ROUND(F126,0),道具!$B$296:$C$320,2,FALSE),""),"")</f>
        <v/>
      </c>
      <c r="F126" t="str">
        <f>IF(转换!B122&gt;0,转换!B122*100,"")</f>
        <v/>
      </c>
      <c r="G126">
        <v>35</v>
      </c>
      <c r="H126">
        <f>'体验表-带进度条'!R122</f>
        <v>15</v>
      </c>
      <c r="I126" s="113">
        <f>转换!I122</f>
        <v>4</v>
      </c>
      <c r="J126" s="113">
        <f>IF(I126=17,1,IF(I126=9,1,IF(转换!I122&gt;0,VLOOKUP(转换!H122,道具!B:C,2,FALSE),"")))</f>
        <v>100005</v>
      </c>
      <c r="K126" s="114">
        <f>IF(转换!I122=17,ROUND(转换!J122*100/转换!$U$2,0),IF(转换!I122=9,F126,转换!J122))</f>
        <v>1</v>
      </c>
      <c r="L126" s="115"/>
      <c r="M126" s="115"/>
      <c r="N126" s="115"/>
      <c r="O126" s="113"/>
      <c r="P126" s="113"/>
      <c r="Q126" s="113"/>
      <c r="R126" s="97"/>
      <c r="S126" s="97"/>
      <c r="T126" s="97"/>
    </row>
    <row r="127" customFormat="1" spans="1:20">
      <c r="A127">
        <f>IF(C127=1,1001+COUNTIF($C$5:C126,1),2001+COUNTIF($C$5:C126,2))</f>
        <v>1102</v>
      </c>
      <c r="B127">
        <v>1</v>
      </c>
      <c r="C127" s="121">
        <v>1</v>
      </c>
      <c r="D127" s="122" t="str">
        <f>IFERROR(_xlfn.IFNA(VLOOKUP(ROUND(F127,0),道具!$B$271:$C$295,2,FALSE),""),"")</f>
        <v/>
      </c>
      <c r="E127" s="122" t="str">
        <f>IFERROR(_xlfn.IFNA(VLOOKUP(ROUND(F127,0),道具!$B$296:$C$320,2,FALSE),""),"")</f>
        <v/>
      </c>
      <c r="F127" t="str">
        <f>IF(转换!B123&gt;0,转换!B123*100,"")</f>
        <v/>
      </c>
      <c r="G127">
        <v>36</v>
      </c>
      <c r="H127">
        <f>'体验表-带进度条'!R123</f>
        <v>0</v>
      </c>
      <c r="I127" s="113">
        <f>转换!I123</f>
        <v>3</v>
      </c>
      <c r="J127" s="113">
        <f>IF(I127=17,1,IF(I127=9,1,IF(转换!I123&gt;0,VLOOKUP(转换!H123,道具!B:C,2,FALSE),"")))</f>
        <v>192001</v>
      </c>
      <c r="K127" s="114">
        <f>IF(转换!I123=17,ROUND(转换!J123*100/转换!$U$2,0),IF(转换!I123=9,F127,转换!J123))</f>
        <v>30</v>
      </c>
      <c r="L127" s="115"/>
      <c r="M127" s="115"/>
      <c r="N127" s="115"/>
      <c r="O127" s="113"/>
      <c r="P127" s="113"/>
      <c r="Q127" s="113"/>
      <c r="R127" s="97"/>
      <c r="S127" s="97"/>
      <c r="T127" s="97"/>
    </row>
    <row r="128" customFormat="1" spans="1:20">
      <c r="A128">
        <f>IF(C128=1,1001+COUNTIF($C$5:C127,1),2001+COUNTIF($C$5:C127,2))</f>
        <v>1103</v>
      </c>
      <c r="B128">
        <v>1</v>
      </c>
      <c r="C128" s="121">
        <v>1</v>
      </c>
      <c r="D128" s="122" t="str">
        <f>IFERROR(_xlfn.IFNA(VLOOKUP(ROUND(F128,0),道具!$B$271:$C$295,2,FALSE),""),"")</f>
        <v/>
      </c>
      <c r="E128" s="122" t="str">
        <f>IFERROR(_xlfn.IFNA(VLOOKUP(ROUND(F128,0),道具!$B$296:$C$320,2,FALSE),""),"")</f>
        <v/>
      </c>
      <c r="F128" t="str">
        <f>IF(转换!B124&gt;0,转换!B124*100,"")</f>
        <v/>
      </c>
      <c r="G128">
        <v>37</v>
      </c>
      <c r="H128">
        <f>'体验表-带进度条'!R124</f>
        <v>0</v>
      </c>
      <c r="I128" s="113">
        <f>转换!I124</f>
        <v>3</v>
      </c>
      <c r="J128" s="113">
        <f>IF(I128=17,1,IF(I128=9,1,IF(转换!I124&gt;0,VLOOKUP(转换!H124,道具!B:C,2,FALSE),"")))</f>
        <v>171002</v>
      </c>
      <c r="K128" s="114">
        <f>IF(转换!I124=17,ROUND(转换!J124*100/转换!$U$2,0),IF(转换!I124=9,F128,转换!J124))</f>
        <v>1</v>
      </c>
      <c r="L128" s="115"/>
      <c r="M128" s="115"/>
      <c r="N128" s="115"/>
      <c r="O128" s="113"/>
      <c r="P128" s="113"/>
      <c r="Q128" s="113"/>
      <c r="R128" s="97"/>
      <c r="S128" s="97"/>
      <c r="T128" s="97"/>
    </row>
    <row r="129" customFormat="1" spans="1:20">
      <c r="A129">
        <f>IF(C129=1,1001+COUNTIF($C$5:C128,1),2001+COUNTIF($C$5:C128,2))</f>
        <v>1104</v>
      </c>
      <c r="B129">
        <v>1</v>
      </c>
      <c r="C129" s="121">
        <v>1</v>
      </c>
      <c r="D129" s="122" t="str">
        <f>IFERROR(_xlfn.IFNA(VLOOKUP(ROUND(F129,0),道具!$B$271:$C$295,2,FALSE),""),"")</f>
        <v/>
      </c>
      <c r="E129" s="122" t="str">
        <f>IFERROR(_xlfn.IFNA(VLOOKUP(ROUND(F129,0),道具!$B$296:$C$320,2,FALSE),""),"")</f>
        <v/>
      </c>
      <c r="F129" t="str">
        <f>IF(转换!B126&gt;0,转换!B126*100,"")</f>
        <v/>
      </c>
      <c r="G129">
        <v>39</v>
      </c>
      <c r="H129">
        <f>'体验表-带进度条'!R126</f>
        <v>0</v>
      </c>
      <c r="I129" s="113">
        <f>转换!I126</f>
        <v>3</v>
      </c>
      <c r="J129" s="113">
        <f>IF(I129=17,1,IF(I129=9,1,IF(转换!I126&gt;0,VLOOKUP(转换!H126,道具!B:C,2,FALSE),"")))</f>
        <v>160001</v>
      </c>
      <c r="K129" s="114">
        <f>IF(转换!I126=17,ROUND(转换!J126*100/转换!$U$2,0),IF(转换!I126=9,F129,转换!J126))</f>
        <v>7</v>
      </c>
      <c r="L129" s="115"/>
      <c r="M129" s="115"/>
      <c r="N129" s="115"/>
      <c r="O129" s="113"/>
      <c r="P129" s="113"/>
      <c r="Q129" s="113"/>
      <c r="R129" s="97"/>
      <c r="S129" s="97"/>
      <c r="T129" s="97"/>
    </row>
    <row r="130" customFormat="1" spans="1:20">
      <c r="A130">
        <f>IF(C130=1,1001+COUNTIF($C$5:C129,1),2001+COUNTIF($C$5:C129,2))</f>
        <v>1105</v>
      </c>
      <c r="B130">
        <v>1</v>
      </c>
      <c r="C130" s="121">
        <v>1</v>
      </c>
      <c r="D130" s="122" t="str">
        <f>IFERROR(_xlfn.IFNA(VLOOKUP(ROUND(F130,0),道具!$B$271:$C$295,2,FALSE),""),"")</f>
        <v/>
      </c>
      <c r="E130" s="122" t="str">
        <f>IFERROR(_xlfn.IFNA(VLOOKUP(ROUND(F130,0),道具!$B$296:$C$320,2,FALSE),""),"")</f>
        <v/>
      </c>
      <c r="F130" t="str">
        <f>IF(转换!B127&gt;0,转换!B127*100,"")</f>
        <v/>
      </c>
      <c r="G130">
        <v>40</v>
      </c>
      <c r="H130">
        <f>'体验表-带进度条'!R127</f>
        <v>0</v>
      </c>
      <c r="I130" s="113">
        <f>转换!I127</f>
        <v>17</v>
      </c>
      <c r="J130" s="113">
        <f>IF(I130=17,1,IF(I130=9,1,IF(转换!I127&gt;0,VLOOKUP(转换!H127,道具!B:C,2,FALSE),"")))</f>
        <v>1</v>
      </c>
      <c r="K130" s="114">
        <f>IF(转换!I127=17,ROUND(转换!J127*100/转换!$U$2,0),IF(转换!I127=9,F130,转换!J127))</f>
        <v>241</v>
      </c>
      <c r="L130" s="115"/>
      <c r="M130" s="115"/>
      <c r="N130" s="115"/>
      <c r="O130" s="113"/>
      <c r="P130" s="113"/>
      <c r="Q130" s="113"/>
      <c r="R130" s="97"/>
      <c r="S130" s="97"/>
      <c r="T130" s="97"/>
    </row>
    <row r="131" customFormat="1" spans="1:20">
      <c r="A131">
        <f>IF(C131=1,1001+COUNTIF($C$5:C130,1),2001+COUNTIF($C$5:C130,2))</f>
        <v>1106</v>
      </c>
      <c r="B131">
        <v>1</v>
      </c>
      <c r="C131" s="121">
        <v>1</v>
      </c>
      <c r="D131" s="122" t="str">
        <f>IFERROR(_xlfn.IFNA(VLOOKUP(ROUND(F131,0),道具!$B$271:$C$295,2,FALSE),""),"")</f>
        <v/>
      </c>
      <c r="E131" s="122" t="str">
        <f>IFERROR(_xlfn.IFNA(VLOOKUP(ROUND(F131,0),道具!$B$296:$C$320,2,FALSE),""),"")</f>
        <v/>
      </c>
      <c r="F131" t="str">
        <f>IF(转换!B128&gt;0,转换!B128*100,"")</f>
        <v/>
      </c>
      <c r="G131">
        <v>41</v>
      </c>
      <c r="H131">
        <f>'体验表-带进度条'!R128</f>
        <v>50</v>
      </c>
      <c r="I131" s="113">
        <f>转换!I128</f>
        <v>4</v>
      </c>
      <c r="J131" s="113">
        <f>IF(I131=17,1,IF(I131=9,1,IF(转换!I128&gt;0,VLOOKUP(转换!H128,道具!B:C,2,FALSE),"")))</f>
        <v>100006</v>
      </c>
      <c r="K131" s="114">
        <f>IF(转换!I128=17,ROUND(转换!J128*100/转换!$U$2,0),IF(转换!I128=9,F131,转换!J128))</f>
        <v>1</v>
      </c>
      <c r="L131" s="115"/>
      <c r="M131" s="115"/>
      <c r="N131" s="115"/>
      <c r="O131" s="113"/>
      <c r="P131" s="113"/>
      <c r="Q131" s="113"/>
      <c r="R131" s="97"/>
      <c r="S131" s="97"/>
      <c r="T131" s="97"/>
    </row>
    <row r="132" customFormat="1" spans="1:20">
      <c r="A132">
        <f>IF(C132=1,1001+COUNTIF($C$5:C131,1),2001+COUNTIF($C$5:C131,2))</f>
        <v>1107</v>
      </c>
      <c r="B132">
        <v>1</v>
      </c>
      <c r="C132" s="121">
        <v>1</v>
      </c>
      <c r="D132" s="122" t="str">
        <f>IFERROR(_xlfn.IFNA(VLOOKUP(ROUND(F132,0),道具!$B$271:$C$295,2,FALSE),""),"")</f>
        <v/>
      </c>
      <c r="E132" s="122" t="str">
        <f>IFERROR(_xlfn.IFNA(VLOOKUP(ROUND(F132,0),道具!$B$296:$C$320,2,FALSE),""),"")</f>
        <v/>
      </c>
      <c r="F132" t="str">
        <f>IF(转换!B129&gt;0,转换!B129*100,"")</f>
        <v/>
      </c>
      <c r="G132">
        <v>42</v>
      </c>
      <c r="H132">
        <f>'体验表-带进度条'!R129</f>
        <v>0</v>
      </c>
      <c r="I132" s="113">
        <f>转换!I129</f>
        <v>3</v>
      </c>
      <c r="J132" s="113">
        <f>IF(I132=17,1,IF(I132=9,1,IF(转换!I129&gt;0,VLOOKUP(转换!H129,道具!B:C,2,FALSE),"")))</f>
        <v>192001</v>
      </c>
      <c r="K132" s="114">
        <f>IF(转换!I129=17,ROUND(转换!J129*100/转换!$U$2,0),IF(转换!I129=9,F132,转换!J129))</f>
        <v>35</v>
      </c>
      <c r="L132" s="115"/>
      <c r="M132" s="115"/>
      <c r="N132" s="115"/>
      <c r="O132" s="113"/>
      <c r="P132" s="113"/>
      <c r="Q132" s="113"/>
      <c r="R132" s="97"/>
      <c r="S132" s="97"/>
      <c r="T132" s="97"/>
    </row>
    <row r="133" customFormat="1" spans="1:20">
      <c r="A133">
        <f>IF(C133=1,1001+COUNTIF($C$5:C132,1),2001+COUNTIF($C$5:C132,2))</f>
        <v>1108</v>
      </c>
      <c r="B133">
        <v>1</v>
      </c>
      <c r="C133" s="121">
        <v>1</v>
      </c>
      <c r="D133" s="122" t="str">
        <f>IFERROR(_xlfn.IFNA(VLOOKUP(ROUND(F133,0),道具!$B$271:$C$295,2,FALSE),""),"")</f>
        <v/>
      </c>
      <c r="E133" s="122" t="str">
        <f>IFERROR(_xlfn.IFNA(VLOOKUP(ROUND(F133,0),道具!$B$296:$C$320,2,FALSE),""),"")</f>
        <v/>
      </c>
      <c r="F133" t="str">
        <f>IF(转换!B130&gt;0,转换!B130*100,"")</f>
        <v/>
      </c>
      <c r="G133">
        <v>43</v>
      </c>
      <c r="H133">
        <f>'体验表-带进度条'!R130</f>
        <v>0</v>
      </c>
      <c r="I133" s="113">
        <f>转换!I130</f>
        <v>3</v>
      </c>
      <c r="J133" s="113">
        <f>IF(I133=17,1,IF(I133=9,1,IF(转换!I130&gt;0,VLOOKUP(转换!H130,道具!B:C,2,FALSE),"")))</f>
        <v>171001</v>
      </c>
      <c r="K133" s="114">
        <f>IF(转换!I130=17,ROUND(转换!J130*100/转换!$U$2,0),IF(转换!I130=9,F133,转换!J130))</f>
        <v>1</v>
      </c>
      <c r="L133" s="115"/>
      <c r="M133" s="115"/>
      <c r="N133" s="115"/>
      <c r="O133" s="113"/>
      <c r="P133" s="113"/>
      <c r="Q133" s="113"/>
      <c r="R133" s="97"/>
      <c r="S133" s="97"/>
      <c r="T133" s="97"/>
    </row>
    <row r="134" customFormat="1" spans="1:20">
      <c r="A134">
        <f>IF(C134=1,1001+COUNTIF($C$5:C133,1),2001+COUNTIF($C$5:C133,2))</f>
        <v>2022</v>
      </c>
      <c r="B134">
        <v>1</v>
      </c>
      <c r="C134" s="121">
        <v>2</v>
      </c>
      <c r="D134" s="122" t="str">
        <f>IFERROR(_xlfn.IFNA(VLOOKUP(ROUND(F134,0),道具!$B$271:$C$295,2,FALSE),""),"")</f>
        <v>gp_hunt_599</v>
      </c>
      <c r="E134" s="122" t="str">
        <f>IFERROR(_xlfn.IFNA(VLOOKUP(ROUND(F134,0),道具!$B$296:$C$320,2,FALSE),""),"")</f>
        <v>iap_hunt_599</v>
      </c>
      <c r="F134">
        <f>IF(转换!B132&gt;0,转换!B132*100,"")</f>
        <v>599</v>
      </c>
      <c r="G134">
        <v>2</v>
      </c>
      <c r="H134">
        <f>'体验表-带进度条'!R132</f>
        <v>10</v>
      </c>
      <c r="I134" s="113">
        <f>转换!I132</f>
        <v>9</v>
      </c>
      <c r="J134" s="113">
        <f>IF(I134=17,1,IF(I134=9,1,IF(转换!I132&gt;0,VLOOKUP(转换!H132,道具!B:C,2,FALSE),"")))</f>
        <v>1</v>
      </c>
      <c r="K134" s="114">
        <f>IF(转换!I132=17,ROUND(转换!J132*100/转换!$U$2,0),IF(转换!I132=9,F134,转换!J132))</f>
        <v>599</v>
      </c>
      <c r="L134" s="115"/>
      <c r="M134" s="115"/>
      <c r="N134" s="115"/>
      <c r="O134" s="113"/>
      <c r="P134" s="113"/>
      <c r="Q134" s="113"/>
      <c r="R134" s="97"/>
      <c r="S134" s="97"/>
      <c r="T134" s="97"/>
    </row>
    <row r="135" customFormat="1" spans="1:20">
      <c r="A135">
        <f>IF(C135=1,1001+COUNTIF($C$5:C134,1),2001+COUNTIF($C$5:C134,2))</f>
        <v>2023</v>
      </c>
      <c r="B135">
        <v>1</v>
      </c>
      <c r="C135" s="121">
        <v>2</v>
      </c>
      <c r="D135" s="122" t="str">
        <f>IFERROR(_xlfn.IFNA(VLOOKUP(ROUND(F135,0),道具!$B$271:$C$295,2,FALSE),""),"")</f>
        <v>gp_hunt_3</v>
      </c>
      <c r="E135" s="122" t="str">
        <f>IFERROR(_xlfn.IFNA(VLOOKUP(ROUND(F135,0),道具!$B$296:$C$320,2,FALSE),""),"")</f>
        <v>iap_hunt_3</v>
      </c>
      <c r="F135">
        <f>IF(转换!B138&gt;0,转换!B138*100,"")</f>
        <v>799</v>
      </c>
      <c r="G135">
        <v>8</v>
      </c>
      <c r="H135">
        <f>'体验表-带进度条'!R138</f>
        <v>25</v>
      </c>
      <c r="I135" s="113">
        <f>转换!I138</f>
        <v>9</v>
      </c>
      <c r="J135" s="113">
        <f>IF(I135=17,1,IF(I135=9,1,IF(转换!I138&gt;0,VLOOKUP(转换!H138,道具!B:C,2,FALSE),"")))</f>
        <v>1</v>
      </c>
      <c r="K135" s="114">
        <f>IF(转换!I138=17,ROUND(转换!J138*100/转换!$U$2,0),IF(转换!I138=9,F135,转换!J138))</f>
        <v>799</v>
      </c>
      <c r="L135" s="115"/>
      <c r="M135" s="115"/>
      <c r="N135" s="115"/>
      <c r="O135" s="113"/>
      <c r="P135" s="113"/>
      <c r="Q135" s="113"/>
      <c r="R135" s="97"/>
      <c r="S135" s="97"/>
      <c r="T135" s="97"/>
    </row>
    <row r="136" customFormat="1" spans="1:20">
      <c r="A136">
        <f>IF(C136=1,1001+COUNTIF($C$5:C135,1),2001+COUNTIF($C$5:C135,2))</f>
        <v>2024</v>
      </c>
      <c r="B136">
        <v>1</v>
      </c>
      <c r="C136" s="121">
        <v>2</v>
      </c>
      <c r="D136" s="122" t="str">
        <f>IFERROR(_xlfn.IFNA(VLOOKUP(ROUND(F136,0),道具!$B$271:$C$295,2,FALSE),""),"")</f>
        <v>gp_hunt_999</v>
      </c>
      <c r="E136" s="122" t="str">
        <f>IFERROR(_xlfn.IFNA(VLOOKUP(ROUND(F136,0),道具!$B$296:$C$320,2,FALSE),""),"")</f>
        <v>iap_hunt_999</v>
      </c>
      <c r="F136">
        <f>IF(转换!B144&gt;0,转换!B144*100,"")</f>
        <v>999</v>
      </c>
      <c r="G136">
        <v>14</v>
      </c>
      <c r="H136">
        <f>'体验表-带进度条'!R144</f>
        <v>35</v>
      </c>
      <c r="I136" s="113">
        <f>转换!I144</f>
        <v>9</v>
      </c>
      <c r="J136" s="113">
        <f>IF(I136=17,1,IF(I136=9,1,IF(转换!I144&gt;0,VLOOKUP(转换!H144,道具!B:C,2,FALSE),"")))</f>
        <v>1</v>
      </c>
      <c r="K136" s="114">
        <f>IF(转换!I144=17,ROUND(转换!J144*100/转换!$U$2,0),IF(转换!I144=9,F136,转换!J144))</f>
        <v>999</v>
      </c>
      <c r="L136" s="115"/>
      <c r="M136" s="115"/>
      <c r="N136" s="115"/>
      <c r="O136" s="113"/>
      <c r="P136" s="113"/>
      <c r="Q136" s="113"/>
      <c r="R136" s="97"/>
      <c r="S136" s="97"/>
      <c r="T136" s="97"/>
    </row>
    <row r="137" customFormat="1" spans="1:20">
      <c r="A137">
        <f>IF(C137=1,1001+COUNTIF($C$5:C136,1),2001+COUNTIF($C$5:C136,2))</f>
        <v>2025</v>
      </c>
      <c r="B137">
        <v>1</v>
      </c>
      <c r="C137" s="121">
        <v>2</v>
      </c>
      <c r="D137" s="122" t="str">
        <f>IFERROR(_xlfn.IFNA(VLOOKUP(ROUND(F137,0),道具!$B$271:$C$295,2,FALSE),""),"")</f>
        <v>gp_hunt_5</v>
      </c>
      <c r="E137" s="122" t="str">
        <f>IFERROR(_xlfn.IFNA(VLOOKUP(ROUND(F137,0),道具!$B$296:$C$320,2,FALSE),""),"")</f>
        <v>iap_hunt_5</v>
      </c>
      <c r="F137">
        <f>IF(转换!B150&gt;0,转换!B150*100,"")</f>
        <v>1299</v>
      </c>
      <c r="G137">
        <v>20</v>
      </c>
      <c r="H137">
        <f>'体验表-带进度条'!R150</f>
        <v>0</v>
      </c>
      <c r="I137" s="113">
        <f>转换!I150</f>
        <v>9</v>
      </c>
      <c r="J137" s="113">
        <f>IF(I137=17,1,IF(I137=9,1,IF(转换!I150&gt;0,VLOOKUP(转换!H150,道具!B:C,2,FALSE),"")))</f>
        <v>1</v>
      </c>
      <c r="K137" s="114">
        <f>IF(转换!I150=17,ROUND(转换!J150*100/转换!$U$2,0),IF(转换!I150=9,F137,转换!J150))</f>
        <v>1299</v>
      </c>
      <c r="L137" s="115"/>
      <c r="M137" s="115"/>
      <c r="N137" s="115"/>
      <c r="O137" s="113"/>
      <c r="P137" s="113"/>
      <c r="Q137" s="113"/>
      <c r="R137" s="97"/>
      <c r="S137" s="97"/>
      <c r="T137" s="97"/>
    </row>
    <row r="138" customFormat="1" spans="1:20">
      <c r="A138">
        <f>IF(C138=1,1001+COUNTIF($C$5:C137,1),2001+COUNTIF($C$5:C137,2))</f>
        <v>2026</v>
      </c>
      <c r="B138">
        <v>1</v>
      </c>
      <c r="C138" s="121">
        <v>2</v>
      </c>
      <c r="D138" s="122" t="str">
        <f>IFERROR(_xlfn.IFNA(VLOOKUP(ROUND(F138,0),道具!$B$271:$C$295,2,FALSE),""),"")</f>
        <v>gp_hunt_6</v>
      </c>
      <c r="E138" s="122" t="str">
        <f>IFERROR(_xlfn.IFNA(VLOOKUP(ROUND(F138,0),道具!$B$296:$C$320,2,FALSE),""),"")</f>
        <v>iap_hunt_6</v>
      </c>
      <c r="F138">
        <f>IF(转换!B156&gt;0,转换!B156*100,"")</f>
        <v>1499</v>
      </c>
      <c r="G138">
        <v>26</v>
      </c>
      <c r="H138">
        <f>'体验表-带进度条'!R156</f>
        <v>10</v>
      </c>
      <c r="I138" s="113">
        <f>转换!I156</f>
        <v>9</v>
      </c>
      <c r="J138" s="113">
        <f>IF(I138=17,1,IF(I138=9,1,IF(转换!I156&gt;0,VLOOKUP(转换!H156,道具!B:C,2,FALSE),"")))</f>
        <v>1</v>
      </c>
      <c r="K138" s="114">
        <f>IF(转换!I156=17,ROUND(转换!J156*100/转换!$U$2,0),IF(转换!I156=9,F138,转换!J156))</f>
        <v>1499</v>
      </c>
      <c r="L138" s="115"/>
      <c r="M138" s="115"/>
      <c r="N138" s="115"/>
      <c r="O138" s="113"/>
      <c r="P138" s="113"/>
      <c r="Q138" s="113"/>
      <c r="R138" s="97"/>
      <c r="S138" s="97"/>
      <c r="T138" s="97"/>
    </row>
    <row r="139" customFormat="1" spans="1:20">
      <c r="A139">
        <f>IF(C139=1,1001+COUNTIF($C$5:C138,1),2001+COUNTIF($C$5:C138,2))</f>
        <v>2027</v>
      </c>
      <c r="B139">
        <v>1</v>
      </c>
      <c r="C139" s="121">
        <v>2</v>
      </c>
      <c r="D139" s="122" t="str">
        <f>IFERROR(_xlfn.IFNA(VLOOKUP(ROUND(F139,0),道具!$B$271:$C$295,2,FALSE),""),"")</f>
        <v>gp_hunt_1799</v>
      </c>
      <c r="E139" s="122" t="str">
        <f>IFERROR(_xlfn.IFNA(VLOOKUP(ROUND(F139,0),道具!$B$296:$C$320,2,FALSE),""),"")</f>
        <v>iap_hunt_1799</v>
      </c>
      <c r="F139">
        <f>IF(转换!B162&gt;0,转换!B162*100,"")</f>
        <v>1799</v>
      </c>
      <c r="G139">
        <v>32</v>
      </c>
      <c r="H139">
        <f>'体验表-带进度条'!R162</f>
        <v>25</v>
      </c>
      <c r="I139" s="113">
        <f>转换!I162</f>
        <v>9</v>
      </c>
      <c r="J139" s="113">
        <f>IF(I139=17,1,IF(I139=9,1,IF(转换!I162&gt;0,VLOOKUP(转换!H162,道具!B:C,2,FALSE),"")))</f>
        <v>1</v>
      </c>
      <c r="K139" s="114">
        <f>IF(转换!I162=17,ROUND(转换!J162*100/转换!$U$2,0),IF(转换!I162=9,F139,转换!J162))</f>
        <v>1799</v>
      </c>
      <c r="L139" s="115"/>
      <c r="M139" s="115"/>
      <c r="N139" s="115"/>
      <c r="O139" s="113"/>
      <c r="P139" s="113"/>
      <c r="Q139" s="113"/>
      <c r="R139" s="97"/>
      <c r="S139" s="97"/>
      <c r="T139" s="97"/>
    </row>
    <row r="140" customFormat="1" spans="1:20">
      <c r="A140">
        <f>IF(C140=1,1001+COUNTIF($C$5:C139,1),2001+COUNTIF($C$5:C139,2))</f>
        <v>2028</v>
      </c>
      <c r="B140">
        <v>1</v>
      </c>
      <c r="C140" s="121">
        <v>2</v>
      </c>
      <c r="D140" s="122" t="str">
        <f>IFERROR(_xlfn.IFNA(VLOOKUP(ROUND(F140,0),道具!$B$271:$C$295,2,FALSE),""),"")</f>
        <v>gp_hunt_1999</v>
      </c>
      <c r="E140" s="122" t="str">
        <f>IFERROR(_xlfn.IFNA(VLOOKUP(ROUND(F140,0),道具!$B$296:$C$320,2,FALSE),""),"")</f>
        <v>iap_hunt_1999</v>
      </c>
      <c r="F140">
        <f>IF(转换!B168&gt;0,转换!B168*100,"")</f>
        <v>1999</v>
      </c>
      <c r="G140">
        <v>38</v>
      </c>
      <c r="H140">
        <f>'体验表-带进度条'!R168</f>
        <v>35</v>
      </c>
      <c r="I140" s="113">
        <f>转换!I168</f>
        <v>9</v>
      </c>
      <c r="J140" s="113">
        <f>IF(I140=17,1,IF(I140=9,1,IF(转换!I168&gt;0,VLOOKUP(转换!H168,道具!B:C,2,FALSE),"")))</f>
        <v>1</v>
      </c>
      <c r="K140" s="114">
        <f>IF(转换!I168=17,ROUND(转换!J168*100/转换!$U$2,0),IF(转换!I168=9,F140,转换!J168))</f>
        <v>1999</v>
      </c>
      <c r="L140" s="115"/>
      <c r="M140" s="115"/>
      <c r="N140" s="115"/>
      <c r="O140" s="113"/>
      <c r="P140" s="113"/>
      <c r="Q140" s="113"/>
      <c r="R140" s="97"/>
      <c r="S140" s="97"/>
      <c r="T140" s="97"/>
    </row>
    <row r="141" customFormat="1" spans="1:20">
      <c r="A141">
        <f>IF(C141=1,1001+COUNTIF($C$5:C140,1),2001+COUNTIF($C$5:C140,2))</f>
        <v>1109</v>
      </c>
      <c r="B141">
        <v>1</v>
      </c>
      <c r="C141" s="121">
        <v>1</v>
      </c>
      <c r="D141" s="122" t="str">
        <f>IFERROR(_xlfn.IFNA(VLOOKUP(ROUND(F141,0),道具!$B$271:$C$295,2,FALSE),""),"")</f>
        <v/>
      </c>
      <c r="E141" s="122" t="str">
        <f>IFERROR(_xlfn.IFNA(VLOOKUP(ROUND(F141,0),道具!$B$296:$C$320,2,FALSE),""),"")</f>
        <v/>
      </c>
      <c r="F141" t="str">
        <f>IF(转换!B131&gt;0,转换!B131*100,"")</f>
        <v/>
      </c>
      <c r="G141">
        <v>1</v>
      </c>
      <c r="H141">
        <f>'体验表-带进度条'!R131</f>
        <v>20</v>
      </c>
      <c r="I141" s="113">
        <f>转换!I131</f>
        <v>1</v>
      </c>
      <c r="J141" s="113">
        <f>IF(I141=17,1,IF(I141=9,1,IF(转换!I131&gt;0,VLOOKUP(转换!H131,道具!B:C,2,FALSE),"")))</f>
        <v>1</v>
      </c>
      <c r="K141" s="114">
        <f>IF(转换!I131=17,ROUND(转换!J131*100/转换!$U$2,0),IF(转换!I131=9,F141,转换!J131))</f>
        <v>5000</v>
      </c>
      <c r="L141" s="115"/>
      <c r="M141" s="115"/>
      <c r="N141" s="115"/>
      <c r="O141" s="113"/>
      <c r="P141" s="113"/>
      <c r="Q141" s="113"/>
      <c r="R141" s="97"/>
      <c r="S141" s="97"/>
      <c r="T141" s="97"/>
    </row>
    <row r="142" customFormat="1" spans="1:20">
      <c r="A142">
        <f>IF(C142=1,1001+COUNTIF($C$5:C141,1),2001+COUNTIF($C$5:C141,2))</f>
        <v>1110</v>
      </c>
      <c r="B142">
        <v>1</v>
      </c>
      <c r="C142" s="121">
        <v>1</v>
      </c>
      <c r="D142" s="122" t="str">
        <f>IFERROR(_xlfn.IFNA(VLOOKUP(ROUND(F142,0),道具!$B$271:$C$295,2,FALSE),""),"")</f>
        <v/>
      </c>
      <c r="E142" s="122" t="str">
        <f>IFERROR(_xlfn.IFNA(VLOOKUP(ROUND(F142,0),道具!$B$296:$C$320,2,FALSE),""),"")</f>
        <v/>
      </c>
      <c r="F142" t="str">
        <f>IF(转换!B133&gt;0,转换!B133*100,"")</f>
        <v/>
      </c>
      <c r="G142">
        <v>3</v>
      </c>
      <c r="H142">
        <f>'体验表-带进度条'!R133</f>
        <v>0</v>
      </c>
      <c r="I142" s="113">
        <f>转换!I133</f>
        <v>3</v>
      </c>
      <c r="J142" s="113">
        <f>IF(I142=17,1,IF(I142=9,1,IF(转换!I133&gt;0,VLOOKUP(转换!H133,道具!B:C,2,FALSE),"")))</f>
        <v>160001</v>
      </c>
      <c r="K142" s="114">
        <f>IF(转换!I133=17,ROUND(转换!J133*100/转换!$U$2,0),IF(转换!I133=9,F142,转换!J133))</f>
        <v>1</v>
      </c>
      <c r="L142" s="115"/>
      <c r="M142" s="115"/>
      <c r="N142" s="115"/>
      <c r="O142" s="113"/>
      <c r="P142" s="113"/>
      <c r="Q142" s="113"/>
      <c r="R142" s="97"/>
      <c r="S142" s="97"/>
      <c r="T142" s="97"/>
    </row>
    <row r="143" customFormat="1" spans="1:20">
      <c r="A143">
        <f>IF(C143=1,1001+COUNTIF($C$5:C142,1),2001+COUNTIF($C$5:C142,2))</f>
        <v>1111</v>
      </c>
      <c r="B143">
        <v>1</v>
      </c>
      <c r="C143" s="121">
        <v>1</v>
      </c>
      <c r="D143" s="122" t="str">
        <f>IFERROR(_xlfn.IFNA(VLOOKUP(ROUND(F143,0),道具!$B$271:$C$295,2,FALSE),""),"")</f>
        <v/>
      </c>
      <c r="E143" s="122" t="str">
        <f>IFERROR(_xlfn.IFNA(VLOOKUP(ROUND(F143,0),道具!$B$296:$C$320,2,FALSE),""),"")</f>
        <v/>
      </c>
      <c r="F143" t="str">
        <f>IF(转换!B134&gt;0,转换!B134*100,"")</f>
        <v/>
      </c>
      <c r="G143">
        <v>4</v>
      </c>
      <c r="H143">
        <f>'体验表-带进度条'!R134</f>
        <v>0</v>
      </c>
      <c r="I143" s="113">
        <f>转换!I134</f>
        <v>17</v>
      </c>
      <c r="J143" s="113">
        <f>IF(I143=17,1,IF(I143=9,1,IF(转换!I134&gt;0,VLOOKUP(转换!H134,道具!B:C,2,FALSE),"")))</f>
        <v>1</v>
      </c>
      <c r="K143" s="114">
        <f>IF(转换!I134=17,ROUND(转换!J134*100/转换!$U$2,0),IF(转换!I134=9,F143,转换!J134))</f>
        <v>201</v>
      </c>
      <c r="L143" s="115"/>
      <c r="M143" s="115"/>
      <c r="N143" s="115"/>
      <c r="O143" s="113"/>
      <c r="P143" s="113"/>
      <c r="Q143" s="113"/>
      <c r="R143" s="97"/>
      <c r="S143" s="97"/>
      <c r="T143" s="97"/>
    </row>
    <row r="144" customFormat="1" spans="1:20">
      <c r="A144">
        <f>IF(C144=1,1001+COUNTIF($C$5:C143,1),2001+COUNTIF($C$5:C143,2))</f>
        <v>1112</v>
      </c>
      <c r="B144">
        <v>1</v>
      </c>
      <c r="C144" s="121">
        <v>1</v>
      </c>
      <c r="D144" s="122" t="str">
        <f>IFERROR(_xlfn.IFNA(VLOOKUP(ROUND(F144,0),道具!$B$271:$C$295,2,FALSE),""),"")</f>
        <v/>
      </c>
      <c r="E144" s="122" t="str">
        <f>IFERROR(_xlfn.IFNA(VLOOKUP(ROUND(F144,0),道具!$B$296:$C$320,2,FALSE),""),"")</f>
        <v/>
      </c>
      <c r="F144" t="str">
        <f>IF(转换!B135&gt;0,转换!B135*100,"")</f>
        <v/>
      </c>
      <c r="G144">
        <v>5</v>
      </c>
      <c r="H144">
        <f>'体验表-带进度条'!R135</f>
        <v>10</v>
      </c>
      <c r="I144" s="113">
        <f>转换!I135</f>
        <v>4</v>
      </c>
      <c r="J144" s="113">
        <f>IF(I144=17,1,IF(I144=9,1,IF(转换!I135&gt;0,VLOOKUP(转换!H135,道具!B:C,2,FALSE),"")))</f>
        <v>100002</v>
      </c>
      <c r="K144" s="114">
        <f>IF(转换!I135=17,ROUND(转换!J135*100/转换!$U$2,0),IF(转换!I135=9,F144,转换!J135))</f>
        <v>1</v>
      </c>
      <c r="L144" s="115"/>
      <c r="M144" s="115"/>
      <c r="N144" s="115"/>
      <c r="O144" s="113"/>
      <c r="P144" s="113"/>
      <c r="Q144" s="113"/>
      <c r="R144" s="97"/>
      <c r="S144" s="97"/>
      <c r="T144" s="97"/>
    </row>
    <row r="145" customFormat="1" spans="1:20">
      <c r="A145">
        <f>IF(C145=1,1001+COUNTIF($C$5:C144,1),2001+COUNTIF($C$5:C144,2))</f>
        <v>1113</v>
      </c>
      <c r="B145">
        <v>1</v>
      </c>
      <c r="C145" s="121">
        <v>1</v>
      </c>
      <c r="D145" s="122" t="str">
        <f>IFERROR(_xlfn.IFNA(VLOOKUP(ROUND(F145,0),道具!$B$271:$C$295,2,FALSE),""),"")</f>
        <v/>
      </c>
      <c r="E145" s="122" t="str">
        <f>IFERROR(_xlfn.IFNA(VLOOKUP(ROUND(F145,0),道具!$B$296:$C$320,2,FALSE),""),"")</f>
        <v/>
      </c>
      <c r="F145" t="str">
        <f>IF(转换!B136&gt;0,转换!B136*100,"")</f>
        <v/>
      </c>
      <c r="G145">
        <v>6</v>
      </c>
      <c r="H145">
        <f>'体验表-带进度条'!R136</f>
        <v>0</v>
      </c>
      <c r="I145" s="113">
        <f>转换!I136</f>
        <v>3</v>
      </c>
      <c r="J145" s="113">
        <f>IF(I145=17,1,IF(I145=9,1,IF(转换!I136&gt;0,VLOOKUP(转换!H136,道具!B:C,2,FALSE),"")))</f>
        <v>192001</v>
      </c>
      <c r="K145" s="114">
        <f>IF(转换!I136=17,ROUND(转换!J136*100/转换!$U$2,0),IF(转换!I136=9,F145,转换!J136))</f>
        <v>5</v>
      </c>
      <c r="L145" s="115"/>
      <c r="M145" s="115"/>
      <c r="N145" s="115"/>
      <c r="O145" s="113"/>
      <c r="P145" s="113"/>
      <c r="Q145" s="113"/>
      <c r="R145" s="97"/>
      <c r="S145" s="97"/>
      <c r="T145" s="97"/>
    </row>
    <row r="146" customFormat="1" spans="1:20">
      <c r="A146">
        <f>IF(C146=1,1001+COUNTIF($C$5:C145,1),2001+COUNTIF($C$5:C145,2))</f>
        <v>1114</v>
      </c>
      <c r="B146">
        <v>1</v>
      </c>
      <c r="C146" s="121">
        <v>1</v>
      </c>
      <c r="D146" s="122" t="str">
        <f>IFERROR(_xlfn.IFNA(VLOOKUP(ROUND(F146,0),道具!$B$271:$C$295,2,FALSE),""),"")</f>
        <v/>
      </c>
      <c r="E146" s="122" t="str">
        <f>IFERROR(_xlfn.IFNA(VLOOKUP(ROUND(F146,0),道具!$B$296:$C$320,2,FALSE),""),"")</f>
        <v/>
      </c>
      <c r="F146" t="str">
        <f>IF(转换!B137&gt;0,转换!B137*100,"")</f>
        <v/>
      </c>
      <c r="G146">
        <v>7</v>
      </c>
      <c r="H146">
        <f>'体验表-带进度条'!R137</f>
        <v>0</v>
      </c>
      <c r="I146" s="113">
        <f>转换!I137</f>
        <v>3</v>
      </c>
      <c r="J146" s="113">
        <f>IF(I146=17,1,IF(I146=9,1,IF(转换!I137&gt;0,VLOOKUP(转换!H137,道具!B:C,2,FALSE),"")))</f>
        <v>171001</v>
      </c>
      <c r="K146" s="114">
        <f>IF(转换!I137=17,ROUND(转换!J137*100/转换!$U$2,0),IF(转换!I137=9,F146,转换!J137))</f>
        <v>1</v>
      </c>
      <c r="L146" s="115"/>
      <c r="M146" s="115"/>
      <c r="N146" s="115"/>
      <c r="O146" s="113"/>
      <c r="P146" s="113"/>
      <c r="Q146" s="113"/>
      <c r="R146" s="97"/>
      <c r="S146" s="97"/>
      <c r="T146" s="97"/>
    </row>
    <row r="147" customFormat="1" spans="1:20">
      <c r="A147">
        <f>IF(C147=1,1001+COUNTIF($C$5:C146,1),2001+COUNTIF($C$5:C146,2))</f>
        <v>1115</v>
      </c>
      <c r="B147">
        <v>1</v>
      </c>
      <c r="C147" s="121">
        <v>1</v>
      </c>
      <c r="D147" s="122" t="str">
        <f>IFERROR(_xlfn.IFNA(VLOOKUP(ROUND(F147,0),道具!$B$271:$C$295,2,FALSE),""),"")</f>
        <v/>
      </c>
      <c r="E147" s="122" t="str">
        <f>IFERROR(_xlfn.IFNA(VLOOKUP(ROUND(F147,0),道具!$B$296:$C$320,2,FALSE),""),"")</f>
        <v/>
      </c>
      <c r="F147" t="str">
        <f>IF(转换!B139&gt;0,转换!B139*100,"")</f>
        <v/>
      </c>
      <c r="G147">
        <v>9</v>
      </c>
      <c r="H147">
        <f>'体验表-带进度条'!R139</f>
        <v>0</v>
      </c>
      <c r="I147" s="113">
        <f>转换!I139</f>
        <v>3</v>
      </c>
      <c r="J147" s="113">
        <f>IF(I147=17,1,IF(I147=9,1,IF(转换!I139&gt;0,VLOOKUP(转换!H139,道具!B:C,2,FALSE),"")))</f>
        <v>160001</v>
      </c>
      <c r="K147" s="114">
        <f>IF(转换!I139=17,ROUND(转换!J139*100/转换!$U$2,0),IF(转换!I139=9,F147,转换!J139))</f>
        <v>2</v>
      </c>
      <c r="L147" s="115"/>
      <c r="M147" s="115"/>
      <c r="N147" s="115"/>
      <c r="O147" s="113"/>
      <c r="P147" s="113"/>
      <c r="Q147" s="113"/>
      <c r="R147" s="97"/>
      <c r="S147" s="97"/>
      <c r="T147" s="97"/>
    </row>
    <row r="148" customFormat="1" spans="1:20">
      <c r="A148">
        <f>IF(C148=1,1001+COUNTIF($C$5:C147,1),2001+COUNTIF($C$5:C147,2))</f>
        <v>1116</v>
      </c>
      <c r="B148">
        <v>1</v>
      </c>
      <c r="C148" s="121">
        <v>1</v>
      </c>
      <c r="D148" s="122" t="str">
        <f>IFERROR(_xlfn.IFNA(VLOOKUP(ROUND(F148,0),道具!$B$271:$C$295,2,FALSE),""),"")</f>
        <v/>
      </c>
      <c r="E148" s="122" t="str">
        <f>IFERROR(_xlfn.IFNA(VLOOKUP(ROUND(F148,0),道具!$B$296:$C$320,2,FALSE),""),"")</f>
        <v/>
      </c>
      <c r="F148" t="str">
        <f>IF(转换!B140&gt;0,转换!B140*100,"")</f>
        <v/>
      </c>
      <c r="G148">
        <v>10</v>
      </c>
      <c r="H148">
        <f>'体验表-带进度条'!R140</f>
        <v>0</v>
      </c>
      <c r="I148" s="113">
        <f>转换!I140</f>
        <v>17</v>
      </c>
      <c r="J148" s="113">
        <f>IF(I148=17,1,IF(I148=9,1,IF(转换!I140&gt;0,VLOOKUP(转换!H140,道具!B:C,2,FALSE),"")))</f>
        <v>1</v>
      </c>
      <c r="K148" s="114">
        <f>IF(转换!I140=17,ROUND(转换!J140*100/转换!$U$2,0),IF(转换!I140=9,F148,转换!J140))</f>
        <v>40</v>
      </c>
      <c r="L148" s="115"/>
      <c r="M148" s="115"/>
      <c r="N148" s="115"/>
      <c r="O148" s="113"/>
      <c r="P148" s="113"/>
      <c r="Q148" s="113"/>
      <c r="R148" s="97"/>
      <c r="S148" s="97"/>
      <c r="T148" s="97"/>
    </row>
    <row r="149" customFormat="1" spans="1:20">
      <c r="A149">
        <f>IF(C149=1,1001+COUNTIF($C$5:C148,1),2001+COUNTIF($C$5:C148,2))</f>
        <v>1117</v>
      </c>
      <c r="B149">
        <v>1</v>
      </c>
      <c r="C149" s="121">
        <v>1</v>
      </c>
      <c r="D149" s="122" t="str">
        <f>IFERROR(_xlfn.IFNA(VLOOKUP(ROUND(F149,0),道具!$B$271:$C$295,2,FALSE),""),"")</f>
        <v/>
      </c>
      <c r="E149" s="122" t="str">
        <f>IFERROR(_xlfn.IFNA(VLOOKUP(ROUND(F149,0),道具!$B$296:$C$320,2,FALSE),""),"")</f>
        <v/>
      </c>
      <c r="F149" t="str">
        <f>IF(转换!B141&gt;0,转换!B141*100,"")</f>
        <v/>
      </c>
      <c r="G149">
        <v>11</v>
      </c>
      <c r="H149">
        <f>'体验表-带进度条'!R141</f>
        <v>0</v>
      </c>
      <c r="I149" s="113">
        <f>转换!I141</f>
        <v>4</v>
      </c>
      <c r="J149" s="113">
        <f>IF(I149=17,1,IF(I149=9,1,IF(转换!I141&gt;0,VLOOKUP(转换!H141,道具!B:C,2,FALSE),"")))</f>
        <v>100003</v>
      </c>
      <c r="K149" s="114">
        <f>IF(转换!I141=17,ROUND(转换!J141*100/转换!$U$2,0),IF(转换!I141=9,F149,转换!J141))</f>
        <v>1</v>
      </c>
      <c r="L149" s="115"/>
      <c r="M149" s="115"/>
      <c r="N149" s="115"/>
      <c r="O149" s="113"/>
      <c r="P149" s="113"/>
      <c r="Q149" s="113"/>
      <c r="R149" s="97"/>
      <c r="S149" s="97"/>
      <c r="T149" s="97"/>
    </row>
    <row r="150" customFormat="1" spans="1:20">
      <c r="A150">
        <f>IF(C150=1,1001+COUNTIF($C$5:C149,1),2001+COUNTIF($C$5:C149,2))</f>
        <v>1118</v>
      </c>
      <c r="B150">
        <v>1</v>
      </c>
      <c r="C150" s="121">
        <v>1</v>
      </c>
      <c r="D150" s="122" t="str">
        <f>IFERROR(_xlfn.IFNA(VLOOKUP(ROUND(F150,0),道具!$B$271:$C$295,2,FALSE),""),"")</f>
        <v/>
      </c>
      <c r="E150" s="122" t="str">
        <f>IFERROR(_xlfn.IFNA(VLOOKUP(ROUND(F150,0),道具!$B$296:$C$320,2,FALSE),""),"")</f>
        <v/>
      </c>
      <c r="F150" t="str">
        <f>IF(转换!B142&gt;0,转换!B142*100,"")</f>
        <v/>
      </c>
      <c r="G150">
        <v>12</v>
      </c>
      <c r="H150">
        <f>'体验表-带进度条'!R142</f>
        <v>0</v>
      </c>
      <c r="I150" s="113">
        <f>转换!I142</f>
        <v>3</v>
      </c>
      <c r="J150" s="113">
        <f>IF(I150=17,1,IF(I150=9,1,IF(转换!I142&gt;0,VLOOKUP(转换!H142,道具!B:C,2,FALSE),"")))</f>
        <v>192001</v>
      </c>
      <c r="K150" s="114">
        <f>IF(转换!I142=17,ROUND(转换!J142*100/转换!$U$2,0),IF(转换!I142=9,F150,转换!J142))</f>
        <v>10</v>
      </c>
      <c r="L150" s="115"/>
      <c r="M150" s="115"/>
      <c r="N150" s="115"/>
      <c r="O150" s="113"/>
      <c r="P150" s="113"/>
      <c r="Q150" s="113"/>
      <c r="R150" s="97"/>
      <c r="S150" s="97"/>
      <c r="T150" s="97"/>
    </row>
    <row r="151" customFormat="1" spans="1:20">
      <c r="A151">
        <f>IF(C151=1,1001+COUNTIF($C$5:C150,1),2001+COUNTIF($C$5:C150,2))</f>
        <v>1119</v>
      </c>
      <c r="B151">
        <v>1</v>
      </c>
      <c r="C151" s="121">
        <v>1</v>
      </c>
      <c r="D151" s="122" t="str">
        <f>IFERROR(_xlfn.IFNA(VLOOKUP(ROUND(F151,0),道具!$B$271:$C$295,2,FALSE),""),"")</f>
        <v/>
      </c>
      <c r="E151" s="122" t="str">
        <f>IFERROR(_xlfn.IFNA(VLOOKUP(ROUND(F151,0),道具!$B$296:$C$320,2,FALSE),""),"")</f>
        <v/>
      </c>
      <c r="F151" t="str">
        <f>IF(转换!B143&gt;0,转换!B143*100,"")</f>
        <v/>
      </c>
      <c r="G151">
        <v>13</v>
      </c>
      <c r="H151">
        <f>'体验表-带进度条'!R143</f>
        <v>0</v>
      </c>
      <c r="I151" s="113">
        <f>转换!I143</f>
        <v>3</v>
      </c>
      <c r="J151" s="113">
        <f>IF(I151=17,1,IF(I151=9,1,IF(转换!I143&gt;0,VLOOKUP(转换!H143,道具!B:C,2,FALSE),"")))</f>
        <v>171002</v>
      </c>
      <c r="K151" s="114">
        <f>IF(转换!I143=17,ROUND(转换!J143*100/转换!$U$2,0),IF(转换!I143=9,F151,转换!J143))</f>
        <v>1</v>
      </c>
      <c r="L151" s="115"/>
      <c r="M151" s="115"/>
      <c r="N151" s="115"/>
      <c r="O151" s="113"/>
      <c r="P151" s="113"/>
      <c r="Q151" s="113"/>
      <c r="R151" s="97"/>
      <c r="S151" s="97"/>
      <c r="T151" s="97"/>
    </row>
    <row r="152" customFormat="1" spans="1:20">
      <c r="A152">
        <f>IF(C152=1,1001+COUNTIF($C$5:C151,1),2001+COUNTIF($C$5:C151,2))</f>
        <v>1120</v>
      </c>
      <c r="B152">
        <v>1</v>
      </c>
      <c r="C152" s="121">
        <v>1</v>
      </c>
      <c r="D152" s="122" t="str">
        <f>IFERROR(_xlfn.IFNA(VLOOKUP(ROUND(F152,0),道具!$B$271:$C$295,2,FALSE),""),"")</f>
        <v/>
      </c>
      <c r="E152" s="122" t="str">
        <f>IFERROR(_xlfn.IFNA(VLOOKUP(ROUND(F152,0),道具!$B$296:$C$320,2,FALSE),""),"")</f>
        <v/>
      </c>
      <c r="F152" t="str">
        <f>IF(转换!B145&gt;0,转换!B145*100,"")</f>
        <v/>
      </c>
      <c r="G152">
        <v>15</v>
      </c>
      <c r="H152">
        <f>'体验表-带进度条'!R145</f>
        <v>0</v>
      </c>
      <c r="I152" s="113">
        <f>转换!I145</f>
        <v>3</v>
      </c>
      <c r="J152" s="113">
        <f>IF(I152=17,1,IF(I152=9,1,IF(转换!I145&gt;0,VLOOKUP(转换!H145,道具!B:C,2,FALSE),"")))</f>
        <v>160001</v>
      </c>
      <c r="K152" s="114">
        <f>IF(转换!I145=17,ROUND(转换!J145*100/转换!$U$2,0),IF(转换!I145=9,F152,转换!J145))</f>
        <v>3</v>
      </c>
      <c r="L152" s="115"/>
      <c r="M152" s="115"/>
      <c r="N152" s="115"/>
      <c r="O152" s="113"/>
      <c r="P152" s="113"/>
      <c r="Q152" s="113"/>
      <c r="R152" s="97"/>
      <c r="S152" s="97"/>
      <c r="T152" s="97"/>
    </row>
    <row r="153" customFormat="1" spans="1:20">
      <c r="A153">
        <f>IF(C153=1,1001+COUNTIF($C$5:C152,1),2001+COUNTIF($C$5:C152,2))</f>
        <v>1121</v>
      </c>
      <c r="B153">
        <v>1</v>
      </c>
      <c r="C153" s="121">
        <v>1</v>
      </c>
      <c r="D153" s="122" t="str">
        <f>IFERROR(_xlfn.IFNA(VLOOKUP(ROUND(F153,0),道具!$B$271:$C$295,2,FALSE),""),"")</f>
        <v/>
      </c>
      <c r="E153" s="122" t="str">
        <f>IFERROR(_xlfn.IFNA(VLOOKUP(ROUND(F153,0),道具!$B$296:$C$320,2,FALSE),""),"")</f>
        <v/>
      </c>
      <c r="F153" t="str">
        <f>IF(转换!B146&gt;0,转换!B146*100,"")</f>
        <v/>
      </c>
      <c r="G153">
        <v>16</v>
      </c>
      <c r="H153">
        <f>'体验表-带进度条'!R146</f>
        <v>0</v>
      </c>
      <c r="I153" s="113">
        <f>转换!I146</f>
        <v>17</v>
      </c>
      <c r="J153" s="113">
        <f>IF(I153=17,1,IF(I153=9,1,IF(转换!I146&gt;0,VLOOKUP(转换!H146,道具!B:C,2,FALSE),"")))</f>
        <v>1</v>
      </c>
      <c r="K153" s="114">
        <f>IF(转换!I146=17,ROUND(转换!J146*100/转换!$U$2,0),IF(转换!I146=9,F153,转换!J146))</f>
        <v>201</v>
      </c>
      <c r="L153" s="115"/>
      <c r="M153" s="115"/>
      <c r="N153" s="115"/>
      <c r="O153" s="113"/>
      <c r="P153" s="113"/>
      <c r="Q153" s="113"/>
      <c r="R153" s="97"/>
      <c r="S153" s="97"/>
      <c r="T153" s="97"/>
    </row>
    <row r="154" customFormat="1" spans="1:20">
      <c r="A154">
        <f>IF(C154=1,1001+COUNTIF($C$5:C153,1),2001+COUNTIF($C$5:C153,2))</f>
        <v>1122</v>
      </c>
      <c r="B154">
        <v>1</v>
      </c>
      <c r="C154" s="121">
        <v>1</v>
      </c>
      <c r="D154" s="122" t="str">
        <f>IFERROR(_xlfn.IFNA(VLOOKUP(ROUND(F154,0),道具!$B$271:$C$295,2,FALSE),""),"")</f>
        <v/>
      </c>
      <c r="E154" s="122" t="str">
        <f>IFERROR(_xlfn.IFNA(VLOOKUP(ROUND(F154,0),道具!$B$296:$C$320,2,FALSE),""),"")</f>
        <v/>
      </c>
      <c r="F154" t="str">
        <f>IF(转换!B147&gt;0,转换!B147*100,"")</f>
        <v/>
      </c>
      <c r="G154">
        <v>17</v>
      </c>
      <c r="H154">
        <f>'体验表-带进度条'!R147</f>
        <v>25</v>
      </c>
      <c r="I154" s="113">
        <f>转换!I147</f>
        <v>4</v>
      </c>
      <c r="J154" s="113">
        <f>IF(I154=17,1,IF(I154=9,1,IF(转换!I147&gt;0,VLOOKUP(转换!H147,道具!B:C,2,FALSE),"")))</f>
        <v>100004</v>
      </c>
      <c r="K154" s="114">
        <f>IF(转换!I147=17,ROUND(转换!J147*100/转换!$U$2,0),IF(转换!I147=9,F154,转换!J147))</f>
        <v>1</v>
      </c>
      <c r="L154" s="115"/>
      <c r="M154" s="115"/>
      <c r="N154" s="115"/>
      <c r="O154" s="113"/>
      <c r="P154" s="113"/>
      <c r="Q154" s="113"/>
      <c r="R154" s="97"/>
      <c r="S154" s="97"/>
      <c r="T154" s="97"/>
    </row>
    <row r="155" customFormat="1" spans="1:20">
      <c r="A155">
        <f>IF(C155=1,1001+COUNTIF($C$5:C154,1),2001+COUNTIF($C$5:C154,2))</f>
        <v>1123</v>
      </c>
      <c r="B155">
        <v>1</v>
      </c>
      <c r="C155" s="121">
        <v>1</v>
      </c>
      <c r="D155" s="122" t="str">
        <f>IFERROR(_xlfn.IFNA(VLOOKUP(ROUND(F155,0),道具!$B$271:$C$295,2,FALSE),""),"")</f>
        <v/>
      </c>
      <c r="E155" s="122" t="str">
        <f>IFERROR(_xlfn.IFNA(VLOOKUP(ROUND(F155,0),道具!$B$296:$C$320,2,FALSE),""),"")</f>
        <v/>
      </c>
      <c r="F155" t="str">
        <f>IF(转换!B148&gt;0,转换!B148*100,"")</f>
        <v/>
      </c>
      <c r="G155">
        <v>18</v>
      </c>
      <c r="H155">
        <f>'体验表-带进度条'!R148</f>
        <v>0</v>
      </c>
      <c r="I155" s="113">
        <f>转换!I148</f>
        <v>3</v>
      </c>
      <c r="J155" s="113">
        <f>IF(I155=17,1,IF(I155=9,1,IF(转换!I148&gt;0,VLOOKUP(转换!H148,道具!B:C,2,FALSE),"")))</f>
        <v>192001</v>
      </c>
      <c r="K155" s="114">
        <f>IF(转换!I148=17,ROUND(转换!J148*100/转换!$U$2,0),IF(转换!I148=9,F155,转换!J148))</f>
        <v>15</v>
      </c>
      <c r="L155" s="115"/>
      <c r="M155" s="115"/>
      <c r="N155" s="115"/>
      <c r="O155" s="113"/>
      <c r="P155" s="113"/>
      <c r="Q155" s="113"/>
      <c r="R155" s="97"/>
      <c r="S155" s="97"/>
      <c r="T155" s="97"/>
    </row>
    <row r="156" customFormat="1" ht="18" customHeight="1" spans="1:20">
      <c r="A156">
        <f>IF(C156=1,1001+COUNTIF($C$5:C155,1),2001+COUNTIF($C$5:C155,2))</f>
        <v>1124</v>
      </c>
      <c r="B156">
        <v>1</v>
      </c>
      <c r="C156" s="121">
        <v>1</v>
      </c>
      <c r="D156" s="122" t="str">
        <f>IFERROR(_xlfn.IFNA(VLOOKUP(ROUND(F156,0),道具!$B$271:$C$295,2,FALSE),""),"")</f>
        <v/>
      </c>
      <c r="E156" s="122" t="str">
        <f>IFERROR(_xlfn.IFNA(VLOOKUP(ROUND(F156,0),道具!$B$296:$C$320,2,FALSE),""),"")</f>
        <v/>
      </c>
      <c r="F156" t="str">
        <f>IF(转换!B149&gt;0,转换!B149*100,"")</f>
        <v/>
      </c>
      <c r="G156">
        <v>19</v>
      </c>
      <c r="H156">
        <f>'体验表-带进度条'!R149</f>
        <v>0</v>
      </c>
      <c r="I156" s="113">
        <f>转换!I149</f>
        <v>3</v>
      </c>
      <c r="J156" s="113">
        <f>IF(I156=17,1,IF(I156=9,1,IF(转换!I149&gt;0,VLOOKUP(转换!H149,道具!B:C,2,FALSE),"")))</f>
        <v>171001</v>
      </c>
      <c r="K156" s="114">
        <f>IF(转换!I149=17,ROUND(转换!J149*100/转换!$U$2,0),IF(转换!I149=9,F156,转换!J149))</f>
        <v>1</v>
      </c>
      <c r="L156" s="115"/>
      <c r="M156" s="115"/>
      <c r="N156" s="115"/>
      <c r="O156" s="113"/>
      <c r="P156" s="113"/>
      <c r="Q156" s="113"/>
      <c r="R156" s="97"/>
      <c r="S156" s="97"/>
      <c r="T156" s="97"/>
    </row>
    <row r="157" customFormat="1" spans="1:20">
      <c r="A157">
        <f>IF(C157=1,1001+COUNTIF($C$5:C156,1),2001+COUNTIF($C$5:C156,2))</f>
        <v>1125</v>
      </c>
      <c r="B157">
        <v>1</v>
      </c>
      <c r="C157" s="121">
        <v>1</v>
      </c>
      <c r="D157" s="122" t="str">
        <f>IFERROR(_xlfn.IFNA(VLOOKUP(ROUND(F157,0),道具!$B$271:$C$295,2,FALSE),""),"")</f>
        <v/>
      </c>
      <c r="E157" s="122" t="str">
        <f>IFERROR(_xlfn.IFNA(VLOOKUP(ROUND(F157,0),道具!$B$296:$C$320,2,FALSE),""),"")</f>
        <v/>
      </c>
      <c r="F157" t="str">
        <f>IF(转换!B151&gt;0,转换!B151*100,"")</f>
        <v/>
      </c>
      <c r="G157">
        <v>21</v>
      </c>
      <c r="H157">
        <f>'体验表-带进度条'!R151</f>
        <v>0</v>
      </c>
      <c r="I157" s="113">
        <f>转换!I151</f>
        <v>3</v>
      </c>
      <c r="J157" s="113">
        <f>IF(I157=17,1,IF(I157=9,1,IF(转换!I151&gt;0,VLOOKUP(转换!H151,道具!B:C,2,FALSE),"")))</f>
        <v>160001</v>
      </c>
      <c r="K157" s="114">
        <f>IF(转换!I151=17,ROUND(转换!J151*100/转换!$U$2,0),IF(转换!I151=9,F157,转换!J151))</f>
        <v>4</v>
      </c>
      <c r="L157" s="115"/>
      <c r="M157" s="115"/>
      <c r="N157" s="115"/>
      <c r="O157" s="113"/>
      <c r="P157" s="113"/>
      <c r="Q157" s="113"/>
      <c r="R157" s="97"/>
      <c r="S157" s="97"/>
      <c r="T157" s="97"/>
    </row>
    <row r="158" customFormat="1" spans="1:20">
      <c r="A158">
        <f>IF(C158=1,1001+COUNTIF($C$5:C157,1),2001+COUNTIF($C$5:C157,2))</f>
        <v>1126</v>
      </c>
      <c r="B158">
        <v>1</v>
      </c>
      <c r="C158" s="121">
        <v>1</v>
      </c>
      <c r="D158" s="122" t="str">
        <f>IFERROR(_xlfn.IFNA(VLOOKUP(ROUND(F158,0),道具!$B$271:$C$295,2,FALSE),""),"")</f>
        <v/>
      </c>
      <c r="E158" s="122" t="str">
        <f>IFERROR(_xlfn.IFNA(VLOOKUP(ROUND(F158,0),道具!$B$296:$C$320,2,FALSE),""),"")</f>
        <v/>
      </c>
      <c r="F158" t="str">
        <f>IF(转换!B152&gt;0,转换!B152*100,"")</f>
        <v/>
      </c>
      <c r="G158">
        <v>22</v>
      </c>
      <c r="H158">
        <f>'体验表-带进度条'!R152</f>
        <v>0</v>
      </c>
      <c r="I158" s="113">
        <f>转换!I152</f>
        <v>17</v>
      </c>
      <c r="J158" s="113">
        <f>IF(I158=17,1,IF(I158=9,1,IF(转换!I152&gt;0,VLOOKUP(转换!H152,道具!B:C,2,FALSE),"")))</f>
        <v>1</v>
      </c>
      <c r="K158" s="114">
        <f>IF(转换!I152=17,ROUND(转换!J152*100/转换!$U$2,0),IF(转换!I152=9,F158,转换!J152))</f>
        <v>161</v>
      </c>
      <c r="L158" s="115"/>
      <c r="M158" s="115"/>
      <c r="N158" s="115"/>
      <c r="O158" s="113"/>
      <c r="P158" s="113"/>
      <c r="Q158" s="113"/>
      <c r="R158" s="97"/>
      <c r="S158" s="97"/>
      <c r="T158" s="97"/>
    </row>
    <row r="159" customFormat="1" spans="1:20">
      <c r="A159">
        <f>IF(C159=1,1001+COUNTIF($C$5:C158,1),2001+COUNTIF($C$5:C158,2))</f>
        <v>1127</v>
      </c>
      <c r="B159">
        <v>1</v>
      </c>
      <c r="C159" s="121">
        <v>1</v>
      </c>
      <c r="D159" s="122" t="str">
        <f>IFERROR(_xlfn.IFNA(VLOOKUP(ROUND(F159,0),道具!$B$271:$C$295,2,FALSE),""),"")</f>
        <v/>
      </c>
      <c r="E159" s="122" t="str">
        <f>IFERROR(_xlfn.IFNA(VLOOKUP(ROUND(F159,0),道具!$B$296:$C$320,2,FALSE),""),"")</f>
        <v/>
      </c>
      <c r="F159" t="str">
        <f>IF(转换!B153&gt;0,转换!B153*100,"")</f>
        <v/>
      </c>
      <c r="G159">
        <v>23</v>
      </c>
      <c r="H159">
        <f>'体验表-带进度条'!R153</f>
        <v>15</v>
      </c>
      <c r="I159" s="113">
        <f>转换!I153</f>
        <v>4</v>
      </c>
      <c r="J159" s="113">
        <f>IF(I159=17,1,IF(I159=9,1,IF(转换!I153&gt;0,VLOOKUP(转换!H153,道具!B:C,2,FALSE),"")))</f>
        <v>100004</v>
      </c>
      <c r="K159" s="114">
        <f>IF(转换!I153=17,ROUND(转换!J153*100/转换!$U$2,0),IF(转换!I153=9,F159,转换!J153))</f>
        <v>1</v>
      </c>
      <c r="L159" s="115"/>
      <c r="M159" s="115"/>
      <c r="N159" s="115"/>
      <c r="O159" s="113"/>
      <c r="P159" s="113"/>
      <c r="Q159" s="113"/>
      <c r="R159" s="97"/>
      <c r="S159" s="97"/>
      <c r="T159" s="97"/>
    </row>
    <row r="160" customFormat="1" spans="1:20">
      <c r="A160">
        <f>IF(C160=1,1001+COUNTIF($C$5:C159,1),2001+COUNTIF($C$5:C159,2))</f>
        <v>1128</v>
      </c>
      <c r="B160">
        <v>1</v>
      </c>
      <c r="C160" s="121">
        <v>1</v>
      </c>
      <c r="D160" s="122" t="str">
        <f>IFERROR(_xlfn.IFNA(VLOOKUP(ROUND(F160,0),道具!$B$271:$C$295,2,FALSE),""),"")</f>
        <v/>
      </c>
      <c r="E160" s="122" t="str">
        <f>IFERROR(_xlfn.IFNA(VLOOKUP(ROUND(F160,0),道具!$B$296:$C$320,2,FALSE),""),"")</f>
        <v/>
      </c>
      <c r="F160" t="str">
        <f>IF(转换!B154&gt;0,转换!B154*100,"")</f>
        <v/>
      </c>
      <c r="G160">
        <v>24</v>
      </c>
      <c r="H160">
        <f>'体验表-带进度条'!R154</f>
        <v>0</v>
      </c>
      <c r="I160" s="113">
        <f>转换!I154</f>
        <v>3</v>
      </c>
      <c r="J160" s="113">
        <f>IF(I160=17,1,IF(I160=9,1,IF(转换!I154&gt;0,VLOOKUP(转换!H154,道具!B:C,2,FALSE),"")))</f>
        <v>192001</v>
      </c>
      <c r="K160" s="114">
        <f>IF(转换!I154=17,ROUND(转换!J154*100/转换!$U$2,0),IF(转换!I154=9,F160,转换!J154))</f>
        <v>20</v>
      </c>
      <c r="L160" s="115"/>
      <c r="M160" s="115"/>
      <c r="N160" s="115"/>
      <c r="O160" s="113"/>
      <c r="P160" s="113"/>
      <c r="Q160" s="113"/>
      <c r="R160" s="97"/>
      <c r="S160" s="97"/>
      <c r="T160" s="97"/>
    </row>
    <row r="161" customFormat="1" spans="1:20">
      <c r="A161">
        <f>IF(C161=1,1001+COUNTIF($C$5:C160,1),2001+COUNTIF($C$5:C160,2))</f>
        <v>1129</v>
      </c>
      <c r="B161">
        <v>1</v>
      </c>
      <c r="C161" s="121">
        <v>1</v>
      </c>
      <c r="D161" s="122" t="str">
        <f>IFERROR(_xlfn.IFNA(VLOOKUP(ROUND(F161,0),道具!$B$271:$C$295,2,FALSE),""),"")</f>
        <v/>
      </c>
      <c r="E161" s="122" t="str">
        <f>IFERROR(_xlfn.IFNA(VLOOKUP(ROUND(F161,0),道具!$B$296:$C$320,2,FALSE),""),"")</f>
        <v/>
      </c>
      <c r="F161" t="str">
        <f>IF(转换!B155&gt;0,转换!B155*100,"")</f>
        <v/>
      </c>
      <c r="G161">
        <v>25</v>
      </c>
      <c r="H161">
        <f>'体验表-带进度条'!R155</f>
        <v>0</v>
      </c>
      <c r="I161" s="113">
        <f>转换!I155</f>
        <v>3</v>
      </c>
      <c r="J161" s="113">
        <f>IF(I161=17,1,IF(I161=9,1,IF(转换!I155&gt;0,VLOOKUP(转换!H155,道具!B:C,2,FALSE),"")))</f>
        <v>171002</v>
      </c>
      <c r="K161" s="114">
        <f>IF(转换!I155=17,ROUND(转换!J155*100/转换!$U$2,0),IF(转换!I155=9,F161,转换!J155))</f>
        <v>1</v>
      </c>
      <c r="L161" s="115"/>
      <c r="M161" s="115"/>
      <c r="N161" s="115"/>
      <c r="O161" s="113"/>
      <c r="P161" s="113"/>
      <c r="Q161" s="113"/>
      <c r="R161" s="97"/>
      <c r="S161" s="97"/>
      <c r="T161" s="97"/>
    </row>
    <row r="162" customFormat="1" spans="1:20">
      <c r="A162">
        <f>IF(C162=1,1001+COUNTIF($C$5:C161,1),2001+COUNTIF($C$5:C161,2))</f>
        <v>1130</v>
      </c>
      <c r="B162">
        <v>1</v>
      </c>
      <c r="C162" s="121">
        <v>1</v>
      </c>
      <c r="D162" s="122" t="str">
        <f>IFERROR(_xlfn.IFNA(VLOOKUP(ROUND(F162,0),道具!$B$271:$C$295,2,FALSE),""),"")</f>
        <v/>
      </c>
      <c r="E162" s="122" t="str">
        <f>IFERROR(_xlfn.IFNA(VLOOKUP(ROUND(F162,0),道具!$B$296:$C$320,2,FALSE),""),"")</f>
        <v/>
      </c>
      <c r="F162" t="str">
        <f>IF(转换!B157&gt;0,转换!B157*100,"")</f>
        <v/>
      </c>
      <c r="G162">
        <v>27</v>
      </c>
      <c r="H162">
        <f>'体验表-带进度条'!R157</f>
        <v>0</v>
      </c>
      <c r="I162" s="113">
        <f>转换!I157</f>
        <v>3</v>
      </c>
      <c r="J162" s="113">
        <f>IF(I162=17,1,IF(I162=9,1,IF(转换!I157&gt;0,VLOOKUP(转换!H157,道具!B:C,2,FALSE),"")))</f>
        <v>160001</v>
      </c>
      <c r="K162" s="114">
        <f>IF(转换!I157=17,ROUND(转换!J157*100/转换!$U$2,0),IF(转换!I157=9,F162,转换!J157))</f>
        <v>5</v>
      </c>
      <c r="L162" s="115"/>
      <c r="M162" s="115"/>
      <c r="N162" s="115"/>
      <c r="O162" s="113"/>
      <c r="P162" s="113"/>
      <c r="Q162" s="113"/>
      <c r="R162" s="97"/>
      <c r="S162" s="97"/>
      <c r="T162" s="97"/>
    </row>
    <row r="163" customFormat="1" spans="1:20">
      <c r="A163">
        <f>IF(C163=1,1001+COUNTIF($C$5:C162,1),2001+COUNTIF($C$5:C162,2))</f>
        <v>1131</v>
      </c>
      <c r="B163">
        <v>1</v>
      </c>
      <c r="C163" s="121">
        <v>1</v>
      </c>
      <c r="D163" s="122" t="str">
        <f>IFERROR(_xlfn.IFNA(VLOOKUP(ROUND(F163,0),道具!$B$271:$C$295,2,FALSE),""),"")</f>
        <v/>
      </c>
      <c r="E163" s="122" t="str">
        <f>IFERROR(_xlfn.IFNA(VLOOKUP(ROUND(F163,0),道具!$B$296:$C$320,2,FALSE),""),"")</f>
        <v/>
      </c>
      <c r="F163" t="str">
        <f>IF(转换!B158&gt;0,转换!B158*100,"")</f>
        <v/>
      </c>
      <c r="G163">
        <v>28</v>
      </c>
      <c r="H163">
        <f>'体验表-带进度条'!R158</f>
        <v>0</v>
      </c>
      <c r="I163" s="113">
        <f>转换!I158</f>
        <v>17</v>
      </c>
      <c r="J163" s="113">
        <f>IF(I163=17,1,IF(I163=9,1,IF(转换!I158&gt;0,VLOOKUP(转换!H158,道具!B:C,2,FALSE),"")))</f>
        <v>1</v>
      </c>
      <c r="K163" s="114">
        <f>IF(转换!I158=17,ROUND(转换!J158*100/转换!$U$2,0),IF(转换!I158=9,F163,转换!J158))</f>
        <v>100</v>
      </c>
      <c r="L163" s="115"/>
      <c r="M163" s="115"/>
      <c r="N163" s="115"/>
      <c r="O163" s="113"/>
      <c r="P163" s="113"/>
      <c r="Q163" s="113"/>
      <c r="R163" s="97"/>
      <c r="S163" s="97"/>
      <c r="T163" s="97"/>
    </row>
    <row r="164" customFormat="1" spans="1:20">
      <c r="A164">
        <f>IF(C164=1,1001+COUNTIF($C$5:C163,1),2001+COUNTIF($C$5:C163,2))</f>
        <v>1132</v>
      </c>
      <c r="B164">
        <v>1</v>
      </c>
      <c r="C164" s="121">
        <v>1</v>
      </c>
      <c r="D164" s="122" t="str">
        <f>IFERROR(_xlfn.IFNA(VLOOKUP(ROUND(F164,0),道具!$B$271:$C$295,2,FALSE),""),"")</f>
        <v/>
      </c>
      <c r="E164" s="122" t="str">
        <f>IFERROR(_xlfn.IFNA(VLOOKUP(ROUND(F164,0),道具!$B$296:$C$320,2,FALSE),""),"")</f>
        <v/>
      </c>
      <c r="F164" t="str">
        <f>IF(转换!B159&gt;0,转换!B159*100,"")</f>
        <v/>
      </c>
      <c r="G164">
        <v>29</v>
      </c>
      <c r="H164">
        <f>'体验表-带进度条'!R159</f>
        <v>25</v>
      </c>
      <c r="I164" s="113">
        <f>转换!I159</f>
        <v>4</v>
      </c>
      <c r="J164" s="113">
        <f>IF(I164=17,1,IF(I164=9,1,IF(转换!I159&gt;0,VLOOKUP(转换!H159,道具!B:C,2,FALSE),"")))</f>
        <v>100005</v>
      </c>
      <c r="K164" s="114">
        <f>IF(转换!I159=17,ROUND(转换!J159*100/转换!$U$2,0),IF(转换!I159=9,F164,转换!J159))</f>
        <v>1</v>
      </c>
      <c r="L164" s="115"/>
      <c r="M164" s="115"/>
      <c r="N164" s="115"/>
      <c r="O164" s="113"/>
      <c r="P164" s="113"/>
      <c r="Q164" s="113"/>
      <c r="R164" s="97"/>
      <c r="S164" s="97"/>
      <c r="T164" s="97"/>
    </row>
    <row r="165" customFormat="1" spans="1:20">
      <c r="A165">
        <f>IF(C165=1,1001+COUNTIF($C$5:C164,1),2001+COUNTIF($C$5:C164,2))</f>
        <v>1133</v>
      </c>
      <c r="B165">
        <v>1</v>
      </c>
      <c r="C165" s="121">
        <v>1</v>
      </c>
      <c r="D165" s="122" t="str">
        <f>IFERROR(_xlfn.IFNA(VLOOKUP(ROUND(F165,0),道具!$B$271:$C$295,2,FALSE),""),"")</f>
        <v/>
      </c>
      <c r="E165" s="122" t="str">
        <f>IFERROR(_xlfn.IFNA(VLOOKUP(ROUND(F165,0),道具!$B$296:$C$320,2,FALSE),""),"")</f>
        <v/>
      </c>
      <c r="F165" t="str">
        <f>IF(转换!B160&gt;0,转换!B160*100,"")</f>
        <v/>
      </c>
      <c r="G165">
        <v>30</v>
      </c>
      <c r="H165">
        <f>'体验表-带进度条'!R160</f>
        <v>0</v>
      </c>
      <c r="I165" s="113">
        <f>转换!I160</f>
        <v>3</v>
      </c>
      <c r="J165" s="113">
        <f>IF(I165=17,1,IF(I165=9,1,IF(转换!I160&gt;0,VLOOKUP(转换!H160,道具!B:C,2,FALSE),"")))</f>
        <v>192001</v>
      </c>
      <c r="K165" s="114">
        <f>IF(转换!I160=17,ROUND(转换!J160*100/转换!$U$2,0),IF(转换!I160=9,F165,转换!J160))</f>
        <v>25</v>
      </c>
      <c r="L165" s="115"/>
      <c r="M165" s="115"/>
      <c r="N165" s="115"/>
      <c r="O165" s="113"/>
      <c r="P165" s="113"/>
      <c r="Q165" s="113"/>
      <c r="R165" s="97"/>
      <c r="S165" s="97"/>
      <c r="T165" s="97"/>
    </row>
    <row r="166" customFormat="1" spans="1:20">
      <c r="A166">
        <f>IF(C166=1,1001+COUNTIF($C$5:C165,1),2001+COUNTIF($C$5:C165,2))</f>
        <v>1134</v>
      </c>
      <c r="B166">
        <v>1</v>
      </c>
      <c r="C166" s="121">
        <v>1</v>
      </c>
      <c r="D166" s="122" t="str">
        <f>IFERROR(_xlfn.IFNA(VLOOKUP(ROUND(F166,0),道具!$B$271:$C$295,2,FALSE),""),"")</f>
        <v/>
      </c>
      <c r="E166" s="122" t="str">
        <f>IFERROR(_xlfn.IFNA(VLOOKUP(ROUND(F166,0),道具!$B$296:$C$320,2,FALSE),""),"")</f>
        <v/>
      </c>
      <c r="F166" t="str">
        <f>IF(转换!B161&gt;0,转换!B161*100,"")</f>
        <v/>
      </c>
      <c r="G166">
        <v>31</v>
      </c>
      <c r="H166">
        <f>'体验表-带进度条'!R161</f>
        <v>0</v>
      </c>
      <c r="I166" s="113">
        <f>转换!I161</f>
        <v>3</v>
      </c>
      <c r="J166" s="113">
        <f>IF(I166=17,1,IF(I166=9,1,IF(转换!I161&gt;0,VLOOKUP(转换!H161,道具!B:C,2,FALSE),"")))</f>
        <v>171001</v>
      </c>
      <c r="K166" s="114">
        <f>IF(转换!I161=17,ROUND(转换!J161*100/转换!$U$2,0),IF(转换!I161=9,F166,转换!J161))</f>
        <v>1</v>
      </c>
      <c r="L166" s="115"/>
      <c r="M166" s="115"/>
      <c r="N166" s="115"/>
      <c r="O166" s="113"/>
      <c r="P166" s="113"/>
      <c r="Q166" s="113"/>
      <c r="R166" s="97"/>
      <c r="S166" s="97"/>
      <c r="T166" s="97"/>
    </row>
    <row r="167" customFormat="1" spans="1:20">
      <c r="A167">
        <f>IF(C167=1,1001+COUNTIF($C$5:C166,1),2001+COUNTIF($C$5:C166,2))</f>
        <v>1135</v>
      </c>
      <c r="B167">
        <v>1</v>
      </c>
      <c r="C167" s="121">
        <v>1</v>
      </c>
      <c r="D167" s="122" t="str">
        <f>IFERROR(_xlfn.IFNA(VLOOKUP(ROUND(F167,0),道具!$B$271:$C$295,2,FALSE),""),"")</f>
        <v/>
      </c>
      <c r="E167" s="122" t="str">
        <f>IFERROR(_xlfn.IFNA(VLOOKUP(ROUND(F167,0),道具!$B$296:$C$320,2,FALSE),""),"")</f>
        <v/>
      </c>
      <c r="F167" t="str">
        <f>IF(转换!B163&gt;0,转换!B163*100,"")</f>
        <v/>
      </c>
      <c r="G167">
        <v>33</v>
      </c>
      <c r="H167">
        <f>'体验表-带进度条'!R163</f>
        <v>0</v>
      </c>
      <c r="I167" s="113">
        <f>转换!I163</f>
        <v>3</v>
      </c>
      <c r="J167" s="113">
        <f>IF(I167=17,1,IF(I167=9,1,IF(转换!I163&gt;0,VLOOKUP(转换!H163,道具!B:C,2,FALSE),"")))</f>
        <v>160001</v>
      </c>
      <c r="K167" s="114">
        <f>IF(转换!I163=17,ROUND(转换!J163*100/转换!$U$2,0),IF(转换!I163=9,F167,转换!J163))</f>
        <v>6</v>
      </c>
      <c r="L167" s="115"/>
      <c r="M167" s="115"/>
      <c r="N167" s="115"/>
      <c r="O167" s="113"/>
      <c r="P167" s="113"/>
      <c r="Q167" s="113"/>
      <c r="R167" s="97"/>
      <c r="S167" s="97"/>
      <c r="T167" s="97"/>
    </row>
    <row r="168" customFormat="1" spans="1:20">
      <c r="A168">
        <f>IF(C168=1,1001+COUNTIF($C$5:C167,1),2001+COUNTIF($C$5:C167,2))</f>
        <v>1136</v>
      </c>
      <c r="B168">
        <v>1</v>
      </c>
      <c r="C168" s="121">
        <v>1</v>
      </c>
      <c r="D168" s="122" t="str">
        <f>IFERROR(_xlfn.IFNA(VLOOKUP(ROUND(F168,0),道具!$B$271:$C$295,2,FALSE),""),"")</f>
        <v/>
      </c>
      <c r="E168" s="122" t="str">
        <f>IFERROR(_xlfn.IFNA(VLOOKUP(ROUND(F168,0),道具!$B$296:$C$320,2,FALSE),""),"")</f>
        <v/>
      </c>
      <c r="F168" t="str">
        <f>IF(转换!B164&gt;0,转换!B164*100,"")</f>
        <v/>
      </c>
      <c r="G168">
        <v>34</v>
      </c>
      <c r="H168">
        <f>'体验表-带进度条'!R164</f>
        <v>0</v>
      </c>
      <c r="I168" s="113">
        <f>转换!I164</f>
        <v>17</v>
      </c>
      <c r="J168" s="113">
        <f>IF(I168=17,1,IF(I168=9,1,IF(转换!I164&gt;0,VLOOKUP(转换!H164,道具!B:C,2,FALSE),"")))</f>
        <v>1</v>
      </c>
      <c r="K168" s="114">
        <f>IF(转换!I164=17,ROUND(转换!J164*100/转换!$U$2,0),IF(转换!I164=9,F168,转换!J164))</f>
        <v>241</v>
      </c>
      <c r="L168" s="115"/>
      <c r="M168" s="115"/>
      <c r="N168" s="115"/>
      <c r="O168" s="113"/>
      <c r="P168" s="113"/>
      <c r="Q168" s="113"/>
      <c r="R168" s="97"/>
      <c r="S168" s="97"/>
      <c r="T168" s="97"/>
    </row>
    <row r="169" customFormat="1" spans="1:20">
      <c r="A169">
        <f>IF(C169=1,1001+COUNTIF($C$5:C168,1),2001+COUNTIF($C$5:C168,2))</f>
        <v>1137</v>
      </c>
      <c r="B169">
        <v>1</v>
      </c>
      <c r="C169" s="121">
        <v>1</v>
      </c>
      <c r="D169" s="122" t="str">
        <f>IFERROR(_xlfn.IFNA(VLOOKUP(ROUND(F169,0),道具!$B$271:$C$295,2,FALSE),""),"")</f>
        <v/>
      </c>
      <c r="E169" s="122" t="str">
        <f>IFERROR(_xlfn.IFNA(VLOOKUP(ROUND(F169,0),道具!$B$296:$C$320,2,FALSE),""),"")</f>
        <v/>
      </c>
      <c r="F169" t="str">
        <f>IF(转换!B165&gt;0,转换!B165*100,"")</f>
        <v/>
      </c>
      <c r="G169">
        <v>35</v>
      </c>
      <c r="H169">
        <f>'体验表-带进度条'!R165</f>
        <v>15</v>
      </c>
      <c r="I169" s="113">
        <f>转换!I165</f>
        <v>4</v>
      </c>
      <c r="J169" s="113">
        <f>IF(I169=17,1,IF(I169=9,1,IF(转换!I165&gt;0,VLOOKUP(转换!H165,道具!B:C,2,FALSE),"")))</f>
        <v>100005</v>
      </c>
      <c r="K169" s="114">
        <f>IF(转换!I165=17,ROUND(转换!J165*100/转换!$U$2,0),IF(转换!I165=9,F169,转换!J165))</f>
        <v>1</v>
      </c>
      <c r="L169" s="115"/>
      <c r="M169" s="115"/>
      <c r="N169" s="115"/>
      <c r="O169" s="113"/>
      <c r="P169" s="113"/>
      <c r="Q169" s="113"/>
      <c r="R169" s="97"/>
      <c r="S169" s="97"/>
      <c r="T169" s="97"/>
    </row>
    <row r="170" customFormat="1" spans="1:20">
      <c r="A170">
        <f>IF(C170=1,1001+COUNTIF($C$5:C169,1),2001+COUNTIF($C$5:C169,2))</f>
        <v>1138</v>
      </c>
      <c r="B170">
        <v>1</v>
      </c>
      <c r="C170" s="121">
        <v>1</v>
      </c>
      <c r="D170" s="122" t="str">
        <f>IFERROR(_xlfn.IFNA(VLOOKUP(ROUND(F170,0),道具!$B$271:$C$295,2,FALSE),""),"")</f>
        <v/>
      </c>
      <c r="E170" s="122" t="str">
        <f>IFERROR(_xlfn.IFNA(VLOOKUP(ROUND(F170,0),道具!$B$296:$C$320,2,FALSE),""),"")</f>
        <v/>
      </c>
      <c r="F170" t="str">
        <f>IF(转换!B166&gt;0,转换!B166*100,"")</f>
        <v/>
      </c>
      <c r="G170">
        <v>36</v>
      </c>
      <c r="H170">
        <f>'体验表-带进度条'!R166</f>
        <v>0</v>
      </c>
      <c r="I170" s="113">
        <f>转换!I166</f>
        <v>3</v>
      </c>
      <c r="J170" s="113">
        <f>IF(I170=17,1,IF(I170=9,1,IF(转换!I166&gt;0,VLOOKUP(转换!H166,道具!B:C,2,FALSE),"")))</f>
        <v>192001</v>
      </c>
      <c r="K170" s="114">
        <f>IF(转换!I166=17,ROUND(转换!J166*100/转换!$U$2,0),IF(转换!I166=9,F170,转换!J166))</f>
        <v>30</v>
      </c>
      <c r="L170" s="115"/>
      <c r="M170" s="115"/>
      <c r="N170" s="115"/>
      <c r="O170" s="113"/>
      <c r="P170" s="113"/>
      <c r="Q170" s="113"/>
      <c r="R170" s="97"/>
      <c r="S170" s="97"/>
      <c r="T170" s="97"/>
    </row>
    <row r="171" customFormat="1" spans="1:20">
      <c r="A171">
        <f>IF(C171=1,1001+COUNTIF($C$5:C170,1),2001+COUNTIF($C$5:C170,2))</f>
        <v>1139</v>
      </c>
      <c r="B171">
        <v>1</v>
      </c>
      <c r="C171" s="121">
        <v>1</v>
      </c>
      <c r="D171" s="122" t="str">
        <f>IFERROR(_xlfn.IFNA(VLOOKUP(ROUND(F171,0),道具!$B$271:$C$295,2,FALSE),""),"")</f>
        <v/>
      </c>
      <c r="E171" s="122" t="str">
        <f>IFERROR(_xlfn.IFNA(VLOOKUP(ROUND(F171,0),道具!$B$296:$C$320,2,FALSE),""),"")</f>
        <v/>
      </c>
      <c r="F171" t="str">
        <f>IF(转换!B167&gt;0,转换!B167*100,"")</f>
        <v/>
      </c>
      <c r="G171">
        <v>37</v>
      </c>
      <c r="H171">
        <f>'体验表-带进度条'!R167</f>
        <v>0</v>
      </c>
      <c r="I171" s="113">
        <f>转换!I167</f>
        <v>3</v>
      </c>
      <c r="J171" s="113">
        <f>IF(I171=17,1,IF(I171=9,1,IF(转换!I167&gt;0,VLOOKUP(转换!H167,道具!B:C,2,FALSE),"")))</f>
        <v>171002</v>
      </c>
      <c r="K171" s="114">
        <f>IF(转换!I167=17,ROUND(转换!J167*100/转换!$U$2,0),IF(转换!I167=9,F171,转换!J167))</f>
        <v>1</v>
      </c>
      <c r="L171" s="115"/>
      <c r="M171" s="115"/>
      <c r="N171" s="115"/>
      <c r="O171" s="113"/>
      <c r="P171" s="113"/>
      <c r="Q171" s="113"/>
      <c r="R171" s="97"/>
      <c r="S171" s="97"/>
      <c r="T171" s="97"/>
    </row>
    <row r="172" customFormat="1" spans="1:20">
      <c r="A172">
        <f>IF(C172=1,1001+COUNTIF($C$5:C171,1),2001+COUNTIF($C$5:C171,2))</f>
        <v>1140</v>
      </c>
      <c r="B172">
        <v>1</v>
      </c>
      <c r="C172" s="121">
        <v>1</v>
      </c>
      <c r="D172" s="122" t="str">
        <f>IFERROR(_xlfn.IFNA(VLOOKUP(ROUND(F172,0),道具!$B$271:$C$295,2,FALSE),""),"")</f>
        <v/>
      </c>
      <c r="E172" s="122" t="str">
        <f>IFERROR(_xlfn.IFNA(VLOOKUP(ROUND(F172,0),道具!$B$296:$C$320,2,FALSE),""),"")</f>
        <v/>
      </c>
      <c r="F172" t="str">
        <f>IF(转换!B169&gt;0,转换!B169*100,"")</f>
        <v/>
      </c>
      <c r="G172">
        <v>39</v>
      </c>
      <c r="H172">
        <f>'体验表-带进度条'!R169</f>
        <v>0</v>
      </c>
      <c r="I172" s="113">
        <f>转换!I169</f>
        <v>3</v>
      </c>
      <c r="J172" s="113">
        <f>IF(I172=17,1,IF(I172=9,1,IF(转换!I169&gt;0,VLOOKUP(转换!H169,道具!B:C,2,FALSE),"")))</f>
        <v>160001</v>
      </c>
      <c r="K172" s="114">
        <f>IF(转换!I169=17,ROUND(转换!J169*100/转换!$U$2,0),IF(转换!I169=9,F172,转换!J169))</f>
        <v>7</v>
      </c>
      <c r="L172" s="115"/>
      <c r="M172" s="115"/>
      <c r="N172" s="115"/>
      <c r="O172" s="113"/>
      <c r="P172" s="113"/>
      <c r="Q172" s="113"/>
      <c r="R172" s="97"/>
      <c r="S172" s="97"/>
      <c r="T172" s="97"/>
    </row>
    <row r="173" customFormat="1" spans="1:20">
      <c r="A173">
        <f>IF(C173=1,1001+COUNTIF($C$5:C172,1),2001+COUNTIF($C$5:C172,2))</f>
        <v>1141</v>
      </c>
      <c r="B173">
        <v>1</v>
      </c>
      <c r="C173" s="121">
        <v>1</v>
      </c>
      <c r="D173" s="122" t="str">
        <f>IFERROR(_xlfn.IFNA(VLOOKUP(ROUND(F173,0),道具!$B$271:$C$295,2,FALSE),""),"")</f>
        <v/>
      </c>
      <c r="E173" s="122" t="str">
        <f>IFERROR(_xlfn.IFNA(VLOOKUP(ROUND(F173,0),道具!$B$296:$C$320,2,FALSE),""),"")</f>
        <v/>
      </c>
      <c r="F173" t="str">
        <f>IF(转换!B170&gt;0,转换!B170*100,"")</f>
        <v/>
      </c>
      <c r="G173">
        <v>40</v>
      </c>
      <c r="H173">
        <f>'体验表-带进度条'!R170</f>
        <v>0</v>
      </c>
      <c r="I173" s="113">
        <f>转换!I170</f>
        <v>17</v>
      </c>
      <c r="J173" s="113">
        <f>IF(I173=17,1,IF(I173=9,1,IF(转换!I170&gt;0,VLOOKUP(转换!H170,道具!B:C,2,FALSE),"")))</f>
        <v>1</v>
      </c>
      <c r="K173" s="114">
        <f>IF(转换!I170=17,ROUND(转换!J170*100/转换!$U$2,0),IF(转换!I170=9,F173,转换!J170))</f>
        <v>241</v>
      </c>
      <c r="L173" s="115"/>
      <c r="M173" s="115"/>
      <c r="N173" s="115"/>
      <c r="O173" s="113"/>
      <c r="P173" s="113"/>
      <c r="Q173" s="113"/>
      <c r="R173" s="97"/>
      <c r="S173" s="97"/>
      <c r="T173" s="97"/>
    </row>
    <row r="174" customFormat="1" spans="1:20">
      <c r="A174">
        <f>IF(C174=1,1001+COUNTIF($C$5:C173,1),2001+COUNTIF($C$5:C173,2))</f>
        <v>1142</v>
      </c>
      <c r="B174">
        <v>1</v>
      </c>
      <c r="C174" s="121">
        <v>1</v>
      </c>
      <c r="D174" s="122" t="str">
        <f>IFERROR(_xlfn.IFNA(VLOOKUP(ROUND(F174,0),道具!$B$271:$C$295,2,FALSE),""),"")</f>
        <v/>
      </c>
      <c r="E174" s="122" t="str">
        <f>IFERROR(_xlfn.IFNA(VLOOKUP(ROUND(F174,0),道具!$B$296:$C$320,2,FALSE),""),"")</f>
        <v/>
      </c>
      <c r="F174" t="str">
        <f>IF(转换!B171&gt;0,转换!B171*100,"")</f>
        <v/>
      </c>
      <c r="G174">
        <v>41</v>
      </c>
      <c r="H174">
        <f>'体验表-带进度条'!R171</f>
        <v>50</v>
      </c>
      <c r="I174" s="113">
        <f>转换!I171</f>
        <v>4</v>
      </c>
      <c r="J174" s="113">
        <f>IF(I174=17,1,IF(I174=9,1,IF(转换!I171&gt;0,VLOOKUP(转换!H171,道具!B:C,2,FALSE),"")))</f>
        <v>100006</v>
      </c>
      <c r="K174" s="114">
        <f>IF(转换!I171=17,ROUND(转换!J171*100/转换!$U$2,0),IF(转换!I171=9,F174,转换!J171))</f>
        <v>1</v>
      </c>
      <c r="L174" s="115"/>
      <c r="M174" s="115"/>
      <c r="N174" s="115"/>
      <c r="O174" s="113"/>
      <c r="P174" s="113"/>
      <c r="Q174" s="113"/>
      <c r="R174" s="97"/>
      <c r="S174" s="97"/>
      <c r="T174" s="97"/>
    </row>
    <row r="175" customFormat="1" spans="1:20">
      <c r="A175">
        <f>IF(C175=1,1001+COUNTIF($C$5:C174,1),2001+COUNTIF($C$5:C174,2))</f>
        <v>1143</v>
      </c>
      <c r="B175">
        <v>1</v>
      </c>
      <c r="C175" s="121">
        <v>1</v>
      </c>
      <c r="D175" s="122" t="str">
        <f>IFERROR(_xlfn.IFNA(VLOOKUP(ROUND(F175,0),道具!$B$271:$C$295,2,FALSE),""),"")</f>
        <v/>
      </c>
      <c r="E175" s="122" t="str">
        <f>IFERROR(_xlfn.IFNA(VLOOKUP(ROUND(F175,0),道具!$B$296:$C$320,2,FALSE),""),"")</f>
        <v/>
      </c>
      <c r="F175" t="str">
        <f>IF(转换!B172&gt;0,转换!B172*100,"")</f>
        <v/>
      </c>
      <c r="G175">
        <v>42</v>
      </c>
      <c r="H175">
        <f>'体验表-带进度条'!R172</f>
        <v>0</v>
      </c>
      <c r="I175" s="113">
        <f>转换!I172</f>
        <v>3</v>
      </c>
      <c r="J175" s="113">
        <f>IF(I175=17,1,IF(I175=9,1,IF(转换!I172&gt;0,VLOOKUP(转换!H172,道具!B:C,2,FALSE),"")))</f>
        <v>192001</v>
      </c>
      <c r="K175" s="114">
        <f>IF(转换!I172=17,ROUND(转换!J172*100/转换!$U$2,0),IF(转换!I172=9,F175,转换!J172))</f>
        <v>35</v>
      </c>
      <c r="L175" s="115"/>
      <c r="M175" s="115"/>
      <c r="N175" s="115"/>
      <c r="O175" s="113"/>
      <c r="P175" s="113"/>
      <c r="Q175" s="113"/>
      <c r="R175" s="97"/>
      <c r="S175" s="97"/>
      <c r="T175" s="97"/>
    </row>
    <row r="176" customFormat="1" spans="1:20">
      <c r="A176">
        <f>IF(C176=1,1001+COUNTIF($C$5:C175,1),2001+COUNTIF($C$5:C175,2))</f>
        <v>1144</v>
      </c>
      <c r="B176">
        <v>1</v>
      </c>
      <c r="C176" s="121">
        <v>1</v>
      </c>
      <c r="D176" s="122" t="str">
        <f>IFERROR(_xlfn.IFNA(VLOOKUP(ROUND(F176,0),道具!$B$271:$C$295,2,FALSE),""),"")</f>
        <v/>
      </c>
      <c r="E176" s="122" t="str">
        <f>IFERROR(_xlfn.IFNA(VLOOKUP(ROUND(F176,0),道具!$B$296:$C$320,2,FALSE),""),"")</f>
        <v/>
      </c>
      <c r="F176" t="str">
        <f>IF(转换!B173&gt;0,转换!B173*100,"")</f>
        <v/>
      </c>
      <c r="G176">
        <v>43</v>
      </c>
      <c r="H176">
        <f>'体验表-带进度条'!R173</f>
        <v>0</v>
      </c>
      <c r="I176" s="113">
        <f>转换!I173</f>
        <v>3</v>
      </c>
      <c r="J176" s="113">
        <f>IF(I176=17,1,IF(I176=9,1,IF(转换!I173&gt;0,VLOOKUP(转换!H173,道具!B:C,2,FALSE),"")))</f>
        <v>171001</v>
      </c>
      <c r="K176" s="114">
        <f>IF(转换!I173=17,ROUND(转换!J173*100/转换!$U$2,0),IF(转换!I173=9,F176,转换!J173))</f>
        <v>1</v>
      </c>
      <c r="L176" s="115"/>
      <c r="M176" s="115"/>
      <c r="N176" s="115"/>
      <c r="O176" s="113"/>
      <c r="P176" s="113"/>
      <c r="Q176" s="113"/>
      <c r="R176" s="97"/>
      <c r="S176" s="97"/>
      <c r="T176" s="97"/>
    </row>
    <row r="177" customFormat="1" spans="1:20">
      <c r="A177">
        <f>IF(C177=1,1001+COUNTIF($C$5:C176,1),2001+COUNTIF($C$5:C176,2))</f>
        <v>2029</v>
      </c>
      <c r="B177">
        <v>1</v>
      </c>
      <c r="C177" s="121">
        <v>2</v>
      </c>
      <c r="D177" s="122" t="str">
        <f>IFERROR(_xlfn.IFNA(VLOOKUP(ROUND(F177,0),道具!$B$271:$C$295,2,FALSE),""),"")</f>
        <v>gp_hunt_599</v>
      </c>
      <c r="E177" s="122" t="str">
        <f>IFERROR(_xlfn.IFNA(VLOOKUP(ROUND(F177,0),道具!$B$296:$C$320,2,FALSE),""),"")</f>
        <v>iap_hunt_599</v>
      </c>
      <c r="F177">
        <f>IF(转换!B175&gt;0,转换!B175*100,"")</f>
        <v>599</v>
      </c>
      <c r="G177">
        <v>2</v>
      </c>
      <c r="H177">
        <f>'体验表-带进度条'!R175</f>
        <v>10</v>
      </c>
      <c r="I177" s="113">
        <f>转换!I175</f>
        <v>9</v>
      </c>
      <c r="J177" s="113">
        <f>IF(I177=17,1,IF(I177=9,1,IF(转换!I175&gt;0,VLOOKUP(转换!H175,道具!B:C,2,FALSE),"")))</f>
        <v>1</v>
      </c>
      <c r="K177" s="114">
        <f>IF(转换!I175=17,ROUND(转换!J175*100/转换!$U$2,0),IF(转换!I175=9,F177,转换!J175))</f>
        <v>599</v>
      </c>
      <c r="L177" s="115"/>
      <c r="M177" s="115"/>
      <c r="N177" s="115"/>
      <c r="O177" s="113"/>
      <c r="P177" s="113"/>
      <c r="Q177" s="113"/>
      <c r="R177" s="97"/>
      <c r="S177" s="97"/>
      <c r="T177" s="97"/>
    </row>
    <row r="178" customFormat="1" spans="1:20">
      <c r="A178">
        <f>IF(C178=1,1001+COUNTIF($C$5:C177,1),2001+COUNTIF($C$5:C177,2))</f>
        <v>2030</v>
      </c>
      <c r="B178">
        <v>1</v>
      </c>
      <c r="C178" s="121">
        <v>2</v>
      </c>
      <c r="D178" s="122" t="str">
        <f>IFERROR(_xlfn.IFNA(VLOOKUP(ROUND(F178,0),道具!$B$271:$C$295,2,FALSE),""),"")</f>
        <v>gp_hunt_3</v>
      </c>
      <c r="E178" s="122" t="str">
        <f>IFERROR(_xlfn.IFNA(VLOOKUP(ROUND(F178,0),道具!$B$296:$C$320,2,FALSE),""),"")</f>
        <v>iap_hunt_3</v>
      </c>
      <c r="F178">
        <f>IF(转换!B181&gt;0,转换!B181*100,"")</f>
        <v>799</v>
      </c>
      <c r="G178">
        <v>8</v>
      </c>
      <c r="H178">
        <f>'体验表-带进度条'!R181</f>
        <v>25</v>
      </c>
      <c r="I178" s="113">
        <f>转换!I181</f>
        <v>9</v>
      </c>
      <c r="J178" s="113">
        <f>IF(I178=17,1,IF(I178=9,1,IF(转换!I181&gt;0,VLOOKUP(转换!H181,道具!B:C,2,FALSE),"")))</f>
        <v>1</v>
      </c>
      <c r="K178" s="114">
        <f>IF(转换!I181=17,ROUND(转换!J181*100/转换!$U$2,0),IF(转换!I181=9,F178,转换!J181))</f>
        <v>799</v>
      </c>
      <c r="L178" s="115"/>
      <c r="M178" s="115"/>
      <c r="N178" s="115"/>
      <c r="O178" s="113"/>
      <c r="P178" s="113"/>
      <c r="Q178" s="113"/>
      <c r="R178" s="97"/>
      <c r="S178" s="97"/>
      <c r="T178" s="97"/>
    </row>
    <row r="179" customFormat="1" spans="1:20">
      <c r="A179">
        <f>IF(C179=1,1001+COUNTIF($C$5:C178,1),2001+COUNTIF($C$5:C178,2))</f>
        <v>2031</v>
      </c>
      <c r="B179">
        <v>1</v>
      </c>
      <c r="C179" s="121">
        <v>2</v>
      </c>
      <c r="D179" s="122" t="str">
        <f>IFERROR(_xlfn.IFNA(VLOOKUP(ROUND(F179,0),道具!$B$271:$C$295,2,FALSE),""),"")</f>
        <v>gp_hunt_999</v>
      </c>
      <c r="E179" s="122" t="str">
        <f>IFERROR(_xlfn.IFNA(VLOOKUP(ROUND(F179,0),道具!$B$296:$C$320,2,FALSE),""),"")</f>
        <v>iap_hunt_999</v>
      </c>
      <c r="F179">
        <f>IF(转换!B187&gt;0,转换!B187*100,"")</f>
        <v>999</v>
      </c>
      <c r="G179">
        <v>14</v>
      </c>
      <c r="H179">
        <f>'体验表-带进度条'!R187</f>
        <v>35</v>
      </c>
      <c r="I179" s="113">
        <f>转换!I187</f>
        <v>9</v>
      </c>
      <c r="J179" s="113">
        <f>IF(I179=17,1,IF(I179=9,1,IF(转换!I187&gt;0,VLOOKUP(转换!H187,道具!B:C,2,FALSE),"")))</f>
        <v>1</v>
      </c>
      <c r="K179" s="114">
        <f>IF(转换!I187=17,ROUND(转换!J187*100/转换!$U$2,0),IF(转换!I187=9,F179,转换!J187))</f>
        <v>999</v>
      </c>
      <c r="L179" s="115"/>
      <c r="M179" s="115"/>
      <c r="N179" s="115"/>
      <c r="O179" s="113"/>
      <c r="P179" s="113"/>
      <c r="Q179" s="113"/>
      <c r="R179" s="97"/>
      <c r="S179" s="97"/>
      <c r="T179" s="97"/>
    </row>
    <row r="180" customFormat="1" spans="1:20">
      <c r="A180">
        <f>IF(C180=1,1001+COUNTIF($C$5:C179,1),2001+COUNTIF($C$5:C179,2))</f>
        <v>2032</v>
      </c>
      <c r="B180">
        <v>1</v>
      </c>
      <c r="C180" s="121">
        <v>2</v>
      </c>
      <c r="D180" s="122" t="str">
        <f>IFERROR(_xlfn.IFNA(VLOOKUP(ROUND(F180,0),道具!$B$271:$C$295,2,FALSE),""),"")</f>
        <v>gp_hunt_5</v>
      </c>
      <c r="E180" s="122" t="str">
        <f>IFERROR(_xlfn.IFNA(VLOOKUP(ROUND(F180,0),道具!$B$296:$C$320,2,FALSE),""),"")</f>
        <v>iap_hunt_5</v>
      </c>
      <c r="F180">
        <f>IF(转换!B193&gt;0,转换!B193*100,"")</f>
        <v>1299</v>
      </c>
      <c r="G180">
        <v>20</v>
      </c>
      <c r="H180">
        <f>'体验表-带进度条'!R193</f>
        <v>0</v>
      </c>
      <c r="I180" s="113">
        <f>转换!I193</f>
        <v>9</v>
      </c>
      <c r="J180" s="113">
        <f>IF(I180=17,1,IF(I180=9,1,IF(转换!I193&gt;0,VLOOKUP(转换!H193,道具!B:C,2,FALSE),"")))</f>
        <v>1</v>
      </c>
      <c r="K180" s="114">
        <f>IF(转换!I193=17,ROUND(转换!J193*100/转换!$U$2,0),IF(转换!I193=9,F180,转换!J193))</f>
        <v>1299</v>
      </c>
      <c r="L180" s="115"/>
      <c r="M180" s="115"/>
      <c r="N180" s="115"/>
      <c r="O180" s="113"/>
      <c r="P180" s="113"/>
      <c r="Q180" s="113"/>
      <c r="R180" s="97"/>
      <c r="S180" s="97"/>
      <c r="T180" s="97"/>
    </row>
    <row r="181" customFormat="1" spans="1:20">
      <c r="A181">
        <f>IF(C181=1,1001+COUNTIF($C$5:C180,1),2001+COUNTIF($C$5:C180,2))</f>
        <v>2033</v>
      </c>
      <c r="B181">
        <v>1</v>
      </c>
      <c r="C181" s="121">
        <v>2</v>
      </c>
      <c r="D181" s="122" t="str">
        <f>IFERROR(_xlfn.IFNA(VLOOKUP(ROUND(F181,0),道具!$B$271:$C$295,2,FALSE),""),"")</f>
        <v>gp_hunt_6</v>
      </c>
      <c r="E181" s="122" t="str">
        <f>IFERROR(_xlfn.IFNA(VLOOKUP(ROUND(F181,0),道具!$B$296:$C$320,2,FALSE),""),"")</f>
        <v>iap_hunt_6</v>
      </c>
      <c r="F181">
        <f>IF(转换!B199&gt;0,转换!B199*100,"")</f>
        <v>1499</v>
      </c>
      <c r="G181">
        <v>26</v>
      </c>
      <c r="H181">
        <f>'体验表-带进度条'!R199</f>
        <v>10</v>
      </c>
      <c r="I181" s="113">
        <f>转换!I199</f>
        <v>9</v>
      </c>
      <c r="J181" s="113">
        <f>IF(I181=17,1,IF(I181=9,1,IF(转换!I199&gt;0,VLOOKUP(转换!H199,道具!B:C,2,FALSE),"")))</f>
        <v>1</v>
      </c>
      <c r="K181" s="114">
        <f>IF(转换!I199=17,ROUND(转换!J199*100/转换!$U$2,0),IF(转换!I199=9,F181,转换!J199))</f>
        <v>1499</v>
      </c>
      <c r="L181" s="115"/>
      <c r="M181" s="115"/>
      <c r="N181" s="115"/>
      <c r="O181" s="113"/>
      <c r="P181" s="113"/>
      <c r="Q181" s="113"/>
      <c r="R181" s="97"/>
      <c r="S181" s="97"/>
      <c r="T181" s="97"/>
    </row>
    <row r="182" customFormat="1" spans="1:20">
      <c r="A182">
        <f>IF(C182=1,1001+COUNTIF($C$5:C181,1),2001+COUNTIF($C$5:C181,2))</f>
        <v>2034</v>
      </c>
      <c r="B182">
        <v>1</v>
      </c>
      <c r="C182" s="121">
        <v>2</v>
      </c>
      <c r="D182" s="122" t="str">
        <f>IFERROR(_xlfn.IFNA(VLOOKUP(ROUND(F182,0),道具!$B$271:$C$295,2,FALSE),""),"")</f>
        <v>gp_hunt_1799</v>
      </c>
      <c r="E182" s="122" t="str">
        <f>IFERROR(_xlfn.IFNA(VLOOKUP(ROUND(F182,0),道具!$B$296:$C$320,2,FALSE),""),"")</f>
        <v>iap_hunt_1799</v>
      </c>
      <c r="F182">
        <f>IF(转换!B205&gt;0,转换!B205*100,"")</f>
        <v>1799</v>
      </c>
      <c r="G182">
        <v>32</v>
      </c>
      <c r="H182">
        <f>'体验表-带进度条'!R205</f>
        <v>25</v>
      </c>
      <c r="I182" s="113">
        <f>转换!I205</f>
        <v>9</v>
      </c>
      <c r="J182" s="113">
        <f>IF(I182=17,1,IF(I182=9,1,IF(转换!I205&gt;0,VLOOKUP(转换!H205,道具!B:C,2,FALSE),"")))</f>
        <v>1</v>
      </c>
      <c r="K182" s="114">
        <f>IF(转换!I205=17,ROUND(转换!J205*100/转换!$U$2,0),IF(转换!I205=9,F182,转换!J205))</f>
        <v>1799</v>
      </c>
      <c r="L182" s="115"/>
      <c r="M182" s="115"/>
      <c r="N182" s="115"/>
      <c r="O182" s="113"/>
      <c r="P182" s="113"/>
      <c r="Q182" s="113"/>
      <c r="R182" s="97"/>
      <c r="S182" s="97"/>
      <c r="T182" s="97"/>
    </row>
    <row r="183" customFormat="1" spans="1:20">
      <c r="A183">
        <f>IF(C183=1,1001+COUNTIF($C$5:C182,1),2001+COUNTIF($C$5:C182,2))</f>
        <v>2035</v>
      </c>
      <c r="B183">
        <v>1</v>
      </c>
      <c r="C183" s="121">
        <v>2</v>
      </c>
      <c r="D183" s="122" t="str">
        <f>IFERROR(_xlfn.IFNA(VLOOKUP(ROUND(F183,0),道具!$B$271:$C$295,2,FALSE),""),"")</f>
        <v>gp_hunt_1999</v>
      </c>
      <c r="E183" s="122" t="str">
        <f>IFERROR(_xlfn.IFNA(VLOOKUP(ROUND(F183,0),道具!$B$296:$C$320,2,FALSE),""),"")</f>
        <v>iap_hunt_1999</v>
      </c>
      <c r="F183">
        <f>IF(转换!B211&gt;0,转换!B211*100,"")</f>
        <v>1999</v>
      </c>
      <c r="G183">
        <v>38</v>
      </c>
      <c r="H183">
        <f>'体验表-带进度条'!R211</f>
        <v>35</v>
      </c>
      <c r="I183" s="113">
        <f>转换!I211</f>
        <v>9</v>
      </c>
      <c r="J183" s="113">
        <f>IF(I183=17,1,IF(I183=9,1,IF(转换!I211&gt;0,VLOOKUP(转换!H211,道具!B:C,2,FALSE),"")))</f>
        <v>1</v>
      </c>
      <c r="K183" s="114">
        <f>IF(转换!I211=17,ROUND(转换!J211*100/转换!$U$2,0),IF(转换!I211=9,F183,转换!J211))</f>
        <v>1999</v>
      </c>
      <c r="L183" s="115"/>
      <c r="M183" s="115"/>
      <c r="N183" s="115"/>
      <c r="O183" s="113"/>
      <c r="P183" s="113"/>
      <c r="Q183" s="113"/>
      <c r="R183" s="97"/>
      <c r="S183" s="97"/>
      <c r="T183" s="97"/>
    </row>
    <row r="184" customFormat="1" spans="1:20">
      <c r="A184">
        <f>IF(C184=1,1001+COUNTIF($C$5:C183,1),2001+COUNTIF($C$5:C183,2))</f>
        <v>1145</v>
      </c>
      <c r="B184">
        <v>1</v>
      </c>
      <c r="C184" s="121">
        <v>1</v>
      </c>
      <c r="D184" s="122" t="str">
        <f>IFERROR(_xlfn.IFNA(VLOOKUP(ROUND(F184,0),道具!$B$271:$C$295,2,FALSE),""),"")</f>
        <v/>
      </c>
      <c r="E184" s="122" t="str">
        <f>IFERROR(_xlfn.IFNA(VLOOKUP(ROUND(F184,0),道具!$B$296:$C$320,2,FALSE),""),"")</f>
        <v/>
      </c>
      <c r="F184" t="str">
        <f>IF(转换!B174&gt;0,转换!B174*100,"")</f>
        <v/>
      </c>
      <c r="G184">
        <v>1</v>
      </c>
      <c r="H184">
        <f>'体验表-带进度条'!R174</f>
        <v>20</v>
      </c>
      <c r="I184" s="113">
        <f>转换!I174</f>
        <v>1</v>
      </c>
      <c r="J184" s="113">
        <f>IF(I184=17,1,IF(I184=9,1,IF(转换!I174&gt;0,VLOOKUP(转换!H174,道具!B:C,2,FALSE),"")))</f>
        <v>1</v>
      </c>
      <c r="K184" s="114">
        <f>IF(转换!I174=17,ROUND(转换!J174*100/转换!$U$2,0),IF(转换!I174=9,F184,转换!J174))</f>
        <v>5000</v>
      </c>
      <c r="L184" s="115"/>
      <c r="M184" s="115"/>
      <c r="N184" s="115"/>
      <c r="O184" s="113"/>
      <c r="P184" s="113"/>
      <c r="Q184" s="113"/>
      <c r="R184" s="97"/>
      <c r="S184" s="97"/>
      <c r="T184" s="97"/>
    </row>
    <row r="185" customFormat="1" spans="1:20">
      <c r="A185">
        <f>IF(C185=1,1001+COUNTIF($C$5:C184,1),2001+COUNTIF($C$5:C184,2))</f>
        <v>1146</v>
      </c>
      <c r="B185">
        <v>1</v>
      </c>
      <c r="C185" s="121">
        <v>1</v>
      </c>
      <c r="D185" s="122" t="str">
        <f>IFERROR(_xlfn.IFNA(VLOOKUP(ROUND(F185,0),道具!$B$271:$C$295,2,FALSE),""),"")</f>
        <v/>
      </c>
      <c r="E185" s="122" t="str">
        <f>IFERROR(_xlfn.IFNA(VLOOKUP(ROUND(F185,0),道具!$B$296:$C$320,2,FALSE),""),"")</f>
        <v/>
      </c>
      <c r="F185" t="str">
        <f>IF(转换!B176&gt;0,转换!B176*100,"")</f>
        <v/>
      </c>
      <c r="G185">
        <v>3</v>
      </c>
      <c r="H185">
        <f>'体验表-带进度条'!R176</f>
        <v>0</v>
      </c>
      <c r="I185" s="113">
        <f>转换!I176</f>
        <v>3</v>
      </c>
      <c r="J185" s="113">
        <f>IF(I185=17,1,IF(I185=9,1,IF(转换!I176&gt;0,VLOOKUP(转换!H176,道具!B:C,2,FALSE),"")))</f>
        <v>160001</v>
      </c>
      <c r="K185" s="114">
        <f>IF(转换!I176=17,ROUND(转换!J176*100/转换!$U$2,0),IF(转换!I176=9,F185,转换!J176))</f>
        <v>1</v>
      </c>
      <c r="L185" s="115"/>
      <c r="M185" s="115"/>
      <c r="N185" s="115"/>
      <c r="O185" s="113"/>
      <c r="P185" s="113"/>
      <c r="Q185" s="113"/>
      <c r="R185" s="97"/>
      <c r="S185" s="97"/>
      <c r="T185" s="97"/>
    </row>
    <row r="186" customFormat="1" spans="1:20">
      <c r="A186">
        <f>IF(C186=1,1001+COUNTIF($C$5:C185,1),2001+COUNTIF($C$5:C185,2))</f>
        <v>1147</v>
      </c>
      <c r="B186">
        <v>1</v>
      </c>
      <c r="C186" s="121">
        <v>1</v>
      </c>
      <c r="D186" s="122" t="str">
        <f>IFERROR(_xlfn.IFNA(VLOOKUP(ROUND(F186,0),道具!$B$271:$C$295,2,FALSE),""),"")</f>
        <v/>
      </c>
      <c r="E186" s="122" t="str">
        <f>IFERROR(_xlfn.IFNA(VLOOKUP(ROUND(F186,0),道具!$B$296:$C$320,2,FALSE),""),"")</f>
        <v/>
      </c>
      <c r="F186" t="str">
        <f>IF(转换!B177&gt;0,转换!B177*100,"")</f>
        <v/>
      </c>
      <c r="G186">
        <v>4</v>
      </c>
      <c r="H186">
        <f>'体验表-带进度条'!R177</f>
        <v>0</v>
      </c>
      <c r="I186" s="113">
        <f>转换!I177</f>
        <v>17</v>
      </c>
      <c r="J186" s="113">
        <f>IF(I186=17,1,IF(I186=9,1,IF(转换!I177&gt;0,VLOOKUP(转换!H177,道具!B:C,2,FALSE),"")))</f>
        <v>1</v>
      </c>
      <c r="K186" s="114">
        <f>IF(转换!I177=17,ROUND(转换!J177*100/转换!$U$2,0),IF(转换!I177=9,F186,转换!J177))</f>
        <v>201</v>
      </c>
      <c r="L186" s="115"/>
      <c r="M186" s="115"/>
      <c r="N186" s="115"/>
      <c r="O186" s="113"/>
      <c r="P186" s="113"/>
      <c r="Q186" s="113"/>
      <c r="R186" s="97"/>
      <c r="S186" s="97"/>
      <c r="T186" s="97"/>
    </row>
    <row r="187" customFormat="1" spans="1:20">
      <c r="A187">
        <f>IF(C187=1,1001+COUNTIF($C$5:C186,1),2001+COUNTIF($C$5:C186,2))</f>
        <v>1148</v>
      </c>
      <c r="B187">
        <v>1</v>
      </c>
      <c r="C187" s="121">
        <v>1</v>
      </c>
      <c r="D187" s="122" t="str">
        <f>IFERROR(_xlfn.IFNA(VLOOKUP(ROUND(F187,0),道具!$B$271:$C$295,2,FALSE),""),"")</f>
        <v/>
      </c>
      <c r="E187" s="122" t="str">
        <f>IFERROR(_xlfn.IFNA(VLOOKUP(ROUND(F187,0),道具!$B$296:$C$320,2,FALSE),""),"")</f>
        <v/>
      </c>
      <c r="F187" t="str">
        <f>IF(转换!B178&gt;0,转换!B178*100,"")</f>
        <v/>
      </c>
      <c r="G187">
        <v>5</v>
      </c>
      <c r="H187">
        <f>'体验表-带进度条'!R178</f>
        <v>10</v>
      </c>
      <c r="I187" s="113">
        <f>转换!I178</f>
        <v>4</v>
      </c>
      <c r="J187" s="113">
        <f>IF(I187=17,1,IF(I187=9,1,IF(转换!I178&gt;0,VLOOKUP(转换!H178,道具!B:C,2,FALSE),"")))</f>
        <v>100002</v>
      </c>
      <c r="K187" s="114">
        <f>IF(转换!I178=17,ROUND(转换!J178*100/转换!$U$2,0),IF(转换!I178=9,F187,转换!J178))</f>
        <v>1</v>
      </c>
      <c r="L187" s="115"/>
      <c r="M187" s="115"/>
      <c r="N187" s="115"/>
      <c r="O187" s="113"/>
      <c r="P187" s="113"/>
      <c r="Q187" s="113"/>
      <c r="R187" s="97"/>
      <c r="S187" s="97"/>
      <c r="T187" s="97"/>
    </row>
    <row r="188" customFormat="1" spans="1:20">
      <c r="A188">
        <f>IF(C188=1,1001+COUNTIF($C$5:C187,1),2001+COUNTIF($C$5:C187,2))</f>
        <v>1149</v>
      </c>
      <c r="B188">
        <v>1</v>
      </c>
      <c r="C188" s="121">
        <v>1</v>
      </c>
      <c r="D188" s="122" t="str">
        <f>IFERROR(_xlfn.IFNA(VLOOKUP(ROUND(F188,0),道具!$B$271:$C$295,2,FALSE),""),"")</f>
        <v/>
      </c>
      <c r="E188" s="122" t="str">
        <f>IFERROR(_xlfn.IFNA(VLOOKUP(ROUND(F188,0),道具!$B$296:$C$320,2,FALSE),""),"")</f>
        <v/>
      </c>
      <c r="F188" t="str">
        <f>IF(转换!B179&gt;0,转换!B179*100,"")</f>
        <v/>
      </c>
      <c r="G188">
        <v>6</v>
      </c>
      <c r="H188">
        <f>'体验表-带进度条'!R179</f>
        <v>0</v>
      </c>
      <c r="I188" s="113">
        <f>转换!I179</f>
        <v>3</v>
      </c>
      <c r="J188" s="113">
        <f>IF(I188=17,1,IF(I188=9,1,IF(转换!I179&gt;0,VLOOKUP(转换!H179,道具!B:C,2,FALSE),"")))</f>
        <v>192001</v>
      </c>
      <c r="K188" s="114">
        <f>IF(转换!I179=17,ROUND(转换!J179*100/转换!$U$2,0),IF(转换!I179=9,F188,转换!J179))</f>
        <v>5</v>
      </c>
      <c r="L188" s="115"/>
      <c r="M188" s="115"/>
      <c r="N188" s="115"/>
      <c r="O188" s="113"/>
      <c r="P188" s="113"/>
      <c r="Q188" s="113"/>
      <c r="R188" s="97"/>
      <c r="S188" s="97"/>
      <c r="T188" s="97"/>
    </row>
    <row r="189" customFormat="1" spans="1:20">
      <c r="A189">
        <f>IF(C189=1,1001+COUNTIF($C$5:C188,1),2001+COUNTIF($C$5:C188,2))</f>
        <v>1150</v>
      </c>
      <c r="B189">
        <v>1</v>
      </c>
      <c r="C189" s="121">
        <v>1</v>
      </c>
      <c r="D189" s="122" t="str">
        <f>IFERROR(_xlfn.IFNA(VLOOKUP(ROUND(F189,0),道具!$B$271:$C$295,2,FALSE),""),"")</f>
        <v/>
      </c>
      <c r="E189" s="122" t="str">
        <f>IFERROR(_xlfn.IFNA(VLOOKUP(ROUND(F189,0),道具!$B$296:$C$320,2,FALSE),""),"")</f>
        <v/>
      </c>
      <c r="F189" t="str">
        <f>IF(转换!B180&gt;0,转换!B180*100,"")</f>
        <v/>
      </c>
      <c r="G189">
        <v>7</v>
      </c>
      <c r="H189">
        <f>'体验表-带进度条'!R180</f>
        <v>0</v>
      </c>
      <c r="I189" s="113">
        <f>转换!I180</f>
        <v>3</v>
      </c>
      <c r="J189" s="113">
        <f>IF(I189=17,1,IF(I189=9,1,IF(转换!I180&gt;0,VLOOKUP(转换!H180,道具!B:C,2,FALSE),"")))</f>
        <v>171001</v>
      </c>
      <c r="K189" s="114">
        <f>IF(转换!I180=17,ROUND(转换!J180*100/转换!$U$2,0),IF(转换!I180=9,F189,转换!J180))</f>
        <v>1</v>
      </c>
      <c r="L189" s="115"/>
      <c r="M189" s="115"/>
      <c r="N189" s="115"/>
      <c r="O189" s="113"/>
      <c r="P189" s="113"/>
      <c r="Q189" s="113"/>
      <c r="R189" s="97"/>
      <c r="S189" s="97"/>
      <c r="T189" s="97"/>
    </row>
    <row r="190" customFormat="1" spans="1:20">
      <c r="A190">
        <f>IF(C190=1,1001+COUNTIF($C$5:C189,1),2001+COUNTIF($C$5:C189,2))</f>
        <v>1151</v>
      </c>
      <c r="B190">
        <v>1</v>
      </c>
      <c r="C190" s="121">
        <v>1</v>
      </c>
      <c r="D190" s="122" t="str">
        <f>IFERROR(_xlfn.IFNA(VLOOKUP(ROUND(F190,0),道具!$B$271:$C$295,2,FALSE),""),"")</f>
        <v/>
      </c>
      <c r="E190" s="122" t="str">
        <f>IFERROR(_xlfn.IFNA(VLOOKUP(ROUND(F190,0),道具!$B$296:$C$320,2,FALSE),""),"")</f>
        <v/>
      </c>
      <c r="F190" t="str">
        <f>IF(转换!B182&gt;0,转换!B182*100,"")</f>
        <v/>
      </c>
      <c r="G190">
        <v>9</v>
      </c>
      <c r="H190">
        <f>'体验表-带进度条'!R182</f>
        <v>0</v>
      </c>
      <c r="I190" s="113">
        <f>转换!I182</f>
        <v>3</v>
      </c>
      <c r="J190" s="113">
        <f>IF(I190=17,1,IF(I190=9,1,IF(转换!I182&gt;0,VLOOKUP(转换!H182,道具!B:C,2,FALSE),"")))</f>
        <v>160001</v>
      </c>
      <c r="K190" s="114">
        <f>IF(转换!I182=17,ROUND(转换!J182*100/转换!$U$2,0),IF(转换!I182=9,F190,转换!J182))</f>
        <v>2</v>
      </c>
      <c r="L190" s="115"/>
      <c r="M190" s="115"/>
      <c r="N190" s="115"/>
      <c r="O190" s="113"/>
      <c r="P190" s="113"/>
      <c r="Q190" s="113"/>
      <c r="R190" s="97"/>
      <c r="S190" s="97"/>
      <c r="T190" s="97"/>
    </row>
    <row r="191" customFormat="1" spans="1:20">
      <c r="A191">
        <f>IF(C191=1,1001+COUNTIF($C$5:C190,1),2001+COUNTIF($C$5:C190,2))</f>
        <v>1152</v>
      </c>
      <c r="B191">
        <v>1</v>
      </c>
      <c r="C191" s="121">
        <v>1</v>
      </c>
      <c r="D191" s="122" t="str">
        <f>IFERROR(_xlfn.IFNA(VLOOKUP(ROUND(F191,0),道具!$B$271:$C$295,2,FALSE),""),"")</f>
        <v/>
      </c>
      <c r="E191" s="122" t="str">
        <f>IFERROR(_xlfn.IFNA(VLOOKUP(ROUND(F191,0),道具!$B$296:$C$320,2,FALSE),""),"")</f>
        <v/>
      </c>
      <c r="F191" t="str">
        <f>IF(转换!B183&gt;0,转换!B183*100,"")</f>
        <v/>
      </c>
      <c r="G191">
        <v>10</v>
      </c>
      <c r="H191">
        <f>'体验表-带进度条'!R183</f>
        <v>0</v>
      </c>
      <c r="I191" s="113">
        <f>转换!I183</f>
        <v>17</v>
      </c>
      <c r="J191" s="113">
        <f>IF(I191=17,1,IF(I191=9,1,IF(转换!I183&gt;0,VLOOKUP(转换!H183,道具!B:C,2,FALSE),"")))</f>
        <v>1</v>
      </c>
      <c r="K191" s="114">
        <f>IF(转换!I183=17,ROUND(转换!J183*100/转换!$U$2,0),IF(转换!I183=9,F191,转换!J183))</f>
        <v>40</v>
      </c>
      <c r="L191" s="115"/>
      <c r="M191" s="115"/>
      <c r="N191" s="115"/>
      <c r="O191" s="113"/>
      <c r="P191" s="113"/>
      <c r="Q191" s="113"/>
      <c r="R191" s="97"/>
      <c r="S191" s="97"/>
      <c r="T191" s="97"/>
    </row>
    <row r="192" customFormat="1" spans="1:20">
      <c r="A192">
        <f>IF(C192=1,1001+COUNTIF($C$5:C191,1),2001+COUNTIF($C$5:C191,2))</f>
        <v>1153</v>
      </c>
      <c r="B192">
        <v>1</v>
      </c>
      <c r="C192" s="121">
        <v>1</v>
      </c>
      <c r="D192" s="122" t="str">
        <f>IFERROR(_xlfn.IFNA(VLOOKUP(ROUND(F192,0),道具!$B$271:$C$295,2,FALSE),""),"")</f>
        <v/>
      </c>
      <c r="E192" s="122" t="str">
        <f>IFERROR(_xlfn.IFNA(VLOOKUP(ROUND(F192,0),道具!$B$296:$C$320,2,FALSE),""),"")</f>
        <v/>
      </c>
      <c r="F192" t="str">
        <f>IF(转换!B184&gt;0,转换!B184*100,"")</f>
        <v/>
      </c>
      <c r="G192">
        <v>11</v>
      </c>
      <c r="H192">
        <f>'体验表-带进度条'!R184</f>
        <v>0</v>
      </c>
      <c r="I192" s="113">
        <f>转换!I184</f>
        <v>4</v>
      </c>
      <c r="J192" s="113">
        <f>IF(I192=17,1,IF(I192=9,1,IF(转换!I184&gt;0,VLOOKUP(转换!H184,道具!B:C,2,FALSE),"")))</f>
        <v>100003</v>
      </c>
      <c r="K192" s="114">
        <f>IF(转换!I184=17,ROUND(转换!J184*100/转换!$U$2,0),IF(转换!I184=9,F192,转换!J184))</f>
        <v>1</v>
      </c>
      <c r="L192" s="115"/>
      <c r="M192" s="115"/>
      <c r="N192" s="115"/>
      <c r="O192" s="113"/>
      <c r="P192" s="113"/>
      <c r="Q192" s="113"/>
      <c r="R192" s="97"/>
      <c r="S192" s="97"/>
      <c r="T192" s="97"/>
    </row>
    <row r="193" customFormat="1" spans="1:20">
      <c r="A193">
        <f>IF(C193=1,1001+COUNTIF($C$5:C192,1),2001+COUNTIF($C$5:C192,2))</f>
        <v>1154</v>
      </c>
      <c r="B193">
        <v>1</v>
      </c>
      <c r="C193" s="121">
        <v>1</v>
      </c>
      <c r="D193" s="122" t="str">
        <f>IFERROR(_xlfn.IFNA(VLOOKUP(ROUND(F193,0),道具!$B$271:$C$295,2,FALSE),""),"")</f>
        <v/>
      </c>
      <c r="E193" s="122" t="str">
        <f>IFERROR(_xlfn.IFNA(VLOOKUP(ROUND(F193,0),道具!$B$296:$C$320,2,FALSE),""),"")</f>
        <v/>
      </c>
      <c r="F193" t="str">
        <f>IF(转换!B185&gt;0,转换!B185*100,"")</f>
        <v/>
      </c>
      <c r="G193">
        <v>12</v>
      </c>
      <c r="H193">
        <f>'体验表-带进度条'!R185</f>
        <v>0</v>
      </c>
      <c r="I193" s="113">
        <f>转换!I185</f>
        <v>3</v>
      </c>
      <c r="J193" s="113">
        <f>IF(I193=17,1,IF(I193=9,1,IF(转换!I185&gt;0,VLOOKUP(转换!H185,道具!B:C,2,FALSE),"")))</f>
        <v>192001</v>
      </c>
      <c r="K193" s="114">
        <f>IF(转换!I185=17,ROUND(转换!J185*100/转换!$U$2,0),IF(转换!I185=9,F193,转换!J185))</f>
        <v>10</v>
      </c>
      <c r="L193" s="115"/>
      <c r="M193" s="115"/>
      <c r="N193" s="115"/>
      <c r="O193" s="113"/>
      <c r="P193" s="113"/>
      <c r="Q193" s="113"/>
      <c r="R193" s="97"/>
      <c r="S193" s="97"/>
      <c r="T193" s="97"/>
    </row>
    <row r="194" customFormat="1" spans="1:20">
      <c r="A194">
        <f>IF(C194=1,1001+COUNTIF($C$5:C193,1),2001+COUNTIF($C$5:C193,2))</f>
        <v>1155</v>
      </c>
      <c r="B194">
        <v>1</v>
      </c>
      <c r="C194" s="121">
        <v>1</v>
      </c>
      <c r="D194" s="122" t="str">
        <f>IFERROR(_xlfn.IFNA(VLOOKUP(ROUND(F194,0),道具!$B$271:$C$295,2,FALSE),""),"")</f>
        <v/>
      </c>
      <c r="E194" s="122" t="str">
        <f>IFERROR(_xlfn.IFNA(VLOOKUP(ROUND(F194,0),道具!$B$296:$C$320,2,FALSE),""),"")</f>
        <v/>
      </c>
      <c r="F194" t="str">
        <f>IF(转换!B186&gt;0,转换!B186*100,"")</f>
        <v/>
      </c>
      <c r="G194">
        <v>13</v>
      </c>
      <c r="H194">
        <f>'体验表-带进度条'!R186</f>
        <v>0</v>
      </c>
      <c r="I194" s="113">
        <f>转换!I186</f>
        <v>3</v>
      </c>
      <c r="J194" s="113">
        <f>IF(I194=17,1,IF(I194=9,1,IF(转换!I186&gt;0,VLOOKUP(转换!H186,道具!B:C,2,FALSE),"")))</f>
        <v>171002</v>
      </c>
      <c r="K194" s="114">
        <f>IF(转换!I186=17,ROUND(转换!J186*100/转换!$U$2,0),IF(转换!I186=9,F194,转换!J186))</f>
        <v>1</v>
      </c>
      <c r="L194" s="115"/>
      <c r="M194" s="115"/>
      <c r="N194" s="115"/>
      <c r="O194" s="113"/>
      <c r="P194" s="113"/>
      <c r="Q194" s="113"/>
      <c r="R194" s="97"/>
      <c r="S194" s="97"/>
      <c r="T194" s="97"/>
    </row>
    <row r="195" customFormat="1" spans="1:20">
      <c r="A195">
        <f>IF(C195=1,1001+COUNTIF($C$5:C194,1),2001+COUNTIF($C$5:C194,2))</f>
        <v>1156</v>
      </c>
      <c r="B195">
        <v>1</v>
      </c>
      <c r="C195" s="121">
        <v>1</v>
      </c>
      <c r="D195" s="122" t="str">
        <f>IFERROR(_xlfn.IFNA(VLOOKUP(ROUND(F195,0),道具!$B$271:$C$295,2,FALSE),""),"")</f>
        <v/>
      </c>
      <c r="E195" s="122" t="str">
        <f>IFERROR(_xlfn.IFNA(VLOOKUP(ROUND(F195,0),道具!$B$296:$C$320,2,FALSE),""),"")</f>
        <v/>
      </c>
      <c r="F195" t="str">
        <f>IF(转换!B188&gt;0,转换!B188*100,"")</f>
        <v/>
      </c>
      <c r="G195">
        <v>15</v>
      </c>
      <c r="H195">
        <f>'体验表-带进度条'!R188</f>
        <v>0</v>
      </c>
      <c r="I195" s="113">
        <f>转换!I188</f>
        <v>3</v>
      </c>
      <c r="J195" s="113">
        <f>IF(I195=17,1,IF(I195=9,1,IF(转换!I188&gt;0,VLOOKUP(转换!H188,道具!B:C,2,FALSE),"")))</f>
        <v>160001</v>
      </c>
      <c r="K195" s="114">
        <f>IF(转换!I188=17,ROUND(转换!J188*100/转换!$U$2,0),IF(转换!I188=9,F195,转换!J188))</f>
        <v>3</v>
      </c>
      <c r="L195" s="115"/>
      <c r="M195" s="115"/>
      <c r="N195" s="115"/>
      <c r="O195" s="113"/>
      <c r="P195" s="113"/>
      <c r="Q195" s="113"/>
      <c r="R195" s="97"/>
      <c r="S195" s="97"/>
      <c r="T195" s="97"/>
    </row>
    <row r="196" customFormat="1" spans="1:20">
      <c r="A196">
        <f>IF(C196=1,1001+COUNTIF($C$5:C195,1),2001+COUNTIF($C$5:C195,2))</f>
        <v>1157</v>
      </c>
      <c r="B196">
        <v>1</v>
      </c>
      <c r="C196" s="121">
        <v>1</v>
      </c>
      <c r="D196" s="122" t="str">
        <f>IFERROR(_xlfn.IFNA(VLOOKUP(ROUND(F196,0),道具!$B$271:$C$295,2,FALSE),""),"")</f>
        <v/>
      </c>
      <c r="E196" s="122" t="str">
        <f>IFERROR(_xlfn.IFNA(VLOOKUP(ROUND(F196,0),道具!$B$296:$C$320,2,FALSE),""),"")</f>
        <v/>
      </c>
      <c r="F196" t="str">
        <f>IF(转换!B189&gt;0,转换!B189*100,"")</f>
        <v/>
      </c>
      <c r="G196">
        <v>16</v>
      </c>
      <c r="H196">
        <f>'体验表-带进度条'!R189</f>
        <v>0</v>
      </c>
      <c r="I196" s="113">
        <f>转换!I189</f>
        <v>17</v>
      </c>
      <c r="J196" s="113">
        <f>IF(I196=17,1,IF(I196=9,1,IF(转换!I189&gt;0,VLOOKUP(转换!H189,道具!B:C,2,FALSE),"")))</f>
        <v>1</v>
      </c>
      <c r="K196" s="114">
        <f>IF(转换!I189=17,ROUND(转换!J189*100/转换!$U$2,0),IF(转换!I189=9,F196,转换!J189))</f>
        <v>201</v>
      </c>
      <c r="L196" s="115"/>
      <c r="M196" s="115"/>
      <c r="N196" s="115"/>
      <c r="O196" s="113"/>
      <c r="P196" s="113"/>
      <c r="Q196" s="113"/>
      <c r="R196" s="97"/>
      <c r="S196" s="97"/>
      <c r="T196" s="97"/>
    </row>
    <row r="197" customFormat="1" spans="1:20">
      <c r="A197">
        <f>IF(C197=1,1001+COUNTIF($C$5:C196,1),2001+COUNTIF($C$5:C196,2))</f>
        <v>1158</v>
      </c>
      <c r="B197">
        <v>1</v>
      </c>
      <c r="C197" s="121">
        <v>1</v>
      </c>
      <c r="D197" s="122" t="str">
        <f>IFERROR(_xlfn.IFNA(VLOOKUP(ROUND(F197,0),道具!$B$271:$C$295,2,FALSE),""),"")</f>
        <v/>
      </c>
      <c r="E197" s="122" t="str">
        <f>IFERROR(_xlfn.IFNA(VLOOKUP(ROUND(F197,0),道具!$B$296:$C$320,2,FALSE),""),"")</f>
        <v/>
      </c>
      <c r="F197" t="str">
        <f>IF(转换!B190&gt;0,转换!B190*100,"")</f>
        <v/>
      </c>
      <c r="G197">
        <v>17</v>
      </c>
      <c r="H197">
        <f>'体验表-带进度条'!R190</f>
        <v>25</v>
      </c>
      <c r="I197" s="113">
        <f>转换!I190</f>
        <v>4</v>
      </c>
      <c r="J197" s="113">
        <f>IF(I197=17,1,IF(I197=9,1,IF(转换!I190&gt;0,VLOOKUP(转换!H190,道具!B:C,2,FALSE),"")))</f>
        <v>100004</v>
      </c>
      <c r="K197" s="114">
        <f>IF(转换!I190=17,ROUND(转换!J190*100/转换!$U$2,0),IF(转换!I190=9,F197,转换!J190))</f>
        <v>1</v>
      </c>
      <c r="L197" s="115"/>
      <c r="M197" s="115"/>
      <c r="N197" s="115"/>
      <c r="O197" s="113"/>
      <c r="P197" s="113"/>
      <c r="Q197" s="113"/>
      <c r="R197" s="97"/>
      <c r="S197" s="97"/>
      <c r="T197" s="97"/>
    </row>
    <row r="198" customFormat="1" spans="1:20">
      <c r="A198">
        <f>IF(C198=1,1001+COUNTIF($C$5:C197,1),2001+COUNTIF($C$5:C197,2))</f>
        <v>1159</v>
      </c>
      <c r="B198">
        <v>1</v>
      </c>
      <c r="C198" s="121">
        <v>1</v>
      </c>
      <c r="D198" s="122" t="str">
        <f>IFERROR(_xlfn.IFNA(VLOOKUP(ROUND(F198,0),道具!$B$271:$C$295,2,FALSE),""),"")</f>
        <v/>
      </c>
      <c r="E198" s="122" t="str">
        <f>IFERROR(_xlfn.IFNA(VLOOKUP(ROUND(F198,0),道具!$B$296:$C$320,2,FALSE),""),"")</f>
        <v/>
      </c>
      <c r="F198" t="str">
        <f>IF(转换!B191&gt;0,转换!B191*100,"")</f>
        <v/>
      </c>
      <c r="G198">
        <v>18</v>
      </c>
      <c r="H198">
        <f>'体验表-带进度条'!R191</f>
        <v>0</v>
      </c>
      <c r="I198" s="113">
        <f>转换!I191</f>
        <v>3</v>
      </c>
      <c r="J198" s="113">
        <f>IF(I198=17,1,IF(I198=9,1,IF(转换!I191&gt;0,VLOOKUP(转换!H191,道具!B:C,2,FALSE),"")))</f>
        <v>192001</v>
      </c>
      <c r="K198" s="114">
        <f>IF(转换!I191=17,ROUND(转换!J191*100/转换!$U$2,0),IF(转换!I191=9,F198,转换!J191))</f>
        <v>15</v>
      </c>
      <c r="L198" s="115"/>
      <c r="M198" s="115"/>
      <c r="N198" s="115"/>
      <c r="O198" s="113"/>
      <c r="P198" s="113"/>
      <c r="Q198" s="113"/>
      <c r="R198" s="97"/>
      <c r="S198" s="97"/>
      <c r="T198" s="97"/>
    </row>
    <row r="199" customFormat="1" ht="18" customHeight="1" spans="1:20">
      <c r="A199">
        <f>IF(C199=1,1001+COUNTIF($C$5:C198,1),2001+COUNTIF($C$5:C198,2))</f>
        <v>1160</v>
      </c>
      <c r="B199">
        <v>1</v>
      </c>
      <c r="C199" s="121">
        <v>1</v>
      </c>
      <c r="D199" s="122" t="str">
        <f>IFERROR(_xlfn.IFNA(VLOOKUP(ROUND(F199,0),道具!$B$271:$C$295,2,FALSE),""),"")</f>
        <v/>
      </c>
      <c r="E199" s="122" t="str">
        <f>IFERROR(_xlfn.IFNA(VLOOKUP(ROUND(F199,0),道具!$B$296:$C$320,2,FALSE),""),"")</f>
        <v/>
      </c>
      <c r="F199" t="str">
        <f>IF(转换!B192&gt;0,转换!B192*100,"")</f>
        <v/>
      </c>
      <c r="G199">
        <v>19</v>
      </c>
      <c r="H199">
        <f>'体验表-带进度条'!R192</f>
        <v>0</v>
      </c>
      <c r="I199" s="113">
        <f>转换!I192</f>
        <v>3</v>
      </c>
      <c r="J199" s="113">
        <f>IF(I199=17,1,IF(I199=9,1,IF(转换!I192&gt;0,VLOOKUP(转换!H192,道具!B:C,2,FALSE),"")))</f>
        <v>171001</v>
      </c>
      <c r="K199" s="114">
        <f>IF(转换!I192=17,ROUND(转换!J192*100/转换!$U$2,0),IF(转换!I192=9,F199,转换!J192))</f>
        <v>1</v>
      </c>
      <c r="L199" s="115"/>
      <c r="M199" s="115"/>
      <c r="N199" s="115"/>
      <c r="O199" s="113"/>
      <c r="P199" s="113"/>
      <c r="Q199" s="113"/>
      <c r="R199" s="97"/>
      <c r="S199" s="97"/>
      <c r="T199" s="97"/>
    </row>
    <row r="200" customFormat="1" spans="1:20">
      <c r="A200">
        <f>IF(C200=1,1001+COUNTIF($C$5:C199,1),2001+COUNTIF($C$5:C199,2))</f>
        <v>1161</v>
      </c>
      <c r="B200">
        <v>1</v>
      </c>
      <c r="C200" s="121">
        <v>1</v>
      </c>
      <c r="D200" s="122" t="str">
        <f>IFERROR(_xlfn.IFNA(VLOOKUP(ROUND(F200,0),道具!$B$271:$C$295,2,FALSE),""),"")</f>
        <v/>
      </c>
      <c r="E200" s="122" t="str">
        <f>IFERROR(_xlfn.IFNA(VLOOKUP(ROUND(F200,0),道具!$B$296:$C$320,2,FALSE),""),"")</f>
        <v/>
      </c>
      <c r="F200" t="str">
        <f>IF(转换!B194&gt;0,转换!B194*100,"")</f>
        <v/>
      </c>
      <c r="G200">
        <v>21</v>
      </c>
      <c r="H200">
        <f>'体验表-带进度条'!R194</f>
        <v>0</v>
      </c>
      <c r="I200" s="113">
        <f>转换!I194</f>
        <v>3</v>
      </c>
      <c r="J200" s="113">
        <f>IF(I200=17,1,IF(I200=9,1,IF(转换!I194&gt;0,VLOOKUP(转换!H194,道具!B:C,2,FALSE),"")))</f>
        <v>160001</v>
      </c>
      <c r="K200" s="114">
        <f>IF(转换!I194=17,ROUND(转换!J194*100/转换!$U$2,0),IF(转换!I194=9,F200,转换!J194))</f>
        <v>4</v>
      </c>
      <c r="L200" s="115"/>
      <c r="M200" s="115"/>
      <c r="N200" s="115"/>
      <c r="O200" s="113"/>
      <c r="P200" s="113"/>
      <c r="Q200" s="113"/>
      <c r="R200" s="97"/>
      <c r="S200" s="97"/>
      <c r="T200" s="97"/>
    </row>
    <row r="201" customFormat="1" spans="1:20">
      <c r="A201">
        <f>IF(C201=1,1001+COUNTIF($C$5:C200,1),2001+COUNTIF($C$5:C200,2))</f>
        <v>1162</v>
      </c>
      <c r="B201">
        <v>1</v>
      </c>
      <c r="C201" s="121">
        <v>1</v>
      </c>
      <c r="D201" s="122" t="str">
        <f>IFERROR(_xlfn.IFNA(VLOOKUP(ROUND(F201,0),道具!$B$271:$C$295,2,FALSE),""),"")</f>
        <v/>
      </c>
      <c r="E201" s="122" t="str">
        <f>IFERROR(_xlfn.IFNA(VLOOKUP(ROUND(F201,0),道具!$B$296:$C$320,2,FALSE),""),"")</f>
        <v/>
      </c>
      <c r="F201" t="str">
        <f>IF(转换!B195&gt;0,转换!B195*100,"")</f>
        <v/>
      </c>
      <c r="G201">
        <v>22</v>
      </c>
      <c r="H201">
        <f>'体验表-带进度条'!R195</f>
        <v>0</v>
      </c>
      <c r="I201" s="113">
        <f>转换!I195</f>
        <v>17</v>
      </c>
      <c r="J201" s="113">
        <f>IF(I201=17,1,IF(I201=9,1,IF(转换!I195&gt;0,VLOOKUP(转换!H195,道具!B:C,2,FALSE),"")))</f>
        <v>1</v>
      </c>
      <c r="K201" s="114">
        <f>IF(转换!I195=17,ROUND(转换!J195*100/转换!$U$2,0),IF(转换!I195=9,F201,转换!J195))</f>
        <v>161</v>
      </c>
      <c r="L201" s="115"/>
      <c r="M201" s="115"/>
      <c r="N201" s="115"/>
      <c r="O201" s="113"/>
      <c r="P201" s="113"/>
      <c r="Q201" s="113"/>
      <c r="R201" s="97"/>
      <c r="S201" s="97"/>
      <c r="T201" s="97"/>
    </row>
    <row r="202" customFormat="1" spans="1:20">
      <c r="A202">
        <f>IF(C202=1,1001+COUNTIF($C$5:C201,1),2001+COUNTIF($C$5:C201,2))</f>
        <v>1163</v>
      </c>
      <c r="B202">
        <v>1</v>
      </c>
      <c r="C202" s="121">
        <v>1</v>
      </c>
      <c r="D202" s="122" t="str">
        <f>IFERROR(_xlfn.IFNA(VLOOKUP(ROUND(F202,0),道具!$B$271:$C$295,2,FALSE),""),"")</f>
        <v/>
      </c>
      <c r="E202" s="122" t="str">
        <f>IFERROR(_xlfn.IFNA(VLOOKUP(ROUND(F202,0),道具!$B$296:$C$320,2,FALSE),""),"")</f>
        <v/>
      </c>
      <c r="F202" t="str">
        <f>IF(转换!B196&gt;0,转换!B196*100,"")</f>
        <v/>
      </c>
      <c r="G202">
        <v>23</v>
      </c>
      <c r="H202">
        <f>'体验表-带进度条'!R196</f>
        <v>15</v>
      </c>
      <c r="I202" s="113">
        <f>转换!I196</f>
        <v>4</v>
      </c>
      <c r="J202" s="113">
        <f>IF(I202=17,1,IF(I202=9,1,IF(转换!I196&gt;0,VLOOKUP(转换!H196,道具!B:C,2,FALSE),"")))</f>
        <v>100004</v>
      </c>
      <c r="K202" s="114">
        <f>IF(转换!I196=17,ROUND(转换!J196*100/转换!$U$2,0),IF(转换!I196=9,F202,转换!J196))</f>
        <v>1</v>
      </c>
      <c r="L202" s="115"/>
      <c r="M202" s="115"/>
      <c r="N202" s="115"/>
      <c r="O202" s="113"/>
      <c r="P202" s="113"/>
      <c r="Q202" s="113"/>
      <c r="R202" s="97"/>
      <c r="S202" s="97"/>
      <c r="T202" s="97"/>
    </row>
    <row r="203" customFormat="1" spans="1:20">
      <c r="A203">
        <f>IF(C203=1,1001+COUNTIF($C$5:C202,1),2001+COUNTIF($C$5:C202,2))</f>
        <v>1164</v>
      </c>
      <c r="B203">
        <v>1</v>
      </c>
      <c r="C203" s="121">
        <v>1</v>
      </c>
      <c r="D203" s="122" t="str">
        <f>IFERROR(_xlfn.IFNA(VLOOKUP(ROUND(F203,0),道具!$B$271:$C$295,2,FALSE),""),"")</f>
        <v/>
      </c>
      <c r="E203" s="122" t="str">
        <f>IFERROR(_xlfn.IFNA(VLOOKUP(ROUND(F203,0),道具!$B$296:$C$320,2,FALSE),""),"")</f>
        <v/>
      </c>
      <c r="F203" t="str">
        <f>IF(转换!B197&gt;0,转换!B197*100,"")</f>
        <v/>
      </c>
      <c r="G203">
        <v>24</v>
      </c>
      <c r="H203">
        <f>'体验表-带进度条'!R197</f>
        <v>0</v>
      </c>
      <c r="I203" s="113">
        <f>转换!I197</f>
        <v>3</v>
      </c>
      <c r="J203" s="113">
        <f>IF(I203=17,1,IF(I203=9,1,IF(转换!I197&gt;0,VLOOKUP(转换!H197,道具!B:C,2,FALSE),"")))</f>
        <v>192001</v>
      </c>
      <c r="K203" s="114">
        <f>IF(转换!I197=17,ROUND(转换!J197*100/转换!$U$2,0),IF(转换!I197=9,F203,转换!J197))</f>
        <v>20</v>
      </c>
      <c r="L203" s="115"/>
      <c r="M203" s="115"/>
      <c r="N203" s="115"/>
      <c r="O203" s="113"/>
      <c r="P203" s="113"/>
      <c r="Q203" s="113"/>
      <c r="R203" s="97"/>
      <c r="S203" s="97"/>
      <c r="T203" s="97"/>
    </row>
    <row r="204" customFormat="1" spans="1:20">
      <c r="A204">
        <f>IF(C204=1,1001+COUNTIF($C$5:C203,1),2001+COUNTIF($C$5:C203,2))</f>
        <v>1165</v>
      </c>
      <c r="B204">
        <v>1</v>
      </c>
      <c r="C204" s="121">
        <v>1</v>
      </c>
      <c r="D204" s="122" t="str">
        <f>IFERROR(_xlfn.IFNA(VLOOKUP(ROUND(F204,0),道具!$B$271:$C$295,2,FALSE),""),"")</f>
        <v/>
      </c>
      <c r="E204" s="122" t="str">
        <f>IFERROR(_xlfn.IFNA(VLOOKUP(ROUND(F204,0),道具!$B$296:$C$320,2,FALSE),""),"")</f>
        <v/>
      </c>
      <c r="F204" t="str">
        <f>IF(转换!B198&gt;0,转换!B198*100,"")</f>
        <v/>
      </c>
      <c r="G204">
        <v>25</v>
      </c>
      <c r="H204">
        <f>'体验表-带进度条'!R198</f>
        <v>0</v>
      </c>
      <c r="I204" s="113">
        <f>转换!I198</f>
        <v>3</v>
      </c>
      <c r="J204" s="113">
        <f>IF(I204=17,1,IF(I204=9,1,IF(转换!I198&gt;0,VLOOKUP(转换!H198,道具!B:C,2,FALSE),"")))</f>
        <v>171002</v>
      </c>
      <c r="K204" s="114">
        <f>IF(转换!I198=17,ROUND(转换!J198*100/转换!$U$2,0),IF(转换!I198=9,F204,转换!J198))</f>
        <v>1</v>
      </c>
      <c r="L204" s="115"/>
      <c r="M204" s="115"/>
      <c r="N204" s="115"/>
      <c r="O204" s="113"/>
      <c r="P204" s="113"/>
      <c r="Q204" s="113"/>
      <c r="R204" s="97"/>
      <c r="S204" s="97"/>
      <c r="T204" s="97"/>
    </row>
    <row r="205" customFormat="1" spans="1:20">
      <c r="A205">
        <f>IF(C205=1,1001+COUNTIF($C$5:C204,1),2001+COUNTIF($C$5:C204,2))</f>
        <v>1166</v>
      </c>
      <c r="B205">
        <v>1</v>
      </c>
      <c r="C205" s="121">
        <v>1</v>
      </c>
      <c r="D205" s="122" t="str">
        <f>IFERROR(_xlfn.IFNA(VLOOKUP(ROUND(F205,0),道具!$B$271:$C$295,2,FALSE),""),"")</f>
        <v/>
      </c>
      <c r="E205" s="122" t="str">
        <f>IFERROR(_xlfn.IFNA(VLOOKUP(ROUND(F205,0),道具!$B$296:$C$320,2,FALSE),""),"")</f>
        <v/>
      </c>
      <c r="F205" t="str">
        <f>IF(转换!B200&gt;0,转换!B200*100,"")</f>
        <v/>
      </c>
      <c r="G205">
        <v>27</v>
      </c>
      <c r="H205">
        <f>'体验表-带进度条'!R200</f>
        <v>0</v>
      </c>
      <c r="I205" s="113">
        <f>转换!I200</f>
        <v>3</v>
      </c>
      <c r="J205" s="113">
        <f>IF(I205=17,1,IF(I205=9,1,IF(转换!I200&gt;0,VLOOKUP(转换!H200,道具!B:C,2,FALSE),"")))</f>
        <v>160001</v>
      </c>
      <c r="K205" s="114">
        <f>IF(转换!I200=17,ROUND(转换!J200*100/转换!$U$2,0),IF(转换!I200=9,F205,转换!J200))</f>
        <v>5</v>
      </c>
      <c r="L205" s="115"/>
      <c r="M205" s="115"/>
      <c r="N205" s="115"/>
      <c r="O205" s="113"/>
      <c r="P205" s="113"/>
      <c r="Q205" s="113"/>
      <c r="R205" s="97"/>
      <c r="S205" s="97"/>
      <c r="T205" s="97"/>
    </row>
    <row r="206" customFormat="1" spans="1:20">
      <c r="A206">
        <f>IF(C206=1,1001+COUNTIF($C$5:C205,1),2001+COUNTIF($C$5:C205,2))</f>
        <v>1167</v>
      </c>
      <c r="B206">
        <v>1</v>
      </c>
      <c r="C206" s="121">
        <v>1</v>
      </c>
      <c r="D206" s="122" t="str">
        <f>IFERROR(_xlfn.IFNA(VLOOKUP(ROUND(F206,0),道具!$B$271:$C$295,2,FALSE),""),"")</f>
        <v/>
      </c>
      <c r="E206" s="122" t="str">
        <f>IFERROR(_xlfn.IFNA(VLOOKUP(ROUND(F206,0),道具!$B$296:$C$320,2,FALSE),""),"")</f>
        <v/>
      </c>
      <c r="F206" t="str">
        <f>IF(转换!B201&gt;0,转换!B201*100,"")</f>
        <v/>
      </c>
      <c r="G206">
        <v>28</v>
      </c>
      <c r="H206">
        <f>'体验表-带进度条'!R201</f>
        <v>0</v>
      </c>
      <c r="I206" s="113">
        <f>转换!I201</f>
        <v>17</v>
      </c>
      <c r="J206" s="113">
        <f>IF(I206=17,1,IF(I206=9,1,IF(转换!I201&gt;0,VLOOKUP(转换!H201,道具!B:C,2,FALSE),"")))</f>
        <v>1</v>
      </c>
      <c r="K206" s="114">
        <f>IF(转换!I201=17,ROUND(转换!J201*100/转换!$U$2,0),IF(转换!I201=9,F206,转换!J201))</f>
        <v>100</v>
      </c>
      <c r="L206" s="115"/>
      <c r="M206" s="115"/>
      <c r="N206" s="115"/>
      <c r="O206" s="113"/>
      <c r="P206" s="113"/>
      <c r="Q206" s="113"/>
      <c r="R206" s="97"/>
      <c r="S206" s="97"/>
      <c r="T206" s="97"/>
    </row>
    <row r="207" customFormat="1" spans="1:20">
      <c r="A207">
        <f>IF(C207=1,1001+COUNTIF($C$5:C206,1),2001+COUNTIF($C$5:C206,2))</f>
        <v>1168</v>
      </c>
      <c r="B207">
        <v>1</v>
      </c>
      <c r="C207" s="121">
        <v>1</v>
      </c>
      <c r="D207" s="122" t="str">
        <f>IFERROR(_xlfn.IFNA(VLOOKUP(ROUND(F207,0),道具!$B$271:$C$295,2,FALSE),""),"")</f>
        <v/>
      </c>
      <c r="E207" s="122" t="str">
        <f>IFERROR(_xlfn.IFNA(VLOOKUP(ROUND(F207,0),道具!$B$296:$C$320,2,FALSE),""),"")</f>
        <v/>
      </c>
      <c r="F207" t="str">
        <f>IF(转换!B202&gt;0,转换!B202*100,"")</f>
        <v/>
      </c>
      <c r="G207">
        <v>29</v>
      </c>
      <c r="H207">
        <f>'体验表-带进度条'!R202</f>
        <v>25</v>
      </c>
      <c r="I207" s="113">
        <f>转换!I202</f>
        <v>4</v>
      </c>
      <c r="J207" s="113">
        <f>IF(I207=17,1,IF(I207=9,1,IF(转换!I202&gt;0,VLOOKUP(转换!H202,道具!B:C,2,FALSE),"")))</f>
        <v>100005</v>
      </c>
      <c r="K207" s="114">
        <f>IF(转换!I202=17,ROUND(转换!J202*100/转换!$U$2,0),IF(转换!I202=9,F207,转换!J202))</f>
        <v>1</v>
      </c>
      <c r="L207" s="115"/>
      <c r="M207" s="115"/>
      <c r="N207" s="115"/>
      <c r="O207" s="113"/>
      <c r="P207" s="113"/>
      <c r="Q207" s="113"/>
      <c r="R207" s="97"/>
      <c r="S207" s="97"/>
      <c r="T207" s="97"/>
    </row>
    <row r="208" customFormat="1" spans="1:20">
      <c r="A208">
        <f>IF(C208=1,1001+COUNTIF($C$5:C207,1),2001+COUNTIF($C$5:C207,2))</f>
        <v>1169</v>
      </c>
      <c r="B208">
        <v>1</v>
      </c>
      <c r="C208" s="121">
        <v>1</v>
      </c>
      <c r="D208" s="122" t="str">
        <f>IFERROR(_xlfn.IFNA(VLOOKUP(ROUND(F208,0),道具!$B$271:$C$295,2,FALSE),""),"")</f>
        <v/>
      </c>
      <c r="E208" s="122" t="str">
        <f>IFERROR(_xlfn.IFNA(VLOOKUP(ROUND(F208,0),道具!$B$296:$C$320,2,FALSE),""),"")</f>
        <v/>
      </c>
      <c r="F208" t="str">
        <f>IF(转换!B203&gt;0,转换!B203*100,"")</f>
        <v/>
      </c>
      <c r="G208">
        <v>30</v>
      </c>
      <c r="H208">
        <f>'体验表-带进度条'!R203</f>
        <v>0</v>
      </c>
      <c r="I208" s="113">
        <f>转换!I203</f>
        <v>3</v>
      </c>
      <c r="J208" s="113">
        <f>IF(I208=17,1,IF(I208=9,1,IF(转换!I203&gt;0,VLOOKUP(转换!H203,道具!B:C,2,FALSE),"")))</f>
        <v>192001</v>
      </c>
      <c r="K208" s="114">
        <f>IF(转换!I203=17,ROUND(转换!J203*100/转换!$U$2,0),IF(转换!I203=9,F208,转换!J203))</f>
        <v>25</v>
      </c>
      <c r="L208" s="115"/>
      <c r="M208" s="115"/>
      <c r="N208" s="115"/>
      <c r="O208" s="113"/>
      <c r="P208" s="113"/>
      <c r="Q208" s="113"/>
      <c r="R208" s="97"/>
      <c r="S208" s="97"/>
      <c r="T208" s="97"/>
    </row>
    <row r="209" customFormat="1" spans="1:20">
      <c r="A209">
        <f>IF(C209=1,1001+COUNTIF($C$5:C208,1),2001+COUNTIF($C$5:C208,2))</f>
        <v>1170</v>
      </c>
      <c r="B209">
        <v>1</v>
      </c>
      <c r="C209" s="121">
        <v>1</v>
      </c>
      <c r="D209" s="122" t="str">
        <f>IFERROR(_xlfn.IFNA(VLOOKUP(ROUND(F209,0),道具!$B$271:$C$295,2,FALSE),""),"")</f>
        <v/>
      </c>
      <c r="E209" s="122" t="str">
        <f>IFERROR(_xlfn.IFNA(VLOOKUP(ROUND(F209,0),道具!$B$296:$C$320,2,FALSE),""),"")</f>
        <v/>
      </c>
      <c r="F209" t="str">
        <f>IF(转换!B204&gt;0,转换!B204*100,"")</f>
        <v/>
      </c>
      <c r="G209">
        <v>31</v>
      </c>
      <c r="H209">
        <f>'体验表-带进度条'!R204</f>
        <v>0</v>
      </c>
      <c r="I209" s="113">
        <f>转换!I204</f>
        <v>3</v>
      </c>
      <c r="J209" s="113">
        <f>IF(I209=17,1,IF(I209=9,1,IF(转换!I204&gt;0,VLOOKUP(转换!H204,道具!B:C,2,FALSE),"")))</f>
        <v>171001</v>
      </c>
      <c r="K209" s="114">
        <f>IF(转换!I204=17,ROUND(转换!J204*100/转换!$U$2,0),IF(转换!I204=9,F209,转换!J204))</f>
        <v>1</v>
      </c>
      <c r="L209" s="115"/>
      <c r="M209" s="115"/>
      <c r="N209" s="115"/>
      <c r="O209" s="113"/>
      <c r="P209" s="113"/>
      <c r="Q209" s="113"/>
      <c r="R209" s="97"/>
      <c r="S209" s="97"/>
      <c r="T209" s="97"/>
    </row>
    <row r="210" customFormat="1" spans="1:20">
      <c r="A210">
        <f>IF(C210=1,1001+COUNTIF($C$5:C209,1),2001+COUNTIF($C$5:C209,2))</f>
        <v>1171</v>
      </c>
      <c r="B210">
        <v>1</v>
      </c>
      <c r="C210" s="121">
        <v>1</v>
      </c>
      <c r="D210" s="122" t="str">
        <f>IFERROR(_xlfn.IFNA(VLOOKUP(ROUND(F210,0),道具!$B$271:$C$295,2,FALSE),""),"")</f>
        <v/>
      </c>
      <c r="E210" s="122" t="str">
        <f>IFERROR(_xlfn.IFNA(VLOOKUP(ROUND(F210,0),道具!$B$296:$C$320,2,FALSE),""),"")</f>
        <v/>
      </c>
      <c r="F210" t="str">
        <f>IF(转换!B206&gt;0,转换!B206*100,"")</f>
        <v/>
      </c>
      <c r="G210">
        <v>33</v>
      </c>
      <c r="H210">
        <f>'体验表-带进度条'!R206</f>
        <v>0</v>
      </c>
      <c r="I210" s="113">
        <f>转换!I206</f>
        <v>3</v>
      </c>
      <c r="J210" s="113">
        <f>IF(I210=17,1,IF(I210=9,1,IF(转换!I206&gt;0,VLOOKUP(转换!H206,道具!B:C,2,FALSE),"")))</f>
        <v>160001</v>
      </c>
      <c r="K210" s="114">
        <f>IF(转换!I206=17,ROUND(转换!J206*100/转换!$U$2,0),IF(转换!I206=9,F210,转换!J206))</f>
        <v>6</v>
      </c>
      <c r="L210" s="115"/>
      <c r="M210" s="115"/>
      <c r="N210" s="115"/>
      <c r="O210" s="113"/>
      <c r="P210" s="113"/>
      <c r="Q210" s="113"/>
      <c r="R210" s="97"/>
      <c r="S210" s="97"/>
      <c r="T210" s="97"/>
    </row>
    <row r="211" customFormat="1" spans="1:20">
      <c r="A211">
        <f>IF(C211=1,1001+COUNTIF($C$5:C210,1),2001+COUNTIF($C$5:C210,2))</f>
        <v>1172</v>
      </c>
      <c r="B211">
        <v>1</v>
      </c>
      <c r="C211" s="121">
        <v>1</v>
      </c>
      <c r="D211" s="122" t="str">
        <f>IFERROR(_xlfn.IFNA(VLOOKUP(ROUND(F211,0),道具!$B$271:$C$295,2,FALSE),""),"")</f>
        <v/>
      </c>
      <c r="E211" s="122" t="str">
        <f>IFERROR(_xlfn.IFNA(VLOOKUP(ROUND(F211,0),道具!$B$296:$C$320,2,FALSE),""),"")</f>
        <v/>
      </c>
      <c r="F211" t="str">
        <f>IF(转换!B207&gt;0,转换!B207*100,"")</f>
        <v/>
      </c>
      <c r="G211">
        <v>34</v>
      </c>
      <c r="H211">
        <f>'体验表-带进度条'!R207</f>
        <v>0</v>
      </c>
      <c r="I211" s="113">
        <f>转换!I207</f>
        <v>17</v>
      </c>
      <c r="J211" s="113">
        <f>IF(I211=17,1,IF(I211=9,1,IF(转换!I207&gt;0,VLOOKUP(转换!H207,道具!B:C,2,FALSE),"")))</f>
        <v>1</v>
      </c>
      <c r="K211" s="114">
        <f>IF(转换!I207=17,ROUND(转换!J207*100/转换!$U$2,0),IF(转换!I207=9,F211,转换!J207))</f>
        <v>241</v>
      </c>
      <c r="L211" s="115"/>
      <c r="M211" s="115"/>
      <c r="N211" s="115"/>
      <c r="O211" s="113"/>
      <c r="P211" s="113"/>
      <c r="Q211" s="113"/>
      <c r="R211" s="97"/>
      <c r="S211" s="97"/>
      <c r="T211" s="97"/>
    </row>
    <row r="212" customFormat="1" spans="1:20">
      <c r="A212">
        <f>IF(C212=1,1001+COUNTIF($C$5:C211,1),2001+COUNTIF($C$5:C211,2))</f>
        <v>1173</v>
      </c>
      <c r="B212">
        <v>1</v>
      </c>
      <c r="C212" s="121">
        <v>1</v>
      </c>
      <c r="D212" s="122" t="str">
        <f>IFERROR(_xlfn.IFNA(VLOOKUP(ROUND(F212,0),道具!$B$271:$C$295,2,FALSE),""),"")</f>
        <v/>
      </c>
      <c r="E212" s="122" t="str">
        <f>IFERROR(_xlfn.IFNA(VLOOKUP(ROUND(F212,0),道具!$B$296:$C$320,2,FALSE),""),"")</f>
        <v/>
      </c>
      <c r="F212" t="str">
        <f>IF(转换!B208&gt;0,转换!B208*100,"")</f>
        <v/>
      </c>
      <c r="G212">
        <v>35</v>
      </c>
      <c r="H212">
        <f>'体验表-带进度条'!R208</f>
        <v>15</v>
      </c>
      <c r="I212" s="113">
        <f>转换!I208</f>
        <v>4</v>
      </c>
      <c r="J212" s="113">
        <f>IF(I212=17,1,IF(I212=9,1,IF(转换!I208&gt;0,VLOOKUP(转换!H208,道具!B:C,2,FALSE),"")))</f>
        <v>100005</v>
      </c>
      <c r="K212" s="114">
        <f>IF(转换!I208=17,ROUND(转换!J208*100/转换!$U$2,0),IF(转换!I208=9,F212,转换!J208))</f>
        <v>1</v>
      </c>
      <c r="L212" s="115"/>
      <c r="M212" s="115"/>
      <c r="N212" s="115"/>
      <c r="O212" s="113"/>
      <c r="P212" s="113"/>
      <c r="Q212" s="113"/>
      <c r="R212" s="97"/>
      <c r="S212" s="97"/>
      <c r="T212" s="97"/>
    </row>
    <row r="213" customFormat="1" spans="1:20">
      <c r="A213">
        <f>IF(C213=1,1001+COUNTIF($C$5:C212,1),2001+COUNTIF($C$5:C212,2))</f>
        <v>1174</v>
      </c>
      <c r="B213">
        <v>1</v>
      </c>
      <c r="C213" s="121">
        <v>1</v>
      </c>
      <c r="D213" s="122" t="str">
        <f>IFERROR(_xlfn.IFNA(VLOOKUP(ROUND(F213,0),道具!$B$271:$C$295,2,FALSE),""),"")</f>
        <v/>
      </c>
      <c r="E213" s="122" t="str">
        <f>IFERROR(_xlfn.IFNA(VLOOKUP(ROUND(F213,0),道具!$B$296:$C$320,2,FALSE),""),"")</f>
        <v/>
      </c>
      <c r="F213" t="str">
        <f>IF(转换!B209&gt;0,转换!B209*100,"")</f>
        <v/>
      </c>
      <c r="G213">
        <v>36</v>
      </c>
      <c r="H213">
        <f>'体验表-带进度条'!R209</f>
        <v>0</v>
      </c>
      <c r="I213" s="113">
        <f>转换!I209</f>
        <v>3</v>
      </c>
      <c r="J213" s="113">
        <f>IF(I213=17,1,IF(I213=9,1,IF(转换!I209&gt;0,VLOOKUP(转换!H209,道具!B:C,2,FALSE),"")))</f>
        <v>192001</v>
      </c>
      <c r="K213" s="114">
        <f>IF(转换!I209=17,ROUND(转换!J209*100/转换!$U$2,0),IF(转换!I209=9,F213,转换!J209))</f>
        <v>30</v>
      </c>
      <c r="L213" s="115"/>
      <c r="M213" s="115"/>
      <c r="N213" s="115"/>
      <c r="O213" s="113"/>
      <c r="P213" s="113"/>
      <c r="Q213" s="113"/>
      <c r="R213" s="97"/>
      <c r="S213" s="97"/>
      <c r="T213" s="97"/>
    </row>
    <row r="214" customFormat="1" spans="1:20">
      <c r="A214">
        <f>IF(C214=1,1001+COUNTIF($C$5:C213,1),2001+COUNTIF($C$5:C213,2))</f>
        <v>1175</v>
      </c>
      <c r="B214">
        <v>1</v>
      </c>
      <c r="C214" s="121">
        <v>1</v>
      </c>
      <c r="D214" s="122" t="str">
        <f>IFERROR(_xlfn.IFNA(VLOOKUP(ROUND(F214,0),道具!$B$271:$C$295,2,FALSE),""),"")</f>
        <v/>
      </c>
      <c r="E214" s="122" t="str">
        <f>IFERROR(_xlfn.IFNA(VLOOKUP(ROUND(F214,0),道具!$B$296:$C$320,2,FALSE),""),"")</f>
        <v/>
      </c>
      <c r="F214" t="str">
        <f>IF(转换!B210&gt;0,转换!B210*100,"")</f>
        <v/>
      </c>
      <c r="G214">
        <v>37</v>
      </c>
      <c r="H214">
        <f>'体验表-带进度条'!R210</f>
        <v>0</v>
      </c>
      <c r="I214" s="113">
        <f>转换!I210</f>
        <v>3</v>
      </c>
      <c r="J214" s="113">
        <f>IF(I214=17,1,IF(I214=9,1,IF(转换!I210&gt;0,VLOOKUP(转换!H210,道具!B:C,2,FALSE),"")))</f>
        <v>171002</v>
      </c>
      <c r="K214" s="114">
        <f>IF(转换!I210=17,ROUND(转换!J210*100/转换!$U$2,0),IF(转换!I210=9,F214,转换!J210))</f>
        <v>1</v>
      </c>
      <c r="L214" s="115"/>
      <c r="M214" s="115"/>
      <c r="N214" s="115"/>
      <c r="O214" s="113"/>
      <c r="P214" s="113"/>
      <c r="Q214" s="113"/>
      <c r="R214" s="97"/>
      <c r="S214" s="97"/>
      <c r="T214" s="97"/>
    </row>
    <row r="215" customFormat="1" spans="1:20">
      <c r="A215">
        <f>IF(C215=1,1001+COUNTIF($C$5:C214,1),2001+COUNTIF($C$5:C214,2))</f>
        <v>1176</v>
      </c>
      <c r="B215">
        <v>1</v>
      </c>
      <c r="C215" s="121">
        <v>1</v>
      </c>
      <c r="D215" s="122" t="str">
        <f>IFERROR(_xlfn.IFNA(VLOOKUP(ROUND(F215,0),道具!$B$271:$C$295,2,FALSE),""),"")</f>
        <v/>
      </c>
      <c r="E215" s="122" t="str">
        <f>IFERROR(_xlfn.IFNA(VLOOKUP(ROUND(F215,0),道具!$B$296:$C$320,2,FALSE),""),"")</f>
        <v/>
      </c>
      <c r="F215" t="str">
        <f>IF(转换!B212&gt;0,转换!B212*100,"")</f>
        <v/>
      </c>
      <c r="G215">
        <v>39</v>
      </c>
      <c r="H215">
        <f>'体验表-带进度条'!R212</f>
        <v>0</v>
      </c>
      <c r="I215" s="113">
        <f>转换!I212</f>
        <v>3</v>
      </c>
      <c r="J215" s="113">
        <f>IF(I215=17,1,IF(I215=9,1,IF(转换!I212&gt;0,VLOOKUP(转换!H212,道具!B:C,2,FALSE),"")))</f>
        <v>160001</v>
      </c>
      <c r="K215" s="114">
        <f>IF(转换!I212=17,ROUND(转换!J212*100/转换!$U$2,0),IF(转换!I212=9,F215,转换!J212))</f>
        <v>7</v>
      </c>
      <c r="L215" s="115"/>
      <c r="M215" s="115"/>
      <c r="N215" s="115"/>
      <c r="O215" s="113"/>
      <c r="P215" s="113"/>
      <c r="Q215" s="113"/>
      <c r="R215" s="97"/>
      <c r="S215" s="97"/>
      <c r="T215" s="97"/>
    </row>
    <row r="216" customFormat="1" spans="1:20">
      <c r="A216">
        <f>IF(C216=1,1001+COUNTIF($C$5:C215,1),2001+COUNTIF($C$5:C215,2))</f>
        <v>1177</v>
      </c>
      <c r="B216">
        <v>1</v>
      </c>
      <c r="C216" s="121">
        <v>1</v>
      </c>
      <c r="D216" s="122" t="str">
        <f>IFERROR(_xlfn.IFNA(VLOOKUP(ROUND(F216,0),道具!$B$271:$C$295,2,FALSE),""),"")</f>
        <v/>
      </c>
      <c r="E216" s="122" t="str">
        <f>IFERROR(_xlfn.IFNA(VLOOKUP(ROUND(F216,0),道具!$B$296:$C$320,2,FALSE),""),"")</f>
        <v/>
      </c>
      <c r="F216" t="str">
        <f>IF(转换!B213&gt;0,转换!B213*100,"")</f>
        <v/>
      </c>
      <c r="G216">
        <v>40</v>
      </c>
      <c r="H216">
        <f>'体验表-带进度条'!R213</f>
        <v>0</v>
      </c>
      <c r="I216" s="113">
        <f>转换!I213</f>
        <v>17</v>
      </c>
      <c r="J216" s="113">
        <f>IF(I216=17,1,IF(I216=9,1,IF(转换!I213&gt;0,VLOOKUP(转换!H213,道具!B:C,2,FALSE),"")))</f>
        <v>1</v>
      </c>
      <c r="K216" s="114">
        <f>IF(转换!I213=17,ROUND(转换!J213*100/转换!$U$2,0),IF(转换!I213=9,F216,转换!J213))</f>
        <v>241</v>
      </c>
      <c r="L216" s="115"/>
      <c r="M216" s="115"/>
      <c r="N216" s="115"/>
      <c r="O216" s="113"/>
      <c r="P216" s="113"/>
      <c r="Q216" s="113"/>
      <c r="R216" s="97"/>
      <c r="S216" s="97"/>
      <c r="T216" s="97"/>
    </row>
    <row r="217" customFormat="1" spans="1:20">
      <c r="A217">
        <f>IF(C217=1,1001+COUNTIF($C$5:C216,1),2001+COUNTIF($C$5:C216,2))</f>
        <v>1178</v>
      </c>
      <c r="B217">
        <v>1</v>
      </c>
      <c r="C217" s="121">
        <v>1</v>
      </c>
      <c r="D217" s="122" t="str">
        <f>IFERROR(_xlfn.IFNA(VLOOKUP(ROUND(F217,0),道具!$B$271:$C$295,2,FALSE),""),"")</f>
        <v/>
      </c>
      <c r="E217" s="122" t="str">
        <f>IFERROR(_xlfn.IFNA(VLOOKUP(ROUND(F217,0),道具!$B$296:$C$320,2,FALSE),""),"")</f>
        <v/>
      </c>
      <c r="F217" t="str">
        <f>IF(转换!B214&gt;0,转换!B214*100,"")</f>
        <v/>
      </c>
      <c r="G217">
        <v>41</v>
      </c>
      <c r="H217">
        <f>'体验表-带进度条'!R214</f>
        <v>50</v>
      </c>
      <c r="I217" s="113">
        <f>转换!I214</f>
        <v>4</v>
      </c>
      <c r="J217" s="113">
        <f>IF(I217=17,1,IF(I217=9,1,IF(转换!I214&gt;0,VLOOKUP(转换!H214,道具!B:C,2,FALSE),"")))</f>
        <v>100006</v>
      </c>
      <c r="K217" s="114">
        <f>IF(转换!I214=17,ROUND(转换!J214*100/转换!$U$2,0),IF(转换!I214=9,F217,转换!J214))</f>
        <v>1</v>
      </c>
      <c r="L217" s="115"/>
      <c r="M217" s="115"/>
      <c r="N217" s="115"/>
      <c r="O217" s="113"/>
      <c r="P217" s="113"/>
      <c r="Q217" s="113"/>
      <c r="R217" s="97"/>
      <c r="S217" s="97"/>
      <c r="T217" s="97"/>
    </row>
    <row r="218" customFormat="1" spans="1:20">
      <c r="A218">
        <f>IF(C218=1,1001+COUNTIF($C$5:C217,1),2001+COUNTIF($C$5:C217,2))</f>
        <v>1179</v>
      </c>
      <c r="B218">
        <v>1</v>
      </c>
      <c r="C218" s="121">
        <v>1</v>
      </c>
      <c r="D218" s="122" t="str">
        <f>IFERROR(_xlfn.IFNA(VLOOKUP(ROUND(F218,0),道具!$B$271:$C$295,2,FALSE),""),"")</f>
        <v/>
      </c>
      <c r="E218" s="122" t="str">
        <f>IFERROR(_xlfn.IFNA(VLOOKUP(ROUND(F218,0),道具!$B$296:$C$320,2,FALSE),""),"")</f>
        <v/>
      </c>
      <c r="F218" t="str">
        <f>IF(转换!B215&gt;0,转换!B215*100,"")</f>
        <v/>
      </c>
      <c r="G218">
        <v>42</v>
      </c>
      <c r="H218">
        <f>'体验表-带进度条'!R215</f>
        <v>0</v>
      </c>
      <c r="I218" s="113">
        <f>转换!I215</f>
        <v>3</v>
      </c>
      <c r="J218" s="113">
        <f>IF(I218=17,1,IF(I218=9,1,IF(转换!I215&gt;0,VLOOKUP(转换!H215,道具!B:C,2,FALSE),"")))</f>
        <v>192001</v>
      </c>
      <c r="K218" s="114">
        <f>IF(转换!I215=17,ROUND(转换!J215*100/转换!$U$2,0),IF(转换!I215=9,F218,转换!J215))</f>
        <v>35</v>
      </c>
      <c r="L218" s="115"/>
      <c r="M218" s="115"/>
      <c r="N218" s="115"/>
      <c r="O218" s="113"/>
      <c r="P218" s="113"/>
      <c r="Q218" s="113"/>
      <c r="R218" s="97"/>
      <c r="S218" s="97"/>
      <c r="T218" s="97"/>
    </row>
    <row r="219" customFormat="1" spans="1:20">
      <c r="A219">
        <f>IF(C219=1,1001+COUNTIF($C$5:C218,1),2001+COUNTIF($C$5:C218,2))</f>
        <v>1180</v>
      </c>
      <c r="B219">
        <v>1</v>
      </c>
      <c r="C219" s="121">
        <v>1</v>
      </c>
      <c r="D219" s="122" t="str">
        <f>IFERROR(_xlfn.IFNA(VLOOKUP(ROUND(F219,0),道具!$B$271:$C$295,2,FALSE),""),"")</f>
        <v/>
      </c>
      <c r="E219" s="122" t="str">
        <f>IFERROR(_xlfn.IFNA(VLOOKUP(ROUND(F219,0),道具!$B$296:$C$320,2,FALSE),""),"")</f>
        <v/>
      </c>
      <c r="F219" t="str">
        <f>IF(转换!B216&gt;0,转换!B216*100,"")</f>
        <v/>
      </c>
      <c r="G219">
        <v>43</v>
      </c>
      <c r="H219">
        <f>'体验表-带进度条'!R216</f>
        <v>0</v>
      </c>
      <c r="I219" s="113">
        <f>转换!I216</f>
        <v>3</v>
      </c>
      <c r="J219" s="113">
        <f>IF(I219=17,1,IF(I219=9,1,IF(转换!I216&gt;0,VLOOKUP(转换!H216,道具!B:C,2,FALSE),"")))</f>
        <v>171001</v>
      </c>
      <c r="K219" s="114">
        <f>IF(转换!I216=17,ROUND(转换!J216*100/转换!$U$2,0),IF(转换!I216=9,F219,转换!J216))</f>
        <v>1</v>
      </c>
      <c r="L219" s="115"/>
      <c r="M219" s="115"/>
      <c r="N219" s="115"/>
      <c r="O219" s="113"/>
      <c r="P219" s="113"/>
      <c r="Q219" s="113"/>
      <c r="R219" s="97"/>
      <c r="S219" s="97"/>
      <c r="T219" s="97"/>
    </row>
    <row r="220" customFormat="1" spans="1:20">
      <c r="A220">
        <f>IF(C220=1,1001+COUNTIF($C$5:C219,1),2001+COUNTIF($C$5:C219,2))</f>
        <v>2036</v>
      </c>
      <c r="B220">
        <v>1</v>
      </c>
      <c r="C220" s="121">
        <v>2</v>
      </c>
      <c r="D220" s="122" t="str">
        <f>IFERROR(_xlfn.IFNA(VLOOKUP(ROUND(F220,0),道具!$B$271:$C$295,2,FALSE),""),"")</f>
        <v>gp_hunt_599</v>
      </c>
      <c r="E220" s="122" t="str">
        <f>IFERROR(_xlfn.IFNA(VLOOKUP(ROUND(F220,0),道具!$B$296:$C$320,2,FALSE),""),"")</f>
        <v>iap_hunt_599</v>
      </c>
      <c r="F220">
        <f>IF(转换!B218&gt;0,转换!B218*100,"")</f>
        <v>599</v>
      </c>
      <c r="G220">
        <v>2</v>
      </c>
      <c r="H220">
        <f>'体验表-带进度条'!R218</f>
        <v>10</v>
      </c>
      <c r="I220" s="113">
        <f>转换!I218</f>
        <v>9</v>
      </c>
      <c r="J220" s="113">
        <f>IF(I220=17,1,IF(I220=9,1,IF(转换!I218&gt;0,VLOOKUP(转换!H218,道具!B:C,2,FALSE),"")))</f>
        <v>1</v>
      </c>
      <c r="K220" s="114">
        <f>IF(转换!I218=17,ROUND(转换!J218*100/转换!$U$2,0),IF(转换!I218=9,F220,转换!J218))</f>
        <v>599</v>
      </c>
      <c r="L220" s="115"/>
      <c r="M220" s="115"/>
      <c r="N220" s="115"/>
      <c r="O220" s="113"/>
      <c r="P220" s="113"/>
      <c r="Q220" s="113"/>
      <c r="R220" s="97"/>
      <c r="S220" s="97"/>
      <c r="T220" s="97"/>
    </row>
    <row r="221" customFormat="1" spans="1:20">
      <c r="A221">
        <f>IF(C221=1,1001+COUNTIF($C$5:C220,1),2001+COUNTIF($C$5:C220,2))</f>
        <v>2037</v>
      </c>
      <c r="B221">
        <v>1</v>
      </c>
      <c r="C221" s="121">
        <v>2</v>
      </c>
      <c r="D221" s="122" t="str">
        <f>IFERROR(_xlfn.IFNA(VLOOKUP(ROUND(F221,0),道具!$B$271:$C$295,2,FALSE),""),"")</f>
        <v>gp_hunt_3</v>
      </c>
      <c r="E221" s="122" t="str">
        <f>IFERROR(_xlfn.IFNA(VLOOKUP(ROUND(F221,0),道具!$B$296:$C$320,2,FALSE),""),"")</f>
        <v>iap_hunt_3</v>
      </c>
      <c r="F221">
        <f>IF(转换!B224&gt;0,转换!B224*100,"")</f>
        <v>799</v>
      </c>
      <c r="G221">
        <v>8</v>
      </c>
      <c r="H221">
        <f>'体验表-带进度条'!R224</f>
        <v>25</v>
      </c>
      <c r="I221" s="113">
        <f>转换!I224</f>
        <v>9</v>
      </c>
      <c r="J221" s="113">
        <f>IF(I221=17,1,IF(I221=9,1,IF(转换!I224&gt;0,VLOOKUP(转换!H224,道具!B:C,2,FALSE),"")))</f>
        <v>1</v>
      </c>
      <c r="K221" s="114">
        <f>IF(转换!I224=17,ROUND(转换!J224*100/转换!$U$2,0),IF(转换!I224=9,F221,转换!J224))</f>
        <v>799</v>
      </c>
      <c r="L221" s="115"/>
      <c r="M221" s="115"/>
      <c r="N221" s="115"/>
      <c r="O221" s="113"/>
      <c r="P221" s="113"/>
      <c r="Q221" s="113"/>
      <c r="R221" s="97"/>
      <c r="S221" s="97"/>
      <c r="T221" s="97"/>
    </row>
    <row r="222" customFormat="1" spans="1:20">
      <c r="A222">
        <f>IF(C222=1,1001+COUNTIF($C$5:C221,1),2001+COUNTIF($C$5:C221,2))</f>
        <v>2038</v>
      </c>
      <c r="B222">
        <v>1</v>
      </c>
      <c r="C222" s="121">
        <v>2</v>
      </c>
      <c r="D222" s="122" t="str">
        <f>IFERROR(_xlfn.IFNA(VLOOKUP(ROUND(F222,0),道具!$B$271:$C$295,2,FALSE),""),"")</f>
        <v>gp_hunt_999</v>
      </c>
      <c r="E222" s="122" t="str">
        <f>IFERROR(_xlfn.IFNA(VLOOKUP(ROUND(F222,0),道具!$B$296:$C$320,2,FALSE),""),"")</f>
        <v>iap_hunt_999</v>
      </c>
      <c r="F222">
        <f>IF(转换!B230&gt;0,转换!B230*100,"")</f>
        <v>999</v>
      </c>
      <c r="G222">
        <v>14</v>
      </c>
      <c r="H222">
        <f>'体验表-带进度条'!R230</f>
        <v>35</v>
      </c>
      <c r="I222" s="113">
        <f>转换!I230</f>
        <v>9</v>
      </c>
      <c r="J222" s="113">
        <f>IF(I222=17,1,IF(I222=9,1,IF(转换!I230&gt;0,VLOOKUP(转换!H230,道具!B:C,2,FALSE),"")))</f>
        <v>1</v>
      </c>
      <c r="K222" s="114">
        <f>IF(转换!I230=17,ROUND(转换!J230*100/转换!$U$2,0),IF(转换!I230=9,F222,转换!J230))</f>
        <v>999</v>
      </c>
      <c r="L222" s="115"/>
      <c r="M222" s="115"/>
      <c r="N222" s="115"/>
      <c r="O222" s="113"/>
      <c r="P222" s="113"/>
      <c r="Q222" s="113"/>
      <c r="R222" s="97"/>
      <c r="S222" s="97"/>
      <c r="T222" s="97"/>
    </row>
    <row r="223" customFormat="1" spans="1:20">
      <c r="A223">
        <f>IF(C223=1,1001+COUNTIF($C$5:C222,1),2001+COUNTIF($C$5:C222,2))</f>
        <v>2039</v>
      </c>
      <c r="B223">
        <v>1</v>
      </c>
      <c r="C223" s="121">
        <v>2</v>
      </c>
      <c r="D223" s="122" t="str">
        <f>IFERROR(_xlfn.IFNA(VLOOKUP(ROUND(F223,0),道具!$B$271:$C$295,2,FALSE),""),"")</f>
        <v>gp_hunt_5</v>
      </c>
      <c r="E223" s="122" t="str">
        <f>IFERROR(_xlfn.IFNA(VLOOKUP(ROUND(F223,0),道具!$B$296:$C$320,2,FALSE),""),"")</f>
        <v>iap_hunt_5</v>
      </c>
      <c r="F223">
        <f>IF(转换!B236&gt;0,转换!B236*100,"")</f>
        <v>1299</v>
      </c>
      <c r="G223">
        <v>20</v>
      </c>
      <c r="H223">
        <f>'体验表-带进度条'!R236</f>
        <v>0</v>
      </c>
      <c r="I223" s="113">
        <f>转换!I236</f>
        <v>9</v>
      </c>
      <c r="J223" s="113">
        <f>IF(I223=17,1,IF(I223=9,1,IF(转换!I236&gt;0,VLOOKUP(转换!H236,道具!B:C,2,FALSE),"")))</f>
        <v>1</v>
      </c>
      <c r="K223" s="114">
        <f>IF(转换!I236=17,ROUND(转换!J236*100/转换!$U$2,0),IF(转换!I236=9,F223,转换!J236))</f>
        <v>1299</v>
      </c>
      <c r="L223" s="115"/>
      <c r="M223" s="115"/>
      <c r="N223" s="115"/>
      <c r="O223" s="113"/>
      <c r="P223" s="113"/>
      <c r="Q223" s="113"/>
      <c r="R223" s="97"/>
      <c r="S223" s="97"/>
      <c r="T223" s="97"/>
    </row>
    <row r="224" customFormat="1" spans="1:20">
      <c r="A224">
        <f>IF(C224=1,1001+COUNTIF($C$5:C223,1),2001+COUNTIF($C$5:C223,2))</f>
        <v>2040</v>
      </c>
      <c r="B224">
        <v>1</v>
      </c>
      <c r="C224" s="121">
        <v>2</v>
      </c>
      <c r="D224" s="122" t="str">
        <f>IFERROR(_xlfn.IFNA(VLOOKUP(ROUND(F224,0),道具!$B$271:$C$295,2,FALSE),""),"")</f>
        <v>gp_hunt_6</v>
      </c>
      <c r="E224" s="122" t="str">
        <f>IFERROR(_xlfn.IFNA(VLOOKUP(ROUND(F224,0),道具!$B$296:$C$320,2,FALSE),""),"")</f>
        <v>iap_hunt_6</v>
      </c>
      <c r="F224">
        <f>IF(转换!B242&gt;0,转换!B242*100,"")</f>
        <v>1499</v>
      </c>
      <c r="G224">
        <v>26</v>
      </c>
      <c r="H224">
        <f>'体验表-带进度条'!R242</f>
        <v>10</v>
      </c>
      <c r="I224" s="113">
        <f>转换!I242</f>
        <v>9</v>
      </c>
      <c r="J224" s="113">
        <f>IF(I224=17,1,IF(I224=9,1,IF(转换!I242&gt;0,VLOOKUP(转换!H242,道具!B:C,2,FALSE),"")))</f>
        <v>1</v>
      </c>
      <c r="K224" s="114">
        <f>IF(转换!I242=17,ROUND(转换!J242*100/转换!$U$2,0),IF(转换!I242=9,F224,转换!J242))</f>
        <v>1499</v>
      </c>
      <c r="L224" s="115"/>
      <c r="M224" s="115"/>
      <c r="N224" s="115"/>
      <c r="O224" s="113"/>
      <c r="P224" s="113"/>
      <c r="Q224" s="113"/>
      <c r="R224" s="97"/>
      <c r="S224" s="97"/>
      <c r="T224" s="97"/>
    </row>
    <row r="225" customFormat="1" spans="1:20">
      <c r="A225">
        <f>IF(C225=1,1001+COUNTIF($C$5:C224,1),2001+COUNTIF($C$5:C224,2))</f>
        <v>2041</v>
      </c>
      <c r="B225">
        <v>1</v>
      </c>
      <c r="C225" s="121">
        <v>2</v>
      </c>
      <c r="D225" s="122" t="str">
        <f>IFERROR(_xlfn.IFNA(VLOOKUP(ROUND(F225,0),道具!$B$271:$C$295,2,FALSE),""),"")</f>
        <v>gp_hunt_1799</v>
      </c>
      <c r="E225" s="122" t="str">
        <f>IFERROR(_xlfn.IFNA(VLOOKUP(ROUND(F225,0),道具!$B$296:$C$320,2,FALSE),""),"")</f>
        <v>iap_hunt_1799</v>
      </c>
      <c r="F225">
        <f>IF(转换!B248&gt;0,转换!B248*100,"")</f>
        <v>1799</v>
      </c>
      <c r="G225">
        <v>32</v>
      </c>
      <c r="H225">
        <f>'体验表-带进度条'!R248</f>
        <v>25</v>
      </c>
      <c r="I225" s="113">
        <f>转换!I248</f>
        <v>9</v>
      </c>
      <c r="J225" s="113">
        <f>IF(I225=17,1,IF(I225=9,1,IF(转换!I248&gt;0,VLOOKUP(转换!H248,道具!B:C,2,FALSE),"")))</f>
        <v>1</v>
      </c>
      <c r="K225" s="114">
        <f>IF(转换!I248=17,ROUND(转换!J248*100/转换!$U$2,0),IF(转换!I248=9,F225,转换!J248))</f>
        <v>1799</v>
      </c>
      <c r="L225" s="115"/>
      <c r="M225" s="115"/>
      <c r="N225" s="115"/>
      <c r="O225" s="113"/>
      <c r="P225" s="113"/>
      <c r="Q225" s="113"/>
      <c r="R225" s="97"/>
      <c r="S225" s="97"/>
      <c r="T225" s="97"/>
    </row>
    <row r="226" customFormat="1" spans="1:20">
      <c r="A226">
        <f>IF(C226=1,1001+COUNTIF($C$5:C225,1),2001+COUNTIF($C$5:C225,2))</f>
        <v>2042</v>
      </c>
      <c r="B226">
        <v>1</v>
      </c>
      <c r="C226" s="121">
        <v>2</v>
      </c>
      <c r="D226" s="122" t="str">
        <f>IFERROR(_xlfn.IFNA(VLOOKUP(ROUND(F226,0),道具!$B$271:$C$295,2,FALSE),""),"")</f>
        <v>gp_hunt_1999</v>
      </c>
      <c r="E226" s="122" t="str">
        <f>IFERROR(_xlfn.IFNA(VLOOKUP(ROUND(F226,0),道具!$B$296:$C$320,2,FALSE),""),"")</f>
        <v>iap_hunt_1999</v>
      </c>
      <c r="F226">
        <f>IF(转换!B254&gt;0,转换!B254*100,"")</f>
        <v>1999</v>
      </c>
      <c r="G226">
        <v>38</v>
      </c>
      <c r="H226">
        <f>'体验表-带进度条'!R254</f>
        <v>35</v>
      </c>
      <c r="I226" s="113">
        <f>转换!I254</f>
        <v>9</v>
      </c>
      <c r="J226" s="113">
        <f>IF(I226=17,1,IF(I226=9,1,IF(转换!I254&gt;0,VLOOKUP(转换!H254,道具!B:C,2,FALSE),"")))</f>
        <v>1</v>
      </c>
      <c r="K226" s="114">
        <f>IF(转换!I254=17,ROUND(转换!J254*100/转换!$U$2,0),IF(转换!I254=9,F226,转换!J254))</f>
        <v>1999</v>
      </c>
      <c r="L226" s="115"/>
      <c r="M226" s="115"/>
      <c r="N226" s="115"/>
      <c r="O226" s="113"/>
      <c r="P226" s="113"/>
      <c r="Q226" s="113"/>
      <c r="R226" s="97"/>
      <c r="S226" s="97"/>
      <c r="T226" s="97"/>
    </row>
    <row r="227" customFormat="1" spans="1:20">
      <c r="A227">
        <f>IF(C227=1,1001+COUNTIF($C$5:C226,1),2001+COUNTIF($C$5:C226,2))</f>
        <v>1181</v>
      </c>
      <c r="B227">
        <v>1</v>
      </c>
      <c r="C227" s="121">
        <v>1</v>
      </c>
      <c r="D227" s="122" t="str">
        <f>IFERROR(_xlfn.IFNA(VLOOKUP(ROUND(F227,0),道具!$B$271:$C$295,2,FALSE),""),"")</f>
        <v/>
      </c>
      <c r="E227" s="122" t="str">
        <f>IFERROR(_xlfn.IFNA(VLOOKUP(ROUND(F227,0),道具!$B$296:$C$320,2,FALSE),""),"")</f>
        <v/>
      </c>
      <c r="F227" t="str">
        <f>IF(转换!B217&gt;0,转换!B217*100,"")</f>
        <v/>
      </c>
      <c r="G227">
        <v>1</v>
      </c>
      <c r="H227">
        <f>'体验表-带进度条'!R217</f>
        <v>20</v>
      </c>
      <c r="I227" s="113">
        <f>转换!I217</f>
        <v>1</v>
      </c>
      <c r="J227" s="113">
        <f>IF(I227=17,1,IF(I227=9,1,IF(转换!I217&gt;0,VLOOKUP(转换!H217,道具!B:C,2,FALSE),"")))</f>
        <v>1</v>
      </c>
      <c r="K227" s="114">
        <f>IF(转换!I217=17,ROUND(转换!J217*100/转换!$U$2,0),IF(转换!I217=9,F227,转换!J217))</f>
        <v>5000</v>
      </c>
      <c r="L227" s="115"/>
      <c r="M227" s="115"/>
      <c r="N227" s="115"/>
      <c r="O227" s="113"/>
      <c r="P227" s="113"/>
      <c r="Q227" s="113"/>
      <c r="R227" s="97"/>
      <c r="S227" s="97"/>
      <c r="T227" s="97"/>
    </row>
    <row r="228" customFormat="1" spans="1:20">
      <c r="A228">
        <f>IF(C228=1,1001+COUNTIF($C$5:C227,1),2001+COUNTIF($C$5:C227,2))</f>
        <v>1182</v>
      </c>
      <c r="B228">
        <v>1</v>
      </c>
      <c r="C228" s="121">
        <v>1</v>
      </c>
      <c r="D228" s="122" t="str">
        <f>IFERROR(_xlfn.IFNA(VLOOKUP(ROUND(F228,0),道具!$B$271:$C$295,2,FALSE),""),"")</f>
        <v/>
      </c>
      <c r="E228" s="122" t="str">
        <f>IFERROR(_xlfn.IFNA(VLOOKUP(ROUND(F228,0),道具!$B$296:$C$320,2,FALSE),""),"")</f>
        <v/>
      </c>
      <c r="F228" t="str">
        <f>IF(转换!B219&gt;0,转换!B219*100,"")</f>
        <v/>
      </c>
      <c r="G228">
        <v>3</v>
      </c>
      <c r="H228">
        <f>'体验表-带进度条'!R219</f>
        <v>0</v>
      </c>
      <c r="I228" s="113">
        <f>转换!I219</f>
        <v>3</v>
      </c>
      <c r="J228" s="113">
        <f>IF(I228=17,1,IF(I228=9,1,IF(转换!I219&gt;0,VLOOKUP(转换!H219,道具!B:C,2,FALSE),"")))</f>
        <v>160001</v>
      </c>
      <c r="K228" s="114">
        <f>IF(转换!I219=17,ROUND(转换!J219*100/转换!$U$2,0),IF(转换!I219=9,F228,转换!J219))</f>
        <v>1</v>
      </c>
      <c r="L228" s="115"/>
      <c r="M228" s="115"/>
      <c r="N228" s="115"/>
      <c r="O228" s="113"/>
      <c r="P228" s="113"/>
      <c r="Q228" s="113"/>
      <c r="R228" s="97"/>
      <c r="S228" s="97"/>
      <c r="T228" s="97"/>
    </row>
    <row r="229" customFormat="1" spans="1:20">
      <c r="A229">
        <f>IF(C229=1,1001+COUNTIF($C$5:C228,1),2001+COUNTIF($C$5:C228,2))</f>
        <v>1183</v>
      </c>
      <c r="B229">
        <v>1</v>
      </c>
      <c r="C229" s="121">
        <v>1</v>
      </c>
      <c r="D229" s="122" t="str">
        <f>IFERROR(_xlfn.IFNA(VLOOKUP(ROUND(F229,0),道具!$B$271:$C$295,2,FALSE),""),"")</f>
        <v/>
      </c>
      <c r="E229" s="122" t="str">
        <f>IFERROR(_xlfn.IFNA(VLOOKUP(ROUND(F229,0),道具!$B$296:$C$320,2,FALSE),""),"")</f>
        <v/>
      </c>
      <c r="F229" t="str">
        <f>IF(转换!B220&gt;0,转换!B220*100,"")</f>
        <v/>
      </c>
      <c r="G229">
        <v>4</v>
      </c>
      <c r="H229">
        <f>'体验表-带进度条'!R220</f>
        <v>0</v>
      </c>
      <c r="I229" s="113">
        <f>转换!I220</f>
        <v>17</v>
      </c>
      <c r="J229" s="113">
        <f>IF(I229=17,1,IF(I229=9,1,IF(转换!I220&gt;0,VLOOKUP(转换!H220,道具!B:C,2,FALSE),"")))</f>
        <v>1</v>
      </c>
      <c r="K229" s="114">
        <f>IF(转换!I220=17,ROUND(转换!J220*100/转换!$U$2,0),IF(转换!I220=9,F229,转换!J220))</f>
        <v>201</v>
      </c>
      <c r="L229" s="115"/>
      <c r="M229" s="115"/>
      <c r="N229" s="115"/>
      <c r="O229" s="113"/>
      <c r="P229" s="113"/>
      <c r="Q229" s="113"/>
      <c r="R229" s="97"/>
      <c r="S229" s="97"/>
      <c r="T229" s="97"/>
    </row>
    <row r="230" customFormat="1" spans="1:20">
      <c r="A230">
        <f>IF(C230=1,1001+COUNTIF($C$5:C229,1),2001+COUNTIF($C$5:C229,2))</f>
        <v>1184</v>
      </c>
      <c r="B230">
        <v>1</v>
      </c>
      <c r="C230" s="121">
        <v>1</v>
      </c>
      <c r="D230" s="122" t="str">
        <f>IFERROR(_xlfn.IFNA(VLOOKUP(ROUND(F230,0),道具!$B$271:$C$295,2,FALSE),""),"")</f>
        <v/>
      </c>
      <c r="E230" s="122" t="str">
        <f>IFERROR(_xlfn.IFNA(VLOOKUP(ROUND(F230,0),道具!$B$296:$C$320,2,FALSE),""),"")</f>
        <v/>
      </c>
      <c r="F230" t="str">
        <f>IF(转换!B221&gt;0,转换!B221*100,"")</f>
        <v/>
      </c>
      <c r="G230">
        <v>5</v>
      </c>
      <c r="H230">
        <f>'体验表-带进度条'!R221</f>
        <v>10</v>
      </c>
      <c r="I230" s="113">
        <f>转换!I221</f>
        <v>4</v>
      </c>
      <c r="J230" s="113">
        <f>IF(I230=17,1,IF(I230=9,1,IF(转换!I221&gt;0,VLOOKUP(转换!H221,道具!B:C,2,FALSE),"")))</f>
        <v>100002</v>
      </c>
      <c r="K230" s="114">
        <f>IF(转换!I221=17,ROUND(转换!J221*100/转换!$U$2,0),IF(转换!I221=9,F230,转换!J221))</f>
        <v>1</v>
      </c>
      <c r="L230" s="115"/>
      <c r="M230" s="115"/>
      <c r="N230" s="115"/>
      <c r="O230" s="113"/>
      <c r="P230" s="113"/>
      <c r="Q230" s="113"/>
      <c r="R230" s="97"/>
      <c r="S230" s="97"/>
      <c r="T230" s="97"/>
    </row>
    <row r="231" customFormat="1" spans="1:20">
      <c r="A231">
        <f>IF(C231=1,1001+COUNTIF($C$5:C230,1),2001+COUNTIF($C$5:C230,2))</f>
        <v>1185</v>
      </c>
      <c r="B231">
        <v>1</v>
      </c>
      <c r="C231" s="121">
        <v>1</v>
      </c>
      <c r="D231" s="122" t="str">
        <f>IFERROR(_xlfn.IFNA(VLOOKUP(ROUND(F231,0),道具!$B$271:$C$295,2,FALSE),""),"")</f>
        <v/>
      </c>
      <c r="E231" s="122" t="str">
        <f>IFERROR(_xlfn.IFNA(VLOOKUP(ROUND(F231,0),道具!$B$296:$C$320,2,FALSE),""),"")</f>
        <v/>
      </c>
      <c r="F231" t="str">
        <f>IF(转换!B222&gt;0,转换!B222*100,"")</f>
        <v/>
      </c>
      <c r="G231">
        <v>6</v>
      </c>
      <c r="H231">
        <f>'体验表-带进度条'!R222</f>
        <v>0</v>
      </c>
      <c r="I231" s="113">
        <f>转换!I222</f>
        <v>3</v>
      </c>
      <c r="J231" s="113">
        <f>IF(I231=17,1,IF(I231=9,1,IF(转换!I222&gt;0,VLOOKUP(转换!H222,道具!B:C,2,FALSE),"")))</f>
        <v>192001</v>
      </c>
      <c r="K231" s="114">
        <f>IF(转换!I222=17,ROUND(转换!J222*100/转换!$U$2,0),IF(转换!I222=9,F231,转换!J222))</f>
        <v>5</v>
      </c>
      <c r="L231" s="115"/>
      <c r="M231" s="115"/>
      <c r="N231" s="115"/>
      <c r="O231" s="113"/>
      <c r="P231" s="113"/>
      <c r="Q231" s="113"/>
      <c r="R231" s="97"/>
      <c r="S231" s="97"/>
      <c r="T231" s="97"/>
    </row>
    <row r="232" customFormat="1" spans="1:20">
      <c r="A232">
        <f>IF(C232=1,1001+COUNTIF($C$5:C231,1),2001+COUNTIF($C$5:C231,2))</f>
        <v>1186</v>
      </c>
      <c r="B232">
        <v>1</v>
      </c>
      <c r="C232" s="121">
        <v>1</v>
      </c>
      <c r="D232" s="122" t="str">
        <f>IFERROR(_xlfn.IFNA(VLOOKUP(ROUND(F232,0),道具!$B$271:$C$295,2,FALSE),""),"")</f>
        <v/>
      </c>
      <c r="E232" s="122" t="str">
        <f>IFERROR(_xlfn.IFNA(VLOOKUP(ROUND(F232,0),道具!$B$296:$C$320,2,FALSE),""),"")</f>
        <v/>
      </c>
      <c r="F232" t="str">
        <f>IF(转换!B223&gt;0,转换!B223*100,"")</f>
        <v/>
      </c>
      <c r="G232">
        <v>7</v>
      </c>
      <c r="H232">
        <f>'体验表-带进度条'!R223</f>
        <v>0</v>
      </c>
      <c r="I232" s="113">
        <f>转换!I223</f>
        <v>3</v>
      </c>
      <c r="J232" s="113">
        <f>IF(I232=17,1,IF(I232=9,1,IF(转换!I223&gt;0,VLOOKUP(转换!H223,道具!B:C,2,FALSE),"")))</f>
        <v>171001</v>
      </c>
      <c r="K232" s="114">
        <f>IF(转换!I223=17,ROUND(转换!J223*100/转换!$U$2,0),IF(转换!I223=9,F232,转换!J223))</f>
        <v>1</v>
      </c>
      <c r="L232" s="115"/>
      <c r="M232" s="115"/>
      <c r="N232" s="115"/>
      <c r="O232" s="113"/>
      <c r="P232" s="113"/>
      <c r="Q232" s="113"/>
      <c r="R232" s="97"/>
      <c r="S232" s="97"/>
      <c r="T232" s="97"/>
    </row>
    <row r="233" customFormat="1" spans="1:20">
      <c r="A233">
        <f>IF(C233=1,1001+COUNTIF($C$5:C232,1),2001+COUNTIF($C$5:C232,2))</f>
        <v>1187</v>
      </c>
      <c r="B233">
        <v>1</v>
      </c>
      <c r="C233" s="121">
        <v>1</v>
      </c>
      <c r="D233" s="122" t="str">
        <f>IFERROR(_xlfn.IFNA(VLOOKUP(ROUND(F233,0),道具!$B$271:$C$295,2,FALSE),""),"")</f>
        <v/>
      </c>
      <c r="E233" s="122" t="str">
        <f>IFERROR(_xlfn.IFNA(VLOOKUP(ROUND(F233,0),道具!$B$296:$C$320,2,FALSE),""),"")</f>
        <v/>
      </c>
      <c r="F233" t="str">
        <f>IF(转换!B225&gt;0,转换!B225*100,"")</f>
        <v/>
      </c>
      <c r="G233">
        <v>9</v>
      </c>
      <c r="H233">
        <f>'体验表-带进度条'!R225</f>
        <v>0</v>
      </c>
      <c r="I233" s="113">
        <f>转换!I225</f>
        <v>3</v>
      </c>
      <c r="J233" s="113">
        <f>IF(I233=17,1,IF(I233=9,1,IF(转换!I225&gt;0,VLOOKUP(转换!H225,道具!B:C,2,FALSE),"")))</f>
        <v>160001</v>
      </c>
      <c r="K233" s="114">
        <f>IF(转换!I225=17,ROUND(转换!J225*100/转换!$U$2,0),IF(转换!I225=9,F233,转换!J225))</f>
        <v>2</v>
      </c>
      <c r="L233" s="115"/>
      <c r="M233" s="115"/>
      <c r="N233" s="115"/>
      <c r="O233" s="113"/>
      <c r="P233" s="113"/>
      <c r="Q233" s="113"/>
      <c r="R233" s="97"/>
      <c r="S233" s="97"/>
      <c r="T233" s="97"/>
    </row>
    <row r="234" customFormat="1" spans="1:20">
      <c r="A234">
        <f>IF(C234=1,1001+COUNTIF($C$5:C233,1),2001+COUNTIF($C$5:C233,2))</f>
        <v>1188</v>
      </c>
      <c r="B234">
        <v>1</v>
      </c>
      <c r="C234" s="121">
        <v>1</v>
      </c>
      <c r="D234" s="122" t="str">
        <f>IFERROR(_xlfn.IFNA(VLOOKUP(ROUND(F234,0),道具!$B$271:$C$295,2,FALSE),""),"")</f>
        <v/>
      </c>
      <c r="E234" s="122" t="str">
        <f>IFERROR(_xlfn.IFNA(VLOOKUP(ROUND(F234,0),道具!$B$296:$C$320,2,FALSE),""),"")</f>
        <v/>
      </c>
      <c r="F234" t="str">
        <f>IF(转换!B226&gt;0,转换!B226*100,"")</f>
        <v/>
      </c>
      <c r="G234">
        <v>10</v>
      </c>
      <c r="H234">
        <f>'体验表-带进度条'!R226</f>
        <v>0</v>
      </c>
      <c r="I234" s="113">
        <f>转换!I226</f>
        <v>17</v>
      </c>
      <c r="J234" s="113">
        <f>IF(I234=17,1,IF(I234=9,1,IF(转换!I226&gt;0,VLOOKUP(转换!H226,道具!B:C,2,FALSE),"")))</f>
        <v>1</v>
      </c>
      <c r="K234" s="114">
        <f>IF(转换!I226=17,ROUND(转换!J226*100/转换!$U$2,0),IF(转换!I226=9,F234,转换!J226))</f>
        <v>40</v>
      </c>
      <c r="L234" s="115"/>
      <c r="M234" s="115"/>
      <c r="N234" s="115"/>
      <c r="O234" s="113"/>
      <c r="P234" s="113"/>
      <c r="Q234" s="113"/>
      <c r="R234" s="97"/>
      <c r="S234" s="97"/>
      <c r="T234" s="97"/>
    </row>
    <row r="235" customFormat="1" spans="1:20">
      <c r="A235">
        <f>IF(C235=1,1001+COUNTIF($C$5:C234,1),2001+COUNTIF($C$5:C234,2))</f>
        <v>1189</v>
      </c>
      <c r="B235">
        <v>1</v>
      </c>
      <c r="C235" s="121">
        <v>1</v>
      </c>
      <c r="D235" s="122" t="str">
        <f>IFERROR(_xlfn.IFNA(VLOOKUP(ROUND(F235,0),道具!$B$271:$C$295,2,FALSE),""),"")</f>
        <v/>
      </c>
      <c r="E235" s="122" t="str">
        <f>IFERROR(_xlfn.IFNA(VLOOKUP(ROUND(F235,0),道具!$B$296:$C$320,2,FALSE),""),"")</f>
        <v/>
      </c>
      <c r="F235" t="str">
        <f>IF(转换!B227&gt;0,转换!B227*100,"")</f>
        <v/>
      </c>
      <c r="G235">
        <v>11</v>
      </c>
      <c r="H235">
        <f>'体验表-带进度条'!R227</f>
        <v>0</v>
      </c>
      <c r="I235" s="113">
        <f>转换!I227</f>
        <v>4</v>
      </c>
      <c r="J235" s="113">
        <f>IF(I235=17,1,IF(I235=9,1,IF(转换!I227&gt;0,VLOOKUP(转换!H227,道具!B:C,2,FALSE),"")))</f>
        <v>100003</v>
      </c>
      <c r="K235" s="114">
        <f>IF(转换!I227=17,ROUND(转换!J227*100/转换!$U$2,0),IF(转换!I227=9,F235,转换!J227))</f>
        <v>1</v>
      </c>
      <c r="L235" s="115"/>
      <c r="M235" s="115"/>
      <c r="N235" s="115"/>
      <c r="O235" s="113"/>
      <c r="P235" s="113"/>
      <c r="Q235" s="113"/>
      <c r="R235" s="97"/>
      <c r="S235" s="97"/>
      <c r="T235" s="97"/>
    </row>
    <row r="236" customFormat="1" spans="1:20">
      <c r="A236">
        <f>IF(C236=1,1001+COUNTIF($C$5:C235,1),2001+COUNTIF($C$5:C235,2))</f>
        <v>1190</v>
      </c>
      <c r="B236">
        <v>1</v>
      </c>
      <c r="C236" s="121">
        <v>1</v>
      </c>
      <c r="D236" s="122" t="str">
        <f>IFERROR(_xlfn.IFNA(VLOOKUP(ROUND(F236,0),道具!$B$271:$C$295,2,FALSE),""),"")</f>
        <v/>
      </c>
      <c r="E236" s="122" t="str">
        <f>IFERROR(_xlfn.IFNA(VLOOKUP(ROUND(F236,0),道具!$B$296:$C$320,2,FALSE),""),"")</f>
        <v/>
      </c>
      <c r="F236" t="str">
        <f>IF(转换!B228&gt;0,转换!B228*100,"")</f>
        <v/>
      </c>
      <c r="G236">
        <v>12</v>
      </c>
      <c r="H236">
        <f>'体验表-带进度条'!R228</f>
        <v>0</v>
      </c>
      <c r="I236" s="113">
        <f>转换!I228</f>
        <v>3</v>
      </c>
      <c r="J236" s="113">
        <f>IF(I236=17,1,IF(I236=9,1,IF(转换!I228&gt;0,VLOOKUP(转换!H228,道具!B:C,2,FALSE),"")))</f>
        <v>192001</v>
      </c>
      <c r="K236" s="114">
        <f>IF(转换!I228=17,ROUND(转换!J228*100/转换!$U$2,0),IF(转换!I228=9,F236,转换!J228))</f>
        <v>10</v>
      </c>
      <c r="L236" s="115"/>
      <c r="M236" s="115"/>
      <c r="N236" s="115"/>
      <c r="O236" s="113"/>
      <c r="P236" s="113"/>
      <c r="Q236" s="113"/>
      <c r="R236" s="97"/>
      <c r="S236" s="97"/>
      <c r="T236" s="97"/>
    </row>
    <row r="237" customFormat="1" spans="1:20">
      <c r="A237">
        <f>IF(C237=1,1001+COUNTIF($C$5:C236,1),2001+COUNTIF($C$5:C236,2))</f>
        <v>1191</v>
      </c>
      <c r="B237">
        <v>1</v>
      </c>
      <c r="C237" s="121">
        <v>1</v>
      </c>
      <c r="D237" s="122" t="str">
        <f>IFERROR(_xlfn.IFNA(VLOOKUP(ROUND(F237,0),道具!$B$271:$C$295,2,FALSE),""),"")</f>
        <v/>
      </c>
      <c r="E237" s="122" t="str">
        <f>IFERROR(_xlfn.IFNA(VLOOKUP(ROUND(F237,0),道具!$B$296:$C$320,2,FALSE),""),"")</f>
        <v/>
      </c>
      <c r="F237" t="str">
        <f>IF(转换!B229&gt;0,转换!B229*100,"")</f>
        <v/>
      </c>
      <c r="G237">
        <v>13</v>
      </c>
      <c r="H237">
        <f>'体验表-带进度条'!R229</f>
        <v>0</v>
      </c>
      <c r="I237" s="113">
        <f>转换!I229</f>
        <v>3</v>
      </c>
      <c r="J237" s="113">
        <f>IF(I237=17,1,IF(I237=9,1,IF(转换!I229&gt;0,VLOOKUP(转换!H229,道具!B:C,2,FALSE),"")))</f>
        <v>171002</v>
      </c>
      <c r="K237" s="114">
        <f>IF(转换!I229=17,ROUND(转换!J229*100/转换!$U$2,0),IF(转换!I229=9,F237,转换!J229))</f>
        <v>1</v>
      </c>
      <c r="L237" s="115"/>
      <c r="M237" s="115"/>
      <c r="N237" s="115"/>
      <c r="O237" s="113"/>
      <c r="P237" s="113"/>
      <c r="Q237" s="113"/>
      <c r="R237" s="97"/>
      <c r="S237" s="97"/>
      <c r="T237" s="97"/>
    </row>
    <row r="238" customFormat="1" spans="1:20">
      <c r="A238">
        <f>IF(C238=1,1001+COUNTIF($C$5:C237,1),2001+COUNTIF($C$5:C237,2))</f>
        <v>1192</v>
      </c>
      <c r="B238">
        <v>1</v>
      </c>
      <c r="C238" s="121">
        <v>1</v>
      </c>
      <c r="D238" s="122" t="str">
        <f>IFERROR(_xlfn.IFNA(VLOOKUP(ROUND(F238,0),道具!$B$271:$C$295,2,FALSE),""),"")</f>
        <v/>
      </c>
      <c r="E238" s="122" t="str">
        <f>IFERROR(_xlfn.IFNA(VLOOKUP(ROUND(F238,0),道具!$B$296:$C$320,2,FALSE),""),"")</f>
        <v/>
      </c>
      <c r="F238" t="str">
        <f>IF(转换!B231&gt;0,转换!B231*100,"")</f>
        <v/>
      </c>
      <c r="G238">
        <v>15</v>
      </c>
      <c r="H238">
        <f>'体验表-带进度条'!R231</f>
        <v>0</v>
      </c>
      <c r="I238" s="113">
        <f>转换!I231</f>
        <v>3</v>
      </c>
      <c r="J238" s="113">
        <f>IF(I238=17,1,IF(I238=9,1,IF(转换!I231&gt;0,VLOOKUP(转换!H231,道具!B:C,2,FALSE),"")))</f>
        <v>160001</v>
      </c>
      <c r="K238" s="114">
        <f>IF(转换!I231=17,ROUND(转换!J231*100/转换!$U$2,0),IF(转换!I231=9,F238,转换!J231))</f>
        <v>3</v>
      </c>
      <c r="L238" s="115"/>
      <c r="M238" s="115"/>
      <c r="N238" s="115"/>
      <c r="O238" s="113"/>
      <c r="P238" s="113"/>
      <c r="Q238" s="113"/>
      <c r="R238" s="97"/>
      <c r="S238" s="97"/>
      <c r="T238" s="97"/>
    </row>
    <row r="239" customFormat="1" spans="1:20">
      <c r="A239">
        <f>IF(C239=1,1001+COUNTIF($C$5:C238,1),2001+COUNTIF($C$5:C238,2))</f>
        <v>1193</v>
      </c>
      <c r="B239">
        <v>1</v>
      </c>
      <c r="C239" s="121">
        <v>1</v>
      </c>
      <c r="D239" s="122" t="str">
        <f>IFERROR(_xlfn.IFNA(VLOOKUP(ROUND(F239,0),道具!$B$271:$C$295,2,FALSE),""),"")</f>
        <v/>
      </c>
      <c r="E239" s="122" t="str">
        <f>IFERROR(_xlfn.IFNA(VLOOKUP(ROUND(F239,0),道具!$B$296:$C$320,2,FALSE),""),"")</f>
        <v/>
      </c>
      <c r="F239" t="str">
        <f>IF(转换!B232&gt;0,转换!B232*100,"")</f>
        <v/>
      </c>
      <c r="G239">
        <v>16</v>
      </c>
      <c r="H239">
        <f>'体验表-带进度条'!R232</f>
        <v>0</v>
      </c>
      <c r="I239" s="113">
        <f>转换!I232</f>
        <v>17</v>
      </c>
      <c r="J239" s="113">
        <f>IF(I239=17,1,IF(I239=9,1,IF(转换!I232&gt;0,VLOOKUP(转换!H232,道具!B:C,2,FALSE),"")))</f>
        <v>1</v>
      </c>
      <c r="K239" s="114">
        <f>IF(转换!I232=17,ROUND(转换!J232*100/转换!$U$2,0),IF(转换!I232=9,F239,转换!J232))</f>
        <v>201</v>
      </c>
      <c r="L239" s="115"/>
      <c r="M239" s="115"/>
      <c r="N239" s="115"/>
      <c r="O239" s="113"/>
      <c r="P239" s="113"/>
      <c r="Q239" s="113"/>
      <c r="R239" s="97"/>
      <c r="S239" s="97"/>
      <c r="T239" s="97"/>
    </row>
    <row r="240" customFormat="1" spans="1:20">
      <c r="A240">
        <f>IF(C240=1,1001+COUNTIF($C$5:C239,1),2001+COUNTIF($C$5:C239,2))</f>
        <v>1194</v>
      </c>
      <c r="B240">
        <v>1</v>
      </c>
      <c r="C240" s="121">
        <v>1</v>
      </c>
      <c r="D240" s="122" t="str">
        <f>IFERROR(_xlfn.IFNA(VLOOKUP(ROUND(F240,0),道具!$B$271:$C$295,2,FALSE),""),"")</f>
        <v/>
      </c>
      <c r="E240" s="122" t="str">
        <f>IFERROR(_xlfn.IFNA(VLOOKUP(ROUND(F240,0),道具!$B$296:$C$320,2,FALSE),""),"")</f>
        <v/>
      </c>
      <c r="F240" t="str">
        <f>IF(转换!B233&gt;0,转换!B233*100,"")</f>
        <v/>
      </c>
      <c r="G240">
        <v>17</v>
      </c>
      <c r="H240">
        <f>'体验表-带进度条'!R233</f>
        <v>25</v>
      </c>
      <c r="I240" s="113">
        <f>转换!I233</f>
        <v>4</v>
      </c>
      <c r="J240" s="113">
        <f>IF(I240=17,1,IF(I240=9,1,IF(转换!I233&gt;0,VLOOKUP(转换!H233,道具!B:C,2,FALSE),"")))</f>
        <v>100004</v>
      </c>
      <c r="K240" s="114">
        <f>IF(转换!I233=17,ROUND(转换!J233*100/转换!$U$2,0),IF(转换!I233=9,F240,转换!J233))</f>
        <v>1</v>
      </c>
      <c r="L240" s="115"/>
      <c r="M240" s="115"/>
      <c r="N240" s="115"/>
      <c r="O240" s="113"/>
      <c r="P240" s="113"/>
      <c r="Q240" s="113"/>
      <c r="R240" s="97"/>
      <c r="S240" s="97"/>
      <c r="T240" s="97"/>
    </row>
    <row r="241" customFormat="1" spans="1:20">
      <c r="A241">
        <f>IF(C241=1,1001+COUNTIF($C$5:C240,1),2001+COUNTIF($C$5:C240,2))</f>
        <v>1195</v>
      </c>
      <c r="B241">
        <v>1</v>
      </c>
      <c r="C241" s="121">
        <v>1</v>
      </c>
      <c r="D241" s="122" t="str">
        <f>IFERROR(_xlfn.IFNA(VLOOKUP(ROUND(F241,0),道具!$B$271:$C$295,2,FALSE),""),"")</f>
        <v/>
      </c>
      <c r="E241" s="122" t="str">
        <f>IFERROR(_xlfn.IFNA(VLOOKUP(ROUND(F241,0),道具!$B$296:$C$320,2,FALSE),""),"")</f>
        <v/>
      </c>
      <c r="F241" t="str">
        <f>IF(转换!B234&gt;0,转换!B234*100,"")</f>
        <v/>
      </c>
      <c r="G241">
        <v>18</v>
      </c>
      <c r="H241">
        <f>'体验表-带进度条'!R234</f>
        <v>0</v>
      </c>
      <c r="I241" s="113">
        <f>转换!I234</f>
        <v>3</v>
      </c>
      <c r="J241" s="113">
        <f>IF(I241=17,1,IF(I241=9,1,IF(转换!I234&gt;0,VLOOKUP(转换!H234,道具!B:C,2,FALSE),"")))</f>
        <v>192001</v>
      </c>
      <c r="K241" s="114">
        <f>IF(转换!I234=17,ROUND(转换!J234*100/转换!$U$2,0),IF(转换!I234=9,F241,转换!J234))</f>
        <v>15</v>
      </c>
      <c r="L241" s="115"/>
      <c r="M241" s="115"/>
      <c r="N241" s="115"/>
      <c r="O241" s="113"/>
      <c r="P241" s="113"/>
      <c r="Q241" s="113"/>
      <c r="R241" s="97"/>
      <c r="S241" s="97"/>
      <c r="T241" s="97"/>
    </row>
    <row r="242" customFormat="1" ht="18" customHeight="1" spans="1:20">
      <c r="A242">
        <f>IF(C242=1,1001+COUNTIF($C$5:C241,1),2001+COUNTIF($C$5:C241,2))</f>
        <v>1196</v>
      </c>
      <c r="B242">
        <v>1</v>
      </c>
      <c r="C242" s="121">
        <v>1</v>
      </c>
      <c r="D242" s="122" t="str">
        <f>IFERROR(_xlfn.IFNA(VLOOKUP(ROUND(F242,0),道具!$B$271:$C$295,2,FALSE),""),"")</f>
        <v/>
      </c>
      <c r="E242" s="122" t="str">
        <f>IFERROR(_xlfn.IFNA(VLOOKUP(ROUND(F242,0),道具!$B$296:$C$320,2,FALSE),""),"")</f>
        <v/>
      </c>
      <c r="F242" t="str">
        <f>IF(转换!B235&gt;0,转换!B235*100,"")</f>
        <v/>
      </c>
      <c r="G242">
        <v>19</v>
      </c>
      <c r="H242">
        <f>'体验表-带进度条'!R235</f>
        <v>0</v>
      </c>
      <c r="I242" s="113">
        <f>转换!I235</f>
        <v>3</v>
      </c>
      <c r="J242" s="113">
        <f>IF(I242=17,1,IF(I242=9,1,IF(转换!I235&gt;0,VLOOKUP(转换!H235,道具!B:C,2,FALSE),"")))</f>
        <v>171001</v>
      </c>
      <c r="K242" s="114">
        <f>IF(转换!I235=17,ROUND(转换!J235*100/转换!$U$2,0),IF(转换!I235=9,F242,转换!J235))</f>
        <v>1</v>
      </c>
      <c r="L242" s="115"/>
      <c r="M242" s="115"/>
      <c r="N242" s="115"/>
      <c r="O242" s="113"/>
      <c r="P242" s="113"/>
      <c r="Q242" s="113"/>
      <c r="R242" s="97"/>
      <c r="S242" s="97"/>
      <c r="T242" s="97"/>
    </row>
    <row r="243" customFormat="1" spans="1:20">
      <c r="A243">
        <f>IF(C243=1,1001+COUNTIF($C$5:C242,1),2001+COUNTIF($C$5:C242,2))</f>
        <v>1197</v>
      </c>
      <c r="B243">
        <v>1</v>
      </c>
      <c r="C243" s="121">
        <v>1</v>
      </c>
      <c r="D243" s="122" t="str">
        <f>IFERROR(_xlfn.IFNA(VLOOKUP(ROUND(F243,0),道具!$B$271:$C$295,2,FALSE),""),"")</f>
        <v/>
      </c>
      <c r="E243" s="122" t="str">
        <f>IFERROR(_xlfn.IFNA(VLOOKUP(ROUND(F243,0),道具!$B$296:$C$320,2,FALSE),""),"")</f>
        <v/>
      </c>
      <c r="F243" t="str">
        <f>IF(转换!B237&gt;0,转换!B237*100,"")</f>
        <v/>
      </c>
      <c r="G243">
        <v>21</v>
      </c>
      <c r="H243">
        <f>'体验表-带进度条'!R237</f>
        <v>0</v>
      </c>
      <c r="I243" s="113">
        <f>转换!I237</f>
        <v>3</v>
      </c>
      <c r="J243" s="113">
        <f>IF(I243=17,1,IF(I243=9,1,IF(转换!I237&gt;0,VLOOKUP(转换!H237,道具!B:C,2,FALSE),"")))</f>
        <v>160001</v>
      </c>
      <c r="K243" s="114">
        <f>IF(转换!I237=17,ROUND(转换!J237*100/转换!$U$2,0),IF(转换!I237=9,F243,转换!J237))</f>
        <v>4</v>
      </c>
      <c r="L243" s="115"/>
      <c r="M243" s="115"/>
      <c r="N243" s="115"/>
      <c r="O243" s="113"/>
      <c r="P243" s="113"/>
      <c r="Q243" s="113"/>
      <c r="R243" s="97"/>
      <c r="S243" s="97"/>
      <c r="T243" s="97"/>
    </row>
    <row r="244" customFormat="1" spans="1:20">
      <c r="A244">
        <f>IF(C244=1,1001+COUNTIF($C$5:C243,1),2001+COUNTIF($C$5:C243,2))</f>
        <v>1198</v>
      </c>
      <c r="B244">
        <v>1</v>
      </c>
      <c r="C244" s="121">
        <v>1</v>
      </c>
      <c r="D244" s="122" t="str">
        <f>IFERROR(_xlfn.IFNA(VLOOKUP(ROUND(F244,0),道具!$B$271:$C$295,2,FALSE),""),"")</f>
        <v/>
      </c>
      <c r="E244" s="122" t="str">
        <f>IFERROR(_xlfn.IFNA(VLOOKUP(ROUND(F244,0),道具!$B$296:$C$320,2,FALSE),""),"")</f>
        <v/>
      </c>
      <c r="F244" t="str">
        <f>IF(转换!B238&gt;0,转换!B238*100,"")</f>
        <v/>
      </c>
      <c r="G244">
        <v>22</v>
      </c>
      <c r="H244">
        <f>'体验表-带进度条'!R238</f>
        <v>0</v>
      </c>
      <c r="I244" s="113">
        <f>转换!I238</f>
        <v>17</v>
      </c>
      <c r="J244" s="113">
        <f>IF(I244=17,1,IF(I244=9,1,IF(转换!I238&gt;0,VLOOKUP(转换!H238,道具!B:C,2,FALSE),"")))</f>
        <v>1</v>
      </c>
      <c r="K244" s="114">
        <f>IF(转换!I238=17,ROUND(转换!J238*100/转换!$U$2,0),IF(转换!I238=9,F244,转换!J238))</f>
        <v>161</v>
      </c>
      <c r="L244" s="115"/>
      <c r="M244" s="115"/>
      <c r="N244" s="115"/>
      <c r="O244" s="113"/>
      <c r="P244" s="113"/>
      <c r="Q244" s="113"/>
      <c r="R244" s="97"/>
      <c r="S244" s="97"/>
      <c r="T244" s="97"/>
    </row>
    <row r="245" customFormat="1" spans="1:20">
      <c r="A245">
        <f>IF(C245=1,1001+COUNTIF($C$5:C244,1),2001+COUNTIF($C$5:C244,2))</f>
        <v>1199</v>
      </c>
      <c r="B245">
        <v>1</v>
      </c>
      <c r="C245" s="121">
        <v>1</v>
      </c>
      <c r="D245" s="122" t="str">
        <f>IFERROR(_xlfn.IFNA(VLOOKUP(ROUND(F245,0),道具!$B$271:$C$295,2,FALSE),""),"")</f>
        <v/>
      </c>
      <c r="E245" s="122" t="str">
        <f>IFERROR(_xlfn.IFNA(VLOOKUP(ROUND(F245,0),道具!$B$296:$C$320,2,FALSE),""),"")</f>
        <v/>
      </c>
      <c r="F245" t="str">
        <f>IF(转换!B239&gt;0,转换!B239*100,"")</f>
        <v/>
      </c>
      <c r="G245">
        <v>23</v>
      </c>
      <c r="H245">
        <f>'体验表-带进度条'!R239</f>
        <v>15</v>
      </c>
      <c r="I245" s="113">
        <f>转换!I239</f>
        <v>4</v>
      </c>
      <c r="J245" s="113">
        <f>IF(I245=17,1,IF(I245=9,1,IF(转换!I239&gt;0,VLOOKUP(转换!H239,道具!B:C,2,FALSE),"")))</f>
        <v>100004</v>
      </c>
      <c r="K245" s="114">
        <f>IF(转换!I239=17,ROUND(转换!J239*100/转换!$U$2,0),IF(转换!I239=9,F245,转换!J239))</f>
        <v>1</v>
      </c>
      <c r="L245" s="115"/>
      <c r="M245" s="115"/>
      <c r="N245" s="115"/>
      <c r="O245" s="113"/>
      <c r="P245" s="113"/>
      <c r="Q245" s="113"/>
      <c r="R245" s="97"/>
      <c r="S245" s="97"/>
      <c r="T245" s="97"/>
    </row>
    <row r="246" customFormat="1" spans="1:20">
      <c r="A246">
        <f>IF(C246=1,1001+COUNTIF($C$5:C245,1),2001+COUNTIF($C$5:C245,2))</f>
        <v>1200</v>
      </c>
      <c r="B246">
        <v>1</v>
      </c>
      <c r="C246" s="121">
        <v>1</v>
      </c>
      <c r="D246" s="122" t="str">
        <f>IFERROR(_xlfn.IFNA(VLOOKUP(ROUND(F246,0),道具!$B$271:$C$295,2,FALSE),""),"")</f>
        <v/>
      </c>
      <c r="E246" s="122" t="str">
        <f>IFERROR(_xlfn.IFNA(VLOOKUP(ROUND(F246,0),道具!$B$296:$C$320,2,FALSE),""),"")</f>
        <v/>
      </c>
      <c r="F246" t="str">
        <f>IF(转换!B240&gt;0,转换!B240*100,"")</f>
        <v/>
      </c>
      <c r="G246">
        <v>24</v>
      </c>
      <c r="H246">
        <f>'体验表-带进度条'!R240</f>
        <v>0</v>
      </c>
      <c r="I246" s="113">
        <f>转换!I240</f>
        <v>3</v>
      </c>
      <c r="J246" s="113">
        <f>IF(I246=17,1,IF(I246=9,1,IF(转换!I240&gt;0,VLOOKUP(转换!H240,道具!B:C,2,FALSE),"")))</f>
        <v>192001</v>
      </c>
      <c r="K246" s="114">
        <f>IF(转换!I240=17,ROUND(转换!J240*100/转换!$U$2,0),IF(转换!I240=9,F246,转换!J240))</f>
        <v>20</v>
      </c>
      <c r="L246" s="115"/>
      <c r="M246" s="115"/>
      <c r="N246" s="115"/>
      <c r="O246" s="113"/>
      <c r="P246" s="113"/>
      <c r="Q246" s="113"/>
      <c r="R246" s="97"/>
      <c r="S246" s="97"/>
      <c r="T246" s="97"/>
    </row>
    <row r="247" customFormat="1" spans="1:20">
      <c r="A247">
        <f>IF(C247=1,1001+COUNTIF($C$5:C246,1),2001+COUNTIF($C$5:C246,2))</f>
        <v>1201</v>
      </c>
      <c r="B247">
        <v>1</v>
      </c>
      <c r="C247" s="121">
        <v>1</v>
      </c>
      <c r="D247" s="122" t="str">
        <f>IFERROR(_xlfn.IFNA(VLOOKUP(ROUND(F247,0),道具!$B$271:$C$295,2,FALSE),""),"")</f>
        <v/>
      </c>
      <c r="E247" s="122" t="str">
        <f>IFERROR(_xlfn.IFNA(VLOOKUP(ROUND(F247,0),道具!$B$296:$C$320,2,FALSE),""),"")</f>
        <v/>
      </c>
      <c r="F247" t="str">
        <f>IF(转换!B241&gt;0,转换!B241*100,"")</f>
        <v/>
      </c>
      <c r="G247">
        <v>25</v>
      </c>
      <c r="H247">
        <f>'体验表-带进度条'!R241</f>
        <v>0</v>
      </c>
      <c r="I247" s="113">
        <f>转换!I241</f>
        <v>3</v>
      </c>
      <c r="J247" s="113">
        <f>IF(I247=17,1,IF(I247=9,1,IF(转换!I241&gt;0,VLOOKUP(转换!H241,道具!B:C,2,FALSE),"")))</f>
        <v>171002</v>
      </c>
      <c r="K247" s="114">
        <f>IF(转换!I241=17,ROUND(转换!J241*100/转换!$U$2,0),IF(转换!I241=9,F247,转换!J241))</f>
        <v>1</v>
      </c>
      <c r="L247" s="115"/>
      <c r="M247" s="115"/>
      <c r="N247" s="115"/>
      <c r="O247" s="113"/>
      <c r="P247" s="113"/>
      <c r="Q247" s="113"/>
      <c r="R247" s="97"/>
      <c r="S247" s="97"/>
      <c r="T247" s="97"/>
    </row>
    <row r="248" customFormat="1" spans="1:20">
      <c r="A248">
        <f>IF(C248=1,1001+COUNTIF($C$5:C247,1),2001+COUNTIF($C$5:C247,2))</f>
        <v>1202</v>
      </c>
      <c r="B248">
        <v>1</v>
      </c>
      <c r="C248" s="121">
        <v>1</v>
      </c>
      <c r="D248" s="122" t="str">
        <f>IFERROR(_xlfn.IFNA(VLOOKUP(ROUND(F248,0),道具!$B$271:$C$295,2,FALSE),""),"")</f>
        <v/>
      </c>
      <c r="E248" s="122" t="str">
        <f>IFERROR(_xlfn.IFNA(VLOOKUP(ROUND(F248,0),道具!$B$296:$C$320,2,FALSE),""),"")</f>
        <v/>
      </c>
      <c r="F248" t="str">
        <f>IF(转换!B243&gt;0,转换!B243*100,"")</f>
        <v/>
      </c>
      <c r="G248">
        <v>27</v>
      </c>
      <c r="H248">
        <f>'体验表-带进度条'!R243</f>
        <v>0</v>
      </c>
      <c r="I248" s="113">
        <f>转换!I243</f>
        <v>3</v>
      </c>
      <c r="J248" s="113">
        <f>IF(I248=17,1,IF(I248=9,1,IF(转换!I243&gt;0,VLOOKUP(转换!H243,道具!B:C,2,FALSE),"")))</f>
        <v>160001</v>
      </c>
      <c r="K248" s="114">
        <f>IF(转换!I243=17,ROUND(转换!J243*100/转换!$U$2,0),IF(转换!I243=9,F248,转换!J243))</f>
        <v>5</v>
      </c>
      <c r="L248" s="115"/>
      <c r="M248" s="115"/>
      <c r="N248" s="115"/>
      <c r="O248" s="113"/>
      <c r="P248" s="113"/>
      <c r="Q248" s="113"/>
      <c r="R248" s="97"/>
      <c r="S248" s="97"/>
      <c r="T248" s="97"/>
    </row>
    <row r="249" customFormat="1" spans="1:20">
      <c r="A249">
        <f>IF(C249=1,1001+COUNTIF($C$5:C248,1),2001+COUNTIF($C$5:C248,2))</f>
        <v>1203</v>
      </c>
      <c r="B249">
        <v>1</v>
      </c>
      <c r="C249" s="121">
        <v>1</v>
      </c>
      <c r="D249" s="122" t="str">
        <f>IFERROR(_xlfn.IFNA(VLOOKUP(ROUND(F249,0),道具!$B$271:$C$295,2,FALSE),""),"")</f>
        <v/>
      </c>
      <c r="E249" s="122" t="str">
        <f>IFERROR(_xlfn.IFNA(VLOOKUP(ROUND(F249,0),道具!$B$296:$C$320,2,FALSE),""),"")</f>
        <v/>
      </c>
      <c r="F249" t="str">
        <f>IF(转换!B244&gt;0,转换!B244*100,"")</f>
        <v/>
      </c>
      <c r="G249">
        <v>28</v>
      </c>
      <c r="H249">
        <f>'体验表-带进度条'!R244</f>
        <v>0</v>
      </c>
      <c r="I249" s="113">
        <f>转换!I244</f>
        <v>17</v>
      </c>
      <c r="J249" s="113">
        <f>IF(I249=17,1,IF(I249=9,1,IF(转换!I244&gt;0,VLOOKUP(转换!H244,道具!B:C,2,FALSE),"")))</f>
        <v>1</v>
      </c>
      <c r="K249" s="114">
        <f>IF(转换!I244=17,ROUND(转换!J244*100/转换!$U$2,0),IF(转换!I244=9,F249,转换!J244))</f>
        <v>100</v>
      </c>
      <c r="L249" s="115"/>
      <c r="M249" s="115"/>
      <c r="N249" s="115"/>
      <c r="O249" s="113"/>
      <c r="P249" s="113"/>
      <c r="Q249" s="113"/>
      <c r="R249" s="97"/>
      <c r="S249" s="97"/>
      <c r="T249" s="97"/>
    </row>
    <row r="250" customFormat="1" spans="1:20">
      <c r="A250">
        <f>IF(C250=1,1001+COUNTIF($C$5:C249,1),2001+COUNTIF($C$5:C249,2))</f>
        <v>1204</v>
      </c>
      <c r="B250">
        <v>1</v>
      </c>
      <c r="C250" s="121">
        <v>1</v>
      </c>
      <c r="D250" s="122" t="str">
        <f>IFERROR(_xlfn.IFNA(VLOOKUP(ROUND(F250,0),道具!$B$271:$C$295,2,FALSE),""),"")</f>
        <v/>
      </c>
      <c r="E250" s="122" t="str">
        <f>IFERROR(_xlfn.IFNA(VLOOKUP(ROUND(F250,0),道具!$B$296:$C$320,2,FALSE),""),"")</f>
        <v/>
      </c>
      <c r="F250" t="str">
        <f>IF(转换!B245&gt;0,转换!B245*100,"")</f>
        <v/>
      </c>
      <c r="G250">
        <v>29</v>
      </c>
      <c r="H250">
        <f>'体验表-带进度条'!R245</f>
        <v>25</v>
      </c>
      <c r="I250" s="113">
        <f>转换!I245</f>
        <v>4</v>
      </c>
      <c r="J250" s="113">
        <f>IF(I250=17,1,IF(I250=9,1,IF(转换!I245&gt;0,VLOOKUP(转换!H245,道具!B:C,2,FALSE),"")))</f>
        <v>100005</v>
      </c>
      <c r="K250" s="114">
        <f>IF(转换!I245=17,ROUND(转换!J245*100/转换!$U$2,0),IF(转换!I245=9,F250,转换!J245))</f>
        <v>1</v>
      </c>
      <c r="L250" s="115"/>
      <c r="M250" s="115"/>
      <c r="N250" s="115"/>
      <c r="O250" s="113"/>
      <c r="P250" s="113"/>
      <c r="Q250" s="113"/>
      <c r="R250" s="97"/>
      <c r="S250" s="97"/>
      <c r="T250" s="97"/>
    </row>
    <row r="251" customFormat="1" spans="1:20">
      <c r="A251">
        <f>IF(C251=1,1001+COUNTIF($C$5:C250,1),2001+COUNTIF($C$5:C250,2))</f>
        <v>1205</v>
      </c>
      <c r="B251">
        <v>1</v>
      </c>
      <c r="C251" s="121">
        <v>1</v>
      </c>
      <c r="D251" s="122" t="str">
        <f>IFERROR(_xlfn.IFNA(VLOOKUP(ROUND(F251,0),道具!$B$271:$C$295,2,FALSE),""),"")</f>
        <v/>
      </c>
      <c r="E251" s="122" t="str">
        <f>IFERROR(_xlfn.IFNA(VLOOKUP(ROUND(F251,0),道具!$B$296:$C$320,2,FALSE),""),"")</f>
        <v/>
      </c>
      <c r="F251" t="str">
        <f>IF(转换!B246&gt;0,转换!B246*100,"")</f>
        <v/>
      </c>
      <c r="G251">
        <v>30</v>
      </c>
      <c r="H251">
        <f>'体验表-带进度条'!R246</f>
        <v>0</v>
      </c>
      <c r="I251" s="113">
        <f>转换!I246</f>
        <v>3</v>
      </c>
      <c r="J251" s="113">
        <f>IF(I251=17,1,IF(I251=9,1,IF(转换!I246&gt;0,VLOOKUP(转换!H246,道具!B:C,2,FALSE),"")))</f>
        <v>192001</v>
      </c>
      <c r="K251" s="114">
        <f>IF(转换!I246=17,ROUND(转换!J246*100/转换!$U$2,0),IF(转换!I246=9,F251,转换!J246))</f>
        <v>25</v>
      </c>
      <c r="L251" s="115"/>
      <c r="M251" s="115"/>
      <c r="N251" s="115"/>
      <c r="O251" s="113"/>
      <c r="P251" s="113"/>
      <c r="Q251" s="113"/>
      <c r="R251" s="97"/>
      <c r="S251" s="97"/>
      <c r="T251" s="97"/>
    </row>
    <row r="252" customFormat="1" spans="1:20">
      <c r="A252">
        <f>IF(C252=1,1001+COUNTIF($C$5:C251,1),2001+COUNTIF($C$5:C251,2))</f>
        <v>1206</v>
      </c>
      <c r="B252">
        <v>1</v>
      </c>
      <c r="C252" s="121">
        <v>1</v>
      </c>
      <c r="D252" s="122" t="str">
        <f>IFERROR(_xlfn.IFNA(VLOOKUP(ROUND(F252,0),道具!$B$271:$C$295,2,FALSE),""),"")</f>
        <v/>
      </c>
      <c r="E252" s="122" t="str">
        <f>IFERROR(_xlfn.IFNA(VLOOKUP(ROUND(F252,0),道具!$B$296:$C$320,2,FALSE),""),"")</f>
        <v/>
      </c>
      <c r="F252" t="str">
        <f>IF(转换!B247&gt;0,转换!B247*100,"")</f>
        <v/>
      </c>
      <c r="G252">
        <v>31</v>
      </c>
      <c r="H252">
        <f>'体验表-带进度条'!R247</f>
        <v>0</v>
      </c>
      <c r="I252" s="113">
        <f>转换!I247</f>
        <v>3</v>
      </c>
      <c r="J252" s="113">
        <f>IF(I252=17,1,IF(I252=9,1,IF(转换!I247&gt;0,VLOOKUP(转换!H247,道具!B:C,2,FALSE),"")))</f>
        <v>171001</v>
      </c>
      <c r="K252" s="114">
        <f>IF(转换!I247=17,ROUND(转换!J247*100/转换!$U$2,0),IF(转换!I247=9,F252,转换!J247))</f>
        <v>1</v>
      </c>
      <c r="L252" s="115"/>
      <c r="M252" s="115"/>
      <c r="N252" s="115"/>
      <c r="O252" s="113"/>
      <c r="P252" s="113"/>
      <c r="Q252" s="113"/>
      <c r="R252" s="97"/>
      <c r="S252" s="97"/>
      <c r="T252" s="97"/>
    </row>
    <row r="253" customFormat="1" spans="1:20">
      <c r="A253">
        <f>IF(C253=1,1001+COUNTIF($C$5:C252,1),2001+COUNTIF($C$5:C252,2))</f>
        <v>1207</v>
      </c>
      <c r="B253">
        <v>1</v>
      </c>
      <c r="C253" s="121">
        <v>1</v>
      </c>
      <c r="D253" s="122" t="str">
        <f>IFERROR(_xlfn.IFNA(VLOOKUP(ROUND(F253,0),道具!$B$271:$C$295,2,FALSE),""),"")</f>
        <v/>
      </c>
      <c r="E253" s="122" t="str">
        <f>IFERROR(_xlfn.IFNA(VLOOKUP(ROUND(F253,0),道具!$B$296:$C$320,2,FALSE),""),"")</f>
        <v/>
      </c>
      <c r="F253" t="str">
        <f>IF(转换!B249&gt;0,转换!B249*100,"")</f>
        <v/>
      </c>
      <c r="G253">
        <v>33</v>
      </c>
      <c r="H253">
        <f>'体验表-带进度条'!R249</f>
        <v>0</v>
      </c>
      <c r="I253" s="113">
        <f>转换!I249</f>
        <v>3</v>
      </c>
      <c r="J253" s="113">
        <f>IF(I253=17,1,IF(I253=9,1,IF(转换!I249&gt;0,VLOOKUP(转换!H249,道具!B:C,2,FALSE),"")))</f>
        <v>160001</v>
      </c>
      <c r="K253" s="114">
        <f>IF(转换!I249=17,ROUND(转换!J249*100/转换!$U$2,0),IF(转换!I249=9,F253,转换!J249))</f>
        <v>6</v>
      </c>
      <c r="L253" s="115"/>
      <c r="M253" s="115"/>
      <c r="N253" s="115"/>
      <c r="O253" s="113"/>
      <c r="P253" s="113"/>
      <c r="Q253" s="113"/>
      <c r="R253" s="97"/>
      <c r="S253" s="97"/>
      <c r="T253" s="97"/>
    </row>
    <row r="254" customFormat="1" spans="1:20">
      <c r="A254">
        <f>IF(C254=1,1001+COUNTIF($C$5:C253,1),2001+COUNTIF($C$5:C253,2))</f>
        <v>1208</v>
      </c>
      <c r="B254">
        <v>1</v>
      </c>
      <c r="C254" s="121">
        <v>1</v>
      </c>
      <c r="D254" s="122" t="str">
        <f>IFERROR(_xlfn.IFNA(VLOOKUP(ROUND(F254,0),道具!$B$271:$C$295,2,FALSE),""),"")</f>
        <v/>
      </c>
      <c r="E254" s="122" t="str">
        <f>IFERROR(_xlfn.IFNA(VLOOKUP(ROUND(F254,0),道具!$B$296:$C$320,2,FALSE),""),"")</f>
        <v/>
      </c>
      <c r="F254" t="str">
        <f>IF(转换!B250&gt;0,转换!B250*100,"")</f>
        <v/>
      </c>
      <c r="G254">
        <v>34</v>
      </c>
      <c r="H254">
        <f>'体验表-带进度条'!R250</f>
        <v>0</v>
      </c>
      <c r="I254" s="113">
        <f>转换!I250</f>
        <v>17</v>
      </c>
      <c r="J254" s="113">
        <f>IF(I254=17,1,IF(I254=9,1,IF(转换!I250&gt;0,VLOOKUP(转换!H250,道具!B:C,2,FALSE),"")))</f>
        <v>1</v>
      </c>
      <c r="K254" s="114">
        <f>IF(转换!I250=17,ROUND(转换!J250*100/转换!$U$2,0),IF(转换!I250=9,F254,转换!J250))</f>
        <v>241</v>
      </c>
      <c r="L254" s="115"/>
      <c r="M254" s="115"/>
      <c r="N254" s="115"/>
      <c r="O254" s="113"/>
      <c r="P254" s="113"/>
      <c r="Q254" s="113"/>
      <c r="R254" s="97"/>
      <c r="S254" s="97"/>
      <c r="T254" s="97"/>
    </row>
    <row r="255" customFormat="1" spans="1:20">
      <c r="A255">
        <f>IF(C255=1,1001+COUNTIF($C$5:C254,1),2001+COUNTIF($C$5:C254,2))</f>
        <v>1209</v>
      </c>
      <c r="B255">
        <v>1</v>
      </c>
      <c r="C255" s="121">
        <v>1</v>
      </c>
      <c r="D255" s="122" t="str">
        <f>IFERROR(_xlfn.IFNA(VLOOKUP(ROUND(F255,0),道具!$B$271:$C$295,2,FALSE),""),"")</f>
        <v/>
      </c>
      <c r="E255" s="122" t="str">
        <f>IFERROR(_xlfn.IFNA(VLOOKUP(ROUND(F255,0),道具!$B$296:$C$320,2,FALSE),""),"")</f>
        <v/>
      </c>
      <c r="F255" t="str">
        <f>IF(转换!B251&gt;0,转换!B251*100,"")</f>
        <v/>
      </c>
      <c r="G255">
        <v>35</v>
      </c>
      <c r="H255">
        <f>'体验表-带进度条'!R251</f>
        <v>15</v>
      </c>
      <c r="I255" s="113">
        <f>转换!I251</f>
        <v>4</v>
      </c>
      <c r="J255" s="113">
        <f>IF(I255=17,1,IF(I255=9,1,IF(转换!I251&gt;0,VLOOKUP(转换!H251,道具!B:C,2,FALSE),"")))</f>
        <v>100005</v>
      </c>
      <c r="K255" s="114">
        <f>IF(转换!I251=17,ROUND(转换!J251*100/转换!$U$2,0),IF(转换!I251=9,F255,转换!J251))</f>
        <v>1</v>
      </c>
      <c r="L255" s="115"/>
      <c r="M255" s="115"/>
      <c r="N255" s="115"/>
      <c r="O255" s="113"/>
      <c r="P255" s="113"/>
      <c r="Q255" s="113"/>
      <c r="R255" s="97"/>
      <c r="S255" s="97"/>
      <c r="T255" s="97"/>
    </row>
    <row r="256" customFormat="1" spans="1:20">
      <c r="A256">
        <f>IF(C256=1,1001+COUNTIF($C$5:C255,1),2001+COUNTIF($C$5:C255,2))</f>
        <v>1210</v>
      </c>
      <c r="B256">
        <v>1</v>
      </c>
      <c r="C256" s="121">
        <v>1</v>
      </c>
      <c r="D256" s="122" t="str">
        <f>IFERROR(_xlfn.IFNA(VLOOKUP(ROUND(F256,0),道具!$B$271:$C$295,2,FALSE),""),"")</f>
        <v/>
      </c>
      <c r="E256" s="122" t="str">
        <f>IFERROR(_xlfn.IFNA(VLOOKUP(ROUND(F256,0),道具!$B$296:$C$320,2,FALSE),""),"")</f>
        <v/>
      </c>
      <c r="F256" t="str">
        <f>IF(转换!B252&gt;0,转换!B252*100,"")</f>
        <v/>
      </c>
      <c r="G256">
        <v>36</v>
      </c>
      <c r="H256">
        <f>'体验表-带进度条'!R252</f>
        <v>0</v>
      </c>
      <c r="I256" s="113">
        <f>转换!I252</f>
        <v>3</v>
      </c>
      <c r="J256" s="113">
        <f>IF(I256=17,1,IF(I256=9,1,IF(转换!I252&gt;0,VLOOKUP(转换!H252,道具!B:C,2,FALSE),"")))</f>
        <v>192001</v>
      </c>
      <c r="K256" s="114">
        <f>IF(转换!I252=17,ROUND(转换!J252*100/转换!$U$2,0),IF(转换!I252=9,F256,转换!J252))</f>
        <v>30</v>
      </c>
      <c r="L256" s="115"/>
      <c r="M256" s="115"/>
      <c r="N256" s="115"/>
      <c r="O256" s="113"/>
      <c r="P256" s="113"/>
      <c r="Q256" s="113"/>
      <c r="R256" s="97"/>
      <c r="S256" s="97"/>
      <c r="T256" s="97"/>
    </row>
    <row r="257" customFormat="1" spans="1:20">
      <c r="A257">
        <f>IF(C257=1,1001+COUNTIF($C$5:C256,1),2001+COUNTIF($C$5:C256,2))</f>
        <v>1211</v>
      </c>
      <c r="B257">
        <v>1</v>
      </c>
      <c r="C257" s="121">
        <v>1</v>
      </c>
      <c r="D257" s="122" t="str">
        <f>IFERROR(_xlfn.IFNA(VLOOKUP(ROUND(F257,0),道具!$B$271:$C$295,2,FALSE),""),"")</f>
        <v/>
      </c>
      <c r="E257" s="122" t="str">
        <f>IFERROR(_xlfn.IFNA(VLOOKUP(ROUND(F257,0),道具!$B$296:$C$320,2,FALSE),""),"")</f>
        <v/>
      </c>
      <c r="F257" t="str">
        <f>IF(转换!B253&gt;0,转换!B253*100,"")</f>
        <v/>
      </c>
      <c r="G257">
        <v>37</v>
      </c>
      <c r="H257">
        <f>'体验表-带进度条'!R253</f>
        <v>0</v>
      </c>
      <c r="I257" s="113">
        <f>转换!I253</f>
        <v>3</v>
      </c>
      <c r="J257" s="113">
        <f>IF(I257=17,1,IF(I257=9,1,IF(转换!I253&gt;0,VLOOKUP(转换!H253,道具!B:C,2,FALSE),"")))</f>
        <v>171002</v>
      </c>
      <c r="K257" s="114">
        <f>IF(转换!I253=17,ROUND(转换!J253*100/转换!$U$2,0),IF(转换!I253=9,F257,转换!J253))</f>
        <v>1</v>
      </c>
      <c r="L257" s="115"/>
      <c r="M257" s="115"/>
      <c r="N257" s="115"/>
      <c r="O257" s="113"/>
      <c r="P257" s="113"/>
      <c r="Q257" s="113"/>
      <c r="R257" s="97"/>
      <c r="S257" s="97"/>
      <c r="T257" s="97"/>
    </row>
    <row r="258" customFormat="1" spans="1:20">
      <c r="A258">
        <f>IF(C258=1,1001+COUNTIF($C$5:C257,1),2001+COUNTIF($C$5:C257,2))</f>
        <v>1212</v>
      </c>
      <c r="B258">
        <v>1</v>
      </c>
      <c r="C258" s="121">
        <v>1</v>
      </c>
      <c r="D258" s="122" t="str">
        <f>IFERROR(_xlfn.IFNA(VLOOKUP(ROUND(F258,0),道具!$B$271:$C$295,2,FALSE),""),"")</f>
        <v/>
      </c>
      <c r="E258" s="122" t="str">
        <f>IFERROR(_xlfn.IFNA(VLOOKUP(ROUND(F258,0),道具!$B$296:$C$320,2,FALSE),""),"")</f>
        <v/>
      </c>
      <c r="F258" t="str">
        <f>IF(转换!B255&gt;0,转换!B255*100,"")</f>
        <v/>
      </c>
      <c r="G258">
        <v>39</v>
      </c>
      <c r="H258">
        <f>'体验表-带进度条'!R255</f>
        <v>0</v>
      </c>
      <c r="I258" s="113">
        <f>转换!I255</f>
        <v>3</v>
      </c>
      <c r="J258" s="113">
        <f>IF(I258=17,1,IF(I258=9,1,IF(转换!I255&gt;0,VLOOKUP(转换!H255,道具!B:C,2,FALSE),"")))</f>
        <v>160001</v>
      </c>
      <c r="K258" s="114">
        <f>IF(转换!I255=17,ROUND(转换!J255*100/转换!$U$2,0),IF(转换!I255=9,F258,转换!J255))</f>
        <v>7</v>
      </c>
      <c r="L258" s="115"/>
      <c r="M258" s="115"/>
      <c r="N258" s="115"/>
      <c r="O258" s="113"/>
      <c r="P258" s="113"/>
      <c r="Q258" s="113"/>
      <c r="R258" s="97"/>
      <c r="S258" s="97"/>
      <c r="T258" s="97"/>
    </row>
    <row r="259" customFormat="1" spans="1:20">
      <c r="A259">
        <f>IF(C259=1,1001+COUNTIF($C$5:C258,1),2001+COUNTIF($C$5:C258,2))</f>
        <v>1213</v>
      </c>
      <c r="B259">
        <v>1</v>
      </c>
      <c r="C259" s="121">
        <v>1</v>
      </c>
      <c r="D259" s="122" t="str">
        <f>IFERROR(_xlfn.IFNA(VLOOKUP(ROUND(F259,0),道具!$B$271:$C$295,2,FALSE),""),"")</f>
        <v/>
      </c>
      <c r="E259" s="122" t="str">
        <f>IFERROR(_xlfn.IFNA(VLOOKUP(ROUND(F259,0),道具!$B$296:$C$320,2,FALSE),""),"")</f>
        <v/>
      </c>
      <c r="F259" t="str">
        <f>IF(转换!B256&gt;0,转换!B256*100,"")</f>
        <v/>
      </c>
      <c r="G259">
        <v>40</v>
      </c>
      <c r="H259">
        <f>'体验表-带进度条'!R256</f>
        <v>0</v>
      </c>
      <c r="I259" s="113">
        <f>转换!I256</f>
        <v>17</v>
      </c>
      <c r="J259" s="113">
        <f>IF(I259=17,1,IF(I259=9,1,IF(转换!I256&gt;0,VLOOKUP(转换!H256,道具!B:C,2,FALSE),"")))</f>
        <v>1</v>
      </c>
      <c r="K259" s="114">
        <f>IF(转换!I256=17,ROUND(转换!J256*100/转换!$U$2,0),IF(转换!I256=9,F259,转换!J256))</f>
        <v>241</v>
      </c>
      <c r="L259" s="115"/>
      <c r="M259" s="115"/>
      <c r="N259" s="115"/>
      <c r="O259" s="113"/>
      <c r="P259" s="113"/>
      <c r="Q259" s="113"/>
      <c r="R259" s="97"/>
      <c r="S259" s="97"/>
      <c r="T259" s="97"/>
    </row>
    <row r="260" customFormat="1" spans="1:20">
      <c r="A260">
        <f>IF(C260=1,1001+COUNTIF($C$5:C259,1),2001+COUNTIF($C$5:C259,2))</f>
        <v>1214</v>
      </c>
      <c r="B260">
        <v>1</v>
      </c>
      <c r="C260" s="121">
        <v>1</v>
      </c>
      <c r="D260" s="122" t="str">
        <f>IFERROR(_xlfn.IFNA(VLOOKUP(ROUND(F260,0),道具!$B$271:$C$295,2,FALSE),""),"")</f>
        <v/>
      </c>
      <c r="E260" s="122" t="str">
        <f>IFERROR(_xlfn.IFNA(VLOOKUP(ROUND(F260,0),道具!$B$296:$C$320,2,FALSE),""),"")</f>
        <v/>
      </c>
      <c r="F260" t="str">
        <f>IF(转换!B257&gt;0,转换!B257*100,"")</f>
        <v/>
      </c>
      <c r="G260">
        <v>41</v>
      </c>
      <c r="H260">
        <f>'体验表-带进度条'!R257</f>
        <v>50</v>
      </c>
      <c r="I260" s="113">
        <f>转换!I257</f>
        <v>4</v>
      </c>
      <c r="J260" s="113">
        <f>IF(I260=17,1,IF(I260=9,1,IF(转换!I257&gt;0,VLOOKUP(转换!H257,道具!B:C,2,FALSE),"")))</f>
        <v>100006</v>
      </c>
      <c r="K260" s="114">
        <f>IF(转换!I257=17,ROUND(转换!J257*100/转换!$U$2,0),IF(转换!I257=9,F260,转换!J257))</f>
        <v>1</v>
      </c>
      <c r="L260" s="115"/>
      <c r="M260" s="115"/>
      <c r="N260" s="115"/>
      <c r="O260" s="113"/>
      <c r="P260" s="113"/>
      <c r="Q260" s="113"/>
      <c r="R260" s="97"/>
      <c r="S260" s="97"/>
      <c r="T260" s="97"/>
    </row>
    <row r="261" customFormat="1" spans="1:20">
      <c r="A261">
        <f>IF(C261=1,1001+COUNTIF($C$5:C260,1),2001+COUNTIF($C$5:C260,2))</f>
        <v>1215</v>
      </c>
      <c r="B261">
        <v>1</v>
      </c>
      <c r="C261" s="121">
        <v>1</v>
      </c>
      <c r="D261" s="122" t="str">
        <f>IFERROR(_xlfn.IFNA(VLOOKUP(ROUND(F261,0),道具!$B$271:$C$295,2,FALSE),""),"")</f>
        <v/>
      </c>
      <c r="E261" s="122" t="str">
        <f>IFERROR(_xlfn.IFNA(VLOOKUP(ROUND(F261,0),道具!$B$296:$C$320,2,FALSE),""),"")</f>
        <v/>
      </c>
      <c r="F261" t="str">
        <f>IF(转换!B258&gt;0,转换!B258*100,"")</f>
        <v/>
      </c>
      <c r="G261">
        <v>42</v>
      </c>
      <c r="H261">
        <f>'体验表-带进度条'!R258</f>
        <v>0</v>
      </c>
      <c r="I261" s="113">
        <f>转换!I258</f>
        <v>3</v>
      </c>
      <c r="J261" s="113">
        <f>IF(I261=17,1,IF(I261=9,1,IF(转换!I258&gt;0,VLOOKUP(转换!H258,道具!B:C,2,FALSE),"")))</f>
        <v>192001</v>
      </c>
      <c r="K261" s="114">
        <f>IF(转换!I258=17,ROUND(转换!J258*100/转换!$U$2,0),IF(转换!I258=9,F261,转换!J258))</f>
        <v>35</v>
      </c>
      <c r="L261" s="115"/>
      <c r="M261" s="115"/>
      <c r="N261" s="115"/>
      <c r="O261" s="113"/>
      <c r="P261" s="113"/>
      <c r="Q261" s="113"/>
      <c r="R261" s="97"/>
      <c r="S261" s="97"/>
      <c r="T261" s="97"/>
    </row>
    <row r="262" customFormat="1" spans="1:20">
      <c r="A262">
        <f>IF(C262=1,1001+COUNTIF($C$5:C261,1),2001+COUNTIF($C$5:C261,2))</f>
        <v>1216</v>
      </c>
      <c r="B262">
        <v>1</v>
      </c>
      <c r="C262" s="121">
        <v>1</v>
      </c>
      <c r="D262" s="122" t="str">
        <f>IFERROR(_xlfn.IFNA(VLOOKUP(ROUND(F262,0),道具!$B$271:$C$295,2,FALSE),""),"")</f>
        <v/>
      </c>
      <c r="E262" s="122" t="str">
        <f>IFERROR(_xlfn.IFNA(VLOOKUP(ROUND(F262,0),道具!$B$296:$C$320,2,FALSE),""),"")</f>
        <v/>
      </c>
      <c r="F262" t="str">
        <f>IF(转换!B259&gt;0,转换!B259*100,"")</f>
        <v/>
      </c>
      <c r="G262">
        <v>43</v>
      </c>
      <c r="H262">
        <f>'体验表-带进度条'!R259</f>
        <v>0</v>
      </c>
      <c r="I262" s="113">
        <f>转换!I259</f>
        <v>3</v>
      </c>
      <c r="J262" s="113">
        <f>IF(I262=17,1,IF(I262=9,1,IF(转换!I259&gt;0,VLOOKUP(转换!H259,道具!B:C,2,FALSE),"")))</f>
        <v>171001</v>
      </c>
      <c r="K262" s="114">
        <f>IF(转换!I259=17,ROUND(转换!J259*100/转换!$U$2,0),IF(转换!I259=9,F262,转换!J259))</f>
        <v>1</v>
      </c>
      <c r="L262" s="115"/>
      <c r="M262" s="115"/>
      <c r="N262" s="115"/>
      <c r="O262" s="113"/>
      <c r="P262" s="113"/>
      <c r="Q262" s="113"/>
      <c r="R262" s="97"/>
      <c r="S262" s="97"/>
      <c r="T262" s="97"/>
    </row>
    <row r="263" customFormat="1" spans="1:20">
      <c r="A263">
        <f>IF(C263=1,1001+COUNTIF($C$5:C262,1),2001+COUNTIF($C$5:C262,2))</f>
        <v>2043</v>
      </c>
      <c r="B263">
        <v>1</v>
      </c>
      <c r="C263" s="121">
        <v>2</v>
      </c>
      <c r="D263" s="122" t="str">
        <f>IFERROR(_xlfn.IFNA(VLOOKUP(ROUND(F263,0),道具!$B$271:$C$295,2,FALSE),""),"")</f>
        <v>gp_hunt_599</v>
      </c>
      <c r="E263" s="122" t="str">
        <f>IFERROR(_xlfn.IFNA(VLOOKUP(ROUND(F263,0),道具!$B$296:$C$320,2,FALSE),""),"")</f>
        <v>iap_hunt_599</v>
      </c>
      <c r="F263">
        <f>IF(转换!B261&gt;0,转换!B261*100,"")</f>
        <v>599</v>
      </c>
      <c r="G263">
        <v>2</v>
      </c>
      <c r="H263">
        <f>'体验表-带进度条'!R261</f>
        <v>10</v>
      </c>
      <c r="I263" s="113">
        <f>转换!I261</f>
        <v>9</v>
      </c>
      <c r="J263" s="113">
        <f>IF(I263=17,1,IF(I263=9,1,IF(转换!I261&gt;0,VLOOKUP(转换!H261,道具!B:C,2,FALSE),"")))</f>
        <v>1</v>
      </c>
      <c r="K263" s="114">
        <f>IF(转换!I261=17,ROUND(转换!J261*100/转换!$U$2,0),IF(转换!I261=9,F263,转换!J261))</f>
        <v>599</v>
      </c>
      <c r="L263" s="115"/>
      <c r="M263" s="115"/>
      <c r="N263" s="115"/>
      <c r="O263" s="113"/>
      <c r="P263" s="113"/>
      <c r="Q263" s="113"/>
      <c r="R263" s="97"/>
      <c r="S263" s="97"/>
      <c r="T263" s="97"/>
    </row>
    <row r="264" customFormat="1" spans="1:20">
      <c r="A264">
        <f>IF(C264=1,1001+COUNTIF($C$5:C263,1),2001+COUNTIF($C$5:C263,2))</f>
        <v>2044</v>
      </c>
      <c r="B264">
        <v>1</v>
      </c>
      <c r="C264" s="121">
        <v>2</v>
      </c>
      <c r="D264" s="122" t="str">
        <f>IFERROR(_xlfn.IFNA(VLOOKUP(ROUND(F264,0),道具!$B$271:$C$295,2,FALSE),""),"")</f>
        <v>gp_hunt_3</v>
      </c>
      <c r="E264" s="122" t="str">
        <f>IFERROR(_xlfn.IFNA(VLOOKUP(ROUND(F264,0),道具!$B$296:$C$320,2,FALSE),""),"")</f>
        <v>iap_hunt_3</v>
      </c>
      <c r="F264">
        <f>IF(转换!B267&gt;0,转换!B267*100,"")</f>
        <v>799</v>
      </c>
      <c r="G264">
        <v>8</v>
      </c>
      <c r="H264">
        <f>'体验表-带进度条'!R267</f>
        <v>25</v>
      </c>
      <c r="I264" s="113">
        <f>转换!I267</f>
        <v>9</v>
      </c>
      <c r="J264" s="113">
        <f>IF(I264=17,1,IF(I264=9,1,IF(转换!I267&gt;0,VLOOKUP(转换!H267,道具!B:C,2,FALSE),"")))</f>
        <v>1</v>
      </c>
      <c r="K264" s="114">
        <f>IF(转换!I267=17,ROUND(转换!J267*100/转换!$U$2,0),IF(转换!I267=9,F264,转换!J267))</f>
        <v>799</v>
      </c>
      <c r="L264" s="115"/>
      <c r="M264" s="115"/>
      <c r="N264" s="115"/>
      <c r="O264" s="113"/>
      <c r="P264" s="113"/>
      <c r="Q264" s="113"/>
      <c r="R264" s="97"/>
      <c r="S264" s="97"/>
      <c r="T264" s="97"/>
    </row>
    <row r="265" customFormat="1" spans="1:20">
      <c r="A265">
        <f>IF(C265=1,1001+COUNTIF($C$5:C264,1),2001+COUNTIF($C$5:C264,2))</f>
        <v>2045</v>
      </c>
      <c r="B265">
        <v>1</v>
      </c>
      <c r="C265" s="121">
        <v>2</v>
      </c>
      <c r="D265" s="122" t="str">
        <f>IFERROR(_xlfn.IFNA(VLOOKUP(ROUND(F265,0),道具!$B$271:$C$295,2,FALSE),""),"")</f>
        <v>gp_hunt_999</v>
      </c>
      <c r="E265" s="122" t="str">
        <f>IFERROR(_xlfn.IFNA(VLOOKUP(ROUND(F265,0),道具!$B$296:$C$320,2,FALSE),""),"")</f>
        <v>iap_hunt_999</v>
      </c>
      <c r="F265">
        <f>IF(转换!B273&gt;0,转换!B273*100,"")</f>
        <v>999</v>
      </c>
      <c r="G265">
        <v>14</v>
      </c>
      <c r="H265">
        <f>'体验表-带进度条'!R273</f>
        <v>35</v>
      </c>
      <c r="I265" s="113">
        <f>转换!I273</f>
        <v>9</v>
      </c>
      <c r="J265" s="113">
        <f>IF(I265=17,1,IF(I265=9,1,IF(转换!I273&gt;0,VLOOKUP(转换!H273,道具!B:C,2,FALSE),"")))</f>
        <v>1</v>
      </c>
      <c r="K265" s="114">
        <f>IF(转换!I273=17,ROUND(转换!J273*100/转换!$U$2,0),IF(转换!I273=9,F265,转换!J273))</f>
        <v>999</v>
      </c>
      <c r="L265" s="115"/>
      <c r="M265" s="115"/>
      <c r="N265" s="115"/>
      <c r="O265" s="113"/>
      <c r="P265" s="113"/>
      <c r="Q265" s="113"/>
      <c r="R265" s="97"/>
      <c r="S265" s="97"/>
      <c r="T265" s="97"/>
    </row>
    <row r="266" customFormat="1" spans="1:20">
      <c r="A266">
        <f>IF(C266=1,1001+COUNTIF($C$5:C265,1),2001+COUNTIF($C$5:C265,2))</f>
        <v>2046</v>
      </c>
      <c r="B266">
        <v>1</v>
      </c>
      <c r="C266" s="121">
        <v>2</v>
      </c>
      <c r="D266" s="122" t="str">
        <f>IFERROR(_xlfn.IFNA(VLOOKUP(ROUND(F266,0),道具!$B$271:$C$295,2,FALSE),""),"")</f>
        <v>gp_hunt_5</v>
      </c>
      <c r="E266" s="122" t="str">
        <f>IFERROR(_xlfn.IFNA(VLOOKUP(ROUND(F266,0),道具!$B$296:$C$320,2,FALSE),""),"")</f>
        <v>iap_hunt_5</v>
      </c>
      <c r="F266">
        <f>IF(转换!B279&gt;0,转换!B279*100,"")</f>
        <v>1299</v>
      </c>
      <c r="G266">
        <v>20</v>
      </c>
      <c r="H266">
        <f>'体验表-带进度条'!R279</f>
        <v>0</v>
      </c>
      <c r="I266" s="113">
        <f>转换!I279</f>
        <v>9</v>
      </c>
      <c r="J266" s="113">
        <f>IF(I266=17,1,IF(I266=9,1,IF(转换!I279&gt;0,VLOOKUP(转换!H279,道具!B:C,2,FALSE),"")))</f>
        <v>1</v>
      </c>
      <c r="K266" s="114">
        <f>IF(转换!I279=17,ROUND(转换!J279*100/转换!$U$2,0),IF(转换!I279=9,F266,转换!J279))</f>
        <v>1299</v>
      </c>
      <c r="L266" s="115"/>
      <c r="M266" s="115"/>
      <c r="N266" s="115"/>
      <c r="O266" s="113"/>
      <c r="P266" s="113"/>
      <c r="Q266" s="113"/>
      <c r="R266" s="97"/>
      <c r="S266" s="97"/>
      <c r="T266" s="97"/>
    </row>
    <row r="267" customFormat="1" spans="1:20">
      <c r="A267">
        <f>IF(C267=1,1001+COUNTIF($C$5:C266,1),2001+COUNTIF($C$5:C266,2))</f>
        <v>2047</v>
      </c>
      <c r="B267">
        <v>1</v>
      </c>
      <c r="C267" s="121">
        <v>2</v>
      </c>
      <c r="D267" s="122" t="str">
        <f>IFERROR(_xlfn.IFNA(VLOOKUP(ROUND(F267,0),道具!$B$271:$C$295,2,FALSE),""),"")</f>
        <v>gp_hunt_6</v>
      </c>
      <c r="E267" s="122" t="str">
        <f>IFERROR(_xlfn.IFNA(VLOOKUP(ROUND(F267,0),道具!$B$296:$C$320,2,FALSE),""),"")</f>
        <v>iap_hunt_6</v>
      </c>
      <c r="F267">
        <f>IF(转换!B285&gt;0,转换!B285*100,"")</f>
        <v>1499</v>
      </c>
      <c r="G267">
        <v>26</v>
      </c>
      <c r="H267">
        <f>'体验表-带进度条'!R285</f>
        <v>10</v>
      </c>
      <c r="I267" s="113">
        <f>转换!I285</f>
        <v>9</v>
      </c>
      <c r="J267" s="113">
        <f>IF(I267=17,1,IF(I267=9,1,IF(转换!I285&gt;0,VLOOKUP(转换!H285,道具!B:C,2,FALSE),"")))</f>
        <v>1</v>
      </c>
      <c r="K267" s="114">
        <f>IF(转换!I285=17,ROUND(转换!J285*100/转换!$U$2,0),IF(转换!I285=9,F267,转换!J285))</f>
        <v>1499</v>
      </c>
      <c r="L267" s="115"/>
      <c r="M267" s="115"/>
      <c r="N267" s="115"/>
      <c r="O267" s="113"/>
      <c r="P267" s="113"/>
      <c r="Q267" s="113"/>
      <c r="R267" s="97"/>
      <c r="S267" s="97"/>
      <c r="T267" s="97"/>
    </row>
    <row r="268" customFormat="1" spans="1:20">
      <c r="A268">
        <f>IF(C268=1,1001+COUNTIF($C$5:C267,1),2001+COUNTIF($C$5:C267,2))</f>
        <v>2048</v>
      </c>
      <c r="B268">
        <v>1</v>
      </c>
      <c r="C268" s="121">
        <v>2</v>
      </c>
      <c r="D268" s="122" t="str">
        <f>IFERROR(_xlfn.IFNA(VLOOKUP(ROUND(F268,0),道具!$B$271:$C$295,2,FALSE),""),"")</f>
        <v>gp_hunt_1799</v>
      </c>
      <c r="E268" s="122" t="str">
        <f>IFERROR(_xlfn.IFNA(VLOOKUP(ROUND(F268,0),道具!$B$296:$C$320,2,FALSE),""),"")</f>
        <v>iap_hunt_1799</v>
      </c>
      <c r="F268">
        <f>IF(转换!B291&gt;0,转换!B291*100,"")</f>
        <v>1799</v>
      </c>
      <c r="G268">
        <v>32</v>
      </c>
      <c r="H268">
        <f>'体验表-带进度条'!R291</f>
        <v>25</v>
      </c>
      <c r="I268" s="113">
        <f>转换!I291</f>
        <v>9</v>
      </c>
      <c r="J268" s="113">
        <f>IF(I268=17,1,IF(I268=9,1,IF(转换!I291&gt;0,VLOOKUP(转换!H291,道具!B:C,2,FALSE),"")))</f>
        <v>1</v>
      </c>
      <c r="K268" s="114">
        <f>IF(转换!I291=17,ROUND(转换!J291*100/转换!$U$2,0),IF(转换!I291=9,F268,转换!J291))</f>
        <v>1799</v>
      </c>
      <c r="L268" s="115"/>
      <c r="M268" s="115"/>
      <c r="N268" s="115"/>
      <c r="O268" s="113"/>
      <c r="P268" s="113"/>
      <c r="Q268" s="113"/>
      <c r="R268" s="97"/>
      <c r="S268" s="97"/>
      <c r="T268" s="97"/>
    </row>
    <row r="269" customFormat="1" spans="1:20">
      <c r="A269">
        <f>IF(C269=1,1001+COUNTIF($C$5:C268,1),2001+COUNTIF($C$5:C268,2))</f>
        <v>2049</v>
      </c>
      <c r="B269">
        <v>1</v>
      </c>
      <c r="C269" s="121">
        <v>2</v>
      </c>
      <c r="D269" s="122" t="str">
        <f>IFERROR(_xlfn.IFNA(VLOOKUP(ROUND(F269,0),道具!$B$271:$C$295,2,FALSE),""),"")</f>
        <v>gp_hunt_1999</v>
      </c>
      <c r="E269" s="122" t="str">
        <f>IFERROR(_xlfn.IFNA(VLOOKUP(ROUND(F269,0),道具!$B$296:$C$320,2,FALSE),""),"")</f>
        <v>iap_hunt_1999</v>
      </c>
      <c r="F269">
        <f>IF(转换!B297&gt;0,转换!B297*100,"")</f>
        <v>1999</v>
      </c>
      <c r="G269">
        <v>38</v>
      </c>
      <c r="H269">
        <f>'体验表-带进度条'!R297</f>
        <v>35</v>
      </c>
      <c r="I269" s="113">
        <f>转换!I297</f>
        <v>9</v>
      </c>
      <c r="J269" s="113">
        <f>IF(I269=17,1,IF(I269=9,1,IF(转换!I297&gt;0,VLOOKUP(转换!H297,道具!B:C,2,FALSE),"")))</f>
        <v>1</v>
      </c>
      <c r="K269" s="114">
        <f>IF(转换!I297=17,ROUND(转换!J297*100/转换!$U$2,0),IF(转换!I297=9,F269,转换!J297))</f>
        <v>1999</v>
      </c>
      <c r="L269" s="115"/>
      <c r="M269" s="115"/>
      <c r="N269" s="115"/>
      <c r="O269" s="113"/>
      <c r="P269" s="113"/>
      <c r="Q269" s="113"/>
      <c r="R269" s="97"/>
      <c r="S269" s="97"/>
      <c r="T269" s="97"/>
    </row>
    <row r="270" customFormat="1" spans="1:20">
      <c r="A270">
        <f>IF(C270=1,1001+COUNTIF($C$5:C269,1),2001+COUNTIF($C$5:C269,2))</f>
        <v>1217</v>
      </c>
      <c r="B270">
        <v>1</v>
      </c>
      <c r="C270" s="121">
        <v>1</v>
      </c>
      <c r="D270" s="122" t="str">
        <f>IFERROR(_xlfn.IFNA(VLOOKUP(ROUND(F270,0),道具!$B$271:$C$295,2,FALSE),""),"")</f>
        <v/>
      </c>
      <c r="E270" s="122" t="str">
        <f>IFERROR(_xlfn.IFNA(VLOOKUP(ROUND(F270,0),道具!$B$296:$C$320,2,FALSE),""),"")</f>
        <v/>
      </c>
      <c r="F270" t="str">
        <f>IF(转换!B260&gt;0,转换!B260*100,"")</f>
        <v/>
      </c>
      <c r="G270">
        <v>1</v>
      </c>
      <c r="H270">
        <f>'体验表-带进度条'!R260</f>
        <v>20</v>
      </c>
      <c r="I270" s="113">
        <f>转换!I260</f>
        <v>1</v>
      </c>
      <c r="J270" s="113">
        <f>IF(I270=17,1,IF(I270=9,1,IF(转换!I260&gt;0,VLOOKUP(转换!H260,道具!B:C,2,FALSE),"")))</f>
        <v>1</v>
      </c>
      <c r="K270" s="114">
        <f>IF(转换!I260=17,ROUND(转换!J260*100/转换!$U$2,0),IF(转换!I260=9,F270,转换!J260))</f>
        <v>5000</v>
      </c>
      <c r="L270" s="115"/>
      <c r="M270" s="115"/>
      <c r="N270" s="115"/>
      <c r="O270" s="113"/>
      <c r="P270" s="113"/>
      <c r="Q270" s="113"/>
      <c r="R270" s="97"/>
      <c r="S270" s="97"/>
      <c r="T270" s="97"/>
    </row>
    <row r="271" customFormat="1" spans="1:20">
      <c r="A271">
        <f>IF(C271=1,1001+COUNTIF($C$5:C270,1),2001+COUNTIF($C$5:C270,2))</f>
        <v>1218</v>
      </c>
      <c r="B271">
        <v>1</v>
      </c>
      <c r="C271" s="121">
        <v>1</v>
      </c>
      <c r="D271" s="122" t="str">
        <f>IFERROR(_xlfn.IFNA(VLOOKUP(ROUND(F271,0),道具!$B$271:$C$295,2,FALSE),""),"")</f>
        <v/>
      </c>
      <c r="E271" s="122" t="str">
        <f>IFERROR(_xlfn.IFNA(VLOOKUP(ROUND(F271,0),道具!$B$296:$C$320,2,FALSE),""),"")</f>
        <v/>
      </c>
      <c r="F271" t="str">
        <f>IF(转换!B262&gt;0,转换!B262*100,"")</f>
        <v/>
      </c>
      <c r="G271">
        <v>3</v>
      </c>
      <c r="H271">
        <f>'体验表-带进度条'!R262</f>
        <v>0</v>
      </c>
      <c r="I271" s="113">
        <f>转换!I262</f>
        <v>3</v>
      </c>
      <c r="J271" s="113">
        <f>IF(I271=17,1,IF(I271=9,1,IF(转换!I262&gt;0,VLOOKUP(转换!H262,道具!B:C,2,FALSE),"")))</f>
        <v>160001</v>
      </c>
      <c r="K271" s="114">
        <f>IF(转换!I262=17,ROUND(转换!J262*100/转换!$U$2,0),IF(转换!I262=9,F271,转换!J262))</f>
        <v>1</v>
      </c>
      <c r="L271" s="115"/>
      <c r="M271" s="115"/>
      <c r="N271" s="115"/>
      <c r="O271" s="113"/>
      <c r="P271" s="113"/>
      <c r="Q271" s="113"/>
      <c r="R271" s="97"/>
      <c r="S271" s="97"/>
      <c r="T271" s="97"/>
    </row>
    <row r="272" customFormat="1" spans="1:20">
      <c r="A272">
        <f>IF(C272=1,1001+COUNTIF($C$5:C271,1),2001+COUNTIF($C$5:C271,2))</f>
        <v>1219</v>
      </c>
      <c r="B272">
        <v>1</v>
      </c>
      <c r="C272" s="121">
        <v>1</v>
      </c>
      <c r="D272" s="122" t="str">
        <f>IFERROR(_xlfn.IFNA(VLOOKUP(ROUND(F272,0),道具!$B$271:$C$295,2,FALSE),""),"")</f>
        <v/>
      </c>
      <c r="E272" s="122" t="str">
        <f>IFERROR(_xlfn.IFNA(VLOOKUP(ROUND(F272,0),道具!$B$296:$C$320,2,FALSE),""),"")</f>
        <v/>
      </c>
      <c r="F272" t="str">
        <f>IF(转换!B263&gt;0,转换!B263*100,"")</f>
        <v/>
      </c>
      <c r="G272">
        <v>4</v>
      </c>
      <c r="H272">
        <f>'体验表-带进度条'!R263</f>
        <v>0</v>
      </c>
      <c r="I272" s="113">
        <f>转换!I263</f>
        <v>17</v>
      </c>
      <c r="J272" s="113">
        <f>IF(I272=17,1,IF(I272=9,1,IF(转换!I263&gt;0,VLOOKUP(转换!H263,道具!B:C,2,FALSE),"")))</f>
        <v>1</v>
      </c>
      <c r="K272" s="114">
        <f>IF(转换!I263=17,ROUND(转换!J263*100/转换!$U$2,0),IF(转换!I263=9,F272,转换!J263))</f>
        <v>201</v>
      </c>
      <c r="L272" s="115"/>
      <c r="M272" s="115"/>
      <c r="N272" s="115"/>
      <c r="O272" s="113"/>
      <c r="P272" s="113"/>
      <c r="Q272" s="113"/>
      <c r="R272" s="97"/>
      <c r="S272" s="97"/>
      <c r="T272" s="97"/>
    </row>
    <row r="273" customFormat="1" spans="1:20">
      <c r="A273">
        <f>IF(C273=1,1001+COUNTIF($C$5:C272,1),2001+COUNTIF($C$5:C272,2))</f>
        <v>1220</v>
      </c>
      <c r="B273">
        <v>1</v>
      </c>
      <c r="C273" s="121">
        <v>1</v>
      </c>
      <c r="D273" s="122" t="str">
        <f>IFERROR(_xlfn.IFNA(VLOOKUP(ROUND(F273,0),道具!$B$271:$C$295,2,FALSE),""),"")</f>
        <v/>
      </c>
      <c r="E273" s="122" t="str">
        <f>IFERROR(_xlfn.IFNA(VLOOKUP(ROUND(F273,0),道具!$B$296:$C$320,2,FALSE),""),"")</f>
        <v/>
      </c>
      <c r="F273" t="str">
        <f>IF(转换!B264&gt;0,转换!B264*100,"")</f>
        <v/>
      </c>
      <c r="G273">
        <v>5</v>
      </c>
      <c r="H273">
        <f>'体验表-带进度条'!R264</f>
        <v>10</v>
      </c>
      <c r="I273" s="113">
        <f>转换!I264</f>
        <v>4</v>
      </c>
      <c r="J273" s="113">
        <f>IF(I273=17,1,IF(I273=9,1,IF(转换!I264&gt;0,VLOOKUP(转换!H264,道具!B:C,2,FALSE),"")))</f>
        <v>100002</v>
      </c>
      <c r="K273" s="114">
        <f>IF(转换!I264=17,ROUND(转换!J264*100/转换!$U$2,0),IF(转换!I264=9,F273,转换!J264))</f>
        <v>1</v>
      </c>
      <c r="L273" s="115"/>
      <c r="M273" s="115"/>
      <c r="N273" s="115"/>
      <c r="O273" s="113"/>
      <c r="P273" s="113"/>
      <c r="Q273" s="113"/>
      <c r="R273" s="97"/>
      <c r="S273" s="97"/>
      <c r="T273" s="97"/>
    </row>
    <row r="274" customFormat="1" spans="1:20">
      <c r="A274">
        <f>IF(C274=1,1001+COUNTIF($C$5:C273,1),2001+COUNTIF($C$5:C273,2))</f>
        <v>1221</v>
      </c>
      <c r="B274">
        <v>1</v>
      </c>
      <c r="C274" s="121">
        <v>1</v>
      </c>
      <c r="D274" s="122" t="str">
        <f>IFERROR(_xlfn.IFNA(VLOOKUP(ROUND(F274,0),道具!$B$271:$C$295,2,FALSE),""),"")</f>
        <v/>
      </c>
      <c r="E274" s="122" t="str">
        <f>IFERROR(_xlfn.IFNA(VLOOKUP(ROUND(F274,0),道具!$B$296:$C$320,2,FALSE),""),"")</f>
        <v/>
      </c>
      <c r="F274" t="str">
        <f>IF(转换!B265&gt;0,转换!B265*100,"")</f>
        <v/>
      </c>
      <c r="G274">
        <v>6</v>
      </c>
      <c r="H274">
        <f>'体验表-带进度条'!R265</f>
        <v>0</v>
      </c>
      <c r="I274" s="113">
        <f>转换!I265</f>
        <v>3</v>
      </c>
      <c r="J274" s="113">
        <f>IF(I274=17,1,IF(I274=9,1,IF(转换!I265&gt;0,VLOOKUP(转换!H265,道具!B:C,2,FALSE),"")))</f>
        <v>192001</v>
      </c>
      <c r="K274" s="114">
        <f>IF(转换!I265=17,ROUND(转换!J265*100/转换!$U$2,0),IF(转换!I265=9,F274,转换!J265))</f>
        <v>5</v>
      </c>
      <c r="L274" s="115"/>
      <c r="M274" s="115"/>
      <c r="N274" s="115"/>
      <c r="O274" s="113"/>
      <c r="P274" s="113"/>
      <c r="Q274" s="113"/>
      <c r="R274" s="97"/>
      <c r="S274" s="97"/>
      <c r="T274" s="97"/>
    </row>
    <row r="275" customFormat="1" spans="1:20">
      <c r="A275">
        <f>IF(C275=1,1001+COUNTIF($C$5:C274,1),2001+COUNTIF($C$5:C274,2))</f>
        <v>1222</v>
      </c>
      <c r="B275">
        <v>1</v>
      </c>
      <c r="C275" s="121">
        <v>1</v>
      </c>
      <c r="D275" s="122" t="str">
        <f>IFERROR(_xlfn.IFNA(VLOOKUP(ROUND(F275,0),道具!$B$271:$C$295,2,FALSE),""),"")</f>
        <v/>
      </c>
      <c r="E275" s="122" t="str">
        <f>IFERROR(_xlfn.IFNA(VLOOKUP(ROUND(F275,0),道具!$B$296:$C$320,2,FALSE),""),"")</f>
        <v/>
      </c>
      <c r="F275" t="str">
        <f>IF(转换!B266&gt;0,转换!B266*100,"")</f>
        <v/>
      </c>
      <c r="G275">
        <v>7</v>
      </c>
      <c r="H275">
        <f>'体验表-带进度条'!R266</f>
        <v>0</v>
      </c>
      <c r="I275" s="113">
        <f>转换!I266</f>
        <v>3</v>
      </c>
      <c r="J275" s="113">
        <f>IF(I275=17,1,IF(I275=9,1,IF(转换!I266&gt;0,VLOOKUP(转换!H266,道具!B:C,2,FALSE),"")))</f>
        <v>171001</v>
      </c>
      <c r="K275" s="114">
        <f>IF(转换!I266=17,ROUND(转换!J266*100/转换!$U$2,0),IF(转换!I266=9,F275,转换!J266))</f>
        <v>1</v>
      </c>
      <c r="L275" s="115"/>
      <c r="M275" s="115"/>
      <c r="N275" s="115"/>
      <c r="O275" s="113"/>
      <c r="P275" s="113"/>
      <c r="Q275" s="113"/>
      <c r="R275" s="97"/>
      <c r="S275" s="97"/>
      <c r="T275" s="97"/>
    </row>
    <row r="276" customFormat="1" spans="1:20">
      <c r="A276">
        <f>IF(C276=1,1001+COUNTIF($C$5:C275,1),2001+COUNTIF($C$5:C275,2))</f>
        <v>1223</v>
      </c>
      <c r="B276">
        <v>1</v>
      </c>
      <c r="C276" s="121">
        <v>1</v>
      </c>
      <c r="D276" s="122" t="str">
        <f>IFERROR(_xlfn.IFNA(VLOOKUP(ROUND(F276,0),道具!$B$271:$C$295,2,FALSE),""),"")</f>
        <v/>
      </c>
      <c r="E276" s="122" t="str">
        <f>IFERROR(_xlfn.IFNA(VLOOKUP(ROUND(F276,0),道具!$B$296:$C$320,2,FALSE),""),"")</f>
        <v/>
      </c>
      <c r="F276" t="str">
        <f>IF(转换!B268&gt;0,转换!B268*100,"")</f>
        <v/>
      </c>
      <c r="G276">
        <v>9</v>
      </c>
      <c r="H276">
        <f>'体验表-带进度条'!R268</f>
        <v>0</v>
      </c>
      <c r="I276" s="113">
        <f>转换!I268</f>
        <v>3</v>
      </c>
      <c r="J276" s="113">
        <f>IF(I276=17,1,IF(I276=9,1,IF(转换!I268&gt;0,VLOOKUP(转换!H268,道具!B:C,2,FALSE),"")))</f>
        <v>160001</v>
      </c>
      <c r="K276" s="114">
        <f>IF(转换!I268=17,ROUND(转换!J268*100/转换!$U$2,0),IF(转换!I268=9,F276,转换!J268))</f>
        <v>2</v>
      </c>
      <c r="L276" s="115"/>
      <c r="M276" s="115"/>
      <c r="N276" s="115"/>
      <c r="O276" s="113"/>
      <c r="P276" s="113"/>
      <c r="Q276" s="113"/>
      <c r="R276" s="97"/>
      <c r="S276" s="97"/>
      <c r="T276" s="97"/>
    </row>
    <row r="277" customFormat="1" spans="1:20">
      <c r="A277">
        <f>IF(C277=1,1001+COUNTIF($C$5:C276,1),2001+COUNTIF($C$5:C276,2))</f>
        <v>1224</v>
      </c>
      <c r="B277">
        <v>1</v>
      </c>
      <c r="C277" s="121">
        <v>1</v>
      </c>
      <c r="D277" s="122" t="str">
        <f>IFERROR(_xlfn.IFNA(VLOOKUP(ROUND(F277,0),道具!$B$271:$C$295,2,FALSE),""),"")</f>
        <v/>
      </c>
      <c r="E277" s="122" t="str">
        <f>IFERROR(_xlfn.IFNA(VLOOKUP(ROUND(F277,0),道具!$B$296:$C$320,2,FALSE),""),"")</f>
        <v/>
      </c>
      <c r="F277" t="str">
        <f>IF(转换!B269&gt;0,转换!B269*100,"")</f>
        <v/>
      </c>
      <c r="G277">
        <v>10</v>
      </c>
      <c r="H277">
        <f>'体验表-带进度条'!R269</f>
        <v>0</v>
      </c>
      <c r="I277" s="113">
        <f>转换!I269</f>
        <v>17</v>
      </c>
      <c r="J277" s="113">
        <f>IF(I277=17,1,IF(I277=9,1,IF(转换!I269&gt;0,VLOOKUP(转换!H269,道具!B:C,2,FALSE),"")))</f>
        <v>1</v>
      </c>
      <c r="K277" s="114">
        <f>IF(转换!I269=17,ROUND(转换!J269*100/转换!$U$2,0),IF(转换!I269=9,F277,转换!J269))</f>
        <v>40</v>
      </c>
      <c r="L277" s="115"/>
      <c r="M277" s="115"/>
      <c r="N277" s="115"/>
      <c r="O277" s="113"/>
      <c r="P277" s="113"/>
      <c r="Q277" s="113"/>
      <c r="R277" s="97"/>
      <c r="S277" s="97"/>
      <c r="T277" s="97"/>
    </row>
    <row r="278" customFormat="1" spans="1:20">
      <c r="A278">
        <f>IF(C278=1,1001+COUNTIF($C$5:C277,1),2001+COUNTIF($C$5:C277,2))</f>
        <v>1225</v>
      </c>
      <c r="B278">
        <v>1</v>
      </c>
      <c r="C278" s="121">
        <v>1</v>
      </c>
      <c r="D278" s="122" t="str">
        <f>IFERROR(_xlfn.IFNA(VLOOKUP(ROUND(F278,0),道具!$B$271:$C$295,2,FALSE),""),"")</f>
        <v/>
      </c>
      <c r="E278" s="122" t="str">
        <f>IFERROR(_xlfn.IFNA(VLOOKUP(ROUND(F278,0),道具!$B$296:$C$320,2,FALSE),""),"")</f>
        <v/>
      </c>
      <c r="F278" t="str">
        <f>IF(转换!B270&gt;0,转换!B270*100,"")</f>
        <v/>
      </c>
      <c r="G278">
        <v>11</v>
      </c>
      <c r="H278">
        <f>'体验表-带进度条'!R270</f>
        <v>0</v>
      </c>
      <c r="I278" s="113">
        <f>转换!I270</f>
        <v>4</v>
      </c>
      <c r="J278" s="113">
        <f>IF(I278=17,1,IF(I278=9,1,IF(转换!I270&gt;0,VLOOKUP(转换!H270,道具!B:C,2,FALSE),"")))</f>
        <v>100003</v>
      </c>
      <c r="K278" s="114">
        <f>IF(转换!I270=17,ROUND(转换!J270*100/转换!$U$2,0),IF(转换!I270=9,F278,转换!J270))</f>
        <v>1</v>
      </c>
      <c r="L278" s="115"/>
      <c r="M278" s="115"/>
      <c r="N278" s="115"/>
      <c r="O278" s="113"/>
      <c r="P278" s="113"/>
      <c r="Q278" s="113"/>
      <c r="R278" s="97"/>
      <c r="S278" s="97"/>
      <c r="T278" s="97"/>
    </row>
    <row r="279" customFormat="1" spans="1:20">
      <c r="A279">
        <f>IF(C279=1,1001+COUNTIF($C$5:C278,1),2001+COUNTIF($C$5:C278,2))</f>
        <v>1226</v>
      </c>
      <c r="B279">
        <v>1</v>
      </c>
      <c r="C279" s="121">
        <v>1</v>
      </c>
      <c r="D279" s="122" t="str">
        <f>IFERROR(_xlfn.IFNA(VLOOKUP(ROUND(F279,0),道具!$B$271:$C$295,2,FALSE),""),"")</f>
        <v/>
      </c>
      <c r="E279" s="122" t="str">
        <f>IFERROR(_xlfn.IFNA(VLOOKUP(ROUND(F279,0),道具!$B$296:$C$320,2,FALSE),""),"")</f>
        <v/>
      </c>
      <c r="F279" t="str">
        <f>IF(转换!B271&gt;0,转换!B271*100,"")</f>
        <v/>
      </c>
      <c r="G279">
        <v>12</v>
      </c>
      <c r="H279">
        <f>'体验表-带进度条'!R271</f>
        <v>0</v>
      </c>
      <c r="I279" s="113">
        <f>转换!I271</f>
        <v>3</v>
      </c>
      <c r="J279" s="113">
        <f>IF(I279=17,1,IF(I279=9,1,IF(转换!I271&gt;0,VLOOKUP(转换!H271,道具!B:C,2,FALSE),"")))</f>
        <v>192001</v>
      </c>
      <c r="K279" s="114">
        <f>IF(转换!I271=17,ROUND(转换!J271*100/转换!$U$2,0),IF(转换!I271=9,F279,转换!J271))</f>
        <v>10</v>
      </c>
      <c r="L279" s="115"/>
      <c r="M279" s="115"/>
      <c r="N279" s="115"/>
      <c r="O279" s="113"/>
      <c r="P279" s="113"/>
      <c r="Q279" s="113"/>
      <c r="R279" s="97"/>
      <c r="S279" s="97"/>
      <c r="T279" s="97"/>
    </row>
    <row r="280" customFormat="1" spans="1:20">
      <c r="A280">
        <f>IF(C280=1,1001+COUNTIF($C$5:C279,1),2001+COUNTIF($C$5:C279,2))</f>
        <v>1227</v>
      </c>
      <c r="B280">
        <v>1</v>
      </c>
      <c r="C280" s="121">
        <v>1</v>
      </c>
      <c r="D280" s="122" t="str">
        <f>IFERROR(_xlfn.IFNA(VLOOKUP(ROUND(F280,0),道具!$B$271:$C$295,2,FALSE),""),"")</f>
        <v/>
      </c>
      <c r="E280" s="122" t="str">
        <f>IFERROR(_xlfn.IFNA(VLOOKUP(ROUND(F280,0),道具!$B$296:$C$320,2,FALSE),""),"")</f>
        <v/>
      </c>
      <c r="F280" t="str">
        <f>IF(转换!B272&gt;0,转换!B272*100,"")</f>
        <v/>
      </c>
      <c r="G280">
        <v>13</v>
      </c>
      <c r="H280">
        <f>'体验表-带进度条'!R272</f>
        <v>0</v>
      </c>
      <c r="I280" s="113">
        <f>转换!I272</f>
        <v>3</v>
      </c>
      <c r="J280" s="113">
        <f>IF(I280=17,1,IF(I280=9,1,IF(转换!I272&gt;0,VLOOKUP(转换!H272,道具!B:C,2,FALSE),"")))</f>
        <v>171002</v>
      </c>
      <c r="K280" s="114">
        <f>IF(转换!I272=17,ROUND(转换!J272*100/转换!$U$2,0),IF(转换!I272=9,F280,转换!J272))</f>
        <v>1</v>
      </c>
      <c r="L280" s="115"/>
      <c r="M280" s="115"/>
      <c r="N280" s="115"/>
      <c r="O280" s="113"/>
      <c r="P280" s="113"/>
      <c r="Q280" s="113"/>
      <c r="R280" s="97"/>
      <c r="S280" s="97"/>
      <c r="T280" s="97"/>
    </row>
    <row r="281" customFormat="1" spans="1:20">
      <c r="A281">
        <f>IF(C281=1,1001+COUNTIF($C$5:C280,1),2001+COUNTIF($C$5:C280,2))</f>
        <v>1228</v>
      </c>
      <c r="B281">
        <v>1</v>
      </c>
      <c r="C281" s="121">
        <v>1</v>
      </c>
      <c r="D281" s="122" t="str">
        <f>IFERROR(_xlfn.IFNA(VLOOKUP(ROUND(F281,0),道具!$B$271:$C$295,2,FALSE),""),"")</f>
        <v/>
      </c>
      <c r="E281" s="122" t="str">
        <f>IFERROR(_xlfn.IFNA(VLOOKUP(ROUND(F281,0),道具!$B$296:$C$320,2,FALSE),""),"")</f>
        <v/>
      </c>
      <c r="F281" t="str">
        <f>IF(转换!B274&gt;0,转换!B274*100,"")</f>
        <v/>
      </c>
      <c r="G281">
        <v>15</v>
      </c>
      <c r="H281">
        <f>'体验表-带进度条'!R274</f>
        <v>0</v>
      </c>
      <c r="I281" s="113">
        <f>转换!I274</f>
        <v>3</v>
      </c>
      <c r="J281" s="113">
        <f>IF(I281=17,1,IF(I281=9,1,IF(转换!I274&gt;0,VLOOKUP(转换!H274,道具!B:C,2,FALSE),"")))</f>
        <v>160001</v>
      </c>
      <c r="K281" s="114">
        <f>IF(转换!I274=17,ROUND(转换!J274*100/转换!$U$2,0),IF(转换!I274=9,F281,转换!J274))</f>
        <v>3</v>
      </c>
      <c r="L281" s="115"/>
      <c r="M281" s="115"/>
      <c r="N281" s="115"/>
      <c r="O281" s="113"/>
      <c r="P281" s="113"/>
      <c r="Q281" s="113"/>
      <c r="R281" s="97"/>
      <c r="S281" s="97"/>
      <c r="T281" s="97"/>
    </row>
    <row r="282" customFormat="1" spans="1:20">
      <c r="A282">
        <f>IF(C282=1,1001+COUNTIF($C$5:C281,1),2001+COUNTIF($C$5:C281,2))</f>
        <v>1229</v>
      </c>
      <c r="B282">
        <v>1</v>
      </c>
      <c r="C282" s="121">
        <v>1</v>
      </c>
      <c r="D282" s="122" t="str">
        <f>IFERROR(_xlfn.IFNA(VLOOKUP(ROUND(F282,0),道具!$B$271:$C$295,2,FALSE),""),"")</f>
        <v/>
      </c>
      <c r="E282" s="122" t="str">
        <f>IFERROR(_xlfn.IFNA(VLOOKUP(ROUND(F282,0),道具!$B$296:$C$320,2,FALSE),""),"")</f>
        <v/>
      </c>
      <c r="F282" t="str">
        <f>IF(转换!B275&gt;0,转换!B275*100,"")</f>
        <v/>
      </c>
      <c r="G282">
        <v>16</v>
      </c>
      <c r="H282">
        <f>'体验表-带进度条'!R275</f>
        <v>0</v>
      </c>
      <c r="I282" s="113">
        <f>转换!I275</f>
        <v>17</v>
      </c>
      <c r="J282" s="113">
        <f>IF(I282=17,1,IF(I282=9,1,IF(转换!I275&gt;0,VLOOKUP(转换!H275,道具!B:C,2,FALSE),"")))</f>
        <v>1</v>
      </c>
      <c r="K282" s="114">
        <f>IF(转换!I275=17,ROUND(转换!J275*100/转换!$U$2,0),IF(转换!I275=9,F282,转换!J275))</f>
        <v>201</v>
      </c>
      <c r="L282" s="115"/>
      <c r="M282" s="115"/>
      <c r="N282" s="115"/>
      <c r="O282" s="113"/>
      <c r="P282" s="113"/>
      <c r="Q282" s="113"/>
      <c r="R282" s="97"/>
      <c r="S282" s="97"/>
      <c r="T282" s="97"/>
    </row>
    <row r="283" customFormat="1" spans="1:20">
      <c r="A283">
        <f>IF(C283=1,1001+COUNTIF($C$5:C282,1),2001+COUNTIF($C$5:C282,2))</f>
        <v>1230</v>
      </c>
      <c r="B283">
        <v>1</v>
      </c>
      <c r="C283" s="121">
        <v>1</v>
      </c>
      <c r="D283" s="122" t="str">
        <f>IFERROR(_xlfn.IFNA(VLOOKUP(ROUND(F283,0),道具!$B$271:$C$295,2,FALSE),""),"")</f>
        <v/>
      </c>
      <c r="E283" s="122" t="str">
        <f>IFERROR(_xlfn.IFNA(VLOOKUP(ROUND(F283,0),道具!$B$296:$C$320,2,FALSE),""),"")</f>
        <v/>
      </c>
      <c r="F283" t="str">
        <f>IF(转换!B276&gt;0,转换!B276*100,"")</f>
        <v/>
      </c>
      <c r="G283">
        <v>17</v>
      </c>
      <c r="H283">
        <f>'体验表-带进度条'!R276</f>
        <v>25</v>
      </c>
      <c r="I283" s="113">
        <f>转换!I276</f>
        <v>4</v>
      </c>
      <c r="J283" s="113">
        <f>IF(I283=17,1,IF(I283=9,1,IF(转换!I276&gt;0,VLOOKUP(转换!H276,道具!B:C,2,FALSE),"")))</f>
        <v>100004</v>
      </c>
      <c r="K283" s="114">
        <f>IF(转换!I276=17,ROUND(转换!J276*100/转换!$U$2,0),IF(转换!I276=9,F283,转换!J276))</f>
        <v>1</v>
      </c>
      <c r="L283" s="115"/>
      <c r="M283" s="115"/>
      <c r="N283" s="115"/>
      <c r="O283" s="113"/>
      <c r="P283" s="113"/>
      <c r="Q283" s="113"/>
      <c r="R283" s="97"/>
      <c r="S283" s="97"/>
      <c r="T283" s="97"/>
    </row>
    <row r="284" customFormat="1" spans="1:20">
      <c r="A284">
        <f>IF(C284=1,1001+COUNTIF($C$5:C283,1),2001+COUNTIF($C$5:C283,2))</f>
        <v>1231</v>
      </c>
      <c r="B284">
        <v>1</v>
      </c>
      <c r="C284" s="121">
        <v>1</v>
      </c>
      <c r="D284" s="122" t="str">
        <f>IFERROR(_xlfn.IFNA(VLOOKUP(ROUND(F284,0),道具!$B$271:$C$295,2,FALSE),""),"")</f>
        <v/>
      </c>
      <c r="E284" s="122" t="str">
        <f>IFERROR(_xlfn.IFNA(VLOOKUP(ROUND(F284,0),道具!$B$296:$C$320,2,FALSE),""),"")</f>
        <v/>
      </c>
      <c r="F284" t="str">
        <f>IF(转换!B277&gt;0,转换!B277*100,"")</f>
        <v/>
      </c>
      <c r="G284">
        <v>18</v>
      </c>
      <c r="H284">
        <f>'体验表-带进度条'!R277</f>
        <v>0</v>
      </c>
      <c r="I284" s="113">
        <f>转换!I277</f>
        <v>3</v>
      </c>
      <c r="J284" s="113">
        <f>IF(I284=17,1,IF(I284=9,1,IF(转换!I277&gt;0,VLOOKUP(转换!H277,道具!B:C,2,FALSE),"")))</f>
        <v>192001</v>
      </c>
      <c r="K284" s="114">
        <f>IF(转换!I277=17,ROUND(转换!J277*100/转换!$U$2,0),IF(转换!I277=9,F284,转换!J277))</f>
        <v>15</v>
      </c>
      <c r="L284" s="115"/>
      <c r="M284" s="115"/>
      <c r="N284" s="115"/>
      <c r="O284" s="113"/>
      <c r="P284" s="113"/>
      <c r="Q284" s="113"/>
      <c r="R284" s="97"/>
      <c r="S284" s="97"/>
      <c r="T284" s="97"/>
    </row>
    <row r="285" customFormat="1" ht="18" customHeight="1" spans="1:20">
      <c r="A285">
        <f>IF(C285=1,1001+COUNTIF($C$5:C284,1),2001+COUNTIF($C$5:C284,2))</f>
        <v>1232</v>
      </c>
      <c r="B285">
        <v>1</v>
      </c>
      <c r="C285" s="121">
        <v>1</v>
      </c>
      <c r="D285" s="122" t="str">
        <f>IFERROR(_xlfn.IFNA(VLOOKUP(ROUND(F285,0),道具!$B$271:$C$295,2,FALSE),""),"")</f>
        <v/>
      </c>
      <c r="E285" s="122" t="str">
        <f>IFERROR(_xlfn.IFNA(VLOOKUP(ROUND(F285,0),道具!$B$296:$C$320,2,FALSE),""),"")</f>
        <v/>
      </c>
      <c r="F285" t="str">
        <f>IF(转换!B278&gt;0,转换!B278*100,"")</f>
        <v/>
      </c>
      <c r="G285">
        <v>19</v>
      </c>
      <c r="H285">
        <f>'体验表-带进度条'!R278</f>
        <v>0</v>
      </c>
      <c r="I285" s="113">
        <f>转换!I278</f>
        <v>3</v>
      </c>
      <c r="J285" s="113">
        <f>IF(I285=17,1,IF(I285=9,1,IF(转换!I278&gt;0,VLOOKUP(转换!H278,道具!B:C,2,FALSE),"")))</f>
        <v>171001</v>
      </c>
      <c r="K285" s="114">
        <f>IF(转换!I278=17,ROUND(转换!J278*100/转换!$U$2,0),IF(转换!I278=9,F285,转换!J278))</f>
        <v>1</v>
      </c>
      <c r="L285" s="115"/>
      <c r="M285" s="115"/>
      <c r="N285" s="115"/>
      <c r="O285" s="113"/>
      <c r="P285" s="113"/>
      <c r="Q285" s="113"/>
      <c r="R285" s="97"/>
      <c r="S285" s="97"/>
      <c r="T285" s="97"/>
    </row>
    <row r="286" customFormat="1" spans="1:20">
      <c r="A286">
        <f>IF(C286=1,1001+COUNTIF($C$5:C285,1),2001+COUNTIF($C$5:C285,2))</f>
        <v>1233</v>
      </c>
      <c r="B286">
        <v>1</v>
      </c>
      <c r="C286" s="121">
        <v>1</v>
      </c>
      <c r="D286" s="122" t="str">
        <f>IFERROR(_xlfn.IFNA(VLOOKUP(ROUND(F286,0),道具!$B$271:$C$295,2,FALSE),""),"")</f>
        <v/>
      </c>
      <c r="E286" s="122" t="str">
        <f>IFERROR(_xlfn.IFNA(VLOOKUP(ROUND(F286,0),道具!$B$296:$C$320,2,FALSE),""),"")</f>
        <v/>
      </c>
      <c r="F286" t="str">
        <f>IF(转换!B280&gt;0,转换!B280*100,"")</f>
        <v/>
      </c>
      <c r="G286">
        <v>21</v>
      </c>
      <c r="H286">
        <f>'体验表-带进度条'!R280</f>
        <v>0</v>
      </c>
      <c r="I286" s="113">
        <f>转换!I280</f>
        <v>3</v>
      </c>
      <c r="J286" s="113">
        <f>IF(I286=17,1,IF(I286=9,1,IF(转换!I280&gt;0,VLOOKUP(转换!H280,道具!B:C,2,FALSE),"")))</f>
        <v>160001</v>
      </c>
      <c r="K286" s="114">
        <f>IF(转换!I280=17,ROUND(转换!J280*100/转换!$U$2,0),IF(转换!I280=9,F286,转换!J280))</f>
        <v>4</v>
      </c>
      <c r="L286" s="115"/>
      <c r="M286" s="115"/>
      <c r="N286" s="115"/>
      <c r="O286" s="113"/>
      <c r="P286" s="113"/>
      <c r="Q286" s="113"/>
      <c r="R286" s="97"/>
      <c r="S286" s="97"/>
      <c r="T286" s="97"/>
    </row>
    <row r="287" customFormat="1" spans="1:20">
      <c r="A287">
        <f>IF(C287=1,1001+COUNTIF($C$5:C286,1),2001+COUNTIF($C$5:C286,2))</f>
        <v>1234</v>
      </c>
      <c r="B287">
        <v>1</v>
      </c>
      <c r="C287" s="121">
        <v>1</v>
      </c>
      <c r="D287" s="122" t="str">
        <f>IFERROR(_xlfn.IFNA(VLOOKUP(ROUND(F287,0),道具!$B$271:$C$295,2,FALSE),""),"")</f>
        <v/>
      </c>
      <c r="E287" s="122" t="str">
        <f>IFERROR(_xlfn.IFNA(VLOOKUP(ROUND(F287,0),道具!$B$296:$C$320,2,FALSE),""),"")</f>
        <v/>
      </c>
      <c r="F287" t="str">
        <f>IF(转换!B281&gt;0,转换!B281*100,"")</f>
        <v/>
      </c>
      <c r="G287">
        <v>22</v>
      </c>
      <c r="H287">
        <f>'体验表-带进度条'!R281</f>
        <v>0</v>
      </c>
      <c r="I287" s="113">
        <f>转换!I281</f>
        <v>17</v>
      </c>
      <c r="J287" s="113">
        <f>IF(I287=17,1,IF(I287=9,1,IF(转换!I281&gt;0,VLOOKUP(转换!H281,道具!B:C,2,FALSE),"")))</f>
        <v>1</v>
      </c>
      <c r="K287" s="114">
        <f>IF(转换!I281=17,ROUND(转换!J281*100/转换!$U$2,0),IF(转换!I281=9,F287,转换!J281))</f>
        <v>161</v>
      </c>
      <c r="L287" s="115"/>
      <c r="M287" s="115"/>
      <c r="N287" s="115"/>
      <c r="O287" s="113"/>
      <c r="P287" s="113"/>
      <c r="Q287" s="113"/>
      <c r="R287" s="97"/>
      <c r="S287" s="97"/>
      <c r="T287" s="97"/>
    </row>
    <row r="288" customFormat="1" spans="1:20">
      <c r="A288">
        <f>IF(C288=1,1001+COUNTIF($C$5:C287,1),2001+COUNTIF($C$5:C287,2))</f>
        <v>1235</v>
      </c>
      <c r="B288">
        <v>1</v>
      </c>
      <c r="C288" s="121">
        <v>1</v>
      </c>
      <c r="D288" s="122" t="str">
        <f>IFERROR(_xlfn.IFNA(VLOOKUP(ROUND(F288,0),道具!$B$271:$C$295,2,FALSE),""),"")</f>
        <v/>
      </c>
      <c r="E288" s="122" t="str">
        <f>IFERROR(_xlfn.IFNA(VLOOKUP(ROUND(F288,0),道具!$B$296:$C$320,2,FALSE),""),"")</f>
        <v/>
      </c>
      <c r="F288" t="str">
        <f>IF(转换!B282&gt;0,转换!B282*100,"")</f>
        <v/>
      </c>
      <c r="G288">
        <v>23</v>
      </c>
      <c r="H288">
        <f>'体验表-带进度条'!R282</f>
        <v>15</v>
      </c>
      <c r="I288" s="113">
        <f>转换!I282</f>
        <v>4</v>
      </c>
      <c r="J288" s="113">
        <f>IF(I288=17,1,IF(I288=9,1,IF(转换!I282&gt;0,VLOOKUP(转换!H282,道具!B:C,2,FALSE),"")))</f>
        <v>100004</v>
      </c>
      <c r="K288" s="114">
        <f>IF(转换!I282=17,ROUND(转换!J282*100/转换!$U$2,0),IF(转换!I282=9,F288,转换!J282))</f>
        <v>1</v>
      </c>
      <c r="L288" s="115"/>
      <c r="M288" s="115"/>
      <c r="N288" s="115"/>
      <c r="O288" s="113"/>
      <c r="P288" s="113"/>
      <c r="Q288" s="113"/>
      <c r="R288" s="97"/>
      <c r="S288" s="97"/>
      <c r="T288" s="97"/>
    </row>
    <row r="289" customFormat="1" spans="1:20">
      <c r="A289">
        <f>IF(C289=1,1001+COUNTIF($C$5:C288,1),2001+COUNTIF($C$5:C288,2))</f>
        <v>1236</v>
      </c>
      <c r="B289">
        <v>1</v>
      </c>
      <c r="C289" s="121">
        <v>1</v>
      </c>
      <c r="D289" s="122" t="str">
        <f>IFERROR(_xlfn.IFNA(VLOOKUP(ROUND(F289,0),道具!$B$271:$C$295,2,FALSE),""),"")</f>
        <v/>
      </c>
      <c r="E289" s="122" t="str">
        <f>IFERROR(_xlfn.IFNA(VLOOKUP(ROUND(F289,0),道具!$B$296:$C$320,2,FALSE),""),"")</f>
        <v/>
      </c>
      <c r="F289" t="str">
        <f>IF(转换!B283&gt;0,转换!B283*100,"")</f>
        <v/>
      </c>
      <c r="G289">
        <v>24</v>
      </c>
      <c r="H289">
        <f>'体验表-带进度条'!R283</f>
        <v>0</v>
      </c>
      <c r="I289" s="113">
        <f>转换!I283</f>
        <v>3</v>
      </c>
      <c r="J289" s="113">
        <f>IF(I289=17,1,IF(I289=9,1,IF(转换!I283&gt;0,VLOOKUP(转换!H283,道具!B:C,2,FALSE),"")))</f>
        <v>192001</v>
      </c>
      <c r="K289" s="114">
        <f>IF(转换!I283=17,ROUND(转换!J283*100/转换!$U$2,0),IF(转换!I283=9,F289,转换!J283))</f>
        <v>20</v>
      </c>
      <c r="L289" s="115"/>
      <c r="M289" s="115"/>
      <c r="N289" s="115"/>
      <c r="O289" s="113"/>
      <c r="P289" s="113"/>
      <c r="Q289" s="113"/>
      <c r="R289" s="97"/>
      <c r="S289" s="97"/>
      <c r="T289" s="97"/>
    </row>
    <row r="290" customFormat="1" spans="1:20">
      <c r="A290">
        <f>IF(C290=1,1001+COUNTIF($C$5:C289,1),2001+COUNTIF($C$5:C289,2))</f>
        <v>1237</v>
      </c>
      <c r="B290">
        <v>1</v>
      </c>
      <c r="C290" s="121">
        <v>1</v>
      </c>
      <c r="D290" s="122" t="str">
        <f>IFERROR(_xlfn.IFNA(VLOOKUP(ROUND(F290,0),道具!$B$271:$C$295,2,FALSE),""),"")</f>
        <v/>
      </c>
      <c r="E290" s="122" t="str">
        <f>IFERROR(_xlfn.IFNA(VLOOKUP(ROUND(F290,0),道具!$B$296:$C$320,2,FALSE),""),"")</f>
        <v/>
      </c>
      <c r="F290" t="str">
        <f>IF(转换!B284&gt;0,转换!B284*100,"")</f>
        <v/>
      </c>
      <c r="G290">
        <v>25</v>
      </c>
      <c r="H290">
        <f>'体验表-带进度条'!R284</f>
        <v>0</v>
      </c>
      <c r="I290" s="113">
        <f>转换!I284</f>
        <v>3</v>
      </c>
      <c r="J290" s="113">
        <f>IF(I290=17,1,IF(I290=9,1,IF(转换!I284&gt;0,VLOOKUP(转换!H284,道具!B:C,2,FALSE),"")))</f>
        <v>171002</v>
      </c>
      <c r="K290" s="114">
        <f>IF(转换!I284=17,ROUND(转换!J284*100/转换!$U$2,0),IF(转换!I284=9,F290,转换!J284))</f>
        <v>1</v>
      </c>
      <c r="L290" s="115"/>
      <c r="M290" s="115"/>
      <c r="N290" s="115"/>
      <c r="O290" s="113"/>
      <c r="P290" s="113"/>
      <c r="Q290" s="113"/>
      <c r="R290" s="97"/>
      <c r="S290" s="97"/>
      <c r="T290" s="97"/>
    </row>
    <row r="291" customFormat="1" spans="1:20">
      <c r="A291">
        <f>IF(C291=1,1001+COUNTIF($C$5:C290,1),2001+COUNTIF($C$5:C290,2))</f>
        <v>1238</v>
      </c>
      <c r="B291">
        <v>1</v>
      </c>
      <c r="C291" s="121">
        <v>1</v>
      </c>
      <c r="D291" s="122" t="str">
        <f>IFERROR(_xlfn.IFNA(VLOOKUP(ROUND(F291,0),道具!$B$271:$C$295,2,FALSE),""),"")</f>
        <v/>
      </c>
      <c r="E291" s="122" t="str">
        <f>IFERROR(_xlfn.IFNA(VLOOKUP(ROUND(F291,0),道具!$B$296:$C$320,2,FALSE),""),"")</f>
        <v/>
      </c>
      <c r="F291" t="str">
        <f>IF(转换!B286&gt;0,转换!B286*100,"")</f>
        <v/>
      </c>
      <c r="G291">
        <v>27</v>
      </c>
      <c r="H291">
        <f>'体验表-带进度条'!R286</f>
        <v>0</v>
      </c>
      <c r="I291" s="113">
        <f>转换!I286</f>
        <v>3</v>
      </c>
      <c r="J291" s="113">
        <f>IF(I291=17,1,IF(I291=9,1,IF(转换!I286&gt;0,VLOOKUP(转换!H286,道具!B:C,2,FALSE),"")))</f>
        <v>160001</v>
      </c>
      <c r="K291" s="114">
        <f>IF(转换!I286=17,ROUND(转换!J286*100/转换!$U$2,0),IF(转换!I286=9,F291,转换!J286))</f>
        <v>5</v>
      </c>
      <c r="L291" s="115"/>
      <c r="M291" s="115"/>
      <c r="N291" s="115"/>
      <c r="O291" s="113"/>
      <c r="P291" s="113"/>
      <c r="Q291" s="113"/>
      <c r="R291" s="97"/>
      <c r="S291" s="97"/>
      <c r="T291" s="97"/>
    </row>
    <row r="292" customFormat="1" spans="1:20">
      <c r="A292">
        <f>IF(C292=1,1001+COUNTIF($C$5:C291,1),2001+COUNTIF($C$5:C291,2))</f>
        <v>1239</v>
      </c>
      <c r="B292">
        <v>1</v>
      </c>
      <c r="C292" s="121">
        <v>1</v>
      </c>
      <c r="D292" s="122" t="str">
        <f>IFERROR(_xlfn.IFNA(VLOOKUP(ROUND(F292,0),道具!$B$271:$C$295,2,FALSE),""),"")</f>
        <v/>
      </c>
      <c r="E292" s="122" t="str">
        <f>IFERROR(_xlfn.IFNA(VLOOKUP(ROUND(F292,0),道具!$B$296:$C$320,2,FALSE),""),"")</f>
        <v/>
      </c>
      <c r="F292" t="str">
        <f>IF(转换!B287&gt;0,转换!B287*100,"")</f>
        <v/>
      </c>
      <c r="G292">
        <v>28</v>
      </c>
      <c r="H292">
        <f>'体验表-带进度条'!R287</f>
        <v>0</v>
      </c>
      <c r="I292" s="113">
        <f>转换!I287</f>
        <v>17</v>
      </c>
      <c r="J292" s="113">
        <f>IF(I292=17,1,IF(I292=9,1,IF(转换!I287&gt;0,VLOOKUP(转换!H287,道具!B:C,2,FALSE),"")))</f>
        <v>1</v>
      </c>
      <c r="K292" s="114">
        <f>IF(转换!I287=17,ROUND(转换!J287*100/转换!$U$2,0),IF(转换!I287=9,F292,转换!J287))</f>
        <v>100</v>
      </c>
      <c r="L292" s="115"/>
      <c r="M292" s="115"/>
      <c r="N292" s="115"/>
      <c r="O292" s="113"/>
      <c r="P292" s="113"/>
      <c r="Q292" s="113"/>
      <c r="R292" s="97"/>
      <c r="S292" s="97"/>
      <c r="T292" s="97"/>
    </row>
    <row r="293" customFormat="1" spans="1:20">
      <c r="A293">
        <f>IF(C293=1,1001+COUNTIF($C$5:C292,1),2001+COUNTIF($C$5:C292,2))</f>
        <v>1240</v>
      </c>
      <c r="B293">
        <v>1</v>
      </c>
      <c r="C293" s="121">
        <v>1</v>
      </c>
      <c r="D293" s="122" t="str">
        <f>IFERROR(_xlfn.IFNA(VLOOKUP(ROUND(F293,0),道具!$B$271:$C$295,2,FALSE),""),"")</f>
        <v/>
      </c>
      <c r="E293" s="122" t="str">
        <f>IFERROR(_xlfn.IFNA(VLOOKUP(ROUND(F293,0),道具!$B$296:$C$320,2,FALSE),""),"")</f>
        <v/>
      </c>
      <c r="F293" t="str">
        <f>IF(转换!B288&gt;0,转换!B288*100,"")</f>
        <v/>
      </c>
      <c r="G293">
        <v>29</v>
      </c>
      <c r="H293">
        <f>'体验表-带进度条'!R288</f>
        <v>25</v>
      </c>
      <c r="I293" s="113">
        <f>转换!I288</f>
        <v>4</v>
      </c>
      <c r="J293" s="113">
        <f>IF(I293=17,1,IF(I293=9,1,IF(转换!I288&gt;0,VLOOKUP(转换!H288,道具!B:C,2,FALSE),"")))</f>
        <v>100005</v>
      </c>
      <c r="K293" s="114">
        <f>IF(转换!I288=17,ROUND(转换!J288*100/转换!$U$2,0),IF(转换!I288=9,F293,转换!J288))</f>
        <v>1</v>
      </c>
      <c r="L293" s="115"/>
      <c r="M293" s="115"/>
      <c r="N293" s="115"/>
      <c r="O293" s="113"/>
      <c r="P293" s="113"/>
      <c r="Q293" s="113"/>
      <c r="R293" s="97"/>
      <c r="S293" s="97"/>
      <c r="T293" s="97"/>
    </row>
    <row r="294" customFormat="1" spans="1:20">
      <c r="A294">
        <f>IF(C294=1,1001+COUNTIF($C$5:C293,1),2001+COUNTIF($C$5:C293,2))</f>
        <v>1241</v>
      </c>
      <c r="B294">
        <v>1</v>
      </c>
      <c r="C294" s="121">
        <v>1</v>
      </c>
      <c r="D294" s="122" t="str">
        <f>IFERROR(_xlfn.IFNA(VLOOKUP(ROUND(F294,0),道具!$B$271:$C$295,2,FALSE),""),"")</f>
        <v/>
      </c>
      <c r="E294" s="122" t="str">
        <f>IFERROR(_xlfn.IFNA(VLOOKUP(ROUND(F294,0),道具!$B$296:$C$320,2,FALSE),""),"")</f>
        <v/>
      </c>
      <c r="F294" t="str">
        <f>IF(转换!B289&gt;0,转换!B289*100,"")</f>
        <v/>
      </c>
      <c r="G294">
        <v>30</v>
      </c>
      <c r="H294">
        <f>'体验表-带进度条'!R289</f>
        <v>0</v>
      </c>
      <c r="I294" s="113">
        <f>转换!I289</f>
        <v>3</v>
      </c>
      <c r="J294" s="113">
        <f>IF(I294=17,1,IF(I294=9,1,IF(转换!I289&gt;0,VLOOKUP(转换!H289,道具!B:C,2,FALSE),"")))</f>
        <v>192001</v>
      </c>
      <c r="K294" s="114">
        <f>IF(转换!I289=17,ROUND(转换!J289*100/转换!$U$2,0),IF(转换!I289=9,F294,转换!J289))</f>
        <v>25</v>
      </c>
      <c r="L294" s="115"/>
      <c r="M294" s="115"/>
      <c r="N294" s="115"/>
      <c r="O294" s="113"/>
      <c r="P294" s="113"/>
      <c r="Q294" s="113"/>
      <c r="R294" s="97"/>
      <c r="S294" s="97"/>
      <c r="T294" s="97"/>
    </row>
    <row r="295" customFormat="1" spans="1:20">
      <c r="A295">
        <f>IF(C295=1,1001+COUNTIF($C$5:C294,1),2001+COUNTIF($C$5:C294,2))</f>
        <v>1242</v>
      </c>
      <c r="B295">
        <v>1</v>
      </c>
      <c r="C295" s="121">
        <v>1</v>
      </c>
      <c r="D295" s="122" t="str">
        <f>IFERROR(_xlfn.IFNA(VLOOKUP(ROUND(F295,0),道具!$B$271:$C$295,2,FALSE),""),"")</f>
        <v/>
      </c>
      <c r="E295" s="122" t="str">
        <f>IFERROR(_xlfn.IFNA(VLOOKUP(ROUND(F295,0),道具!$B$296:$C$320,2,FALSE),""),"")</f>
        <v/>
      </c>
      <c r="F295" t="str">
        <f>IF(转换!B290&gt;0,转换!B290*100,"")</f>
        <v/>
      </c>
      <c r="G295">
        <v>31</v>
      </c>
      <c r="H295">
        <f>'体验表-带进度条'!R290</f>
        <v>0</v>
      </c>
      <c r="I295" s="113">
        <f>转换!I290</f>
        <v>3</v>
      </c>
      <c r="J295" s="113">
        <f>IF(I295=17,1,IF(I295=9,1,IF(转换!I290&gt;0,VLOOKUP(转换!H290,道具!B:C,2,FALSE),"")))</f>
        <v>171001</v>
      </c>
      <c r="K295" s="114">
        <f>IF(转换!I290=17,ROUND(转换!J290*100/转换!$U$2,0),IF(转换!I290=9,F295,转换!J290))</f>
        <v>1</v>
      </c>
      <c r="L295" s="115"/>
      <c r="M295" s="115"/>
      <c r="N295" s="115"/>
      <c r="O295" s="113"/>
      <c r="P295" s="113"/>
      <c r="Q295" s="113"/>
      <c r="R295" s="97"/>
      <c r="S295" s="97"/>
      <c r="T295" s="97"/>
    </row>
    <row r="296" customFormat="1" spans="1:20">
      <c r="A296">
        <f>IF(C296=1,1001+COUNTIF($C$5:C295,1),2001+COUNTIF($C$5:C295,2))</f>
        <v>1243</v>
      </c>
      <c r="B296">
        <v>1</v>
      </c>
      <c r="C296" s="121">
        <v>1</v>
      </c>
      <c r="D296" s="122" t="str">
        <f>IFERROR(_xlfn.IFNA(VLOOKUP(ROUND(F296,0),道具!$B$271:$C$295,2,FALSE),""),"")</f>
        <v/>
      </c>
      <c r="E296" s="122" t="str">
        <f>IFERROR(_xlfn.IFNA(VLOOKUP(ROUND(F296,0),道具!$B$296:$C$320,2,FALSE),""),"")</f>
        <v/>
      </c>
      <c r="F296" t="str">
        <f>IF(转换!B292&gt;0,转换!B292*100,"")</f>
        <v/>
      </c>
      <c r="G296">
        <v>33</v>
      </c>
      <c r="H296">
        <f>'体验表-带进度条'!R292</f>
        <v>0</v>
      </c>
      <c r="I296" s="113">
        <f>转换!I292</f>
        <v>3</v>
      </c>
      <c r="J296" s="113">
        <f>IF(I296=17,1,IF(I296=9,1,IF(转换!I292&gt;0,VLOOKUP(转换!H292,道具!B:C,2,FALSE),"")))</f>
        <v>160001</v>
      </c>
      <c r="K296" s="114">
        <f>IF(转换!I292=17,ROUND(转换!J292*100/转换!$U$2,0),IF(转换!I292=9,F296,转换!J292))</f>
        <v>6</v>
      </c>
      <c r="L296" s="115"/>
      <c r="M296" s="115"/>
      <c r="N296" s="115"/>
      <c r="O296" s="113"/>
      <c r="P296" s="113"/>
      <c r="Q296" s="113"/>
      <c r="R296" s="97"/>
      <c r="S296" s="97"/>
      <c r="T296" s="97"/>
    </row>
    <row r="297" customFormat="1" spans="1:20">
      <c r="A297">
        <f>IF(C297=1,1001+COUNTIF($C$5:C296,1),2001+COUNTIF($C$5:C296,2))</f>
        <v>1244</v>
      </c>
      <c r="B297">
        <v>1</v>
      </c>
      <c r="C297" s="121">
        <v>1</v>
      </c>
      <c r="D297" s="122" t="str">
        <f>IFERROR(_xlfn.IFNA(VLOOKUP(ROUND(F297,0),道具!$B$271:$C$295,2,FALSE),""),"")</f>
        <v/>
      </c>
      <c r="E297" s="122" t="str">
        <f>IFERROR(_xlfn.IFNA(VLOOKUP(ROUND(F297,0),道具!$B$296:$C$320,2,FALSE),""),"")</f>
        <v/>
      </c>
      <c r="F297" t="str">
        <f>IF(转换!B293&gt;0,转换!B293*100,"")</f>
        <v/>
      </c>
      <c r="G297">
        <v>34</v>
      </c>
      <c r="H297">
        <f>'体验表-带进度条'!R293</f>
        <v>0</v>
      </c>
      <c r="I297" s="113">
        <f>转换!I293</f>
        <v>17</v>
      </c>
      <c r="J297" s="113">
        <f>IF(I297=17,1,IF(I297=9,1,IF(转换!I293&gt;0,VLOOKUP(转换!H293,道具!B:C,2,FALSE),"")))</f>
        <v>1</v>
      </c>
      <c r="K297" s="114">
        <f>IF(转换!I293=17,ROUND(转换!J293*100/转换!$U$2,0),IF(转换!I293=9,F297,转换!J293))</f>
        <v>241</v>
      </c>
      <c r="L297" s="115"/>
      <c r="M297" s="115"/>
      <c r="N297" s="115"/>
      <c r="O297" s="113"/>
      <c r="P297" s="113"/>
      <c r="Q297" s="113"/>
      <c r="R297" s="97"/>
      <c r="S297" s="97"/>
      <c r="T297" s="97"/>
    </row>
    <row r="298" customFormat="1" spans="1:20">
      <c r="A298">
        <f>IF(C298=1,1001+COUNTIF($C$5:C297,1),2001+COUNTIF($C$5:C297,2))</f>
        <v>1245</v>
      </c>
      <c r="B298">
        <v>1</v>
      </c>
      <c r="C298" s="121">
        <v>1</v>
      </c>
      <c r="D298" s="122" t="str">
        <f>IFERROR(_xlfn.IFNA(VLOOKUP(ROUND(F298,0),道具!$B$271:$C$295,2,FALSE),""),"")</f>
        <v/>
      </c>
      <c r="E298" s="122" t="str">
        <f>IFERROR(_xlfn.IFNA(VLOOKUP(ROUND(F298,0),道具!$B$296:$C$320,2,FALSE),""),"")</f>
        <v/>
      </c>
      <c r="F298" t="str">
        <f>IF(转换!B294&gt;0,转换!B294*100,"")</f>
        <v/>
      </c>
      <c r="G298">
        <v>35</v>
      </c>
      <c r="H298">
        <f>'体验表-带进度条'!R294</f>
        <v>15</v>
      </c>
      <c r="I298" s="113">
        <f>转换!I294</f>
        <v>4</v>
      </c>
      <c r="J298" s="113">
        <f>IF(I298=17,1,IF(I298=9,1,IF(转换!I294&gt;0,VLOOKUP(转换!H294,道具!B:C,2,FALSE),"")))</f>
        <v>100005</v>
      </c>
      <c r="K298" s="114">
        <f>IF(转换!I294=17,ROUND(转换!J294*100/转换!$U$2,0),IF(转换!I294=9,F298,转换!J294))</f>
        <v>1</v>
      </c>
      <c r="L298" s="115"/>
      <c r="M298" s="115"/>
      <c r="N298" s="115"/>
      <c r="O298" s="113"/>
      <c r="P298" s="113"/>
      <c r="Q298" s="113"/>
      <c r="R298" s="97"/>
      <c r="S298" s="97"/>
      <c r="T298" s="97"/>
    </row>
    <row r="299" customFormat="1" spans="1:20">
      <c r="A299">
        <f>IF(C299=1,1001+COUNTIF($C$5:C298,1),2001+COUNTIF($C$5:C298,2))</f>
        <v>1246</v>
      </c>
      <c r="B299">
        <v>1</v>
      </c>
      <c r="C299" s="121">
        <v>1</v>
      </c>
      <c r="D299" s="122" t="str">
        <f>IFERROR(_xlfn.IFNA(VLOOKUP(ROUND(F299,0),道具!$B$271:$C$295,2,FALSE),""),"")</f>
        <v/>
      </c>
      <c r="E299" s="122" t="str">
        <f>IFERROR(_xlfn.IFNA(VLOOKUP(ROUND(F299,0),道具!$B$296:$C$320,2,FALSE),""),"")</f>
        <v/>
      </c>
      <c r="F299" t="str">
        <f>IF(转换!B295&gt;0,转换!B295*100,"")</f>
        <v/>
      </c>
      <c r="G299">
        <v>36</v>
      </c>
      <c r="H299">
        <f>'体验表-带进度条'!R295</f>
        <v>0</v>
      </c>
      <c r="I299" s="113">
        <f>转换!I295</f>
        <v>3</v>
      </c>
      <c r="J299" s="113">
        <f>IF(I299=17,1,IF(I299=9,1,IF(转换!I295&gt;0,VLOOKUP(转换!H295,道具!B:C,2,FALSE),"")))</f>
        <v>192001</v>
      </c>
      <c r="K299" s="114">
        <f>IF(转换!I295=17,ROUND(转换!J295*100/转换!$U$2,0),IF(转换!I295=9,F299,转换!J295))</f>
        <v>30</v>
      </c>
      <c r="L299" s="115"/>
      <c r="M299" s="115"/>
      <c r="N299" s="115"/>
      <c r="O299" s="113"/>
      <c r="P299" s="113"/>
      <c r="Q299" s="113"/>
      <c r="R299" s="97"/>
      <c r="S299" s="97"/>
      <c r="T299" s="97"/>
    </row>
    <row r="300" customFormat="1" spans="1:20">
      <c r="A300">
        <f>IF(C300=1,1001+COUNTIF($C$5:C299,1),2001+COUNTIF($C$5:C299,2))</f>
        <v>1247</v>
      </c>
      <c r="B300">
        <v>1</v>
      </c>
      <c r="C300" s="121">
        <v>1</v>
      </c>
      <c r="D300" s="122" t="str">
        <f>IFERROR(_xlfn.IFNA(VLOOKUP(ROUND(F300,0),道具!$B$271:$C$295,2,FALSE),""),"")</f>
        <v/>
      </c>
      <c r="E300" s="122" t="str">
        <f>IFERROR(_xlfn.IFNA(VLOOKUP(ROUND(F300,0),道具!$B$296:$C$320,2,FALSE),""),"")</f>
        <v/>
      </c>
      <c r="F300" t="str">
        <f>IF(转换!B296&gt;0,转换!B296*100,"")</f>
        <v/>
      </c>
      <c r="G300">
        <v>37</v>
      </c>
      <c r="H300">
        <f>'体验表-带进度条'!R296</f>
        <v>0</v>
      </c>
      <c r="I300" s="113">
        <f>转换!I296</f>
        <v>3</v>
      </c>
      <c r="J300" s="113">
        <f>IF(I300=17,1,IF(I300=9,1,IF(转换!I296&gt;0,VLOOKUP(转换!H296,道具!B:C,2,FALSE),"")))</f>
        <v>171002</v>
      </c>
      <c r="K300" s="114">
        <f>IF(转换!I296=17,ROUND(转换!J296*100/转换!$U$2,0),IF(转换!I296=9,F300,转换!J296))</f>
        <v>1</v>
      </c>
      <c r="L300" s="115"/>
      <c r="M300" s="115"/>
      <c r="N300" s="115"/>
      <c r="O300" s="113"/>
      <c r="P300" s="113"/>
      <c r="Q300" s="113"/>
      <c r="R300" s="97"/>
      <c r="S300" s="97"/>
      <c r="T300" s="97"/>
    </row>
    <row r="301" customFormat="1" spans="1:20">
      <c r="A301">
        <f>IF(C301=1,1001+COUNTIF($C$5:C300,1),2001+COUNTIF($C$5:C300,2))</f>
        <v>1248</v>
      </c>
      <c r="B301">
        <v>1</v>
      </c>
      <c r="C301" s="121">
        <v>1</v>
      </c>
      <c r="D301" s="122" t="str">
        <f>IFERROR(_xlfn.IFNA(VLOOKUP(ROUND(F301,0),道具!$B$271:$C$295,2,FALSE),""),"")</f>
        <v/>
      </c>
      <c r="E301" s="122" t="str">
        <f>IFERROR(_xlfn.IFNA(VLOOKUP(ROUND(F301,0),道具!$B$296:$C$320,2,FALSE),""),"")</f>
        <v/>
      </c>
      <c r="F301" t="str">
        <f>IF(转换!B298&gt;0,转换!B298*100,"")</f>
        <v/>
      </c>
      <c r="G301">
        <v>39</v>
      </c>
      <c r="H301">
        <f>'体验表-带进度条'!R298</f>
        <v>0</v>
      </c>
      <c r="I301" s="113">
        <f>转换!I298</f>
        <v>3</v>
      </c>
      <c r="J301" s="113">
        <f>IF(I301=17,1,IF(I301=9,1,IF(转换!I298&gt;0,VLOOKUP(转换!H298,道具!B:C,2,FALSE),"")))</f>
        <v>160001</v>
      </c>
      <c r="K301" s="114">
        <f>IF(转换!I298=17,ROUND(转换!J298*100/转换!$U$2,0),IF(转换!I298=9,F301,转换!J298))</f>
        <v>7</v>
      </c>
      <c r="L301" s="115"/>
      <c r="M301" s="115"/>
      <c r="N301" s="115"/>
      <c r="O301" s="113"/>
      <c r="P301" s="113"/>
      <c r="Q301" s="113"/>
      <c r="R301" s="97"/>
      <c r="S301" s="97"/>
      <c r="T301" s="97"/>
    </row>
    <row r="302" customFormat="1" spans="1:20">
      <c r="A302">
        <f>IF(C302=1,1001+COUNTIF($C$5:C301,1),2001+COUNTIF($C$5:C301,2))</f>
        <v>1249</v>
      </c>
      <c r="B302">
        <v>1</v>
      </c>
      <c r="C302" s="121">
        <v>1</v>
      </c>
      <c r="D302" s="122" t="str">
        <f>IFERROR(_xlfn.IFNA(VLOOKUP(ROUND(F302,0),道具!$B$271:$C$295,2,FALSE),""),"")</f>
        <v/>
      </c>
      <c r="E302" s="122" t="str">
        <f>IFERROR(_xlfn.IFNA(VLOOKUP(ROUND(F302,0),道具!$B$296:$C$320,2,FALSE),""),"")</f>
        <v/>
      </c>
      <c r="F302" t="str">
        <f>IF(转换!B299&gt;0,转换!B299*100,"")</f>
        <v/>
      </c>
      <c r="G302">
        <v>40</v>
      </c>
      <c r="H302">
        <f>'体验表-带进度条'!R299</f>
        <v>0</v>
      </c>
      <c r="I302" s="113">
        <f>转换!I299</f>
        <v>17</v>
      </c>
      <c r="J302" s="113">
        <f>IF(I302=17,1,IF(I302=9,1,IF(转换!I299&gt;0,VLOOKUP(转换!H299,道具!B:C,2,FALSE),"")))</f>
        <v>1</v>
      </c>
      <c r="K302" s="114">
        <f>IF(转换!I299=17,ROUND(转换!J299*100/转换!$U$2,0),IF(转换!I299=9,F302,转换!J299))</f>
        <v>241</v>
      </c>
      <c r="L302" s="115"/>
      <c r="M302" s="115"/>
      <c r="N302" s="115"/>
      <c r="O302" s="113"/>
      <c r="P302" s="113"/>
      <c r="Q302" s="113"/>
      <c r="R302" s="97"/>
      <c r="S302" s="97"/>
      <c r="T302" s="97"/>
    </row>
    <row r="303" customFormat="1" spans="1:20">
      <c r="A303">
        <f>IF(C303=1,1001+COUNTIF($C$5:C302,1),2001+COUNTIF($C$5:C302,2))</f>
        <v>1250</v>
      </c>
      <c r="B303">
        <v>1</v>
      </c>
      <c r="C303" s="121">
        <v>1</v>
      </c>
      <c r="D303" s="122" t="str">
        <f>IFERROR(_xlfn.IFNA(VLOOKUP(ROUND(F303,0),道具!$B$271:$C$295,2,FALSE),""),"")</f>
        <v/>
      </c>
      <c r="E303" s="122" t="str">
        <f>IFERROR(_xlfn.IFNA(VLOOKUP(ROUND(F303,0),道具!$B$296:$C$320,2,FALSE),""),"")</f>
        <v/>
      </c>
      <c r="F303" t="str">
        <f>IF(转换!B300&gt;0,转换!B300*100,"")</f>
        <v/>
      </c>
      <c r="G303">
        <v>41</v>
      </c>
      <c r="H303">
        <f>'体验表-带进度条'!R300</f>
        <v>50</v>
      </c>
      <c r="I303" s="113">
        <f>转换!I300</f>
        <v>4</v>
      </c>
      <c r="J303" s="113">
        <f>IF(I303=17,1,IF(I303=9,1,IF(转换!I300&gt;0,VLOOKUP(转换!H300,道具!B:C,2,FALSE),"")))</f>
        <v>100006</v>
      </c>
      <c r="K303" s="114">
        <f>IF(转换!I300=17,ROUND(转换!J300*100/转换!$U$2,0),IF(转换!I300=9,F303,转换!J300))</f>
        <v>1</v>
      </c>
      <c r="L303" s="115"/>
      <c r="M303" s="115"/>
      <c r="N303" s="115"/>
      <c r="O303" s="113"/>
      <c r="P303" s="113"/>
      <c r="Q303" s="113"/>
      <c r="R303" s="97"/>
      <c r="S303" s="97"/>
      <c r="T303" s="97"/>
    </row>
    <row r="304" customFormat="1" spans="1:20">
      <c r="A304">
        <f>IF(C304=1,1001+COUNTIF($C$5:C303,1),2001+COUNTIF($C$5:C303,2))</f>
        <v>1251</v>
      </c>
      <c r="B304">
        <v>1</v>
      </c>
      <c r="C304" s="121">
        <v>1</v>
      </c>
      <c r="D304" s="122" t="str">
        <f>IFERROR(_xlfn.IFNA(VLOOKUP(ROUND(F304,0),道具!$B$271:$C$295,2,FALSE),""),"")</f>
        <v/>
      </c>
      <c r="E304" s="122" t="str">
        <f>IFERROR(_xlfn.IFNA(VLOOKUP(ROUND(F304,0),道具!$B$296:$C$320,2,FALSE),""),"")</f>
        <v/>
      </c>
      <c r="F304" t="str">
        <f>IF(转换!B301&gt;0,转换!B301*100,"")</f>
        <v/>
      </c>
      <c r="G304">
        <v>42</v>
      </c>
      <c r="H304">
        <f>'体验表-带进度条'!R301</f>
        <v>0</v>
      </c>
      <c r="I304" s="113">
        <f>转换!I301</f>
        <v>3</v>
      </c>
      <c r="J304" s="113">
        <f>IF(I304=17,1,IF(I304=9,1,IF(转换!I301&gt;0,VLOOKUP(转换!H301,道具!B:C,2,FALSE),"")))</f>
        <v>192001</v>
      </c>
      <c r="K304" s="114">
        <f>IF(转换!I301=17,ROUND(转换!J301*100/转换!$U$2,0),IF(转换!I301=9,F304,转换!J301))</f>
        <v>35</v>
      </c>
      <c r="L304" s="115"/>
      <c r="M304" s="115"/>
      <c r="N304" s="115"/>
      <c r="O304" s="113"/>
      <c r="P304" s="113"/>
      <c r="Q304" s="113"/>
      <c r="R304" s="97"/>
      <c r="S304" s="97"/>
      <c r="T304" s="97"/>
    </row>
    <row r="305" customFormat="1" spans="1:20">
      <c r="A305">
        <f>IF(C305=1,1001+COUNTIF($C$5:C304,1),2001+COUNTIF($C$5:C304,2))</f>
        <v>1252</v>
      </c>
      <c r="B305">
        <v>1</v>
      </c>
      <c r="C305" s="121">
        <v>1</v>
      </c>
      <c r="D305" s="122" t="str">
        <f>IFERROR(_xlfn.IFNA(VLOOKUP(ROUND(F305,0),道具!$B$271:$C$295,2,FALSE),""),"")</f>
        <v/>
      </c>
      <c r="E305" s="122" t="str">
        <f>IFERROR(_xlfn.IFNA(VLOOKUP(ROUND(F305,0),道具!$B$296:$C$320,2,FALSE),""),"")</f>
        <v/>
      </c>
      <c r="F305" t="str">
        <f>IF(转换!B302&gt;0,转换!B302*100,"")</f>
        <v/>
      </c>
      <c r="G305">
        <v>43</v>
      </c>
      <c r="H305">
        <f>'体验表-带进度条'!R302</f>
        <v>0</v>
      </c>
      <c r="I305" s="113">
        <f>转换!I302</f>
        <v>3</v>
      </c>
      <c r="J305" s="113">
        <f>IF(I305=17,1,IF(I305=9,1,IF(转换!I302&gt;0,VLOOKUP(转换!H302,道具!B:C,2,FALSE),"")))</f>
        <v>171001</v>
      </c>
      <c r="K305" s="114">
        <f>IF(转换!I302=17,ROUND(转换!J302*100/转换!$U$2,0),IF(转换!I302=9,F305,转换!J302))</f>
        <v>1</v>
      </c>
      <c r="L305" s="115"/>
      <c r="M305" s="115"/>
      <c r="N305" s="115"/>
      <c r="O305" s="113"/>
      <c r="P305" s="113"/>
      <c r="Q305" s="113"/>
      <c r="R305" s="97"/>
      <c r="S305" s="97"/>
      <c r="T305" s="97"/>
    </row>
    <row r="306" customFormat="1" spans="1:20">
      <c r="A306">
        <f>IF(C306=1,1001+COUNTIF($C$5:C305,1),2001+COUNTIF($C$5:C305,2))</f>
        <v>2050</v>
      </c>
      <c r="B306">
        <v>1</v>
      </c>
      <c r="C306" s="121">
        <v>2</v>
      </c>
      <c r="D306" s="122" t="str">
        <f>IFERROR(_xlfn.IFNA(VLOOKUP(ROUND(F306,0),道具!$B$271:$C$295,2,FALSE),""),"")</f>
        <v>gp_hunt_599</v>
      </c>
      <c r="E306" s="122" t="str">
        <f>IFERROR(_xlfn.IFNA(VLOOKUP(ROUND(F306,0),道具!$B$296:$C$320,2,FALSE),""),"")</f>
        <v>iap_hunt_599</v>
      </c>
      <c r="F306">
        <f>IF(转换!B304&gt;0,转换!B304*100,"")</f>
        <v>599</v>
      </c>
      <c r="G306">
        <v>2</v>
      </c>
      <c r="H306">
        <f>'体验表-带进度条'!R304</f>
        <v>10</v>
      </c>
      <c r="I306" s="113">
        <f>转换!I304</f>
        <v>9</v>
      </c>
      <c r="J306" s="113">
        <f>IF(I306=17,1,IF(I306=9,1,IF(转换!I304&gt;0,VLOOKUP(转换!H304,道具!B:C,2,FALSE),"")))</f>
        <v>1</v>
      </c>
      <c r="K306" s="114">
        <f>IF(转换!I304=17,ROUND(转换!J304*100/转换!$U$2,0),IF(转换!I304=9,F306,转换!J304))</f>
        <v>599</v>
      </c>
      <c r="L306" s="115"/>
      <c r="M306" s="115"/>
      <c r="N306" s="115"/>
      <c r="O306" s="113"/>
      <c r="P306" s="113"/>
      <c r="Q306" s="113"/>
      <c r="R306" s="97"/>
      <c r="S306" s="97"/>
      <c r="T306" s="97"/>
    </row>
    <row r="307" customFormat="1" spans="1:20">
      <c r="A307">
        <f>IF(C307=1,1001+COUNTIF($C$5:C306,1),2001+COUNTIF($C$5:C306,2))</f>
        <v>2051</v>
      </c>
      <c r="B307">
        <v>1</v>
      </c>
      <c r="C307" s="121">
        <v>2</v>
      </c>
      <c r="D307" s="122" t="str">
        <f>IFERROR(_xlfn.IFNA(VLOOKUP(ROUND(F307,0),道具!$B$271:$C$295,2,FALSE),""),"")</f>
        <v>gp_hunt_3</v>
      </c>
      <c r="E307" s="122" t="str">
        <f>IFERROR(_xlfn.IFNA(VLOOKUP(ROUND(F307,0),道具!$B$296:$C$320,2,FALSE),""),"")</f>
        <v>iap_hunt_3</v>
      </c>
      <c r="F307">
        <f>IF(转换!B310&gt;0,转换!B310*100,"")</f>
        <v>799</v>
      </c>
      <c r="G307">
        <v>8</v>
      </c>
      <c r="H307">
        <f>'体验表-带进度条'!R310</f>
        <v>25</v>
      </c>
      <c r="I307" s="113">
        <f>转换!I310</f>
        <v>9</v>
      </c>
      <c r="J307" s="113">
        <f>IF(I307=17,1,IF(I307=9,1,IF(转换!I310&gt;0,VLOOKUP(转换!H310,道具!B:C,2,FALSE),"")))</f>
        <v>1</v>
      </c>
      <c r="K307" s="114">
        <f>IF(转换!I310=17,ROUND(转换!J310*100/转换!$U$2,0),IF(转换!I310=9,F307,转换!J310))</f>
        <v>799</v>
      </c>
      <c r="L307" s="115"/>
      <c r="M307" s="115"/>
      <c r="N307" s="115"/>
      <c r="O307" s="113"/>
      <c r="P307" s="113"/>
      <c r="Q307" s="113"/>
      <c r="R307" s="97"/>
      <c r="S307" s="97"/>
      <c r="T307" s="97"/>
    </row>
    <row r="308" customFormat="1" spans="1:20">
      <c r="A308">
        <f>IF(C308=1,1001+COUNTIF($C$5:C307,1),2001+COUNTIF($C$5:C307,2))</f>
        <v>2052</v>
      </c>
      <c r="B308">
        <v>1</v>
      </c>
      <c r="C308" s="121">
        <v>2</v>
      </c>
      <c r="D308" s="122" t="str">
        <f>IFERROR(_xlfn.IFNA(VLOOKUP(ROUND(F308,0),道具!$B$271:$C$295,2,FALSE),""),"")</f>
        <v>gp_hunt_999</v>
      </c>
      <c r="E308" s="122" t="str">
        <f>IFERROR(_xlfn.IFNA(VLOOKUP(ROUND(F308,0),道具!$B$296:$C$320,2,FALSE),""),"")</f>
        <v>iap_hunt_999</v>
      </c>
      <c r="F308">
        <f>IF(转换!B316&gt;0,转换!B316*100,"")</f>
        <v>999</v>
      </c>
      <c r="G308">
        <v>14</v>
      </c>
      <c r="H308">
        <f>'体验表-带进度条'!R316</f>
        <v>35</v>
      </c>
      <c r="I308" s="113">
        <f>转换!I316</f>
        <v>9</v>
      </c>
      <c r="J308" s="113">
        <f>IF(I308=17,1,IF(I308=9,1,IF(转换!I316&gt;0,VLOOKUP(转换!H316,道具!B:C,2,FALSE),"")))</f>
        <v>1</v>
      </c>
      <c r="K308" s="114">
        <f>IF(转换!I316=17,ROUND(转换!J316*100/转换!$U$2,0),IF(转换!I316=9,F308,转换!J316))</f>
        <v>999</v>
      </c>
      <c r="L308" s="115"/>
      <c r="M308" s="115"/>
      <c r="N308" s="115"/>
      <c r="O308" s="113"/>
      <c r="P308" s="113"/>
      <c r="Q308" s="113"/>
      <c r="R308" s="97"/>
      <c r="S308" s="97"/>
      <c r="T308" s="97"/>
    </row>
    <row r="309" customFormat="1" spans="1:20">
      <c r="A309">
        <f>IF(C309=1,1001+COUNTIF($C$5:C308,1),2001+COUNTIF($C$5:C308,2))</f>
        <v>2053</v>
      </c>
      <c r="B309">
        <v>1</v>
      </c>
      <c r="C309" s="121">
        <v>2</v>
      </c>
      <c r="D309" s="122" t="str">
        <f>IFERROR(_xlfn.IFNA(VLOOKUP(ROUND(F309,0),道具!$B$271:$C$295,2,FALSE),""),"")</f>
        <v>gp_hunt_5</v>
      </c>
      <c r="E309" s="122" t="str">
        <f>IFERROR(_xlfn.IFNA(VLOOKUP(ROUND(F309,0),道具!$B$296:$C$320,2,FALSE),""),"")</f>
        <v>iap_hunt_5</v>
      </c>
      <c r="F309">
        <f>IF(转换!B322&gt;0,转换!B322*100,"")</f>
        <v>1299</v>
      </c>
      <c r="G309">
        <v>20</v>
      </c>
      <c r="H309">
        <f>'体验表-带进度条'!R322</f>
        <v>0</v>
      </c>
      <c r="I309" s="113">
        <f>转换!I322</f>
        <v>9</v>
      </c>
      <c r="J309" s="113">
        <f>IF(I309=17,1,IF(I309=9,1,IF(转换!I322&gt;0,VLOOKUP(转换!H322,道具!B:C,2,FALSE),"")))</f>
        <v>1</v>
      </c>
      <c r="K309" s="114">
        <f>IF(转换!I322=17,ROUND(转换!J322*100/转换!$U$2,0),IF(转换!I322=9,F309,转换!J322))</f>
        <v>1299</v>
      </c>
      <c r="L309" s="115"/>
      <c r="M309" s="115"/>
      <c r="N309" s="115"/>
      <c r="O309" s="113"/>
      <c r="P309" s="113"/>
      <c r="Q309" s="113"/>
      <c r="R309" s="97"/>
      <c r="S309" s="97"/>
      <c r="T309" s="97"/>
    </row>
    <row r="310" customFormat="1" spans="1:20">
      <c r="A310">
        <f>IF(C310=1,1001+COUNTIF($C$5:C309,1),2001+COUNTIF($C$5:C309,2))</f>
        <v>2054</v>
      </c>
      <c r="B310">
        <v>1</v>
      </c>
      <c r="C310" s="121">
        <v>2</v>
      </c>
      <c r="D310" s="122" t="str">
        <f>IFERROR(_xlfn.IFNA(VLOOKUP(ROUND(F310,0),道具!$B$271:$C$295,2,FALSE),""),"")</f>
        <v>gp_hunt_6</v>
      </c>
      <c r="E310" s="122" t="str">
        <f>IFERROR(_xlfn.IFNA(VLOOKUP(ROUND(F310,0),道具!$B$296:$C$320,2,FALSE),""),"")</f>
        <v>iap_hunt_6</v>
      </c>
      <c r="F310">
        <f>IF(转换!B328&gt;0,转换!B328*100,"")</f>
        <v>1499</v>
      </c>
      <c r="G310">
        <v>26</v>
      </c>
      <c r="H310">
        <f>'体验表-带进度条'!R328</f>
        <v>10</v>
      </c>
      <c r="I310" s="113">
        <f>转换!I328</f>
        <v>9</v>
      </c>
      <c r="J310" s="113">
        <f>IF(I310=17,1,IF(I310=9,1,IF(转换!I328&gt;0,VLOOKUP(转换!H328,道具!B:C,2,FALSE),"")))</f>
        <v>1</v>
      </c>
      <c r="K310" s="114">
        <f>IF(转换!I328=17,ROUND(转换!J328*100/转换!$U$2,0),IF(转换!I328=9,F310,转换!J328))</f>
        <v>1499</v>
      </c>
      <c r="L310" s="115"/>
      <c r="M310" s="115"/>
      <c r="N310" s="115"/>
      <c r="O310" s="113"/>
      <c r="P310" s="113"/>
      <c r="Q310" s="113"/>
      <c r="R310" s="97"/>
      <c r="S310" s="97"/>
      <c r="T310" s="97"/>
    </row>
    <row r="311" customFormat="1" spans="1:20">
      <c r="A311">
        <f>IF(C311=1,1001+COUNTIF($C$5:C310,1),2001+COUNTIF($C$5:C310,2))</f>
        <v>2055</v>
      </c>
      <c r="B311">
        <v>1</v>
      </c>
      <c r="C311" s="121">
        <v>2</v>
      </c>
      <c r="D311" s="122" t="str">
        <f>IFERROR(_xlfn.IFNA(VLOOKUP(ROUND(F311,0),道具!$B$271:$C$295,2,FALSE),""),"")</f>
        <v>gp_hunt_1799</v>
      </c>
      <c r="E311" s="122" t="str">
        <f>IFERROR(_xlfn.IFNA(VLOOKUP(ROUND(F311,0),道具!$B$296:$C$320,2,FALSE),""),"")</f>
        <v>iap_hunt_1799</v>
      </c>
      <c r="F311">
        <f>IF(转换!B334&gt;0,转换!B334*100,"")</f>
        <v>1799</v>
      </c>
      <c r="G311">
        <v>32</v>
      </c>
      <c r="H311">
        <f>'体验表-带进度条'!R334</f>
        <v>25</v>
      </c>
      <c r="I311" s="113">
        <f>转换!I334</f>
        <v>9</v>
      </c>
      <c r="J311" s="113">
        <f>IF(I311=17,1,IF(I311=9,1,IF(转换!I334&gt;0,VLOOKUP(转换!H334,道具!B:C,2,FALSE),"")))</f>
        <v>1</v>
      </c>
      <c r="K311" s="114">
        <f>IF(转换!I334=17,ROUND(转换!J334*100/转换!$U$2,0),IF(转换!I334=9,F311,转换!J334))</f>
        <v>1799</v>
      </c>
      <c r="L311" s="115"/>
      <c r="M311" s="115"/>
      <c r="N311" s="115"/>
      <c r="O311" s="113"/>
      <c r="P311" s="113"/>
      <c r="Q311" s="113"/>
      <c r="R311" s="97"/>
      <c r="S311" s="97"/>
      <c r="T311" s="97"/>
    </row>
    <row r="312" customFormat="1" spans="1:20">
      <c r="A312">
        <f>IF(C312=1,1001+COUNTIF($C$5:C311,1),2001+COUNTIF($C$5:C311,2))</f>
        <v>2056</v>
      </c>
      <c r="B312">
        <v>1</v>
      </c>
      <c r="C312" s="121">
        <v>2</v>
      </c>
      <c r="D312" s="122" t="str">
        <f>IFERROR(_xlfn.IFNA(VLOOKUP(ROUND(F312,0),道具!$B$271:$C$295,2,FALSE),""),"")</f>
        <v>gp_hunt_1999</v>
      </c>
      <c r="E312" s="122" t="str">
        <f>IFERROR(_xlfn.IFNA(VLOOKUP(ROUND(F312,0),道具!$B$296:$C$320,2,FALSE),""),"")</f>
        <v>iap_hunt_1999</v>
      </c>
      <c r="F312">
        <f>IF(转换!B340&gt;0,转换!B340*100,"")</f>
        <v>1999</v>
      </c>
      <c r="G312">
        <v>38</v>
      </c>
      <c r="H312">
        <f>'体验表-带进度条'!R340</f>
        <v>35</v>
      </c>
      <c r="I312" s="113">
        <f>转换!I340</f>
        <v>9</v>
      </c>
      <c r="J312" s="113">
        <f>IF(I312=17,1,IF(I312=9,1,IF(转换!I340&gt;0,VLOOKUP(转换!H340,道具!B:C,2,FALSE),"")))</f>
        <v>1</v>
      </c>
      <c r="K312" s="114">
        <f>IF(转换!I340=17,ROUND(转换!J340*100/转换!$U$2,0),IF(转换!I340=9,F312,转换!J340))</f>
        <v>1999</v>
      </c>
      <c r="L312" s="115"/>
      <c r="M312" s="115"/>
      <c r="N312" s="115"/>
      <c r="O312" s="113"/>
      <c r="P312" s="113"/>
      <c r="Q312" s="113"/>
      <c r="R312" s="97"/>
      <c r="S312" s="97"/>
      <c r="T312" s="97"/>
    </row>
    <row r="313" customFormat="1" spans="1:20">
      <c r="A313">
        <f>IF(C313=1,1001+COUNTIF($C$5:C312,1),2001+COUNTIF($C$5:C312,2))</f>
        <v>1253</v>
      </c>
      <c r="B313">
        <v>1</v>
      </c>
      <c r="C313" s="121">
        <v>1</v>
      </c>
      <c r="D313" s="122" t="str">
        <f>IFERROR(_xlfn.IFNA(VLOOKUP(ROUND(F313,0),道具!$B$271:$C$295,2,FALSE),""),"")</f>
        <v/>
      </c>
      <c r="E313" s="122" t="str">
        <f>IFERROR(_xlfn.IFNA(VLOOKUP(ROUND(F313,0),道具!$B$296:$C$320,2,FALSE),""),"")</f>
        <v/>
      </c>
      <c r="F313" t="str">
        <f>IF(转换!B303&gt;0,转换!B303*100,"")</f>
        <v/>
      </c>
      <c r="G313">
        <v>1</v>
      </c>
      <c r="H313">
        <f>'体验表-带进度条'!R303</f>
        <v>20</v>
      </c>
      <c r="I313" s="113">
        <f>转换!I303</f>
        <v>1</v>
      </c>
      <c r="J313" s="113">
        <f>IF(I313=17,1,IF(I313=9,1,IF(转换!I303&gt;0,VLOOKUP(转换!H303,道具!B:C,2,FALSE),"")))</f>
        <v>1</v>
      </c>
      <c r="K313" s="114">
        <f>IF(转换!I303=17,ROUND(转换!J303*100/转换!$U$2,0),IF(转换!I303=9,F313,转换!J303))</f>
        <v>5000</v>
      </c>
      <c r="L313" s="115"/>
      <c r="M313" s="115"/>
      <c r="N313" s="115"/>
      <c r="O313" s="113"/>
      <c r="P313" s="113"/>
      <c r="Q313" s="113"/>
      <c r="R313" s="97"/>
      <c r="S313" s="97"/>
      <c r="T313" s="97"/>
    </row>
    <row r="314" customFormat="1" spans="1:20">
      <c r="A314">
        <f>IF(C314=1,1001+COUNTIF($C$5:C313,1),2001+COUNTIF($C$5:C313,2))</f>
        <v>1254</v>
      </c>
      <c r="B314">
        <v>1</v>
      </c>
      <c r="C314" s="121">
        <v>1</v>
      </c>
      <c r="D314" s="122" t="str">
        <f>IFERROR(_xlfn.IFNA(VLOOKUP(ROUND(F314,0),道具!$B$271:$C$295,2,FALSE),""),"")</f>
        <v/>
      </c>
      <c r="E314" s="122" t="str">
        <f>IFERROR(_xlfn.IFNA(VLOOKUP(ROUND(F314,0),道具!$B$296:$C$320,2,FALSE),""),"")</f>
        <v/>
      </c>
      <c r="F314" t="str">
        <f>IF(转换!B305&gt;0,转换!B305*100,"")</f>
        <v/>
      </c>
      <c r="G314">
        <v>3</v>
      </c>
      <c r="H314">
        <f>'体验表-带进度条'!R305</f>
        <v>0</v>
      </c>
      <c r="I314" s="113">
        <f>转换!I305</f>
        <v>3</v>
      </c>
      <c r="J314" s="113">
        <f>IF(I314=17,1,IF(I314=9,1,IF(转换!I305&gt;0,VLOOKUP(转换!H305,道具!B:C,2,FALSE),"")))</f>
        <v>160001</v>
      </c>
      <c r="K314" s="114">
        <f>IF(转换!I305=17,ROUND(转换!J305*100/转换!$U$2,0),IF(转换!I305=9,F314,转换!J305))</f>
        <v>1</v>
      </c>
      <c r="L314" s="115"/>
      <c r="M314" s="115"/>
      <c r="N314" s="115"/>
      <c r="O314" s="113"/>
      <c r="P314" s="113"/>
      <c r="Q314" s="113"/>
      <c r="R314" s="97"/>
      <c r="S314" s="97"/>
      <c r="T314" s="97"/>
    </row>
    <row r="315" customFormat="1" spans="1:20">
      <c r="A315">
        <f>IF(C315=1,1001+COUNTIF($C$5:C314,1),2001+COUNTIF($C$5:C314,2))</f>
        <v>1255</v>
      </c>
      <c r="B315">
        <v>1</v>
      </c>
      <c r="C315" s="121">
        <v>1</v>
      </c>
      <c r="D315" s="122" t="str">
        <f>IFERROR(_xlfn.IFNA(VLOOKUP(ROUND(F315,0),道具!$B$271:$C$295,2,FALSE),""),"")</f>
        <v/>
      </c>
      <c r="E315" s="122" t="str">
        <f>IFERROR(_xlfn.IFNA(VLOOKUP(ROUND(F315,0),道具!$B$296:$C$320,2,FALSE),""),"")</f>
        <v/>
      </c>
      <c r="F315" t="str">
        <f>IF(转换!B306&gt;0,转换!B306*100,"")</f>
        <v/>
      </c>
      <c r="G315">
        <v>4</v>
      </c>
      <c r="H315">
        <f>'体验表-带进度条'!R306</f>
        <v>0</v>
      </c>
      <c r="I315" s="113">
        <f>转换!I306</f>
        <v>17</v>
      </c>
      <c r="J315" s="113">
        <f>IF(I315=17,1,IF(I315=9,1,IF(转换!I306&gt;0,VLOOKUP(转换!H306,道具!B:C,2,FALSE),"")))</f>
        <v>1</v>
      </c>
      <c r="K315" s="114">
        <f>IF(转换!I306=17,ROUND(转换!J306*100/转换!$U$2,0),IF(转换!I306=9,F315,转换!J306))</f>
        <v>201</v>
      </c>
      <c r="L315" s="115"/>
      <c r="M315" s="115"/>
      <c r="N315" s="115"/>
      <c r="O315" s="113"/>
      <c r="P315" s="113"/>
      <c r="Q315" s="113"/>
      <c r="R315" s="97"/>
      <c r="S315" s="97"/>
      <c r="T315" s="97"/>
    </row>
    <row r="316" customFormat="1" spans="1:20">
      <c r="A316">
        <f>IF(C316=1,1001+COUNTIF($C$5:C315,1),2001+COUNTIF($C$5:C315,2))</f>
        <v>1256</v>
      </c>
      <c r="B316">
        <v>1</v>
      </c>
      <c r="C316" s="121">
        <v>1</v>
      </c>
      <c r="D316" s="122" t="str">
        <f>IFERROR(_xlfn.IFNA(VLOOKUP(ROUND(F316,0),道具!$B$271:$C$295,2,FALSE),""),"")</f>
        <v/>
      </c>
      <c r="E316" s="122" t="str">
        <f>IFERROR(_xlfn.IFNA(VLOOKUP(ROUND(F316,0),道具!$B$296:$C$320,2,FALSE),""),"")</f>
        <v/>
      </c>
      <c r="F316" t="str">
        <f>IF(转换!B307&gt;0,转换!B307*100,"")</f>
        <v/>
      </c>
      <c r="G316">
        <v>5</v>
      </c>
      <c r="H316">
        <f>'体验表-带进度条'!R307</f>
        <v>10</v>
      </c>
      <c r="I316" s="113">
        <f>转换!I307</f>
        <v>4</v>
      </c>
      <c r="J316" s="113">
        <f>IF(I316=17,1,IF(I316=9,1,IF(转换!I307&gt;0,VLOOKUP(转换!H307,道具!B:C,2,FALSE),"")))</f>
        <v>100002</v>
      </c>
      <c r="K316" s="114">
        <f>IF(转换!I307=17,ROUND(转换!J307*100/转换!$U$2,0),IF(转换!I307=9,F316,转换!J307))</f>
        <v>1</v>
      </c>
      <c r="L316" s="115"/>
      <c r="M316" s="115"/>
      <c r="N316" s="115"/>
      <c r="O316" s="113"/>
      <c r="P316" s="113"/>
      <c r="Q316" s="113"/>
      <c r="R316" s="97"/>
      <c r="S316" s="97"/>
      <c r="T316" s="97"/>
    </row>
    <row r="317" customFormat="1" spans="1:20">
      <c r="A317">
        <f>IF(C317=1,1001+COUNTIF($C$5:C316,1),2001+COUNTIF($C$5:C316,2))</f>
        <v>1257</v>
      </c>
      <c r="B317">
        <v>1</v>
      </c>
      <c r="C317" s="121">
        <v>1</v>
      </c>
      <c r="D317" s="122" t="str">
        <f>IFERROR(_xlfn.IFNA(VLOOKUP(ROUND(F317,0),道具!$B$271:$C$295,2,FALSE),""),"")</f>
        <v/>
      </c>
      <c r="E317" s="122" t="str">
        <f>IFERROR(_xlfn.IFNA(VLOOKUP(ROUND(F317,0),道具!$B$296:$C$320,2,FALSE),""),"")</f>
        <v/>
      </c>
      <c r="F317" t="str">
        <f>IF(转换!B308&gt;0,转换!B308*100,"")</f>
        <v/>
      </c>
      <c r="G317">
        <v>6</v>
      </c>
      <c r="H317">
        <f>'体验表-带进度条'!R308</f>
        <v>0</v>
      </c>
      <c r="I317" s="113">
        <f>转换!I308</f>
        <v>3</v>
      </c>
      <c r="J317" s="113">
        <f>IF(I317=17,1,IF(I317=9,1,IF(转换!I308&gt;0,VLOOKUP(转换!H308,道具!B:C,2,FALSE),"")))</f>
        <v>192001</v>
      </c>
      <c r="K317" s="114">
        <f>IF(转换!I308=17,ROUND(转换!J308*100/转换!$U$2,0),IF(转换!I308=9,F317,转换!J308))</f>
        <v>5</v>
      </c>
      <c r="L317" s="115"/>
      <c r="M317" s="115"/>
      <c r="N317" s="115"/>
      <c r="O317" s="113"/>
      <c r="P317" s="113"/>
      <c r="Q317" s="113"/>
      <c r="R317" s="97"/>
      <c r="S317" s="97"/>
      <c r="T317" s="97"/>
    </row>
    <row r="318" customFormat="1" spans="1:20">
      <c r="A318">
        <f>IF(C318=1,1001+COUNTIF($C$5:C317,1),2001+COUNTIF($C$5:C317,2))</f>
        <v>1258</v>
      </c>
      <c r="B318">
        <v>1</v>
      </c>
      <c r="C318" s="121">
        <v>1</v>
      </c>
      <c r="D318" s="122" t="str">
        <f>IFERROR(_xlfn.IFNA(VLOOKUP(ROUND(F318,0),道具!$B$271:$C$295,2,FALSE),""),"")</f>
        <v/>
      </c>
      <c r="E318" s="122" t="str">
        <f>IFERROR(_xlfn.IFNA(VLOOKUP(ROUND(F318,0),道具!$B$296:$C$320,2,FALSE),""),"")</f>
        <v/>
      </c>
      <c r="F318" t="str">
        <f>IF(转换!B309&gt;0,转换!B309*100,"")</f>
        <v/>
      </c>
      <c r="G318">
        <v>7</v>
      </c>
      <c r="H318">
        <f>'体验表-带进度条'!R309</f>
        <v>0</v>
      </c>
      <c r="I318" s="113">
        <f>转换!I309</f>
        <v>3</v>
      </c>
      <c r="J318" s="113">
        <f>IF(I318=17,1,IF(I318=9,1,IF(转换!I309&gt;0,VLOOKUP(转换!H309,道具!B:C,2,FALSE),"")))</f>
        <v>171001</v>
      </c>
      <c r="K318" s="114">
        <f>IF(转换!I309=17,ROUND(转换!J309*100/转换!$U$2,0),IF(转换!I309=9,F318,转换!J309))</f>
        <v>1</v>
      </c>
      <c r="L318" s="115"/>
      <c r="M318" s="115"/>
      <c r="N318" s="115"/>
      <c r="O318" s="113"/>
      <c r="P318" s="113"/>
      <c r="Q318" s="113"/>
      <c r="R318" s="97"/>
      <c r="S318" s="97"/>
      <c r="T318" s="97"/>
    </row>
    <row r="319" customFormat="1" spans="1:20">
      <c r="A319">
        <f>IF(C319=1,1001+COUNTIF($C$5:C318,1),2001+COUNTIF($C$5:C318,2))</f>
        <v>1259</v>
      </c>
      <c r="B319">
        <v>1</v>
      </c>
      <c r="C319" s="121">
        <v>1</v>
      </c>
      <c r="D319" s="122" t="str">
        <f>IFERROR(_xlfn.IFNA(VLOOKUP(ROUND(F319,0),道具!$B$271:$C$295,2,FALSE),""),"")</f>
        <v/>
      </c>
      <c r="E319" s="122" t="str">
        <f>IFERROR(_xlfn.IFNA(VLOOKUP(ROUND(F319,0),道具!$B$296:$C$320,2,FALSE),""),"")</f>
        <v/>
      </c>
      <c r="F319" t="str">
        <f>IF(转换!B311&gt;0,转换!B311*100,"")</f>
        <v/>
      </c>
      <c r="G319">
        <v>9</v>
      </c>
      <c r="H319">
        <f>'体验表-带进度条'!R311</f>
        <v>0</v>
      </c>
      <c r="I319" s="113">
        <f>转换!I311</f>
        <v>3</v>
      </c>
      <c r="J319" s="113">
        <f>IF(I319=17,1,IF(I319=9,1,IF(转换!I311&gt;0,VLOOKUP(转换!H311,道具!B:C,2,FALSE),"")))</f>
        <v>160001</v>
      </c>
      <c r="K319" s="114">
        <f>IF(转换!I311=17,ROUND(转换!J311*100/转换!$U$2,0),IF(转换!I311=9,F319,转换!J311))</f>
        <v>2</v>
      </c>
      <c r="L319" s="115"/>
      <c r="M319" s="115"/>
      <c r="N319" s="115"/>
      <c r="O319" s="113"/>
      <c r="P319" s="113"/>
      <c r="Q319" s="113"/>
      <c r="R319" s="97"/>
      <c r="S319" s="97"/>
      <c r="T319" s="97"/>
    </row>
    <row r="320" customFormat="1" spans="1:20">
      <c r="A320">
        <f>IF(C320=1,1001+COUNTIF($C$5:C319,1),2001+COUNTIF($C$5:C319,2))</f>
        <v>1260</v>
      </c>
      <c r="B320">
        <v>1</v>
      </c>
      <c r="C320" s="121">
        <v>1</v>
      </c>
      <c r="D320" s="122" t="str">
        <f>IFERROR(_xlfn.IFNA(VLOOKUP(ROUND(F320,0),道具!$B$271:$C$295,2,FALSE),""),"")</f>
        <v/>
      </c>
      <c r="E320" s="122" t="str">
        <f>IFERROR(_xlfn.IFNA(VLOOKUP(ROUND(F320,0),道具!$B$296:$C$320,2,FALSE),""),"")</f>
        <v/>
      </c>
      <c r="F320" t="str">
        <f>IF(转换!B312&gt;0,转换!B312*100,"")</f>
        <v/>
      </c>
      <c r="G320">
        <v>10</v>
      </c>
      <c r="H320">
        <f>'体验表-带进度条'!R312</f>
        <v>0</v>
      </c>
      <c r="I320" s="113">
        <f>转换!I312</f>
        <v>17</v>
      </c>
      <c r="J320" s="113">
        <f>IF(I320=17,1,IF(I320=9,1,IF(转换!I312&gt;0,VLOOKUP(转换!H312,道具!B:C,2,FALSE),"")))</f>
        <v>1</v>
      </c>
      <c r="K320" s="114">
        <f>IF(转换!I312=17,ROUND(转换!J312*100/转换!$U$2,0),IF(转换!I312=9,F320,转换!J312))</f>
        <v>40</v>
      </c>
      <c r="L320" s="115"/>
      <c r="M320" s="115"/>
      <c r="N320" s="115"/>
      <c r="O320" s="113"/>
      <c r="P320" s="113"/>
      <c r="Q320" s="113"/>
      <c r="R320" s="97"/>
      <c r="S320" s="97"/>
      <c r="T320" s="97"/>
    </row>
    <row r="321" customFormat="1" spans="1:20">
      <c r="A321">
        <f>IF(C321=1,1001+COUNTIF($C$5:C320,1),2001+COUNTIF($C$5:C320,2))</f>
        <v>1261</v>
      </c>
      <c r="B321">
        <v>1</v>
      </c>
      <c r="C321" s="121">
        <v>1</v>
      </c>
      <c r="D321" s="122" t="str">
        <f>IFERROR(_xlfn.IFNA(VLOOKUP(ROUND(F321,0),道具!$B$271:$C$295,2,FALSE),""),"")</f>
        <v/>
      </c>
      <c r="E321" s="122" t="str">
        <f>IFERROR(_xlfn.IFNA(VLOOKUP(ROUND(F321,0),道具!$B$296:$C$320,2,FALSE),""),"")</f>
        <v/>
      </c>
      <c r="F321" t="str">
        <f>IF(转换!B313&gt;0,转换!B313*100,"")</f>
        <v/>
      </c>
      <c r="G321">
        <v>11</v>
      </c>
      <c r="H321">
        <f>'体验表-带进度条'!R313</f>
        <v>0</v>
      </c>
      <c r="I321" s="113">
        <f>转换!I313</f>
        <v>4</v>
      </c>
      <c r="J321" s="113">
        <f>IF(I321=17,1,IF(I321=9,1,IF(转换!I313&gt;0,VLOOKUP(转换!H313,道具!B:C,2,FALSE),"")))</f>
        <v>100003</v>
      </c>
      <c r="K321" s="114">
        <f>IF(转换!I313=17,ROUND(转换!J313*100/转换!$U$2,0),IF(转换!I313=9,F321,转换!J313))</f>
        <v>1</v>
      </c>
      <c r="L321" s="115"/>
      <c r="M321" s="115"/>
      <c r="N321" s="115"/>
      <c r="O321" s="113"/>
      <c r="P321" s="113"/>
      <c r="Q321" s="113"/>
      <c r="R321" s="97"/>
      <c r="S321" s="97"/>
      <c r="T321" s="97"/>
    </row>
    <row r="322" customFormat="1" spans="1:20">
      <c r="A322">
        <f>IF(C322=1,1001+COUNTIF($C$5:C321,1),2001+COUNTIF($C$5:C321,2))</f>
        <v>1262</v>
      </c>
      <c r="B322">
        <v>1</v>
      </c>
      <c r="C322" s="121">
        <v>1</v>
      </c>
      <c r="D322" s="122" t="str">
        <f>IFERROR(_xlfn.IFNA(VLOOKUP(ROUND(F322,0),道具!$B$271:$C$295,2,FALSE),""),"")</f>
        <v/>
      </c>
      <c r="E322" s="122" t="str">
        <f>IFERROR(_xlfn.IFNA(VLOOKUP(ROUND(F322,0),道具!$B$296:$C$320,2,FALSE),""),"")</f>
        <v/>
      </c>
      <c r="F322" t="str">
        <f>IF(转换!B314&gt;0,转换!B314*100,"")</f>
        <v/>
      </c>
      <c r="G322">
        <v>12</v>
      </c>
      <c r="H322">
        <f>'体验表-带进度条'!R314</f>
        <v>0</v>
      </c>
      <c r="I322" s="113">
        <f>转换!I314</f>
        <v>3</v>
      </c>
      <c r="J322" s="113">
        <f>IF(I322=17,1,IF(I322=9,1,IF(转换!I314&gt;0,VLOOKUP(转换!H314,道具!B:C,2,FALSE),"")))</f>
        <v>192001</v>
      </c>
      <c r="K322" s="114">
        <f>IF(转换!I314=17,ROUND(转换!J314*100/转换!$U$2,0),IF(转换!I314=9,F322,转换!J314))</f>
        <v>10</v>
      </c>
      <c r="L322" s="115"/>
      <c r="M322" s="115"/>
      <c r="N322" s="115"/>
      <c r="O322" s="113"/>
      <c r="P322" s="113"/>
      <c r="Q322" s="113"/>
      <c r="R322" s="97"/>
      <c r="S322" s="97"/>
      <c r="T322" s="97"/>
    </row>
    <row r="323" customFormat="1" spans="1:20">
      <c r="A323">
        <f>IF(C323=1,1001+COUNTIF($C$5:C322,1),2001+COUNTIF($C$5:C322,2))</f>
        <v>1263</v>
      </c>
      <c r="B323">
        <v>1</v>
      </c>
      <c r="C323" s="121">
        <v>1</v>
      </c>
      <c r="D323" s="122" t="str">
        <f>IFERROR(_xlfn.IFNA(VLOOKUP(ROUND(F323,0),道具!$B$271:$C$295,2,FALSE),""),"")</f>
        <v/>
      </c>
      <c r="E323" s="122" t="str">
        <f>IFERROR(_xlfn.IFNA(VLOOKUP(ROUND(F323,0),道具!$B$296:$C$320,2,FALSE),""),"")</f>
        <v/>
      </c>
      <c r="F323" t="str">
        <f>IF(转换!B315&gt;0,转换!B315*100,"")</f>
        <v/>
      </c>
      <c r="G323">
        <v>13</v>
      </c>
      <c r="H323">
        <f>'体验表-带进度条'!R315</f>
        <v>0</v>
      </c>
      <c r="I323" s="113">
        <f>转换!I315</f>
        <v>3</v>
      </c>
      <c r="J323" s="113">
        <f>IF(I323=17,1,IF(I323=9,1,IF(转换!I315&gt;0,VLOOKUP(转换!H315,道具!B:C,2,FALSE),"")))</f>
        <v>171002</v>
      </c>
      <c r="K323" s="114">
        <f>IF(转换!I315=17,ROUND(转换!J315*100/转换!$U$2,0),IF(转换!I315=9,F323,转换!J315))</f>
        <v>1</v>
      </c>
      <c r="L323" s="115"/>
      <c r="M323" s="115"/>
      <c r="N323" s="115"/>
      <c r="O323" s="113"/>
      <c r="P323" s="113"/>
      <c r="Q323" s="113"/>
      <c r="R323" s="97"/>
      <c r="S323" s="97"/>
      <c r="T323" s="97"/>
    </row>
    <row r="324" customFormat="1" spans="1:20">
      <c r="A324">
        <f>IF(C324=1,1001+COUNTIF($C$5:C323,1),2001+COUNTIF($C$5:C323,2))</f>
        <v>1264</v>
      </c>
      <c r="B324">
        <v>1</v>
      </c>
      <c r="C324" s="121">
        <v>1</v>
      </c>
      <c r="D324" s="122" t="str">
        <f>IFERROR(_xlfn.IFNA(VLOOKUP(ROUND(F324,0),道具!$B$271:$C$295,2,FALSE),""),"")</f>
        <v/>
      </c>
      <c r="E324" s="122" t="str">
        <f>IFERROR(_xlfn.IFNA(VLOOKUP(ROUND(F324,0),道具!$B$296:$C$320,2,FALSE),""),"")</f>
        <v/>
      </c>
      <c r="F324" t="str">
        <f>IF(转换!B317&gt;0,转换!B317*100,"")</f>
        <v/>
      </c>
      <c r="G324">
        <v>15</v>
      </c>
      <c r="H324">
        <f>'体验表-带进度条'!R317</f>
        <v>0</v>
      </c>
      <c r="I324" s="113">
        <f>转换!I317</f>
        <v>3</v>
      </c>
      <c r="J324" s="113">
        <f>IF(I324=17,1,IF(I324=9,1,IF(转换!I317&gt;0,VLOOKUP(转换!H317,道具!B:C,2,FALSE),"")))</f>
        <v>160001</v>
      </c>
      <c r="K324" s="114">
        <f>IF(转换!I317=17,ROUND(转换!J317*100/转换!$U$2,0),IF(转换!I317=9,F324,转换!J317))</f>
        <v>3</v>
      </c>
      <c r="L324" s="115"/>
      <c r="M324" s="115"/>
      <c r="N324" s="115"/>
      <c r="O324" s="113"/>
      <c r="P324" s="113"/>
      <c r="Q324" s="113"/>
      <c r="R324" s="97"/>
      <c r="S324" s="97"/>
      <c r="T324" s="97"/>
    </row>
    <row r="325" customFormat="1" spans="1:20">
      <c r="A325">
        <f>IF(C325=1,1001+COUNTIF($C$5:C324,1),2001+COUNTIF($C$5:C324,2))</f>
        <v>1265</v>
      </c>
      <c r="B325">
        <v>1</v>
      </c>
      <c r="C325" s="121">
        <v>1</v>
      </c>
      <c r="D325" s="122" t="str">
        <f>IFERROR(_xlfn.IFNA(VLOOKUP(ROUND(F325,0),道具!$B$271:$C$295,2,FALSE),""),"")</f>
        <v/>
      </c>
      <c r="E325" s="122" t="str">
        <f>IFERROR(_xlfn.IFNA(VLOOKUP(ROUND(F325,0),道具!$B$296:$C$320,2,FALSE),""),"")</f>
        <v/>
      </c>
      <c r="F325" t="str">
        <f>IF(转换!B318&gt;0,转换!B318*100,"")</f>
        <v/>
      </c>
      <c r="G325">
        <v>16</v>
      </c>
      <c r="H325">
        <f>'体验表-带进度条'!R318</f>
        <v>0</v>
      </c>
      <c r="I325" s="113">
        <f>转换!I318</f>
        <v>17</v>
      </c>
      <c r="J325" s="113">
        <f>IF(I325=17,1,IF(I325=9,1,IF(转换!I318&gt;0,VLOOKUP(转换!H318,道具!B:C,2,FALSE),"")))</f>
        <v>1</v>
      </c>
      <c r="K325" s="114">
        <f>IF(转换!I318=17,ROUND(转换!J318*100/转换!$U$2,0),IF(转换!I318=9,F325,转换!J318))</f>
        <v>201</v>
      </c>
      <c r="L325" s="115"/>
      <c r="M325" s="115"/>
      <c r="N325" s="115"/>
      <c r="O325" s="113"/>
      <c r="P325" s="113"/>
      <c r="Q325" s="113"/>
      <c r="R325" s="97"/>
      <c r="S325" s="97"/>
      <c r="T325" s="97"/>
    </row>
    <row r="326" customFormat="1" spans="1:20">
      <c r="A326">
        <f>IF(C326=1,1001+COUNTIF($C$5:C325,1),2001+COUNTIF($C$5:C325,2))</f>
        <v>1266</v>
      </c>
      <c r="B326">
        <v>1</v>
      </c>
      <c r="C326" s="121">
        <v>1</v>
      </c>
      <c r="D326" s="122" t="str">
        <f>IFERROR(_xlfn.IFNA(VLOOKUP(ROUND(F326,0),道具!$B$271:$C$295,2,FALSE),""),"")</f>
        <v/>
      </c>
      <c r="E326" s="122" t="str">
        <f>IFERROR(_xlfn.IFNA(VLOOKUP(ROUND(F326,0),道具!$B$296:$C$320,2,FALSE),""),"")</f>
        <v/>
      </c>
      <c r="F326" t="str">
        <f>IF(转换!B319&gt;0,转换!B319*100,"")</f>
        <v/>
      </c>
      <c r="G326">
        <v>17</v>
      </c>
      <c r="H326">
        <f>'体验表-带进度条'!R319</f>
        <v>25</v>
      </c>
      <c r="I326" s="113">
        <f>转换!I319</f>
        <v>4</v>
      </c>
      <c r="J326" s="113">
        <f>IF(I326=17,1,IF(I326=9,1,IF(转换!I319&gt;0,VLOOKUP(转换!H319,道具!B:C,2,FALSE),"")))</f>
        <v>100004</v>
      </c>
      <c r="K326" s="114">
        <f>IF(转换!I319=17,ROUND(转换!J319*100/转换!$U$2,0),IF(转换!I319=9,F326,转换!J319))</f>
        <v>1</v>
      </c>
      <c r="L326" s="115"/>
      <c r="M326" s="115"/>
      <c r="N326" s="115"/>
      <c r="O326" s="113"/>
      <c r="P326" s="113"/>
      <c r="Q326" s="113"/>
      <c r="R326" s="97"/>
      <c r="S326" s="97"/>
      <c r="T326" s="97"/>
    </row>
    <row r="327" customFormat="1" spans="1:20">
      <c r="A327">
        <f>IF(C327=1,1001+COUNTIF($C$5:C326,1),2001+COUNTIF($C$5:C326,2))</f>
        <v>1267</v>
      </c>
      <c r="B327">
        <v>1</v>
      </c>
      <c r="C327" s="121">
        <v>1</v>
      </c>
      <c r="D327" s="122" t="str">
        <f>IFERROR(_xlfn.IFNA(VLOOKUP(ROUND(F327,0),道具!$B$271:$C$295,2,FALSE),""),"")</f>
        <v/>
      </c>
      <c r="E327" s="122" t="str">
        <f>IFERROR(_xlfn.IFNA(VLOOKUP(ROUND(F327,0),道具!$B$296:$C$320,2,FALSE),""),"")</f>
        <v/>
      </c>
      <c r="F327" t="str">
        <f>IF(转换!B320&gt;0,转换!B320*100,"")</f>
        <v/>
      </c>
      <c r="G327">
        <v>18</v>
      </c>
      <c r="H327">
        <f>'体验表-带进度条'!R320</f>
        <v>0</v>
      </c>
      <c r="I327" s="113">
        <f>转换!I320</f>
        <v>3</v>
      </c>
      <c r="J327" s="113">
        <f>IF(I327=17,1,IF(I327=9,1,IF(转换!I320&gt;0,VLOOKUP(转换!H320,道具!B:C,2,FALSE),"")))</f>
        <v>192001</v>
      </c>
      <c r="K327" s="114">
        <f>IF(转换!I320=17,ROUND(转换!J320*100/转换!$U$2,0),IF(转换!I320=9,F327,转换!J320))</f>
        <v>15</v>
      </c>
      <c r="L327" s="115"/>
      <c r="M327" s="115"/>
      <c r="N327" s="115"/>
      <c r="O327" s="113"/>
      <c r="P327" s="113"/>
      <c r="Q327" s="113"/>
      <c r="R327" s="97"/>
      <c r="S327" s="97"/>
      <c r="T327" s="97"/>
    </row>
    <row r="328" customFormat="1" ht="18" customHeight="1" spans="1:20">
      <c r="A328">
        <f>IF(C328=1,1001+COUNTIF($C$5:C327,1),2001+COUNTIF($C$5:C327,2))</f>
        <v>1268</v>
      </c>
      <c r="B328">
        <v>1</v>
      </c>
      <c r="C328" s="121">
        <v>1</v>
      </c>
      <c r="D328" s="122" t="str">
        <f>IFERROR(_xlfn.IFNA(VLOOKUP(ROUND(F328,0),道具!$B$271:$C$295,2,FALSE),""),"")</f>
        <v/>
      </c>
      <c r="E328" s="122" t="str">
        <f>IFERROR(_xlfn.IFNA(VLOOKUP(ROUND(F328,0),道具!$B$296:$C$320,2,FALSE),""),"")</f>
        <v/>
      </c>
      <c r="F328" t="str">
        <f>IF(转换!B321&gt;0,转换!B321*100,"")</f>
        <v/>
      </c>
      <c r="G328">
        <v>19</v>
      </c>
      <c r="H328">
        <f>'体验表-带进度条'!R321</f>
        <v>0</v>
      </c>
      <c r="I328" s="113">
        <f>转换!I321</f>
        <v>3</v>
      </c>
      <c r="J328" s="113">
        <f>IF(I328=17,1,IF(I328=9,1,IF(转换!I321&gt;0,VLOOKUP(转换!H321,道具!B:C,2,FALSE),"")))</f>
        <v>171001</v>
      </c>
      <c r="K328" s="114">
        <f>IF(转换!I321=17,ROUND(转换!J321*100/转换!$U$2,0),IF(转换!I321=9,F328,转换!J321))</f>
        <v>1</v>
      </c>
      <c r="L328" s="115"/>
      <c r="M328" s="115"/>
      <c r="N328" s="115"/>
      <c r="O328" s="113"/>
      <c r="P328" s="113"/>
      <c r="Q328" s="113"/>
      <c r="R328" s="97"/>
      <c r="S328" s="97"/>
      <c r="T328" s="97"/>
    </row>
    <row r="329" customFormat="1" spans="1:20">
      <c r="A329">
        <f>IF(C329=1,1001+COUNTIF($C$5:C328,1),2001+COUNTIF($C$5:C328,2))</f>
        <v>1269</v>
      </c>
      <c r="B329">
        <v>1</v>
      </c>
      <c r="C329" s="121">
        <v>1</v>
      </c>
      <c r="D329" s="122" t="str">
        <f>IFERROR(_xlfn.IFNA(VLOOKUP(ROUND(F329,0),道具!$B$271:$C$295,2,FALSE),""),"")</f>
        <v/>
      </c>
      <c r="E329" s="122" t="str">
        <f>IFERROR(_xlfn.IFNA(VLOOKUP(ROUND(F329,0),道具!$B$296:$C$320,2,FALSE),""),"")</f>
        <v/>
      </c>
      <c r="F329" t="str">
        <f>IF(转换!B323&gt;0,转换!B323*100,"")</f>
        <v/>
      </c>
      <c r="G329">
        <v>21</v>
      </c>
      <c r="H329">
        <f>'体验表-带进度条'!R323</f>
        <v>0</v>
      </c>
      <c r="I329" s="113">
        <f>转换!I323</f>
        <v>3</v>
      </c>
      <c r="J329" s="113">
        <f>IF(I329=17,1,IF(I329=9,1,IF(转换!I323&gt;0,VLOOKUP(转换!H323,道具!B:C,2,FALSE),"")))</f>
        <v>160001</v>
      </c>
      <c r="K329" s="114">
        <f>IF(转换!I323=17,ROUND(转换!J323*100/转换!$U$2,0),IF(转换!I323=9,F329,转换!J323))</f>
        <v>4</v>
      </c>
      <c r="L329" s="115"/>
      <c r="M329" s="115"/>
      <c r="N329" s="115"/>
      <c r="O329" s="113"/>
      <c r="P329" s="113"/>
      <c r="Q329" s="113"/>
      <c r="R329" s="97"/>
      <c r="S329" s="97"/>
      <c r="T329" s="97"/>
    </row>
    <row r="330" customFormat="1" spans="1:20">
      <c r="A330">
        <f>IF(C330=1,1001+COUNTIF($C$5:C329,1),2001+COUNTIF($C$5:C329,2))</f>
        <v>1270</v>
      </c>
      <c r="B330">
        <v>1</v>
      </c>
      <c r="C330" s="121">
        <v>1</v>
      </c>
      <c r="D330" s="122" t="str">
        <f>IFERROR(_xlfn.IFNA(VLOOKUP(ROUND(F330,0),道具!$B$271:$C$295,2,FALSE),""),"")</f>
        <v/>
      </c>
      <c r="E330" s="122" t="str">
        <f>IFERROR(_xlfn.IFNA(VLOOKUP(ROUND(F330,0),道具!$B$296:$C$320,2,FALSE),""),"")</f>
        <v/>
      </c>
      <c r="F330" t="str">
        <f>IF(转换!B324&gt;0,转换!B324*100,"")</f>
        <v/>
      </c>
      <c r="G330">
        <v>22</v>
      </c>
      <c r="H330">
        <f>'体验表-带进度条'!R324</f>
        <v>0</v>
      </c>
      <c r="I330" s="113">
        <f>转换!I324</f>
        <v>17</v>
      </c>
      <c r="J330" s="113">
        <f>IF(I330=17,1,IF(I330=9,1,IF(转换!I324&gt;0,VLOOKUP(转换!H324,道具!B:C,2,FALSE),"")))</f>
        <v>1</v>
      </c>
      <c r="K330" s="114">
        <f>IF(转换!I324=17,ROUND(转换!J324*100/转换!$U$2,0),IF(转换!I324=9,F330,转换!J324))</f>
        <v>161</v>
      </c>
      <c r="L330" s="115"/>
      <c r="M330" s="115"/>
      <c r="N330" s="115"/>
      <c r="O330" s="113"/>
      <c r="P330" s="113"/>
      <c r="Q330" s="113"/>
      <c r="R330" s="97"/>
      <c r="S330" s="97"/>
      <c r="T330" s="97"/>
    </row>
    <row r="331" customFormat="1" spans="1:20">
      <c r="A331">
        <f>IF(C331=1,1001+COUNTIF($C$5:C330,1),2001+COUNTIF($C$5:C330,2))</f>
        <v>1271</v>
      </c>
      <c r="B331">
        <v>1</v>
      </c>
      <c r="C331" s="121">
        <v>1</v>
      </c>
      <c r="D331" s="122" t="str">
        <f>IFERROR(_xlfn.IFNA(VLOOKUP(ROUND(F331,0),道具!$B$271:$C$295,2,FALSE),""),"")</f>
        <v/>
      </c>
      <c r="E331" s="122" t="str">
        <f>IFERROR(_xlfn.IFNA(VLOOKUP(ROUND(F331,0),道具!$B$296:$C$320,2,FALSE),""),"")</f>
        <v/>
      </c>
      <c r="F331" t="str">
        <f>IF(转换!B325&gt;0,转换!B325*100,"")</f>
        <v/>
      </c>
      <c r="G331">
        <v>23</v>
      </c>
      <c r="H331">
        <f>'体验表-带进度条'!R325</f>
        <v>15</v>
      </c>
      <c r="I331" s="113">
        <f>转换!I325</f>
        <v>4</v>
      </c>
      <c r="J331" s="113">
        <f>IF(I331=17,1,IF(I331=9,1,IF(转换!I325&gt;0,VLOOKUP(转换!H325,道具!B:C,2,FALSE),"")))</f>
        <v>100004</v>
      </c>
      <c r="K331" s="114">
        <f>IF(转换!I325=17,ROUND(转换!J325*100/转换!$U$2,0),IF(转换!I325=9,F331,转换!J325))</f>
        <v>1</v>
      </c>
      <c r="L331" s="115"/>
      <c r="M331" s="115"/>
      <c r="N331" s="115"/>
      <c r="O331" s="113"/>
      <c r="P331" s="113"/>
      <c r="Q331" s="113"/>
      <c r="R331" s="97"/>
      <c r="S331" s="97"/>
      <c r="T331" s="97"/>
    </row>
    <row r="332" customFormat="1" spans="1:20">
      <c r="A332">
        <f>IF(C332=1,1001+COUNTIF($C$5:C331,1),2001+COUNTIF($C$5:C331,2))</f>
        <v>1272</v>
      </c>
      <c r="B332">
        <v>1</v>
      </c>
      <c r="C332" s="121">
        <v>1</v>
      </c>
      <c r="D332" s="122" t="str">
        <f>IFERROR(_xlfn.IFNA(VLOOKUP(ROUND(F332,0),道具!$B$271:$C$295,2,FALSE),""),"")</f>
        <v/>
      </c>
      <c r="E332" s="122" t="str">
        <f>IFERROR(_xlfn.IFNA(VLOOKUP(ROUND(F332,0),道具!$B$296:$C$320,2,FALSE),""),"")</f>
        <v/>
      </c>
      <c r="F332" t="str">
        <f>IF(转换!B326&gt;0,转换!B326*100,"")</f>
        <v/>
      </c>
      <c r="G332">
        <v>24</v>
      </c>
      <c r="H332">
        <f>'体验表-带进度条'!R326</f>
        <v>0</v>
      </c>
      <c r="I332" s="113">
        <f>转换!I326</f>
        <v>3</v>
      </c>
      <c r="J332" s="113">
        <f>IF(I332=17,1,IF(I332=9,1,IF(转换!I326&gt;0,VLOOKUP(转换!H326,道具!B:C,2,FALSE),"")))</f>
        <v>192001</v>
      </c>
      <c r="K332" s="114">
        <f>IF(转换!I326=17,ROUND(转换!J326*100/转换!$U$2,0),IF(转换!I326=9,F332,转换!J326))</f>
        <v>20</v>
      </c>
      <c r="L332" s="115"/>
      <c r="M332" s="115"/>
      <c r="N332" s="115"/>
      <c r="O332" s="113"/>
      <c r="P332" s="113"/>
      <c r="Q332" s="113"/>
      <c r="R332" s="97"/>
      <c r="S332" s="97"/>
      <c r="T332" s="97"/>
    </row>
    <row r="333" customFormat="1" spans="1:20">
      <c r="A333">
        <f>IF(C333=1,1001+COUNTIF($C$5:C332,1),2001+COUNTIF($C$5:C332,2))</f>
        <v>1273</v>
      </c>
      <c r="B333">
        <v>1</v>
      </c>
      <c r="C333" s="121">
        <v>1</v>
      </c>
      <c r="D333" s="122" t="str">
        <f>IFERROR(_xlfn.IFNA(VLOOKUP(ROUND(F333,0),道具!$B$271:$C$295,2,FALSE),""),"")</f>
        <v/>
      </c>
      <c r="E333" s="122" t="str">
        <f>IFERROR(_xlfn.IFNA(VLOOKUP(ROUND(F333,0),道具!$B$296:$C$320,2,FALSE),""),"")</f>
        <v/>
      </c>
      <c r="F333" t="str">
        <f>IF(转换!B327&gt;0,转换!B327*100,"")</f>
        <v/>
      </c>
      <c r="G333">
        <v>25</v>
      </c>
      <c r="H333">
        <f>'体验表-带进度条'!R327</f>
        <v>0</v>
      </c>
      <c r="I333" s="113">
        <f>转换!I327</f>
        <v>3</v>
      </c>
      <c r="J333" s="113">
        <f>IF(I333=17,1,IF(I333=9,1,IF(转换!I327&gt;0,VLOOKUP(转换!H327,道具!B:C,2,FALSE),"")))</f>
        <v>171002</v>
      </c>
      <c r="K333" s="114">
        <f>IF(转换!I327=17,ROUND(转换!J327*100/转换!$U$2,0),IF(转换!I327=9,F333,转换!J327))</f>
        <v>1</v>
      </c>
      <c r="L333" s="115"/>
      <c r="M333" s="115"/>
      <c r="N333" s="115"/>
      <c r="O333" s="113"/>
      <c r="P333" s="113"/>
      <c r="Q333" s="113"/>
      <c r="R333" s="97"/>
      <c r="S333" s="97"/>
      <c r="T333" s="97"/>
    </row>
    <row r="334" customFormat="1" spans="1:20">
      <c r="A334">
        <f>IF(C334=1,1001+COUNTIF($C$5:C333,1),2001+COUNTIF($C$5:C333,2))</f>
        <v>1274</v>
      </c>
      <c r="B334">
        <v>1</v>
      </c>
      <c r="C334" s="121">
        <v>1</v>
      </c>
      <c r="D334" s="122" t="str">
        <f>IFERROR(_xlfn.IFNA(VLOOKUP(ROUND(F334,0),道具!$B$271:$C$295,2,FALSE),""),"")</f>
        <v/>
      </c>
      <c r="E334" s="122" t="str">
        <f>IFERROR(_xlfn.IFNA(VLOOKUP(ROUND(F334,0),道具!$B$296:$C$320,2,FALSE),""),"")</f>
        <v/>
      </c>
      <c r="F334" t="str">
        <f>IF(转换!B329&gt;0,转换!B329*100,"")</f>
        <v/>
      </c>
      <c r="G334">
        <v>27</v>
      </c>
      <c r="H334">
        <f>'体验表-带进度条'!R329</f>
        <v>0</v>
      </c>
      <c r="I334" s="113">
        <f>转换!I329</f>
        <v>3</v>
      </c>
      <c r="J334" s="113">
        <f>IF(I334=17,1,IF(I334=9,1,IF(转换!I329&gt;0,VLOOKUP(转换!H329,道具!B:C,2,FALSE),"")))</f>
        <v>160001</v>
      </c>
      <c r="K334" s="114">
        <f>IF(转换!I329=17,ROUND(转换!J329*100/转换!$U$2,0),IF(转换!I329=9,F334,转换!J329))</f>
        <v>5</v>
      </c>
      <c r="L334" s="115"/>
      <c r="M334" s="115"/>
      <c r="N334" s="115"/>
      <c r="O334" s="113"/>
      <c r="P334" s="113"/>
      <c r="Q334" s="113"/>
      <c r="R334" s="97"/>
      <c r="S334" s="97"/>
      <c r="T334" s="97"/>
    </row>
    <row r="335" customFormat="1" spans="1:20">
      <c r="A335">
        <f>IF(C335=1,1001+COUNTIF($C$5:C334,1),2001+COUNTIF($C$5:C334,2))</f>
        <v>1275</v>
      </c>
      <c r="B335">
        <v>1</v>
      </c>
      <c r="C335" s="121">
        <v>1</v>
      </c>
      <c r="D335" s="122" t="str">
        <f>IFERROR(_xlfn.IFNA(VLOOKUP(ROUND(F335,0),道具!$B$271:$C$295,2,FALSE),""),"")</f>
        <v/>
      </c>
      <c r="E335" s="122" t="str">
        <f>IFERROR(_xlfn.IFNA(VLOOKUP(ROUND(F335,0),道具!$B$296:$C$320,2,FALSE),""),"")</f>
        <v/>
      </c>
      <c r="F335" t="str">
        <f>IF(转换!B330&gt;0,转换!B330*100,"")</f>
        <v/>
      </c>
      <c r="G335">
        <v>28</v>
      </c>
      <c r="H335">
        <f>'体验表-带进度条'!R330</f>
        <v>0</v>
      </c>
      <c r="I335" s="113">
        <f>转换!I330</f>
        <v>17</v>
      </c>
      <c r="J335" s="113">
        <f>IF(I335=17,1,IF(I335=9,1,IF(转换!I330&gt;0,VLOOKUP(转换!H330,道具!B:C,2,FALSE),"")))</f>
        <v>1</v>
      </c>
      <c r="K335" s="114">
        <f>IF(转换!I330=17,ROUND(转换!J330*100/转换!$U$2,0),IF(转换!I330=9,F335,转换!J330))</f>
        <v>100</v>
      </c>
      <c r="L335" s="115"/>
      <c r="M335" s="115"/>
      <c r="N335" s="115"/>
      <c r="O335" s="113"/>
      <c r="P335" s="113"/>
      <c r="Q335" s="113"/>
      <c r="R335" s="97"/>
      <c r="S335" s="97"/>
      <c r="T335" s="97"/>
    </row>
    <row r="336" customFormat="1" spans="1:20">
      <c r="A336">
        <f>IF(C336=1,1001+COUNTIF($C$5:C335,1),2001+COUNTIF($C$5:C335,2))</f>
        <v>1276</v>
      </c>
      <c r="B336">
        <v>1</v>
      </c>
      <c r="C336" s="121">
        <v>1</v>
      </c>
      <c r="D336" s="122" t="str">
        <f>IFERROR(_xlfn.IFNA(VLOOKUP(ROUND(F336,0),道具!$B$271:$C$295,2,FALSE),""),"")</f>
        <v/>
      </c>
      <c r="E336" s="122" t="str">
        <f>IFERROR(_xlfn.IFNA(VLOOKUP(ROUND(F336,0),道具!$B$296:$C$320,2,FALSE),""),"")</f>
        <v/>
      </c>
      <c r="F336" t="str">
        <f>IF(转换!B331&gt;0,转换!B331*100,"")</f>
        <v/>
      </c>
      <c r="G336">
        <v>29</v>
      </c>
      <c r="H336">
        <f>'体验表-带进度条'!R331</f>
        <v>25</v>
      </c>
      <c r="I336" s="113">
        <f>转换!I331</f>
        <v>4</v>
      </c>
      <c r="J336" s="113">
        <f>IF(I336=17,1,IF(I336=9,1,IF(转换!I331&gt;0,VLOOKUP(转换!H331,道具!B:C,2,FALSE),"")))</f>
        <v>100005</v>
      </c>
      <c r="K336" s="114">
        <f>IF(转换!I331=17,ROUND(转换!J331*100/转换!$U$2,0),IF(转换!I331=9,F336,转换!J331))</f>
        <v>1</v>
      </c>
      <c r="L336" s="115"/>
      <c r="M336" s="115"/>
      <c r="N336" s="115"/>
      <c r="O336" s="113"/>
      <c r="P336" s="113"/>
      <c r="Q336" s="113"/>
      <c r="R336" s="97"/>
      <c r="S336" s="97"/>
      <c r="T336" s="97"/>
    </row>
    <row r="337" customFormat="1" spans="1:20">
      <c r="A337">
        <f>IF(C337=1,1001+COUNTIF($C$5:C336,1),2001+COUNTIF($C$5:C336,2))</f>
        <v>1277</v>
      </c>
      <c r="B337">
        <v>1</v>
      </c>
      <c r="C337" s="121">
        <v>1</v>
      </c>
      <c r="D337" s="122" t="str">
        <f>IFERROR(_xlfn.IFNA(VLOOKUP(ROUND(F337,0),道具!$B$271:$C$295,2,FALSE),""),"")</f>
        <v/>
      </c>
      <c r="E337" s="122" t="str">
        <f>IFERROR(_xlfn.IFNA(VLOOKUP(ROUND(F337,0),道具!$B$296:$C$320,2,FALSE),""),"")</f>
        <v/>
      </c>
      <c r="F337" t="str">
        <f>IF(转换!B332&gt;0,转换!B332*100,"")</f>
        <v/>
      </c>
      <c r="G337">
        <v>30</v>
      </c>
      <c r="H337">
        <f>'体验表-带进度条'!R332</f>
        <v>0</v>
      </c>
      <c r="I337" s="113">
        <f>转换!I332</f>
        <v>3</v>
      </c>
      <c r="J337" s="113">
        <f>IF(I337=17,1,IF(I337=9,1,IF(转换!I332&gt;0,VLOOKUP(转换!H332,道具!B:C,2,FALSE),"")))</f>
        <v>192001</v>
      </c>
      <c r="K337" s="114">
        <f>IF(转换!I332=17,ROUND(转换!J332*100/转换!$U$2,0),IF(转换!I332=9,F337,转换!J332))</f>
        <v>25</v>
      </c>
      <c r="L337" s="115"/>
      <c r="M337" s="115"/>
      <c r="N337" s="115"/>
      <c r="O337" s="113"/>
      <c r="P337" s="113"/>
      <c r="Q337" s="113"/>
      <c r="R337" s="97"/>
      <c r="S337" s="97"/>
      <c r="T337" s="97"/>
    </row>
    <row r="338" customFormat="1" spans="1:20">
      <c r="A338">
        <f>IF(C338=1,1001+COUNTIF($C$5:C337,1),2001+COUNTIF($C$5:C337,2))</f>
        <v>1278</v>
      </c>
      <c r="B338">
        <v>1</v>
      </c>
      <c r="C338" s="121">
        <v>1</v>
      </c>
      <c r="D338" s="122" t="str">
        <f>IFERROR(_xlfn.IFNA(VLOOKUP(ROUND(F338,0),道具!$B$271:$C$295,2,FALSE),""),"")</f>
        <v/>
      </c>
      <c r="E338" s="122" t="str">
        <f>IFERROR(_xlfn.IFNA(VLOOKUP(ROUND(F338,0),道具!$B$296:$C$320,2,FALSE),""),"")</f>
        <v/>
      </c>
      <c r="F338" t="str">
        <f>IF(转换!B333&gt;0,转换!B333*100,"")</f>
        <v/>
      </c>
      <c r="G338">
        <v>31</v>
      </c>
      <c r="H338">
        <f>'体验表-带进度条'!R333</f>
        <v>0</v>
      </c>
      <c r="I338" s="113">
        <f>转换!I333</f>
        <v>3</v>
      </c>
      <c r="J338" s="113">
        <f>IF(I338=17,1,IF(I338=9,1,IF(转换!I333&gt;0,VLOOKUP(转换!H333,道具!B:C,2,FALSE),"")))</f>
        <v>171001</v>
      </c>
      <c r="K338" s="114">
        <f>IF(转换!I333=17,ROUND(转换!J333*100/转换!$U$2,0),IF(转换!I333=9,F338,转换!J333))</f>
        <v>1</v>
      </c>
      <c r="L338" s="115"/>
      <c r="M338" s="115"/>
      <c r="N338" s="115"/>
      <c r="O338" s="113"/>
      <c r="P338" s="113"/>
      <c r="Q338" s="113"/>
      <c r="R338" s="97"/>
      <c r="S338" s="97"/>
      <c r="T338" s="97"/>
    </row>
    <row r="339" customFormat="1" spans="1:20">
      <c r="A339">
        <f>IF(C339=1,1001+COUNTIF($C$5:C338,1),2001+COUNTIF($C$5:C338,2))</f>
        <v>1279</v>
      </c>
      <c r="B339">
        <v>1</v>
      </c>
      <c r="C339" s="121">
        <v>1</v>
      </c>
      <c r="D339" s="122" t="str">
        <f>IFERROR(_xlfn.IFNA(VLOOKUP(ROUND(F339,0),道具!$B$271:$C$295,2,FALSE),""),"")</f>
        <v/>
      </c>
      <c r="E339" s="122" t="str">
        <f>IFERROR(_xlfn.IFNA(VLOOKUP(ROUND(F339,0),道具!$B$296:$C$320,2,FALSE),""),"")</f>
        <v/>
      </c>
      <c r="F339" t="str">
        <f>IF(转换!B335&gt;0,转换!B335*100,"")</f>
        <v/>
      </c>
      <c r="G339">
        <v>33</v>
      </c>
      <c r="H339">
        <f>'体验表-带进度条'!R335</f>
        <v>0</v>
      </c>
      <c r="I339" s="113">
        <f>转换!I335</f>
        <v>3</v>
      </c>
      <c r="J339" s="113">
        <f>IF(I339=17,1,IF(I339=9,1,IF(转换!I335&gt;0,VLOOKUP(转换!H335,道具!B:C,2,FALSE),"")))</f>
        <v>160001</v>
      </c>
      <c r="K339" s="114">
        <f>IF(转换!I335=17,ROUND(转换!J335*100/转换!$U$2,0),IF(转换!I335=9,F339,转换!J335))</f>
        <v>6</v>
      </c>
      <c r="L339" s="115"/>
      <c r="M339" s="115"/>
      <c r="N339" s="115"/>
      <c r="O339" s="113"/>
      <c r="P339" s="113"/>
      <c r="Q339" s="113"/>
      <c r="R339" s="97"/>
      <c r="S339" s="97"/>
      <c r="T339" s="97"/>
    </row>
    <row r="340" customFormat="1" spans="1:20">
      <c r="A340">
        <f>IF(C340=1,1001+COUNTIF($C$5:C339,1),2001+COUNTIF($C$5:C339,2))</f>
        <v>1280</v>
      </c>
      <c r="B340">
        <v>1</v>
      </c>
      <c r="C340" s="121">
        <v>1</v>
      </c>
      <c r="D340" s="122" t="str">
        <f>IFERROR(_xlfn.IFNA(VLOOKUP(ROUND(F340,0),道具!$B$271:$C$295,2,FALSE),""),"")</f>
        <v/>
      </c>
      <c r="E340" s="122" t="str">
        <f>IFERROR(_xlfn.IFNA(VLOOKUP(ROUND(F340,0),道具!$B$296:$C$320,2,FALSE),""),"")</f>
        <v/>
      </c>
      <c r="F340" t="str">
        <f>IF(转换!B336&gt;0,转换!B336*100,"")</f>
        <v/>
      </c>
      <c r="G340">
        <v>34</v>
      </c>
      <c r="H340">
        <f>'体验表-带进度条'!R336</f>
        <v>0</v>
      </c>
      <c r="I340" s="113">
        <f>转换!I336</f>
        <v>17</v>
      </c>
      <c r="J340" s="113">
        <f>IF(I340=17,1,IF(I340=9,1,IF(转换!I336&gt;0,VLOOKUP(转换!H336,道具!B:C,2,FALSE),"")))</f>
        <v>1</v>
      </c>
      <c r="K340" s="114">
        <f>IF(转换!I336=17,ROUND(转换!J336*100/转换!$U$2,0),IF(转换!I336=9,F340,转换!J336))</f>
        <v>241</v>
      </c>
      <c r="L340" s="115"/>
      <c r="M340" s="115"/>
      <c r="N340" s="115"/>
      <c r="O340" s="113"/>
      <c r="P340" s="113"/>
      <c r="Q340" s="113"/>
      <c r="R340" s="97"/>
      <c r="S340" s="97"/>
      <c r="T340" s="97"/>
    </row>
    <row r="341" customFormat="1" spans="1:20">
      <c r="A341">
        <f>IF(C341=1,1001+COUNTIF($C$5:C340,1),2001+COUNTIF($C$5:C340,2))</f>
        <v>1281</v>
      </c>
      <c r="B341">
        <v>1</v>
      </c>
      <c r="C341" s="121">
        <v>1</v>
      </c>
      <c r="D341" s="122" t="str">
        <f>IFERROR(_xlfn.IFNA(VLOOKUP(ROUND(F341,0),道具!$B$271:$C$295,2,FALSE),""),"")</f>
        <v/>
      </c>
      <c r="E341" s="122" t="str">
        <f>IFERROR(_xlfn.IFNA(VLOOKUP(ROUND(F341,0),道具!$B$296:$C$320,2,FALSE),""),"")</f>
        <v/>
      </c>
      <c r="F341" t="str">
        <f>IF(转换!B337&gt;0,转换!B337*100,"")</f>
        <v/>
      </c>
      <c r="G341">
        <v>35</v>
      </c>
      <c r="H341">
        <f>'体验表-带进度条'!R337</f>
        <v>15</v>
      </c>
      <c r="I341" s="113">
        <f>转换!I337</f>
        <v>4</v>
      </c>
      <c r="J341" s="113">
        <f>IF(I341=17,1,IF(I341=9,1,IF(转换!I337&gt;0,VLOOKUP(转换!H337,道具!B:C,2,FALSE),"")))</f>
        <v>100005</v>
      </c>
      <c r="K341" s="114">
        <f>IF(转换!I337=17,ROUND(转换!J337*100/转换!$U$2,0),IF(转换!I337=9,F341,转换!J337))</f>
        <v>1</v>
      </c>
      <c r="L341" s="115"/>
      <c r="M341" s="115"/>
      <c r="N341" s="115"/>
      <c r="O341" s="113"/>
      <c r="P341" s="113"/>
      <c r="Q341" s="113"/>
      <c r="R341" s="97"/>
      <c r="S341" s="97"/>
      <c r="T341" s="97"/>
    </row>
    <row r="342" customFormat="1" spans="1:20">
      <c r="A342">
        <f>IF(C342=1,1001+COUNTIF($C$5:C341,1),2001+COUNTIF($C$5:C341,2))</f>
        <v>1282</v>
      </c>
      <c r="B342">
        <v>1</v>
      </c>
      <c r="C342" s="121">
        <v>1</v>
      </c>
      <c r="D342" s="122" t="str">
        <f>IFERROR(_xlfn.IFNA(VLOOKUP(ROUND(F342,0),道具!$B$271:$C$295,2,FALSE),""),"")</f>
        <v/>
      </c>
      <c r="E342" s="122" t="str">
        <f>IFERROR(_xlfn.IFNA(VLOOKUP(ROUND(F342,0),道具!$B$296:$C$320,2,FALSE),""),"")</f>
        <v/>
      </c>
      <c r="F342" t="str">
        <f>IF(转换!B338&gt;0,转换!B338*100,"")</f>
        <v/>
      </c>
      <c r="G342">
        <v>36</v>
      </c>
      <c r="H342">
        <f>'体验表-带进度条'!R338</f>
        <v>0</v>
      </c>
      <c r="I342" s="113">
        <f>转换!I338</f>
        <v>3</v>
      </c>
      <c r="J342" s="113">
        <f>IF(I342=17,1,IF(I342=9,1,IF(转换!I338&gt;0,VLOOKUP(转换!H338,道具!B:C,2,FALSE),"")))</f>
        <v>192001</v>
      </c>
      <c r="K342" s="114">
        <f>IF(转换!I338=17,ROUND(转换!J338*100/转换!$U$2,0),IF(转换!I338=9,F342,转换!J338))</f>
        <v>30</v>
      </c>
      <c r="L342" s="115"/>
      <c r="M342" s="115"/>
      <c r="N342" s="115"/>
      <c r="O342" s="113"/>
      <c r="P342" s="113"/>
      <c r="Q342" s="113"/>
      <c r="R342" s="97"/>
      <c r="S342" s="97"/>
      <c r="T342" s="97"/>
    </row>
    <row r="343" customFormat="1" spans="1:20">
      <c r="A343">
        <f>IF(C343=1,1001+COUNTIF($C$5:C342,1),2001+COUNTIF($C$5:C342,2))</f>
        <v>1283</v>
      </c>
      <c r="B343">
        <v>1</v>
      </c>
      <c r="C343" s="121">
        <v>1</v>
      </c>
      <c r="D343" s="122" t="str">
        <f>IFERROR(_xlfn.IFNA(VLOOKUP(ROUND(F343,0),道具!$B$271:$C$295,2,FALSE),""),"")</f>
        <v/>
      </c>
      <c r="E343" s="122" t="str">
        <f>IFERROR(_xlfn.IFNA(VLOOKUP(ROUND(F343,0),道具!$B$296:$C$320,2,FALSE),""),"")</f>
        <v/>
      </c>
      <c r="F343" t="str">
        <f>IF(转换!B339&gt;0,转换!B339*100,"")</f>
        <v/>
      </c>
      <c r="G343">
        <v>37</v>
      </c>
      <c r="H343">
        <f>'体验表-带进度条'!R339</f>
        <v>0</v>
      </c>
      <c r="I343" s="113">
        <f>转换!I339</f>
        <v>3</v>
      </c>
      <c r="J343" s="113">
        <f>IF(I343=17,1,IF(I343=9,1,IF(转换!I339&gt;0,VLOOKUP(转换!H339,道具!B:C,2,FALSE),"")))</f>
        <v>171002</v>
      </c>
      <c r="K343" s="114">
        <f>IF(转换!I339=17,ROUND(转换!J339*100/转换!$U$2,0),IF(转换!I339=9,F343,转换!J339))</f>
        <v>1</v>
      </c>
      <c r="L343" s="115"/>
      <c r="M343" s="115"/>
      <c r="N343" s="115"/>
      <c r="O343" s="113"/>
      <c r="P343" s="113"/>
      <c r="Q343" s="113"/>
      <c r="R343" s="97"/>
      <c r="S343" s="97"/>
      <c r="T343" s="97"/>
    </row>
    <row r="344" customFormat="1" spans="1:20">
      <c r="A344">
        <f>IF(C344=1,1001+COUNTIF($C$5:C343,1),2001+COUNTIF($C$5:C343,2))</f>
        <v>1284</v>
      </c>
      <c r="B344">
        <v>1</v>
      </c>
      <c r="C344" s="121">
        <v>1</v>
      </c>
      <c r="D344" s="122" t="str">
        <f>IFERROR(_xlfn.IFNA(VLOOKUP(ROUND(F344,0),道具!$B$271:$C$295,2,FALSE),""),"")</f>
        <v/>
      </c>
      <c r="E344" s="122" t="str">
        <f>IFERROR(_xlfn.IFNA(VLOOKUP(ROUND(F344,0),道具!$B$296:$C$320,2,FALSE),""),"")</f>
        <v/>
      </c>
      <c r="F344" t="str">
        <f>IF(转换!B341&gt;0,转换!B341*100,"")</f>
        <v/>
      </c>
      <c r="G344">
        <v>39</v>
      </c>
      <c r="H344">
        <f>'体验表-带进度条'!R341</f>
        <v>0</v>
      </c>
      <c r="I344" s="113">
        <f>转换!I341</f>
        <v>3</v>
      </c>
      <c r="J344" s="113">
        <f>IF(I344=17,1,IF(I344=9,1,IF(转换!I341&gt;0,VLOOKUP(转换!H341,道具!B:C,2,FALSE),"")))</f>
        <v>160001</v>
      </c>
      <c r="K344" s="114">
        <f>IF(转换!I341=17,ROUND(转换!J341*100/转换!$U$2,0),IF(转换!I341=9,F344,转换!J341))</f>
        <v>7</v>
      </c>
      <c r="L344" s="115"/>
      <c r="M344" s="115"/>
      <c r="N344" s="115"/>
      <c r="O344" s="113"/>
      <c r="P344" s="113"/>
      <c r="Q344" s="113"/>
      <c r="R344" s="97"/>
      <c r="S344" s="97"/>
      <c r="T344" s="97"/>
    </row>
    <row r="345" customFormat="1" spans="1:20">
      <c r="A345">
        <f>IF(C345=1,1001+COUNTIF($C$5:C344,1),2001+COUNTIF($C$5:C344,2))</f>
        <v>1285</v>
      </c>
      <c r="B345">
        <v>1</v>
      </c>
      <c r="C345" s="121">
        <v>1</v>
      </c>
      <c r="D345" s="122" t="str">
        <f>IFERROR(_xlfn.IFNA(VLOOKUP(ROUND(F345,0),道具!$B$271:$C$295,2,FALSE),""),"")</f>
        <v/>
      </c>
      <c r="E345" s="122" t="str">
        <f>IFERROR(_xlfn.IFNA(VLOOKUP(ROUND(F345,0),道具!$B$296:$C$320,2,FALSE),""),"")</f>
        <v/>
      </c>
      <c r="F345" t="str">
        <f>IF(转换!B342&gt;0,转换!B342*100,"")</f>
        <v/>
      </c>
      <c r="G345">
        <v>40</v>
      </c>
      <c r="H345">
        <f>'体验表-带进度条'!R342</f>
        <v>0</v>
      </c>
      <c r="I345" s="113">
        <f>转换!I342</f>
        <v>17</v>
      </c>
      <c r="J345" s="113">
        <f>IF(I345=17,1,IF(I345=9,1,IF(转换!I342&gt;0,VLOOKUP(转换!H342,道具!B:C,2,FALSE),"")))</f>
        <v>1</v>
      </c>
      <c r="K345" s="114">
        <f>IF(转换!I342=17,ROUND(转换!J342*100/转换!$U$2,0),IF(转换!I342=9,F345,转换!J342))</f>
        <v>241</v>
      </c>
      <c r="L345" s="115"/>
      <c r="M345" s="115"/>
      <c r="N345" s="115"/>
      <c r="O345" s="113"/>
      <c r="P345" s="113"/>
      <c r="Q345" s="113"/>
      <c r="R345" s="97"/>
      <c r="S345" s="97"/>
      <c r="T345" s="97"/>
    </row>
    <row r="346" customFormat="1" spans="1:20">
      <c r="A346">
        <f>IF(C346=1,1001+COUNTIF($C$5:C345,1),2001+COUNTIF($C$5:C345,2))</f>
        <v>1286</v>
      </c>
      <c r="B346">
        <v>1</v>
      </c>
      <c r="C346" s="121">
        <v>1</v>
      </c>
      <c r="D346" s="122" t="str">
        <f>IFERROR(_xlfn.IFNA(VLOOKUP(ROUND(F346,0),道具!$B$271:$C$295,2,FALSE),""),"")</f>
        <v/>
      </c>
      <c r="E346" s="122" t="str">
        <f>IFERROR(_xlfn.IFNA(VLOOKUP(ROUND(F346,0),道具!$B$296:$C$320,2,FALSE),""),"")</f>
        <v/>
      </c>
      <c r="F346" t="str">
        <f>IF(转换!B343&gt;0,转换!B343*100,"")</f>
        <v/>
      </c>
      <c r="G346">
        <v>41</v>
      </c>
      <c r="H346">
        <f>'体验表-带进度条'!R343</f>
        <v>50</v>
      </c>
      <c r="I346" s="113">
        <f>转换!I343</f>
        <v>4</v>
      </c>
      <c r="J346" s="113">
        <f>IF(I346=17,1,IF(I346=9,1,IF(转换!I343&gt;0,VLOOKUP(转换!H343,道具!B:C,2,FALSE),"")))</f>
        <v>100006</v>
      </c>
      <c r="K346" s="114">
        <f>IF(转换!I343=17,ROUND(转换!J343*100/转换!$U$2,0),IF(转换!I343=9,F346,转换!J343))</f>
        <v>1</v>
      </c>
      <c r="L346" s="115"/>
      <c r="M346" s="115"/>
      <c r="N346" s="115"/>
      <c r="O346" s="113"/>
      <c r="P346" s="113"/>
      <c r="Q346" s="113"/>
      <c r="R346" s="97"/>
      <c r="S346" s="97"/>
      <c r="T346" s="97"/>
    </row>
    <row r="347" customFormat="1" spans="1:20">
      <c r="A347">
        <f>IF(C347=1,1001+COUNTIF($C$5:C346,1),2001+COUNTIF($C$5:C346,2))</f>
        <v>1287</v>
      </c>
      <c r="B347">
        <v>1</v>
      </c>
      <c r="C347" s="121">
        <v>1</v>
      </c>
      <c r="D347" s="122" t="str">
        <f>IFERROR(_xlfn.IFNA(VLOOKUP(ROUND(F347,0),道具!$B$271:$C$295,2,FALSE),""),"")</f>
        <v/>
      </c>
      <c r="E347" s="122" t="str">
        <f>IFERROR(_xlfn.IFNA(VLOOKUP(ROUND(F347,0),道具!$B$296:$C$320,2,FALSE),""),"")</f>
        <v/>
      </c>
      <c r="F347" t="str">
        <f>IF(转换!B344&gt;0,转换!B344*100,"")</f>
        <v/>
      </c>
      <c r="G347">
        <v>42</v>
      </c>
      <c r="H347">
        <f>'体验表-带进度条'!R344</f>
        <v>0</v>
      </c>
      <c r="I347" s="113">
        <f>转换!I344</f>
        <v>3</v>
      </c>
      <c r="J347" s="113">
        <f>IF(I347=17,1,IF(I347=9,1,IF(转换!I344&gt;0,VLOOKUP(转换!H344,道具!B:C,2,FALSE),"")))</f>
        <v>192001</v>
      </c>
      <c r="K347" s="114">
        <f>IF(转换!I344=17,ROUND(转换!J344*100/转换!$U$2,0),IF(转换!I344=9,F347,转换!J344))</f>
        <v>35</v>
      </c>
      <c r="L347" s="115"/>
      <c r="M347" s="115"/>
      <c r="N347" s="115"/>
      <c r="O347" s="113"/>
      <c r="P347" s="113"/>
      <c r="Q347" s="113"/>
      <c r="R347" s="97"/>
      <c r="S347" s="97"/>
      <c r="T347" s="97"/>
    </row>
    <row r="348" customFormat="1" spans="1:20">
      <c r="A348">
        <f>IF(C348=1,1001+COUNTIF($C$5:C347,1),2001+COUNTIF($C$5:C347,2))</f>
        <v>1288</v>
      </c>
      <c r="B348">
        <v>1</v>
      </c>
      <c r="C348" s="121">
        <v>1</v>
      </c>
      <c r="D348" s="122" t="str">
        <f>IFERROR(_xlfn.IFNA(VLOOKUP(ROUND(F348,0),道具!$B$271:$C$295,2,FALSE),""),"")</f>
        <v/>
      </c>
      <c r="E348" s="122" t="str">
        <f>IFERROR(_xlfn.IFNA(VLOOKUP(ROUND(F348,0),道具!$B$296:$C$320,2,FALSE),""),"")</f>
        <v/>
      </c>
      <c r="F348" t="str">
        <f>IF(转换!B345&gt;0,转换!B345*100,"")</f>
        <v/>
      </c>
      <c r="G348">
        <v>43</v>
      </c>
      <c r="H348">
        <f>'体验表-带进度条'!R345</f>
        <v>0</v>
      </c>
      <c r="I348" s="113">
        <f>转换!I345</f>
        <v>3</v>
      </c>
      <c r="J348" s="113">
        <f>IF(I348=17,1,IF(I348=9,1,IF(转换!I345&gt;0,VLOOKUP(转换!H345,道具!B:C,2,FALSE),"")))</f>
        <v>171001</v>
      </c>
      <c r="K348" s="114">
        <f>IF(转换!I345=17,ROUND(转换!J345*100/转换!$U$2,0),IF(转换!I345=9,F348,转换!J345))</f>
        <v>1</v>
      </c>
      <c r="L348" s="115"/>
      <c r="M348" s="115"/>
      <c r="N348" s="115"/>
      <c r="O348" s="113"/>
      <c r="P348" s="113"/>
      <c r="Q348" s="113"/>
      <c r="R348" s="97"/>
      <c r="S348" s="97"/>
      <c r="T348" s="97"/>
    </row>
    <row r="349" customFormat="1" spans="1:20">
      <c r="A349">
        <f>IF(C349=1,1001+COUNTIF($C$5:C348,1),2001+COUNTIF($C$5:C348,2))</f>
        <v>2057</v>
      </c>
      <c r="B349">
        <v>1</v>
      </c>
      <c r="C349" s="121">
        <v>2</v>
      </c>
      <c r="D349" s="122" t="str">
        <f>IFERROR(_xlfn.IFNA(VLOOKUP(ROUND(F349,0),道具!$B$271:$C$295,2,FALSE),""),"")</f>
        <v>gp_hunt_599</v>
      </c>
      <c r="E349" s="122" t="str">
        <f>IFERROR(_xlfn.IFNA(VLOOKUP(ROUND(F349,0),道具!$B$296:$C$320,2,FALSE),""),"")</f>
        <v>iap_hunt_599</v>
      </c>
      <c r="F349">
        <f>IF(转换!B347&gt;0,转换!B347*100,"")</f>
        <v>599</v>
      </c>
      <c r="G349">
        <v>2</v>
      </c>
      <c r="H349">
        <f>'体验表-带进度条'!R347</f>
        <v>10</v>
      </c>
      <c r="I349" s="113">
        <f>转换!I347</f>
        <v>9</v>
      </c>
      <c r="J349" s="113">
        <f>IF(I349=17,1,IF(I349=9,1,IF(转换!I347&gt;0,VLOOKUP(转换!H347,道具!B:C,2,FALSE),"")))</f>
        <v>1</v>
      </c>
      <c r="K349" s="114">
        <f>IF(转换!I347=17,ROUND(转换!J347*100/转换!$U$2,0),IF(转换!I347=9,F349,转换!J347))</f>
        <v>599</v>
      </c>
      <c r="L349" s="115"/>
      <c r="M349" s="115"/>
      <c r="N349" s="115"/>
      <c r="O349" s="113"/>
      <c r="P349" s="113"/>
      <c r="Q349" s="113"/>
      <c r="R349" s="97"/>
      <c r="S349" s="97"/>
      <c r="T349" s="97"/>
    </row>
    <row r="350" customFormat="1" spans="1:20">
      <c r="A350">
        <f>IF(C350=1,1001+COUNTIF($C$5:C349,1),2001+COUNTIF($C$5:C349,2))</f>
        <v>2058</v>
      </c>
      <c r="B350">
        <v>1</v>
      </c>
      <c r="C350" s="121">
        <v>2</v>
      </c>
      <c r="D350" s="122" t="str">
        <f>IFERROR(_xlfn.IFNA(VLOOKUP(ROUND(F350,0),道具!$B$271:$C$295,2,FALSE),""),"")</f>
        <v>gp_hunt_3</v>
      </c>
      <c r="E350" s="122" t="str">
        <f>IFERROR(_xlfn.IFNA(VLOOKUP(ROUND(F350,0),道具!$B$296:$C$320,2,FALSE),""),"")</f>
        <v>iap_hunt_3</v>
      </c>
      <c r="F350">
        <f>IF(转换!B353&gt;0,转换!B353*100,"")</f>
        <v>799</v>
      </c>
      <c r="G350">
        <v>8</v>
      </c>
      <c r="H350">
        <f>'体验表-带进度条'!R353</f>
        <v>25</v>
      </c>
      <c r="I350" s="113">
        <f>转换!I353</f>
        <v>9</v>
      </c>
      <c r="J350" s="113">
        <f>IF(I350=17,1,IF(I350=9,1,IF(转换!I353&gt;0,VLOOKUP(转换!H353,道具!B:C,2,FALSE),"")))</f>
        <v>1</v>
      </c>
      <c r="K350" s="114">
        <f>IF(转换!I353=17,ROUND(转换!J353*100/转换!$U$2,0),IF(转换!I353=9,F350,转换!J353))</f>
        <v>799</v>
      </c>
      <c r="L350" s="115"/>
      <c r="M350" s="115"/>
      <c r="N350" s="115"/>
      <c r="O350" s="113"/>
      <c r="P350" s="113"/>
      <c r="Q350" s="113"/>
      <c r="R350" s="97"/>
      <c r="S350" s="97"/>
      <c r="T350" s="97"/>
    </row>
    <row r="351" customFormat="1" spans="1:20">
      <c r="A351">
        <f>IF(C351=1,1001+COUNTIF($C$5:C350,1),2001+COUNTIF($C$5:C350,2))</f>
        <v>2059</v>
      </c>
      <c r="B351">
        <v>1</v>
      </c>
      <c r="C351" s="121">
        <v>2</v>
      </c>
      <c r="D351" s="122" t="str">
        <f>IFERROR(_xlfn.IFNA(VLOOKUP(ROUND(F351,0),道具!$B$271:$C$295,2,FALSE),""),"")</f>
        <v>gp_hunt_999</v>
      </c>
      <c r="E351" s="122" t="str">
        <f>IFERROR(_xlfn.IFNA(VLOOKUP(ROUND(F351,0),道具!$B$296:$C$320,2,FALSE),""),"")</f>
        <v>iap_hunt_999</v>
      </c>
      <c r="F351">
        <f>IF(转换!B359&gt;0,转换!B359*100,"")</f>
        <v>999</v>
      </c>
      <c r="G351">
        <v>14</v>
      </c>
      <c r="H351">
        <f>'体验表-带进度条'!R359</f>
        <v>35</v>
      </c>
      <c r="I351" s="113">
        <f>转换!I359</f>
        <v>9</v>
      </c>
      <c r="J351" s="113">
        <f>IF(I351=17,1,IF(I351=9,1,IF(转换!I359&gt;0,VLOOKUP(转换!H359,道具!B:C,2,FALSE),"")))</f>
        <v>1</v>
      </c>
      <c r="K351" s="114">
        <f>IF(转换!I359=17,ROUND(转换!J359*100/转换!$U$2,0),IF(转换!I359=9,F351,转换!J359))</f>
        <v>999</v>
      </c>
      <c r="L351" s="115"/>
      <c r="M351" s="115"/>
      <c r="N351" s="115"/>
      <c r="O351" s="113"/>
      <c r="P351" s="113"/>
      <c r="Q351" s="113"/>
      <c r="R351" s="97"/>
      <c r="S351" s="97"/>
      <c r="T351" s="97"/>
    </row>
    <row r="352" customFormat="1" spans="1:20">
      <c r="A352">
        <f>IF(C352=1,1001+COUNTIF($C$5:C351,1),2001+COUNTIF($C$5:C351,2))</f>
        <v>2060</v>
      </c>
      <c r="B352">
        <v>1</v>
      </c>
      <c r="C352" s="121">
        <v>2</v>
      </c>
      <c r="D352" s="122" t="str">
        <f>IFERROR(_xlfn.IFNA(VLOOKUP(ROUND(F352,0),道具!$B$271:$C$295,2,FALSE),""),"")</f>
        <v>gp_hunt_5</v>
      </c>
      <c r="E352" s="122" t="str">
        <f>IFERROR(_xlfn.IFNA(VLOOKUP(ROUND(F352,0),道具!$B$296:$C$320,2,FALSE),""),"")</f>
        <v>iap_hunt_5</v>
      </c>
      <c r="F352">
        <f>IF(转换!B365&gt;0,转换!B365*100,"")</f>
        <v>1299</v>
      </c>
      <c r="G352">
        <v>20</v>
      </c>
      <c r="H352">
        <f>'体验表-带进度条'!R365</f>
        <v>0</v>
      </c>
      <c r="I352" s="113">
        <f>转换!I365</f>
        <v>9</v>
      </c>
      <c r="J352" s="113">
        <f>IF(I352=17,1,IF(I352=9,1,IF(转换!I365&gt;0,VLOOKUP(转换!H365,道具!B:C,2,FALSE),"")))</f>
        <v>1</v>
      </c>
      <c r="K352" s="114">
        <f>IF(转换!I365=17,ROUND(转换!J365*100/转换!$U$2,0),IF(转换!I365=9,F352,转换!J365))</f>
        <v>1299</v>
      </c>
      <c r="L352" s="115"/>
      <c r="M352" s="115"/>
      <c r="N352" s="115"/>
      <c r="O352" s="113"/>
      <c r="P352" s="113"/>
      <c r="Q352" s="113"/>
      <c r="R352" s="97"/>
      <c r="S352" s="97"/>
      <c r="T352" s="97"/>
    </row>
    <row r="353" customFormat="1" spans="1:20">
      <c r="A353">
        <f>IF(C353=1,1001+COUNTIF($C$5:C352,1),2001+COUNTIF($C$5:C352,2))</f>
        <v>2061</v>
      </c>
      <c r="B353">
        <v>1</v>
      </c>
      <c r="C353" s="121">
        <v>2</v>
      </c>
      <c r="D353" s="122" t="str">
        <f>IFERROR(_xlfn.IFNA(VLOOKUP(ROUND(F353,0),道具!$B$271:$C$295,2,FALSE),""),"")</f>
        <v>gp_hunt_6</v>
      </c>
      <c r="E353" s="122" t="str">
        <f>IFERROR(_xlfn.IFNA(VLOOKUP(ROUND(F353,0),道具!$B$296:$C$320,2,FALSE),""),"")</f>
        <v>iap_hunt_6</v>
      </c>
      <c r="F353">
        <f>IF(转换!B371&gt;0,转换!B371*100,"")</f>
        <v>1499</v>
      </c>
      <c r="G353">
        <v>26</v>
      </c>
      <c r="H353">
        <f>'体验表-带进度条'!R371</f>
        <v>10</v>
      </c>
      <c r="I353" s="113">
        <f>转换!I371</f>
        <v>9</v>
      </c>
      <c r="J353" s="113">
        <f>IF(I353=17,1,IF(I353=9,1,IF(转换!I371&gt;0,VLOOKUP(转换!H371,道具!B:C,2,FALSE),"")))</f>
        <v>1</v>
      </c>
      <c r="K353" s="114">
        <f>IF(转换!I371=17,ROUND(转换!J371*100/转换!$U$2,0),IF(转换!I371=9,F353,转换!J371))</f>
        <v>1499</v>
      </c>
      <c r="L353" s="115"/>
      <c r="M353" s="115"/>
      <c r="N353" s="115"/>
      <c r="O353" s="113"/>
      <c r="P353" s="113"/>
      <c r="Q353" s="113"/>
      <c r="R353" s="97"/>
      <c r="S353" s="97"/>
      <c r="T353" s="97"/>
    </row>
    <row r="354" customFormat="1" spans="1:20">
      <c r="A354">
        <f>IF(C354=1,1001+COUNTIF($C$5:C353,1),2001+COUNTIF($C$5:C353,2))</f>
        <v>2062</v>
      </c>
      <c r="B354">
        <v>1</v>
      </c>
      <c r="C354" s="121">
        <v>2</v>
      </c>
      <c r="D354" s="122" t="str">
        <f>IFERROR(_xlfn.IFNA(VLOOKUP(ROUND(F354,0),道具!$B$271:$C$295,2,FALSE),""),"")</f>
        <v>gp_hunt_1799</v>
      </c>
      <c r="E354" s="122" t="str">
        <f>IFERROR(_xlfn.IFNA(VLOOKUP(ROUND(F354,0),道具!$B$296:$C$320,2,FALSE),""),"")</f>
        <v>iap_hunt_1799</v>
      </c>
      <c r="F354">
        <f>IF(转换!B377&gt;0,转换!B377*100,"")</f>
        <v>1799</v>
      </c>
      <c r="G354">
        <v>32</v>
      </c>
      <c r="H354">
        <f>'体验表-带进度条'!R377</f>
        <v>25</v>
      </c>
      <c r="I354" s="113">
        <f>转换!I377</f>
        <v>9</v>
      </c>
      <c r="J354" s="113">
        <f>IF(I354=17,1,IF(I354=9,1,IF(转换!I377&gt;0,VLOOKUP(转换!H377,道具!B:C,2,FALSE),"")))</f>
        <v>1</v>
      </c>
      <c r="K354" s="114">
        <f>IF(转换!I377=17,ROUND(转换!J377*100/转换!$U$2,0),IF(转换!I377=9,F354,转换!J377))</f>
        <v>1799</v>
      </c>
      <c r="L354" s="115"/>
      <c r="M354" s="115"/>
      <c r="N354" s="115"/>
      <c r="O354" s="113"/>
      <c r="P354" s="113"/>
      <c r="Q354" s="113"/>
      <c r="R354" s="97"/>
      <c r="S354" s="97"/>
      <c r="T354" s="97"/>
    </row>
    <row r="355" customFormat="1" spans="1:20">
      <c r="A355">
        <f>IF(C355=1,1001+COUNTIF($C$5:C354,1),2001+COUNTIF($C$5:C354,2))</f>
        <v>2063</v>
      </c>
      <c r="B355">
        <v>1</v>
      </c>
      <c r="C355" s="121">
        <v>2</v>
      </c>
      <c r="D355" s="122" t="str">
        <f>IFERROR(_xlfn.IFNA(VLOOKUP(ROUND(F355,0),道具!$B$271:$C$295,2,FALSE),""),"")</f>
        <v>gp_hunt_1999</v>
      </c>
      <c r="E355" s="122" t="str">
        <f>IFERROR(_xlfn.IFNA(VLOOKUP(ROUND(F355,0),道具!$B$296:$C$320,2,FALSE),""),"")</f>
        <v>iap_hunt_1999</v>
      </c>
      <c r="F355">
        <f>IF(转换!B383&gt;0,转换!B383*100,"")</f>
        <v>1999</v>
      </c>
      <c r="G355">
        <v>38</v>
      </c>
      <c r="H355">
        <f>'体验表-带进度条'!R383</f>
        <v>35</v>
      </c>
      <c r="I355" s="113">
        <f>转换!I383</f>
        <v>9</v>
      </c>
      <c r="J355" s="113">
        <f>IF(I355=17,1,IF(I355=9,1,IF(转换!I383&gt;0,VLOOKUP(转换!H383,道具!B:C,2,FALSE),"")))</f>
        <v>1</v>
      </c>
      <c r="K355" s="114">
        <f>IF(转换!I383=17,ROUND(转换!J383*100/转换!$U$2,0),IF(转换!I383=9,F355,转换!J383))</f>
        <v>1999</v>
      </c>
      <c r="L355" s="115"/>
      <c r="M355" s="115"/>
      <c r="N355" s="115"/>
      <c r="O355" s="113"/>
      <c r="P355" s="113"/>
      <c r="Q355" s="113"/>
      <c r="R355" s="97"/>
      <c r="S355" s="97"/>
      <c r="T355" s="97"/>
    </row>
    <row r="356" customFormat="1" spans="1:20">
      <c r="A356">
        <f>IF(C356=1,1001+COUNTIF($C$5:C355,1),2001+COUNTIF($C$5:C355,2))</f>
        <v>1289</v>
      </c>
      <c r="B356">
        <v>1</v>
      </c>
      <c r="C356" s="121">
        <v>1</v>
      </c>
      <c r="D356" s="122" t="str">
        <f>IFERROR(_xlfn.IFNA(VLOOKUP(ROUND(F356,0),道具!$B$271:$C$295,2,FALSE),""),"")</f>
        <v/>
      </c>
      <c r="E356" s="122" t="str">
        <f>IFERROR(_xlfn.IFNA(VLOOKUP(ROUND(F356,0),道具!$B$296:$C$320,2,FALSE),""),"")</f>
        <v/>
      </c>
      <c r="F356" t="str">
        <f>IF(转换!B346&gt;0,转换!B346*100,"")</f>
        <v/>
      </c>
      <c r="G356">
        <v>1</v>
      </c>
      <c r="H356">
        <f>'体验表-带进度条'!R346</f>
        <v>20</v>
      </c>
      <c r="I356" s="113">
        <f>转换!I346</f>
        <v>1</v>
      </c>
      <c r="J356" s="113">
        <f>IF(I356=17,1,IF(I356=9,1,IF(转换!I346&gt;0,VLOOKUP(转换!H346,道具!B:C,2,FALSE),"")))</f>
        <v>1</v>
      </c>
      <c r="K356" s="114">
        <f>IF(转换!I346=17,ROUND(转换!J346*100/转换!$U$2,0),IF(转换!I346=9,F356,转换!J346))</f>
        <v>5000</v>
      </c>
      <c r="L356" s="115"/>
      <c r="M356" s="115"/>
      <c r="N356" s="115"/>
      <c r="O356" s="113"/>
      <c r="P356" s="113"/>
      <c r="Q356" s="113"/>
      <c r="R356" s="97"/>
      <c r="S356" s="97"/>
      <c r="T356" s="97"/>
    </row>
    <row r="357" customFormat="1" spans="1:20">
      <c r="A357">
        <f>IF(C357=1,1001+COUNTIF($C$5:C356,1),2001+COUNTIF($C$5:C356,2))</f>
        <v>1290</v>
      </c>
      <c r="B357">
        <v>1</v>
      </c>
      <c r="C357" s="121">
        <v>1</v>
      </c>
      <c r="D357" s="122" t="str">
        <f>IFERROR(_xlfn.IFNA(VLOOKUP(ROUND(F357,0),道具!$B$271:$C$295,2,FALSE),""),"")</f>
        <v/>
      </c>
      <c r="E357" s="122" t="str">
        <f>IFERROR(_xlfn.IFNA(VLOOKUP(ROUND(F357,0),道具!$B$296:$C$320,2,FALSE),""),"")</f>
        <v/>
      </c>
      <c r="F357" t="str">
        <f>IF(转换!B348&gt;0,转换!B348*100,"")</f>
        <v/>
      </c>
      <c r="G357">
        <v>3</v>
      </c>
      <c r="H357">
        <f>'体验表-带进度条'!R348</f>
        <v>0</v>
      </c>
      <c r="I357" s="113">
        <f>转换!I348</f>
        <v>3</v>
      </c>
      <c r="J357" s="113">
        <f>IF(I357=17,1,IF(I357=9,1,IF(转换!I348&gt;0,VLOOKUP(转换!H348,道具!B:C,2,FALSE),"")))</f>
        <v>160001</v>
      </c>
      <c r="K357" s="114">
        <f>IF(转换!I348=17,ROUND(转换!J348*100/转换!$U$2,0),IF(转换!I348=9,F357,转换!J348))</f>
        <v>1</v>
      </c>
      <c r="L357" s="115"/>
      <c r="M357" s="115"/>
      <c r="N357" s="115"/>
      <c r="O357" s="113"/>
      <c r="P357" s="113"/>
      <c r="Q357" s="113"/>
      <c r="R357" s="97"/>
      <c r="S357" s="97"/>
      <c r="T357" s="97"/>
    </row>
    <row r="358" customFormat="1" spans="1:20">
      <c r="A358">
        <f>IF(C358=1,1001+COUNTIF($C$5:C357,1),2001+COUNTIF($C$5:C357,2))</f>
        <v>1291</v>
      </c>
      <c r="B358">
        <v>1</v>
      </c>
      <c r="C358" s="121">
        <v>1</v>
      </c>
      <c r="D358" s="122" t="str">
        <f>IFERROR(_xlfn.IFNA(VLOOKUP(ROUND(F358,0),道具!$B$271:$C$295,2,FALSE),""),"")</f>
        <v/>
      </c>
      <c r="E358" s="122" t="str">
        <f>IFERROR(_xlfn.IFNA(VLOOKUP(ROUND(F358,0),道具!$B$296:$C$320,2,FALSE),""),"")</f>
        <v/>
      </c>
      <c r="F358" t="str">
        <f>IF(转换!B349&gt;0,转换!B349*100,"")</f>
        <v/>
      </c>
      <c r="G358">
        <v>4</v>
      </c>
      <c r="H358">
        <f>'体验表-带进度条'!R349</f>
        <v>0</v>
      </c>
      <c r="I358" s="113">
        <f>转换!I349</f>
        <v>17</v>
      </c>
      <c r="J358" s="113">
        <f>IF(I358=17,1,IF(I358=9,1,IF(转换!I349&gt;0,VLOOKUP(转换!H349,道具!B:C,2,FALSE),"")))</f>
        <v>1</v>
      </c>
      <c r="K358" s="114">
        <f>IF(转换!I349=17,ROUND(转换!J349*100/转换!$U$2,0),IF(转换!I349=9,F358,转换!J349))</f>
        <v>201</v>
      </c>
      <c r="L358" s="115"/>
      <c r="M358" s="115"/>
      <c r="N358" s="115"/>
      <c r="O358" s="113"/>
      <c r="P358" s="113"/>
      <c r="Q358" s="113"/>
      <c r="R358" s="97"/>
      <c r="S358" s="97"/>
      <c r="T358" s="97"/>
    </row>
    <row r="359" customFormat="1" spans="1:20">
      <c r="A359">
        <f>IF(C359=1,1001+COUNTIF($C$5:C358,1),2001+COUNTIF($C$5:C358,2))</f>
        <v>1292</v>
      </c>
      <c r="B359">
        <v>1</v>
      </c>
      <c r="C359" s="121">
        <v>1</v>
      </c>
      <c r="D359" s="122" t="str">
        <f>IFERROR(_xlfn.IFNA(VLOOKUP(ROUND(F359,0),道具!$B$271:$C$295,2,FALSE),""),"")</f>
        <v/>
      </c>
      <c r="E359" s="122" t="str">
        <f>IFERROR(_xlfn.IFNA(VLOOKUP(ROUND(F359,0),道具!$B$296:$C$320,2,FALSE),""),"")</f>
        <v/>
      </c>
      <c r="F359" t="str">
        <f>IF(转换!B350&gt;0,转换!B350*100,"")</f>
        <v/>
      </c>
      <c r="G359">
        <v>5</v>
      </c>
      <c r="H359">
        <f>'体验表-带进度条'!R350</f>
        <v>10</v>
      </c>
      <c r="I359" s="113">
        <f>转换!I350</f>
        <v>4</v>
      </c>
      <c r="J359" s="113">
        <f>IF(I359=17,1,IF(I359=9,1,IF(转换!I350&gt;0,VLOOKUP(转换!H350,道具!B:C,2,FALSE),"")))</f>
        <v>100002</v>
      </c>
      <c r="K359" s="114">
        <f>IF(转换!I350=17,ROUND(转换!J350*100/转换!$U$2,0),IF(转换!I350=9,F359,转换!J350))</f>
        <v>1</v>
      </c>
      <c r="L359" s="115"/>
      <c r="M359" s="115"/>
      <c r="N359" s="115"/>
      <c r="O359" s="113"/>
      <c r="P359" s="113"/>
      <c r="Q359" s="113"/>
      <c r="R359" s="97"/>
      <c r="S359" s="97"/>
      <c r="T359" s="97"/>
    </row>
    <row r="360" customFormat="1" spans="1:20">
      <c r="A360">
        <f>IF(C360=1,1001+COUNTIF($C$5:C359,1),2001+COUNTIF($C$5:C359,2))</f>
        <v>1293</v>
      </c>
      <c r="B360">
        <v>1</v>
      </c>
      <c r="C360" s="121">
        <v>1</v>
      </c>
      <c r="D360" s="122" t="str">
        <f>IFERROR(_xlfn.IFNA(VLOOKUP(ROUND(F360,0),道具!$B$271:$C$295,2,FALSE),""),"")</f>
        <v/>
      </c>
      <c r="E360" s="122" t="str">
        <f>IFERROR(_xlfn.IFNA(VLOOKUP(ROUND(F360,0),道具!$B$296:$C$320,2,FALSE),""),"")</f>
        <v/>
      </c>
      <c r="F360" t="str">
        <f>IF(转换!B351&gt;0,转换!B351*100,"")</f>
        <v/>
      </c>
      <c r="G360">
        <v>6</v>
      </c>
      <c r="H360">
        <f>'体验表-带进度条'!R351</f>
        <v>0</v>
      </c>
      <c r="I360" s="113">
        <f>转换!I351</f>
        <v>3</v>
      </c>
      <c r="J360" s="113">
        <f>IF(I360=17,1,IF(I360=9,1,IF(转换!I351&gt;0,VLOOKUP(转换!H351,道具!B:C,2,FALSE),"")))</f>
        <v>192001</v>
      </c>
      <c r="K360" s="114">
        <f>IF(转换!I351=17,ROUND(转换!J351*100/转换!$U$2,0),IF(转换!I351=9,F360,转换!J351))</f>
        <v>5</v>
      </c>
      <c r="L360" s="115"/>
      <c r="M360" s="115"/>
      <c r="N360" s="115"/>
      <c r="O360" s="113"/>
      <c r="P360" s="113"/>
      <c r="Q360" s="113"/>
      <c r="R360" s="97"/>
      <c r="S360" s="97"/>
      <c r="T360" s="97"/>
    </row>
    <row r="361" customFormat="1" spans="1:20">
      <c r="A361">
        <f>IF(C361=1,1001+COUNTIF($C$5:C360,1),2001+COUNTIF($C$5:C360,2))</f>
        <v>1294</v>
      </c>
      <c r="B361">
        <v>1</v>
      </c>
      <c r="C361" s="121">
        <v>1</v>
      </c>
      <c r="D361" s="122" t="str">
        <f>IFERROR(_xlfn.IFNA(VLOOKUP(ROUND(F361,0),道具!$B$271:$C$295,2,FALSE),""),"")</f>
        <v/>
      </c>
      <c r="E361" s="122" t="str">
        <f>IFERROR(_xlfn.IFNA(VLOOKUP(ROUND(F361,0),道具!$B$296:$C$320,2,FALSE),""),"")</f>
        <v/>
      </c>
      <c r="F361" t="str">
        <f>IF(转换!B352&gt;0,转换!B352*100,"")</f>
        <v/>
      </c>
      <c r="G361">
        <v>7</v>
      </c>
      <c r="H361">
        <f>'体验表-带进度条'!R352</f>
        <v>0</v>
      </c>
      <c r="I361" s="113">
        <f>转换!I352</f>
        <v>3</v>
      </c>
      <c r="J361" s="113">
        <f>IF(I361=17,1,IF(I361=9,1,IF(转换!I352&gt;0,VLOOKUP(转换!H352,道具!B:C,2,FALSE),"")))</f>
        <v>171001</v>
      </c>
      <c r="K361" s="114">
        <f>IF(转换!I352=17,ROUND(转换!J352*100/转换!$U$2,0),IF(转换!I352=9,F361,转换!J352))</f>
        <v>1</v>
      </c>
      <c r="L361" s="115"/>
      <c r="M361" s="115"/>
      <c r="N361" s="115"/>
      <c r="O361" s="113"/>
      <c r="P361" s="113"/>
      <c r="Q361" s="113"/>
      <c r="R361" s="97"/>
      <c r="S361" s="97"/>
      <c r="T361" s="97"/>
    </row>
    <row r="362" customFormat="1" spans="1:20">
      <c r="A362">
        <f>IF(C362=1,1001+COUNTIF($C$5:C361,1),2001+COUNTIF($C$5:C361,2))</f>
        <v>1295</v>
      </c>
      <c r="B362">
        <v>1</v>
      </c>
      <c r="C362" s="121">
        <v>1</v>
      </c>
      <c r="D362" s="122" t="str">
        <f>IFERROR(_xlfn.IFNA(VLOOKUP(ROUND(F362,0),道具!$B$271:$C$295,2,FALSE),""),"")</f>
        <v/>
      </c>
      <c r="E362" s="122" t="str">
        <f>IFERROR(_xlfn.IFNA(VLOOKUP(ROUND(F362,0),道具!$B$296:$C$320,2,FALSE),""),"")</f>
        <v/>
      </c>
      <c r="F362" t="str">
        <f>IF(转换!B354&gt;0,转换!B354*100,"")</f>
        <v/>
      </c>
      <c r="G362">
        <v>9</v>
      </c>
      <c r="H362">
        <f>'体验表-带进度条'!R354</f>
        <v>0</v>
      </c>
      <c r="I362" s="113">
        <f>转换!I354</f>
        <v>3</v>
      </c>
      <c r="J362" s="113">
        <f>IF(I362=17,1,IF(I362=9,1,IF(转换!I354&gt;0,VLOOKUP(转换!H354,道具!B:C,2,FALSE),"")))</f>
        <v>160001</v>
      </c>
      <c r="K362" s="114">
        <f>IF(转换!I354=17,ROUND(转换!J354*100/转换!$U$2,0),IF(转换!I354=9,F362,转换!J354))</f>
        <v>2</v>
      </c>
      <c r="L362" s="115"/>
      <c r="M362" s="115"/>
      <c r="N362" s="115"/>
      <c r="O362" s="113"/>
      <c r="P362" s="113"/>
      <c r="Q362" s="113"/>
      <c r="R362" s="97"/>
      <c r="S362" s="97"/>
      <c r="T362" s="97"/>
    </row>
    <row r="363" customFormat="1" spans="1:20">
      <c r="A363">
        <f>IF(C363=1,1001+COUNTIF($C$5:C362,1),2001+COUNTIF($C$5:C362,2))</f>
        <v>1296</v>
      </c>
      <c r="B363">
        <v>1</v>
      </c>
      <c r="C363" s="121">
        <v>1</v>
      </c>
      <c r="D363" s="122" t="str">
        <f>IFERROR(_xlfn.IFNA(VLOOKUP(ROUND(F363,0),道具!$B$271:$C$295,2,FALSE),""),"")</f>
        <v/>
      </c>
      <c r="E363" s="122" t="str">
        <f>IFERROR(_xlfn.IFNA(VLOOKUP(ROUND(F363,0),道具!$B$296:$C$320,2,FALSE),""),"")</f>
        <v/>
      </c>
      <c r="F363" t="str">
        <f>IF(转换!B355&gt;0,转换!B355*100,"")</f>
        <v/>
      </c>
      <c r="G363">
        <v>10</v>
      </c>
      <c r="H363">
        <f>'体验表-带进度条'!R355</f>
        <v>0</v>
      </c>
      <c r="I363" s="113">
        <f>转换!I355</f>
        <v>17</v>
      </c>
      <c r="J363" s="113">
        <f>IF(I363=17,1,IF(I363=9,1,IF(转换!I355&gt;0,VLOOKUP(转换!H355,道具!B:C,2,FALSE),"")))</f>
        <v>1</v>
      </c>
      <c r="K363" s="114">
        <f>IF(转换!I355=17,ROUND(转换!J355*100/转换!$U$2,0),IF(转换!I355=9,F363,转换!J355))</f>
        <v>40</v>
      </c>
      <c r="L363" s="115"/>
      <c r="M363" s="115"/>
      <c r="N363" s="115"/>
      <c r="O363" s="113"/>
      <c r="P363" s="113"/>
      <c r="Q363" s="113"/>
      <c r="R363" s="97"/>
      <c r="S363" s="97"/>
      <c r="T363" s="97"/>
    </row>
    <row r="364" customFormat="1" spans="1:20">
      <c r="A364">
        <f>IF(C364=1,1001+COUNTIF($C$5:C363,1),2001+COUNTIF($C$5:C363,2))</f>
        <v>1297</v>
      </c>
      <c r="B364">
        <v>1</v>
      </c>
      <c r="C364" s="121">
        <v>1</v>
      </c>
      <c r="D364" s="122" t="str">
        <f>IFERROR(_xlfn.IFNA(VLOOKUP(ROUND(F364,0),道具!$B$271:$C$295,2,FALSE),""),"")</f>
        <v/>
      </c>
      <c r="E364" s="122" t="str">
        <f>IFERROR(_xlfn.IFNA(VLOOKUP(ROUND(F364,0),道具!$B$296:$C$320,2,FALSE),""),"")</f>
        <v/>
      </c>
      <c r="F364" t="str">
        <f>IF(转换!B356&gt;0,转换!B356*100,"")</f>
        <v/>
      </c>
      <c r="G364">
        <v>11</v>
      </c>
      <c r="H364">
        <f>'体验表-带进度条'!R356</f>
        <v>0</v>
      </c>
      <c r="I364" s="113">
        <f>转换!I356</f>
        <v>4</v>
      </c>
      <c r="J364" s="113">
        <f>IF(I364=17,1,IF(I364=9,1,IF(转换!I356&gt;0,VLOOKUP(转换!H356,道具!B:C,2,FALSE),"")))</f>
        <v>100003</v>
      </c>
      <c r="K364" s="114">
        <f>IF(转换!I356=17,ROUND(转换!J356*100/转换!$U$2,0),IF(转换!I356=9,F364,转换!J356))</f>
        <v>1</v>
      </c>
      <c r="L364" s="115"/>
      <c r="M364" s="115"/>
      <c r="N364" s="115"/>
      <c r="O364" s="113"/>
      <c r="P364" s="113"/>
      <c r="Q364" s="113"/>
      <c r="R364" s="97"/>
      <c r="S364" s="97"/>
      <c r="T364" s="97"/>
    </row>
    <row r="365" customFormat="1" spans="1:20">
      <c r="A365">
        <f>IF(C365=1,1001+COUNTIF($C$5:C364,1),2001+COUNTIF($C$5:C364,2))</f>
        <v>1298</v>
      </c>
      <c r="B365">
        <v>1</v>
      </c>
      <c r="C365" s="121">
        <v>1</v>
      </c>
      <c r="D365" s="122" t="str">
        <f>IFERROR(_xlfn.IFNA(VLOOKUP(ROUND(F365,0),道具!$B$271:$C$295,2,FALSE),""),"")</f>
        <v/>
      </c>
      <c r="E365" s="122" t="str">
        <f>IFERROR(_xlfn.IFNA(VLOOKUP(ROUND(F365,0),道具!$B$296:$C$320,2,FALSE),""),"")</f>
        <v/>
      </c>
      <c r="F365" t="str">
        <f>IF(转换!B357&gt;0,转换!B357*100,"")</f>
        <v/>
      </c>
      <c r="G365">
        <v>12</v>
      </c>
      <c r="H365">
        <f>'体验表-带进度条'!R357</f>
        <v>0</v>
      </c>
      <c r="I365" s="113">
        <f>转换!I357</f>
        <v>3</v>
      </c>
      <c r="J365" s="113">
        <f>IF(I365=17,1,IF(I365=9,1,IF(转换!I357&gt;0,VLOOKUP(转换!H357,道具!B:C,2,FALSE),"")))</f>
        <v>192001</v>
      </c>
      <c r="K365" s="114">
        <f>IF(转换!I357=17,ROUND(转换!J357*100/转换!$U$2,0),IF(转换!I357=9,F365,转换!J357))</f>
        <v>10</v>
      </c>
      <c r="L365" s="115"/>
      <c r="M365" s="115"/>
      <c r="N365" s="115"/>
      <c r="O365" s="113"/>
      <c r="P365" s="113"/>
      <c r="Q365" s="113"/>
      <c r="R365" s="97"/>
      <c r="S365" s="97"/>
      <c r="T365" s="97"/>
    </row>
    <row r="366" customFormat="1" spans="1:20">
      <c r="A366">
        <f>IF(C366=1,1001+COUNTIF($C$5:C365,1),2001+COUNTIF($C$5:C365,2))</f>
        <v>1299</v>
      </c>
      <c r="B366">
        <v>1</v>
      </c>
      <c r="C366" s="121">
        <v>1</v>
      </c>
      <c r="D366" s="122" t="str">
        <f>IFERROR(_xlfn.IFNA(VLOOKUP(ROUND(F366,0),道具!$B$271:$C$295,2,FALSE),""),"")</f>
        <v/>
      </c>
      <c r="E366" s="122" t="str">
        <f>IFERROR(_xlfn.IFNA(VLOOKUP(ROUND(F366,0),道具!$B$296:$C$320,2,FALSE),""),"")</f>
        <v/>
      </c>
      <c r="F366" t="str">
        <f>IF(转换!B358&gt;0,转换!B358*100,"")</f>
        <v/>
      </c>
      <c r="G366">
        <v>13</v>
      </c>
      <c r="H366">
        <f>'体验表-带进度条'!R358</f>
        <v>0</v>
      </c>
      <c r="I366" s="113">
        <f>转换!I358</f>
        <v>3</v>
      </c>
      <c r="J366" s="113">
        <f>IF(I366=17,1,IF(I366=9,1,IF(转换!I358&gt;0,VLOOKUP(转换!H358,道具!B:C,2,FALSE),"")))</f>
        <v>171002</v>
      </c>
      <c r="K366" s="114">
        <f>IF(转换!I358=17,ROUND(转换!J358*100/转换!$U$2,0),IF(转换!I358=9,F366,转换!J358))</f>
        <v>1</v>
      </c>
      <c r="L366" s="115"/>
      <c r="M366" s="115"/>
      <c r="N366" s="115"/>
      <c r="O366" s="113"/>
      <c r="P366" s="113"/>
      <c r="Q366" s="113"/>
      <c r="R366" s="97"/>
      <c r="S366" s="97"/>
      <c r="T366" s="97"/>
    </row>
    <row r="367" customFormat="1" spans="1:20">
      <c r="A367">
        <f>IF(C367=1,1001+COUNTIF($C$5:C366,1),2001+COUNTIF($C$5:C366,2))</f>
        <v>1300</v>
      </c>
      <c r="B367">
        <v>1</v>
      </c>
      <c r="C367" s="121">
        <v>1</v>
      </c>
      <c r="D367" s="122" t="str">
        <f>IFERROR(_xlfn.IFNA(VLOOKUP(ROUND(F367,0),道具!$B$271:$C$295,2,FALSE),""),"")</f>
        <v/>
      </c>
      <c r="E367" s="122" t="str">
        <f>IFERROR(_xlfn.IFNA(VLOOKUP(ROUND(F367,0),道具!$B$296:$C$320,2,FALSE),""),"")</f>
        <v/>
      </c>
      <c r="F367" t="str">
        <f>IF(转换!B360&gt;0,转换!B360*100,"")</f>
        <v/>
      </c>
      <c r="G367">
        <v>15</v>
      </c>
      <c r="H367">
        <f>'体验表-带进度条'!R360</f>
        <v>0</v>
      </c>
      <c r="I367" s="113">
        <f>转换!I360</f>
        <v>3</v>
      </c>
      <c r="J367" s="113">
        <f>IF(I367=17,1,IF(I367=9,1,IF(转换!I360&gt;0,VLOOKUP(转换!H360,道具!B:C,2,FALSE),"")))</f>
        <v>160001</v>
      </c>
      <c r="K367" s="114">
        <f>IF(转换!I360=17,ROUND(转换!J360*100/转换!$U$2,0),IF(转换!I360=9,F367,转换!J360))</f>
        <v>3</v>
      </c>
      <c r="L367" s="115"/>
      <c r="M367" s="115"/>
      <c r="N367" s="115"/>
      <c r="O367" s="113"/>
      <c r="P367" s="113"/>
      <c r="Q367" s="113"/>
      <c r="R367" s="97"/>
      <c r="S367" s="97"/>
      <c r="T367" s="97"/>
    </row>
    <row r="368" customFormat="1" spans="1:20">
      <c r="A368">
        <f>IF(C368=1,1001+COUNTIF($C$5:C367,1),2001+COUNTIF($C$5:C367,2))</f>
        <v>1301</v>
      </c>
      <c r="B368">
        <v>1</v>
      </c>
      <c r="C368" s="121">
        <v>1</v>
      </c>
      <c r="D368" s="122" t="str">
        <f>IFERROR(_xlfn.IFNA(VLOOKUP(ROUND(F368,0),道具!$B$271:$C$295,2,FALSE),""),"")</f>
        <v/>
      </c>
      <c r="E368" s="122" t="str">
        <f>IFERROR(_xlfn.IFNA(VLOOKUP(ROUND(F368,0),道具!$B$296:$C$320,2,FALSE),""),"")</f>
        <v/>
      </c>
      <c r="F368" t="str">
        <f>IF(转换!B361&gt;0,转换!B361*100,"")</f>
        <v/>
      </c>
      <c r="G368">
        <v>16</v>
      </c>
      <c r="H368">
        <f>'体验表-带进度条'!R361</f>
        <v>0</v>
      </c>
      <c r="I368" s="113">
        <f>转换!I361</f>
        <v>17</v>
      </c>
      <c r="J368" s="113">
        <f>IF(I368=17,1,IF(I368=9,1,IF(转换!I361&gt;0,VLOOKUP(转换!H361,道具!B:C,2,FALSE),"")))</f>
        <v>1</v>
      </c>
      <c r="K368" s="114">
        <f>IF(转换!I361=17,ROUND(转换!J361*100/转换!$U$2,0),IF(转换!I361=9,F368,转换!J361))</f>
        <v>201</v>
      </c>
      <c r="L368" s="115"/>
      <c r="M368" s="115"/>
      <c r="N368" s="115"/>
      <c r="O368" s="113"/>
      <c r="P368" s="113"/>
      <c r="Q368" s="113"/>
      <c r="R368" s="97"/>
      <c r="S368" s="97"/>
      <c r="T368" s="97"/>
    </row>
    <row r="369" customFormat="1" spans="1:20">
      <c r="A369">
        <f>IF(C369=1,1001+COUNTIF($C$5:C368,1),2001+COUNTIF($C$5:C368,2))</f>
        <v>1302</v>
      </c>
      <c r="B369">
        <v>1</v>
      </c>
      <c r="C369" s="121">
        <v>1</v>
      </c>
      <c r="D369" s="122" t="str">
        <f>IFERROR(_xlfn.IFNA(VLOOKUP(ROUND(F369,0),道具!$B$271:$C$295,2,FALSE),""),"")</f>
        <v/>
      </c>
      <c r="E369" s="122" t="str">
        <f>IFERROR(_xlfn.IFNA(VLOOKUP(ROUND(F369,0),道具!$B$296:$C$320,2,FALSE),""),"")</f>
        <v/>
      </c>
      <c r="F369" t="str">
        <f>IF(转换!B362&gt;0,转换!B362*100,"")</f>
        <v/>
      </c>
      <c r="G369">
        <v>17</v>
      </c>
      <c r="H369">
        <f>'体验表-带进度条'!R362</f>
        <v>25</v>
      </c>
      <c r="I369" s="113">
        <f>转换!I362</f>
        <v>4</v>
      </c>
      <c r="J369" s="113">
        <f>IF(I369=17,1,IF(I369=9,1,IF(转换!I362&gt;0,VLOOKUP(转换!H362,道具!B:C,2,FALSE),"")))</f>
        <v>100004</v>
      </c>
      <c r="K369" s="114">
        <f>IF(转换!I362=17,ROUND(转换!J362*100/转换!$U$2,0),IF(转换!I362=9,F369,转换!J362))</f>
        <v>1</v>
      </c>
      <c r="L369" s="115"/>
      <c r="M369" s="115"/>
      <c r="N369" s="115"/>
      <c r="O369" s="113"/>
      <c r="P369" s="113"/>
      <c r="Q369" s="113"/>
      <c r="R369" s="97"/>
      <c r="S369" s="97"/>
      <c r="T369" s="97"/>
    </row>
    <row r="370" customFormat="1" spans="1:20">
      <c r="A370">
        <f>IF(C370=1,1001+COUNTIF($C$5:C369,1),2001+COUNTIF($C$5:C369,2))</f>
        <v>1303</v>
      </c>
      <c r="B370">
        <v>1</v>
      </c>
      <c r="C370" s="121">
        <v>1</v>
      </c>
      <c r="D370" s="122" t="str">
        <f>IFERROR(_xlfn.IFNA(VLOOKUP(ROUND(F370,0),道具!$B$271:$C$295,2,FALSE),""),"")</f>
        <v/>
      </c>
      <c r="E370" s="122" t="str">
        <f>IFERROR(_xlfn.IFNA(VLOOKUP(ROUND(F370,0),道具!$B$296:$C$320,2,FALSE),""),"")</f>
        <v/>
      </c>
      <c r="F370" t="str">
        <f>IF(转换!B363&gt;0,转换!B363*100,"")</f>
        <v/>
      </c>
      <c r="G370">
        <v>18</v>
      </c>
      <c r="H370">
        <f>'体验表-带进度条'!R363</f>
        <v>0</v>
      </c>
      <c r="I370" s="113">
        <f>转换!I363</f>
        <v>3</v>
      </c>
      <c r="J370" s="113">
        <f>IF(I370=17,1,IF(I370=9,1,IF(转换!I363&gt;0,VLOOKUP(转换!H363,道具!B:C,2,FALSE),"")))</f>
        <v>192001</v>
      </c>
      <c r="K370" s="114">
        <f>IF(转换!I363=17,ROUND(转换!J363*100/转换!$U$2,0),IF(转换!I363=9,F370,转换!J363))</f>
        <v>15</v>
      </c>
      <c r="L370" s="115"/>
      <c r="M370" s="115"/>
      <c r="N370" s="115"/>
      <c r="O370" s="113"/>
      <c r="P370" s="113"/>
      <c r="Q370" s="113"/>
      <c r="R370" s="97"/>
      <c r="S370" s="97"/>
      <c r="T370" s="97"/>
    </row>
    <row r="371" customFormat="1" ht="18" customHeight="1" spans="1:20">
      <c r="A371">
        <f>IF(C371=1,1001+COUNTIF($C$5:C370,1),2001+COUNTIF($C$5:C370,2))</f>
        <v>1304</v>
      </c>
      <c r="B371">
        <v>1</v>
      </c>
      <c r="C371" s="121">
        <v>1</v>
      </c>
      <c r="D371" s="122" t="str">
        <f>IFERROR(_xlfn.IFNA(VLOOKUP(ROUND(F371,0),道具!$B$271:$C$295,2,FALSE),""),"")</f>
        <v/>
      </c>
      <c r="E371" s="122" t="str">
        <f>IFERROR(_xlfn.IFNA(VLOOKUP(ROUND(F371,0),道具!$B$296:$C$320,2,FALSE),""),"")</f>
        <v/>
      </c>
      <c r="F371" t="str">
        <f>IF(转换!B364&gt;0,转换!B364*100,"")</f>
        <v/>
      </c>
      <c r="G371">
        <v>19</v>
      </c>
      <c r="H371">
        <f>'体验表-带进度条'!R364</f>
        <v>0</v>
      </c>
      <c r="I371" s="113">
        <f>转换!I364</f>
        <v>3</v>
      </c>
      <c r="J371" s="113">
        <f>IF(I371=17,1,IF(I371=9,1,IF(转换!I364&gt;0,VLOOKUP(转换!H364,道具!B:C,2,FALSE),"")))</f>
        <v>171001</v>
      </c>
      <c r="K371" s="114">
        <f>IF(转换!I364=17,ROUND(转换!J364*100/转换!$U$2,0),IF(转换!I364=9,F371,转换!J364))</f>
        <v>1</v>
      </c>
      <c r="L371" s="115"/>
      <c r="M371" s="115"/>
      <c r="N371" s="115"/>
      <c r="O371" s="113"/>
      <c r="P371" s="113"/>
      <c r="Q371" s="113"/>
      <c r="R371" s="97"/>
      <c r="S371" s="97"/>
      <c r="T371" s="97"/>
    </row>
    <row r="372" customFormat="1" spans="1:20">
      <c r="A372">
        <f>IF(C372=1,1001+COUNTIF($C$5:C371,1),2001+COUNTIF($C$5:C371,2))</f>
        <v>1305</v>
      </c>
      <c r="B372">
        <v>1</v>
      </c>
      <c r="C372" s="121">
        <v>1</v>
      </c>
      <c r="D372" s="122" t="str">
        <f>IFERROR(_xlfn.IFNA(VLOOKUP(ROUND(F372,0),道具!$B$271:$C$295,2,FALSE),""),"")</f>
        <v/>
      </c>
      <c r="E372" s="122" t="str">
        <f>IFERROR(_xlfn.IFNA(VLOOKUP(ROUND(F372,0),道具!$B$296:$C$320,2,FALSE),""),"")</f>
        <v/>
      </c>
      <c r="F372" t="str">
        <f>IF(转换!B366&gt;0,转换!B366*100,"")</f>
        <v/>
      </c>
      <c r="G372">
        <v>21</v>
      </c>
      <c r="H372">
        <f>'体验表-带进度条'!R366</f>
        <v>0</v>
      </c>
      <c r="I372" s="113">
        <f>转换!I366</f>
        <v>3</v>
      </c>
      <c r="J372" s="113">
        <f>IF(I372=17,1,IF(I372=9,1,IF(转换!I366&gt;0,VLOOKUP(转换!H366,道具!B:C,2,FALSE),"")))</f>
        <v>160001</v>
      </c>
      <c r="K372" s="114">
        <f>IF(转换!I366=17,ROUND(转换!J366*100/转换!$U$2,0),IF(转换!I366=9,F372,转换!J366))</f>
        <v>4</v>
      </c>
      <c r="L372" s="115"/>
      <c r="M372" s="115"/>
      <c r="N372" s="115"/>
      <c r="O372" s="113"/>
      <c r="P372" s="113"/>
      <c r="Q372" s="113"/>
      <c r="R372" s="97"/>
      <c r="S372" s="97"/>
      <c r="T372" s="97"/>
    </row>
    <row r="373" customFormat="1" spans="1:20">
      <c r="A373">
        <f>IF(C373=1,1001+COUNTIF($C$5:C372,1),2001+COUNTIF($C$5:C372,2))</f>
        <v>1306</v>
      </c>
      <c r="B373">
        <v>1</v>
      </c>
      <c r="C373" s="121">
        <v>1</v>
      </c>
      <c r="D373" s="122" t="str">
        <f>IFERROR(_xlfn.IFNA(VLOOKUP(ROUND(F373,0),道具!$B$271:$C$295,2,FALSE),""),"")</f>
        <v/>
      </c>
      <c r="E373" s="122" t="str">
        <f>IFERROR(_xlfn.IFNA(VLOOKUP(ROUND(F373,0),道具!$B$296:$C$320,2,FALSE),""),"")</f>
        <v/>
      </c>
      <c r="F373" t="str">
        <f>IF(转换!B367&gt;0,转换!B367*100,"")</f>
        <v/>
      </c>
      <c r="G373">
        <v>22</v>
      </c>
      <c r="H373">
        <f>'体验表-带进度条'!R367</f>
        <v>0</v>
      </c>
      <c r="I373" s="113">
        <f>转换!I367</f>
        <v>17</v>
      </c>
      <c r="J373" s="113">
        <f>IF(I373=17,1,IF(I373=9,1,IF(转换!I367&gt;0,VLOOKUP(转换!H367,道具!B:C,2,FALSE),"")))</f>
        <v>1</v>
      </c>
      <c r="K373" s="114">
        <f>IF(转换!I367=17,ROUND(转换!J367*100/转换!$U$2,0),IF(转换!I367=9,F373,转换!J367))</f>
        <v>161</v>
      </c>
      <c r="L373" s="115"/>
      <c r="M373" s="115"/>
      <c r="N373" s="115"/>
      <c r="O373" s="113"/>
      <c r="P373" s="113"/>
      <c r="Q373" s="113"/>
      <c r="R373" s="97"/>
      <c r="S373" s="97"/>
      <c r="T373" s="97"/>
    </row>
    <row r="374" customFormat="1" spans="1:20">
      <c r="A374">
        <f>IF(C374=1,1001+COUNTIF($C$5:C373,1),2001+COUNTIF($C$5:C373,2))</f>
        <v>1307</v>
      </c>
      <c r="B374">
        <v>1</v>
      </c>
      <c r="C374" s="121">
        <v>1</v>
      </c>
      <c r="D374" s="122" t="str">
        <f>IFERROR(_xlfn.IFNA(VLOOKUP(ROUND(F374,0),道具!$B$271:$C$295,2,FALSE),""),"")</f>
        <v/>
      </c>
      <c r="E374" s="122" t="str">
        <f>IFERROR(_xlfn.IFNA(VLOOKUP(ROUND(F374,0),道具!$B$296:$C$320,2,FALSE),""),"")</f>
        <v/>
      </c>
      <c r="F374" t="str">
        <f>IF(转换!B368&gt;0,转换!B368*100,"")</f>
        <v/>
      </c>
      <c r="G374">
        <v>23</v>
      </c>
      <c r="H374">
        <f>'体验表-带进度条'!R368</f>
        <v>15</v>
      </c>
      <c r="I374" s="113">
        <f>转换!I368</f>
        <v>4</v>
      </c>
      <c r="J374" s="113">
        <f>IF(I374=17,1,IF(I374=9,1,IF(转换!I368&gt;0,VLOOKUP(转换!H368,道具!B:C,2,FALSE),"")))</f>
        <v>100004</v>
      </c>
      <c r="K374" s="114">
        <f>IF(转换!I368=17,ROUND(转换!J368*100/转换!$U$2,0),IF(转换!I368=9,F374,转换!J368))</f>
        <v>1</v>
      </c>
      <c r="L374" s="115"/>
      <c r="M374" s="115"/>
      <c r="N374" s="115"/>
      <c r="O374" s="113"/>
      <c r="P374" s="113"/>
      <c r="Q374" s="113"/>
      <c r="R374" s="97"/>
      <c r="S374" s="97"/>
      <c r="T374" s="97"/>
    </row>
    <row r="375" customFormat="1" spans="1:20">
      <c r="A375">
        <f>IF(C375=1,1001+COUNTIF($C$5:C374,1),2001+COUNTIF($C$5:C374,2))</f>
        <v>1308</v>
      </c>
      <c r="B375">
        <v>1</v>
      </c>
      <c r="C375" s="121">
        <v>1</v>
      </c>
      <c r="D375" s="122" t="str">
        <f>IFERROR(_xlfn.IFNA(VLOOKUP(ROUND(F375,0),道具!$B$271:$C$295,2,FALSE),""),"")</f>
        <v/>
      </c>
      <c r="E375" s="122" t="str">
        <f>IFERROR(_xlfn.IFNA(VLOOKUP(ROUND(F375,0),道具!$B$296:$C$320,2,FALSE),""),"")</f>
        <v/>
      </c>
      <c r="F375" t="str">
        <f>IF(转换!B369&gt;0,转换!B369*100,"")</f>
        <v/>
      </c>
      <c r="G375">
        <v>24</v>
      </c>
      <c r="H375">
        <f>'体验表-带进度条'!R369</f>
        <v>0</v>
      </c>
      <c r="I375" s="113">
        <f>转换!I369</f>
        <v>3</v>
      </c>
      <c r="J375" s="113">
        <f>IF(I375=17,1,IF(I375=9,1,IF(转换!I369&gt;0,VLOOKUP(转换!H369,道具!B:C,2,FALSE),"")))</f>
        <v>192001</v>
      </c>
      <c r="K375" s="114">
        <f>IF(转换!I369=17,ROUND(转换!J369*100/转换!$U$2,0),IF(转换!I369=9,F375,转换!J369))</f>
        <v>20</v>
      </c>
      <c r="L375" s="115"/>
      <c r="M375" s="115"/>
      <c r="N375" s="115"/>
      <c r="O375" s="113"/>
      <c r="P375" s="113"/>
      <c r="Q375" s="113"/>
      <c r="R375" s="97"/>
      <c r="S375" s="97"/>
      <c r="T375" s="97"/>
    </row>
    <row r="376" customFormat="1" spans="1:20">
      <c r="A376">
        <f>IF(C376=1,1001+COUNTIF($C$5:C375,1),2001+COUNTIF($C$5:C375,2))</f>
        <v>1309</v>
      </c>
      <c r="B376">
        <v>1</v>
      </c>
      <c r="C376" s="121">
        <v>1</v>
      </c>
      <c r="D376" s="122" t="str">
        <f>IFERROR(_xlfn.IFNA(VLOOKUP(ROUND(F376,0),道具!$B$271:$C$295,2,FALSE),""),"")</f>
        <v/>
      </c>
      <c r="E376" s="122" t="str">
        <f>IFERROR(_xlfn.IFNA(VLOOKUP(ROUND(F376,0),道具!$B$296:$C$320,2,FALSE),""),"")</f>
        <v/>
      </c>
      <c r="F376" t="str">
        <f>IF(转换!B370&gt;0,转换!B370*100,"")</f>
        <v/>
      </c>
      <c r="G376">
        <v>25</v>
      </c>
      <c r="H376">
        <f>'体验表-带进度条'!R370</f>
        <v>0</v>
      </c>
      <c r="I376" s="113">
        <f>转换!I370</f>
        <v>3</v>
      </c>
      <c r="J376" s="113">
        <f>IF(I376=17,1,IF(I376=9,1,IF(转换!I370&gt;0,VLOOKUP(转换!H370,道具!B:C,2,FALSE),"")))</f>
        <v>171002</v>
      </c>
      <c r="K376" s="114">
        <f>IF(转换!I370=17,ROUND(转换!J370*100/转换!$U$2,0),IF(转换!I370=9,F376,转换!J370))</f>
        <v>1</v>
      </c>
      <c r="L376" s="115"/>
      <c r="M376" s="115"/>
      <c r="N376" s="115"/>
      <c r="O376" s="113"/>
      <c r="P376" s="113"/>
      <c r="Q376" s="113"/>
      <c r="R376" s="97"/>
      <c r="S376" s="97"/>
      <c r="T376" s="97"/>
    </row>
    <row r="377" customFormat="1" spans="1:20">
      <c r="A377">
        <f>IF(C377=1,1001+COUNTIF($C$5:C376,1),2001+COUNTIF($C$5:C376,2))</f>
        <v>1310</v>
      </c>
      <c r="B377">
        <v>1</v>
      </c>
      <c r="C377" s="121">
        <v>1</v>
      </c>
      <c r="D377" s="122" t="str">
        <f>IFERROR(_xlfn.IFNA(VLOOKUP(ROUND(F377,0),道具!$B$271:$C$295,2,FALSE),""),"")</f>
        <v/>
      </c>
      <c r="E377" s="122" t="str">
        <f>IFERROR(_xlfn.IFNA(VLOOKUP(ROUND(F377,0),道具!$B$296:$C$320,2,FALSE),""),"")</f>
        <v/>
      </c>
      <c r="F377" t="str">
        <f>IF(转换!B372&gt;0,转换!B372*100,"")</f>
        <v/>
      </c>
      <c r="G377">
        <v>27</v>
      </c>
      <c r="H377">
        <f>'体验表-带进度条'!R372</f>
        <v>0</v>
      </c>
      <c r="I377" s="113">
        <f>转换!I372</f>
        <v>3</v>
      </c>
      <c r="J377" s="113">
        <f>IF(I377=17,1,IF(I377=9,1,IF(转换!I372&gt;0,VLOOKUP(转换!H372,道具!B:C,2,FALSE),"")))</f>
        <v>160001</v>
      </c>
      <c r="K377" s="114">
        <f>IF(转换!I372=17,ROUND(转换!J372*100/转换!$U$2,0),IF(转换!I372=9,F377,转换!J372))</f>
        <v>5</v>
      </c>
      <c r="L377" s="115"/>
      <c r="M377" s="115"/>
      <c r="N377" s="115"/>
      <c r="O377" s="113"/>
      <c r="P377" s="113"/>
      <c r="Q377" s="113"/>
      <c r="R377" s="97"/>
      <c r="S377" s="97"/>
      <c r="T377" s="97"/>
    </row>
    <row r="378" customFormat="1" spans="1:20">
      <c r="A378">
        <f>IF(C378=1,1001+COUNTIF($C$5:C377,1),2001+COUNTIF($C$5:C377,2))</f>
        <v>1311</v>
      </c>
      <c r="B378">
        <v>1</v>
      </c>
      <c r="C378" s="121">
        <v>1</v>
      </c>
      <c r="D378" s="122" t="str">
        <f>IFERROR(_xlfn.IFNA(VLOOKUP(ROUND(F378,0),道具!$B$271:$C$295,2,FALSE),""),"")</f>
        <v/>
      </c>
      <c r="E378" s="122" t="str">
        <f>IFERROR(_xlfn.IFNA(VLOOKUP(ROUND(F378,0),道具!$B$296:$C$320,2,FALSE),""),"")</f>
        <v/>
      </c>
      <c r="F378" t="str">
        <f>IF(转换!B373&gt;0,转换!B373*100,"")</f>
        <v/>
      </c>
      <c r="G378">
        <v>28</v>
      </c>
      <c r="H378">
        <f>'体验表-带进度条'!R373</f>
        <v>0</v>
      </c>
      <c r="I378" s="113">
        <f>转换!I373</f>
        <v>17</v>
      </c>
      <c r="J378" s="113">
        <f>IF(I378=17,1,IF(I378=9,1,IF(转换!I373&gt;0,VLOOKUP(转换!H373,道具!B:C,2,FALSE),"")))</f>
        <v>1</v>
      </c>
      <c r="K378" s="114">
        <f>IF(转换!I373=17,ROUND(转换!J373*100/转换!$U$2,0),IF(转换!I373=9,F378,转换!J373))</f>
        <v>100</v>
      </c>
      <c r="L378" s="115"/>
      <c r="M378" s="115"/>
      <c r="N378" s="115"/>
      <c r="O378" s="113"/>
      <c r="P378" s="113"/>
      <c r="Q378" s="113"/>
      <c r="R378" s="97"/>
      <c r="S378" s="97"/>
      <c r="T378" s="97"/>
    </row>
    <row r="379" customFormat="1" spans="1:20">
      <c r="A379">
        <f>IF(C379=1,1001+COUNTIF($C$5:C378,1),2001+COUNTIF($C$5:C378,2))</f>
        <v>1312</v>
      </c>
      <c r="B379">
        <v>1</v>
      </c>
      <c r="C379" s="121">
        <v>1</v>
      </c>
      <c r="D379" s="122" t="str">
        <f>IFERROR(_xlfn.IFNA(VLOOKUP(ROUND(F379,0),道具!$B$271:$C$295,2,FALSE),""),"")</f>
        <v/>
      </c>
      <c r="E379" s="122" t="str">
        <f>IFERROR(_xlfn.IFNA(VLOOKUP(ROUND(F379,0),道具!$B$296:$C$320,2,FALSE),""),"")</f>
        <v/>
      </c>
      <c r="F379" t="str">
        <f>IF(转换!B374&gt;0,转换!B374*100,"")</f>
        <v/>
      </c>
      <c r="G379">
        <v>29</v>
      </c>
      <c r="H379">
        <f>'体验表-带进度条'!R374</f>
        <v>25</v>
      </c>
      <c r="I379" s="113">
        <f>转换!I374</f>
        <v>4</v>
      </c>
      <c r="J379" s="113">
        <f>IF(I379=17,1,IF(I379=9,1,IF(转换!I374&gt;0,VLOOKUP(转换!H374,道具!B:C,2,FALSE),"")))</f>
        <v>100005</v>
      </c>
      <c r="K379" s="114">
        <f>IF(转换!I374=17,ROUND(转换!J374*100/转换!$U$2,0),IF(转换!I374=9,F379,转换!J374))</f>
        <v>1</v>
      </c>
      <c r="L379" s="115"/>
      <c r="M379" s="115"/>
      <c r="N379" s="115"/>
      <c r="O379" s="113"/>
      <c r="P379" s="113"/>
      <c r="Q379" s="113"/>
      <c r="R379" s="97"/>
      <c r="S379" s="97"/>
      <c r="T379" s="97"/>
    </row>
    <row r="380" customFormat="1" spans="1:20">
      <c r="A380">
        <f>IF(C380=1,1001+COUNTIF($C$5:C379,1),2001+COUNTIF($C$5:C379,2))</f>
        <v>1313</v>
      </c>
      <c r="B380">
        <v>1</v>
      </c>
      <c r="C380" s="121">
        <v>1</v>
      </c>
      <c r="D380" s="122" t="str">
        <f>IFERROR(_xlfn.IFNA(VLOOKUP(ROUND(F380,0),道具!$B$271:$C$295,2,FALSE),""),"")</f>
        <v/>
      </c>
      <c r="E380" s="122" t="str">
        <f>IFERROR(_xlfn.IFNA(VLOOKUP(ROUND(F380,0),道具!$B$296:$C$320,2,FALSE),""),"")</f>
        <v/>
      </c>
      <c r="F380" t="str">
        <f>IF(转换!B375&gt;0,转换!B375*100,"")</f>
        <v/>
      </c>
      <c r="G380">
        <v>30</v>
      </c>
      <c r="H380">
        <f>'体验表-带进度条'!R375</f>
        <v>0</v>
      </c>
      <c r="I380" s="113">
        <f>转换!I375</f>
        <v>3</v>
      </c>
      <c r="J380" s="113">
        <f>IF(I380=17,1,IF(I380=9,1,IF(转换!I375&gt;0,VLOOKUP(转换!H375,道具!B:C,2,FALSE),"")))</f>
        <v>192001</v>
      </c>
      <c r="K380" s="114">
        <f>IF(转换!I375=17,ROUND(转换!J375*100/转换!$U$2,0),IF(转换!I375=9,F380,转换!J375))</f>
        <v>25</v>
      </c>
      <c r="L380" s="115"/>
      <c r="M380" s="115"/>
      <c r="N380" s="115"/>
      <c r="O380" s="113"/>
      <c r="P380" s="113"/>
      <c r="Q380" s="113"/>
      <c r="R380" s="97"/>
      <c r="S380" s="97"/>
      <c r="T380" s="97"/>
    </row>
    <row r="381" customFormat="1" spans="1:20">
      <c r="A381">
        <f>IF(C381=1,1001+COUNTIF($C$5:C380,1),2001+COUNTIF($C$5:C380,2))</f>
        <v>1314</v>
      </c>
      <c r="B381">
        <v>1</v>
      </c>
      <c r="C381" s="121">
        <v>1</v>
      </c>
      <c r="D381" s="122" t="str">
        <f>IFERROR(_xlfn.IFNA(VLOOKUP(ROUND(F381,0),道具!$B$271:$C$295,2,FALSE),""),"")</f>
        <v/>
      </c>
      <c r="E381" s="122" t="str">
        <f>IFERROR(_xlfn.IFNA(VLOOKUP(ROUND(F381,0),道具!$B$296:$C$320,2,FALSE),""),"")</f>
        <v/>
      </c>
      <c r="F381" t="str">
        <f>IF(转换!B376&gt;0,转换!B376*100,"")</f>
        <v/>
      </c>
      <c r="G381">
        <v>31</v>
      </c>
      <c r="H381">
        <f>'体验表-带进度条'!R376</f>
        <v>0</v>
      </c>
      <c r="I381" s="113">
        <f>转换!I376</f>
        <v>3</v>
      </c>
      <c r="J381" s="113">
        <f>IF(I381=17,1,IF(I381=9,1,IF(转换!I376&gt;0,VLOOKUP(转换!H376,道具!B:C,2,FALSE),"")))</f>
        <v>171001</v>
      </c>
      <c r="K381" s="114">
        <f>IF(转换!I376=17,ROUND(转换!J376*100/转换!$U$2,0),IF(转换!I376=9,F381,转换!J376))</f>
        <v>1</v>
      </c>
      <c r="L381" s="115"/>
      <c r="M381" s="115"/>
      <c r="N381" s="115"/>
      <c r="O381" s="113"/>
      <c r="P381" s="113"/>
      <c r="Q381" s="113"/>
      <c r="R381" s="97"/>
      <c r="S381" s="97"/>
      <c r="T381" s="97"/>
    </row>
    <row r="382" customFormat="1" spans="1:20">
      <c r="A382">
        <f>IF(C382=1,1001+COUNTIF($C$5:C381,1),2001+COUNTIF($C$5:C381,2))</f>
        <v>1315</v>
      </c>
      <c r="B382">
        <v>1</v>
      </c>
      <c r="C382" s="121">
        <v>1</v>
      </c>
      <c r="D382" s="122" t="str">
        <f>IFERROR(_xlfn.IFNA(VLOOKUP(ROUND(F382,0),道具!$B$271:$C$295,2,FALSE),""),"")</f>
        <v/>
      </c>
      <c r="E382" s="122" t="str">
        <f>IFERROR(_xlfn.IFNA(VLOOKUP(ROUND(F382,0),道具!$B$296:$C$320,2,FALSE),""),"")</f>
        <v/>
      </c>
      <c r="F382" t="str">
        <f>IF(转换!B378&gt;0,转换!B378*100,"")</f>
        <v/>
      </c>
      <c r="G382">
        <v>33</v>
      </c>
      <c r="H382">
        <f>'体验表-带进度条'!R378</f>
        <v>0</v>
      </c>
      <c r="I382" s="113">
        <f>转换!I378</f>
        <v>3</v>
      </c>
      <c r="J382" s="113">
        <f>IF(I382=17,1,IF(I382=9,1,IF(转换!I378&gt;0,VLOOKUP(转换!H378,道具!B:C,2,FALSE),"")))</f>
        <v>160001</v>
      </c>
      <c r="K382" s="114">
        <f>IF(转换!I378=17,ROUND(转换!J378*100/转换!$U$2,0),IF(转换!I378=9,F382,转换!J378))</f>
        <v>6</v>
      </c>
      <c r="L382" s="115"/>
      <c r="M382" s="115"/>
      <c r="N382" s="115"/>
      <c r="O382" s="113"/>
      <c r="P382" s="113"/>
      <c r="Q382" s="113"/>
      <c r="R382" s="97"/>
      <c r="S382" s="97"/>
      <c r="T382" s="97"/>
    </row>
    <row r="383" customFormat="1" spans="1:20">
      <c r="A383">
        <f>IF(C383=1,1001+COUNTIF($C$5:C382,1),2001+COUNTIF($C$5:C382,2))</f>
        <v>1316</v>
      </c>
      <c r="B383">
        <v>1</v>
      </c>
      <c r="C383" s="121">
        <v>1</v>
      </c>
      <c r="D383" s="122" t="str">
        <f>IFERROR(_xlfn.IFNA(VLOOKUP(ROUND(F383,0),道具!$B$271:$C$295,2,FALSE),""),"")</f>
        <v/>
      </c>
      <c r="E383" s="122" t="str">
        <f>IFERROR(_xlfn.IFNA(VLOOKUP(ROUND(F383,0),道具!$B$296:$C$320,2,FALSE),""),"")</f>
        <v/>
      </c>
      <c r="F383" t="str">
        <f>IF(转换!B379&gt;0,转换!B379*100,"")</f>
        <v/>
      </c>
      <c r="G383">
        <v>34</v>
      </c>
      <c r="H383">
        <f>'体验表-带进度条'!R379</f>
        <v>0</v>
      </c>
      <c r="I383" s="113">
        <f>转换!I379</f>
        <v>17</v>
      </c>
      <c r="J383" s="113">
        <f>IF(I383=17,1,IF(I383=9,1,IF(转换!I379&gt;0,VLOOKUP(转换!H379,道具!B:C,2,FALSE),"")))</f>
        <v>1</v>
      </c>
      <c r="K383" s="114">
        <f>IF(转换!I379=17,ROUND(转换!J379*100/转换!$U$2,0),IF(转换!I379=9,F383,转换!J379))</f>
        <v>241</v>
      </c>
      <c r="L383" s="115"/>
      <c r="M383" s="115"/>
      <c r="N383" s="115"/>
      <c r="O383" s="113"/>
      <c r="P383" s="113"/>
      <c r="Q383" s="113"/>
      <c r="R383" s="97"/>
      <c r="S383" s="97"/>
      <c r="T383" s="97"/>
    </row>
    <row r="384" customFormat="1" spans="1:20">
      <c r="A384">
        <f>IF(C384=1,1001+COUNTIF($C$5:C383,1),2001+COUNTIF($C$5:C383,2))</f>
        <v>1317</v>
      </c>
      <c r="B384">
        <v>1</v>
      </c>
      <c r="C384" s="121">
        <v>1</v>
      </c>
      <c r="D384" s="122" t="str">
        <f>IFERROR(_xlfn.IFNA(VLOOKUP(ROUND(F384,0),道具!$B$271:$C$295,2,FALSE),""),"")</f>
        <v/>
      </c>
      <c r="E384" s="122" t="str">
        <f>IFERROR(_xlfn.IFNA(VLOOKUP(ROUND(F384,0),道具!$B$296:$C$320,2,FALSE),""),"")</f>
        <v/>
      </c>
      <c r="F384" t="str">
        <f>IF(转换!B380&gt;0,转换!B380*100,"")</f>
        <v/>
      </c>
      <c r="G384">
        <v>35</v>
      </c>
      <c r="H384">
        <f>'体验表-带进度条'!R380</f>
        <v>15</v>
      </c>
      <c r="I384" s="113">
        <f>转换!I380</f>
        <v>4</v>
      </c>
      <c r="J384" s="113">
        <f>IF(I384=17,1,IF(I384=9,1,IF(转换!I380&gt;0,VLOOKUP(转换!H380,道具!B:C,2,FALSE),"")))</f>
        <v>100005</v>
      </c>
      <c r="K384" s="114">
        <f>IF(转换!I380=17,ROUND(转换!J380*100/转换!$U$2,0),IF(转换!I380=9,F384,转换!J380))</f>
        <v>1</v>
      </c>
      <c r="L384" s="115"/>
      <c r="M384" s="115"/>
      <c r="N384" s="115"/>
      <c r="O384" s="113"/>
      <c r="P384" s="113"/>
      <c r="Q384" s="113"/>
      <c r="R384" s="97"/>
      <c r="S384" s="97"/>
      <c r="T384" s="97"/>
    </row>
    <row r="385" customFormat="1" spans="1:20">
      <c r="A385">
        <f>IF(C385=1,1001+COUNTIF($C$5:C384,1),2001+COUNTIF($C$5:C384,2))</f>
        <v>1318</v>
      </c>
      <c r="B385">
        <v>1</v>
      </c>
      <c r="C385" s="121">
        <v>1</v>
      </c>
      <c r="D385" s="122" t="str">
        <f>IFERROR(_xlfn.IFNA(VLOOKUP(ROUND(F385,0),道具!$B$271:$C$295,2,FALSE),""),"")</f>
        <v/>
      </c>
      <c r="E385" s="122" t="str">
        <f>IFERROR(_xlfn.IFNA(VLOOKUP(ROUND(F385,0),道具!$B$296:$C$320,2,FALSE),""),"")</f>
        <v/>
      </c>
      <c r="F385" t="str">
        <f>IF(转换!B381&gt;0,转换!B381*100,"")</f>
        <v/>
      </c>
      <c r="G385">
        <v>36</v>
      </c>
      <c r="H385">
        <f>'体验表-带进度条'!R381</f>
        <v>0</v>
      </c>
      <c r="I385" s="113">
        <f>转换!I381</f>
        <v>3</v>
      </c>
      <c r="J385" s="113">
        <f>IF(I385=17,1,IF(I385=9,1,IF(转换!I381&gt;0,VLOOKUP(转换!H381,道具!B:C,2,FALSE),"")))</f>
        <v>192001</v>
      </c>
      <c r="K385" s="114">
        <f>IF(转换!I381=17,ROUND(转换!J381*100/转换!$U$2,0),IF(转换!I381=9,F385,转换!J381))</f>
        <v>30</v>
      </c>
      <c r="L385" s="115"/>
      <c r="M385" s="115"/>
      <c r="N385" s="115"/>
      <c r="O385" s="113"/>
      <c r="P385" s="113"/>
      <c r="Q385" s="113"/>
      <c r="R385" s="97"/>
      <c r="S385" s="97"/>
      <c r="T385" s="97"/>
    </row>
    <row r="386" customFormat="1" spans="1:20">
      <c r="A386">
        <f>IF(C386=1,1001+COUNTIF($C$5:C385,1),2001+COUNTIF($C$5:C385,2))</f>
        <v>1319</v>
      </c>
      <c r="B386">
        <v>1</v>
      </c>
      <c r="C386" s="121">
        <v>1</v>
      </c>
      <c r="D386" s="122" t="str">
        <f>IFERROR(_xlfn.IFNA(VLOOKUP(ROUND(F386,0),道具!$B$271:$C$295,2,FALSE),""),"")</f>
        <v/>
      </c>
      <c r="E386" s="122" t="str">
        <f>IFERROR(_xlfn.IFNA(VLOOKUP(ROUND(F386,0),道具!$B$296:$C$320,2,FALSE),""),"")</f>
        <v/>
      </c>
      <c r="F386" t="str">
        <f>IF(转换!B382&gt;0,转换!B382*100,"")</f>
        <v/>
      </c>
      <c r="G386">
        <v>37</v>
      </c>
      <c r="H386">
        <f>'体验表-带进度条'!R382</f>
        <v>0</v>
      </c>
      <c r="I386" s="113">
        <f>转换!I382</f>
        <v>3</v>
      </c>
      <c r="J386" s="113">
        <f>IF(I386=17,1,IF(I386=9,1,IF(转换!I382&gt;0,VLOOKUP(转换!H382,道具!B:C,2,FALSE),"")))</f>
        <v>171002</v>
      </c>
      <c r="K386" s="114">
        <f>IF(转换!I382=17,ROUND(转换!J382*100/转换!$U$2,0),IF(转换!I382=9,F386,转换!J382))</f>
        <v>1</v>
      </c>
      <c r="L386" s="115"/>
      <c r="M386" s="115"/>
      <c r="N386" s="115"/>
      <c r="O386" s="113"/>
      <c r="P386" s="113"/>
      <c r="Q386" s="113"/>
      <c r="R386" s="97"/>
      <c r="S386" s="97"/>
      <c r="T386" s="97"/>
    </row>
    <row r="387" customFormat="1" spans="1:20">
      <c r="A387">
        <f>IF(C387=1,1001+COUNTIF($C$5:C386,1),2001+COUNTIF($C$5:C386,2))</f>
        <v>1320</v>
      </c>
      <c r="B387">
        <v>1</v>
      </c>
      <c r="C387" s="121">
        <v>1</v>
      </c>
      <c r="D387" s="122" t="str">
        <f>IFERROR(_xlfn.IFNA(VLOOKUP(ROUND(F387,0),道具!$B$271:$C$295,2,FALSE),""),"")</f>
        <v/>
      </c>
      <c r="E387" s="122" t="str">
        <f>IFERROR(_xlfn.IFNA(VLOOKUP(ROUND(F387,0),道具!$B$296:$C$320,2,FALSE),""),"")</f>
        <v/>
      </c>
      <c r="F387" t="str">
        <f>IF(转换!B384&gt;0,转换!B384*100,"")</f>
        <v/>
      </c>
      <c r="G387">
        <v>39</v>
      </c>
      <c r="H387">
        <f>'体验表-带进度条'!R384</f>
        <v>0</v>
      </c>
      <c r="I387" s="113">
        <f>转换!I384</f>
        <v>3</v>
      </c>
      <c r="J387" s="113">
        <f>IF(I387=17,1,IF(I387=9,1,IF(转换!I384&gt;0,VLOOKUP(转换!H384,道具!B:C,2,FALSE),"")))</f>
        <v>160001</v>
      </c>
      <c r="K387" s="114">
        <f>IF(转换!I384=17,ROUND(转换!J384*100/转换!$U$2,0),IF(转换!I384=9,F387,转换!J384))</f>
        <v>7</v>
      </c>
      <c r="L387" s="115"/>
      <c r="M387" s="115"/>
      <c r="N387" s="115"/>
      <c r="O387" s="113"/>
      <c r="P387" s="113"/>
      <c r="Q387" s="113"/>
      <c r="R387" s="97"/>
      <c r="S387" s="97"/>
      <c r="T387" s="97"/>
    </row>
    <row r="388" customFormat="1" spans="1:20">
      <c r="A388">
        <f>IF(C388=1,1001+COUNTIF($C$5:C387,1),2001+COUNTIF($C$5:C387,2))</f>
        <v>1321</v>
      </c>
      <c r="B388">
        <v>1</v>
      </c>
      <c r="C388" s="121">
        <v>1</v>
      </c>
      <c r="D388" s="122" t="str">
        <f>IFERROR(_xlfn.IFNA(VLOOKUP(ROUND(F388,0),道具!$B$271:$C$295,2,FALSE),""),"")</f>
        <v/>
      </c>
      <c r="E388" s="122" t="str">
        <f>IFERROR(_xlfn.IFNA(VLOOKUP(ROUND(F388,0),道具!$B$296:$C$320,2,FALSE),""),"")</f>
        <v/>
      </c>
      <c r="F388" t="str">
        <f>IF(转换!B385&gt;0,转换!B385*100,"")</f>
        <v/>
      </c>
      <c r="G388">
        <v>40</v>
      </c>
      <c r="H388">
        <f>'体验表-带进度条'!R385</f>
        <v>0</v>
      </c>
      <c r="I388" s="113">
        <f>转换!I385</f>
        <v>17</v>
      </c>
      <c r="J388" s="113">
        <f>IF(I388=17,1,IF(I388=9,1,IF(转换!I385&gt;0,VLOOKUP(转换!H385,道具!B:C,2,FALSE),"")))</f>
        <v>1</v>
      </c>
      <c r="K388" s="114">
        <f>IF(转换!I385=17,ROUND(转换!J385*100/转换!$U$2,0),IF(转换!I385=9,F388,转换!J385))</f>
        <v>241</v>
      </c>
      <c r="L388" s="115"/>
      <c r="M388" s="115"/>
      <c r="N388" s="115"/>
      <c r="O388" s="113"/>
      <c r="P388" s="113"/>
      <c r="Q388" s="113"/>
      <c r="R388" s="97"/>
      <c r="S388" s="97"/>
      <c r="T388" s="97"/>
    </row>
    <row r="389" customFormat="1" spans="1:20">
      <c r="A389">
        <f>IF(C389=1,1001+COUNTIF($C$5:C388,1),2001+COUNTIF($C$5:C388,2))</f>
        <v>1322</v>
      </c>
      <c r="B389">
        <v>1</v>
      </c>
      <c r="C389" s="121">
        <v>1</v>
      </c>
      <c r="D389" s="122" t="str">
        <f>IFERROR(_xlfn.IFNA(VLOOKUP(ROUND(F389,0),道具!$B$271:$C$295,2,FALSE),""),"")</f>
        <v/>
      </c>
      <c r="E389" s="122" t="str">
        <f>IFERROR(_xlfn.IFNA(VLOOKUP(ROUND(F389,0),道具!$B$296:$C$320,2,FALSE),""),"")</f>
        <v/>
      </c>
      <c r="F389" t="str">
        <f>IF(转换!B386&gt;0,转换!B386*100,"")</f>
        <v/>
      </c>
      <c r="G389">
        <v>41</v>
      </c>
      <c r="H389">
        <f>'体验表-带进度条'!R386</f>
        <v>50</v>
      </c>
      <c r="I389" s="113">
        <f>转换!I386</f>
        <v>4</v>
      </c>
      <c r="J389" s="113">
        <f>IF(I389=17,1,IF(I389=9,1,IF(转换!I386&gt;0,VLOOKUP(转换!H386,道具!B:C,2,FALSE),"")))</f>
        <v>100006</v>
      </c>
      <c r="K389" s="114">
        <f>IF(转换!I386=17,ROUND(转换!J386*100/转换!$U$2,0),IF(转换!I386=9,F389,转换!J386))</f>
        <v>1</v>
      </c>
      <c r="L389" s="115"/>
      <c r="M389" s="115"/>
      <c r="N389" s="115"/>
      <c r="O389" s="113"/>
      <c r="P389" s="113"/>
      <c r="Q389" s="113"/>
      <c r="R389" s="97"/>
      <c r="S389" s="97"/>
      <c r="T389" s="97"/>
    </row>
    <row r="390" customFormat="1" spans="1:20">
      <c r="A390">
        <f>IF(C390=1,1001+COUNTIF($C$5:C389,1),2001+COUNTIF($C$5:C389,2))</f>
        <v>1323</v>
      </c>
      <c r="B390">
        <v>1</v>
      </c>
      <c r="C390" s="121">
        <v>1</v>
      </c>
      <c r="D390" s="122" t="str">
        <f>IFERROR(_xlfn.IFNA(VLOOKUP(ROUND(F390,0),道具!$B$271:$C$295,2,FALSE),""),"")</f>
        <v/>
      </c>
      <c r="E390" s="122" t="str">
        <f>IFERROR(_xlfn.IFNA(VLOOKUP(ROUND(F390,0),道具!$B$296:$C$320,2,FALSE),""),"")</f>
        <v/>
      </c>
      <c r="F390" t="str">
        <f>IF(转换!B387&gt;0,转换!B387*100,"")</f>
        <v/>
      </c>
      <c r="G390">
        <v>42</v>
      </c>
      <c r="H390">
        <f>'体验表-带进度条'!R387</f>
        <v>0</v>
      </c>
      <c r="I390" s="113">
        <f>转换!I387</f>
        <v>3</v>
      </c>
      <c r="J390" s="113">
        <f>IF(I390=17,1,IF(I390=9,1,IF(转换!I387&gt;0,VLOOKUP(转换!H387,道具!B:C,2,FALSE),"")))</f>
        <v>192001</v>
      </c>
      <c r="K390" s="114">
        <f>IF(转换!I387=17,ROUND(转换!J387*100/转换!$U$2,0),IF(转换!I387=9,F390,转换!J387))</f>
        <v>35</v>
      </c>
      <c r="L390" s="115"/>
      <c r="M390" s="115"/>
      <c r="N390" s="115"/>
      <c r="O390" s="113"/>
      <c r="P390" s="113"/>
      <c r="Q390" s="113"/>
      <c r="R390" s="97"/>
      <c r="S390" s="97"/>
      <c r="T390" s="97"/>
    </row>
    <row r="391" customFormat="1" spans="1:20">
      <c r="A391">
        <f>IF(C391=1,1001+COUNTIF($C$5:C390,1),2001+COUNTIF($C$5:C390,2))</f>
        <v>1324</v>
      </c>
      <c r="B391">
        <v>1</v>
      </c>
      <c r="C391" s="121">
        <v>1</v>
      </c>
      <c r="D391" s="122" t="str">
        <f>IFERROR(_xlfn.IFNA(VLOOKUP(ROUND(F391,0),道具!$B$271:$C$295,2,FALSE),""),"")</f>
        <v/>
      </c>
      <c r="E391" s="122" t="str">
        <f>IFERROR(_xlfn.IFNA(VLOOKUP(ROUND(F391,0),道具!$B$296:$C$320,2,FALSE),""),"")</f>
        <v/>
      </c>
      <c r="F391" t="str">
        <f>IF(转换!B388&gt;0,转换!B388*100,"")</f>
        <v/>
      </c>
      <c r="G391">
        <v>43</v>
      </c>
      <c r="H391">
        <f>'体验表-带进度条'!R388</f>
        <v>0</v>
      </c>
      <c r="I391" s="113">
        <f>转换!I388</f>
        <v>3</v>
      </c>
      <c r="J391" s="113">
        <f>IF(I391=17,1,IF(I391=9,1,IF(转换!I388&gt;0,VLOOKUP(转换!H388,道具!B:C,2,FALSE),"")))</f>
        <v>171001</v>
      </c>
      <c r="K391" s="114">
        <f>IF(转换!I388=17,ROUND(转换!J388*100/转换!$U$2,0),IF(转换!I388=9,F391,转换!J388))</f>
        <v>1</v>
      </c>
      <c r="L391" s="115"/>
      <c r="M391" s="115"/>
      <c r="N391" s="115"/>
      <c r="O391" s="113"/>
      <c r="P391" s="113"/>
      <c r="Q391" s="113"/>
      <c r="R391" s="97"/>
      <c r="S391" s="97"/>
      <c r="T391" s="97"/>
    </row>
    <row r="392" customFormat="1" spans="1:20">
      <c r="A392">
        <f>IF(C392=1,1001+COUNTIF($C$5:C391,1),2001+COUNTIF($C$5:C391,2))</f>
        <v>2064</v>
      </c>
      <c r="B392">
        <v>1</v>
      </c>
      <c r="C392" s="121">
        <v>2</v>
      </c>
      <c r="D392" s="122" t="str">
        <f>IFERROR(_xlfn.IFNA(VLOOKUP(ROUND(F392,0),道具!$B$271:$C$295,2,FALSE),""),"")</f>
        <v>gp_hunt_599</v>
      </c>
      <c r="E392" s="122" t="str">
        <f>IFERROR(_xlfn.IFNA(VLOOKUP(ROUND(F392,0),道具!$B$296:$C$320,2,FALSE),""),"")</f>
        <v>iap_hunt_599</v>
      </c>
      <c r="F392">
        <f>IF(转换!B390&gt;0,转换!B390*100,"")</f>
        <v>599</v>
      </c>
      <c r="G392">
        <v>2</v>
      </c>
      <c r="H392">
        <f>'体验表-带进度条'!R390</f>
        <v>10</v>
      </c>
      <c r="I392" s="113">
        <f>转换!I390</f>
        <v>9</v>
      </c>
      <c r="J392" s="113">
        <f>IF(I392=17,1,IF(I392=9,1,IF(转换!I390&gt;0,VLOOKUP(转换!H390,道具!B:C,2,FALSE),"")))</f>
        <v>1</v>
      </c>
      <c r="K392" s="114">
        <f>IF(转换!I390=17,ROUND(转换!J390*100/转换!$U$2,0),IF(转换!I390=9,F392,转换!J390))</f>
        <v>599</v>
      </c>
      <c r="L392" s="115"/>
      <c r="M392" s="115"/>
      <c r="N392" s="115"/>
      <c r="O392" s="113"/>
      <c r="P392" s="113"/>
      <c r="Q392" s="113"/>
      <c r="R392" s="97"/>
      <c r="S392" s="97"/>
      <c r="T392" s="97"/>
    </row>
    <row r="393" customFormat="1" spans="1:20">
      <c r="A393">
        <f>IF(C393=1,1001+COUNTIF($C$5:C392,1),2001+COUNTIF($C$5:C392,2))</f>
        <v>2065</v>
      </c>
      <c r="B393">
        <v>1</v>
      </c>
      <c r="C393" s="121">
        <v>2</v>
      </c>
      <c r="D393" s="122" t="str">
        <f>IFERROR(_xlfn.IFNA(VLOOKUP(ROUND(F393,0),道具!$B$271:$C$295,2,FALSE),""),"")</f>
        <v>gp_hunt_3</v>
      </c>
      <c r="E393" s="122" t="str">
        <f>IFERROR(_xlfn.IFNA(VLOOKUP(ROUND(F393,0),道具!$B$296:$C$320,2,FALSE),""),"")</f>
        <v>iap_hunt_3</v>
      </c>
      <c r="F393">
        <f>IF(转换!B396&gt;0,转换!B396*100,"")</f>
        <v>799</v>
      </c>
      <c r="G393">
        <v>8</v>
      </c>
      <c r="H393">
        <f>'体验表-带进度条'!R396</f>
        <v>25</v>
      </c>
      <c r="I393" s="113">
        <f>转换!I396</f>
        <v>9</v>
      </c>
      <c r="J393" s="113">
        <f>IF(I393=17,1,IF(I393=9,1,IF(转换!I396&gt;0,VLOOKUP(转换!H396,道具!B:C,2,FALSE),"")))</f>
        <v>1</v>
      </c>
      <c r="K393" s="114">
        <f>IF(转换!I396=17,ROUND(转换!J396*100/转换!$U$2,0),IF(转换!I396=9,F393,转换!J396))</f>
        <v>799</v>
      </c>
      <c r="L393" s="115"/>
      <c r="M393" s="115"/>
      <c r="N393" s="115"/>
      <c r="O393" s="113"/>
      <c r="P393" s="113"/>
      <c r="Q393" s="113"/>
      <c r="R393" s="97"/>
      <c r="S393" s="97"/>
      <c r="T393" s="97"/>
    </row>
    <row r="394" customFormat="1" spans="1:20">
      <c r="A394">
        <f>IF(C394=1,1001+COUNTIF($C$5:C393,1),2001+COUNTIF($C$5:C393,2))</f>
        <v>2066</v>
      </c>
      <c r="B394">
        <v>1</v>
      </c>
      <c r="C394" s="121">
        <v>2</v>
      </c>
      <c r="D394" s="122" t="str">
        <f>IFERROR(_xlfn.IFNA(VLOOKUP(ROUND(F394,0),道具!$B$271:$C$295,2,FALSE),""),"")</f>
        <v>gp_hunt_999</v>
      </c>
      <c r="E394" s="122" t="str">
        <f>IFERROR(_xlfn.IFNA(VLOOKUP(ROUND(F394,0),道具!$B$296:$C$320,2,FALSE),""),"")</f>
        <v>iap_hunt_999</v>
      </c>
      <c r="F394">
        <f>IF(转换!B402&gt;0,转换!B402*100,"")</f>
        <v>999</v>
      </c>
      <c r="G394">
        <v>14</v>
      </c>
      <c r="H394">
        <f>'体验表-带进度条'!R402</f>
        <v>35</v>
      </c>
      <c r="I394" s="113">
        <f>转换!I402</f>
        <v>9</v>
      </c>
      <c r="J394" s="113">
        <f>IF(I394=17,1,IF(I394=9,1,IF(转换!I402&gt;0,VLOOKUP(转换!H402,道具!B:C,2,FALSE),"")))</f>
        <v>1</v>
      </c>
      <c r="K394" s="114">
        <f>IF(转换!I402=17,ROUND(转换!J402*100/转换!$U$2,0),IF(转换!I402=9,F394,转换!J402))</f>
        <v>999</v>
      </c>
      <c r="L394" s="115"/>
      <c r="M394" s="115"/>
      <c r="N394" s="115"/>
      <c r="O394" s="113"/>
      <c r="P394" s="113"/>
      <c r="Q394" s="113"/>
      <c r="R394" s="97"/>
      <c r="S394" s="97"/>
      <c r="T394" s="97"/>
    </row>
    <row r="395" customFormat="1" spans="1:20">
      <c r="A395">
        <f>IF(C395=1,1001+COUNTIF($C$5:C394,1),2001+COUNTIF($C$5:C394,2))</f>
        <v>2067</v>
      </c>
      <c r="B395">
        <v>1</v>
      </c>
      <c r="C395" s="121">
        <v>2</v>
      </c>
      <c r="D395" s="122" t="str">
        <f>IFERROR(_xlfn.IFNA(VLOOKUP(ROUND(F395,0),道具!$B$271:$C$295,2,FALSE),""),"")</f>
        <v>gp_hunt_5</v>
      </c>
      <c r="E395" s="122" t="str">
        <f>IFERROR(_xlfn.IFNA(VLOOKUP(ROUND(F395,0),道具!$B$296:$C$320,2,FALSE),""),"")</f>
        <v>iap_hunt_5</v>
      </c>
      <c r="F395">
        <f>IF(转换!B408&gt;0,转换!B408*100,"")</f>
        <v>1299</v>
      </c>
      <c r="G395">
        <v>20</v>
      </c>
      <c r="H395">
        <f>'体验表-带进度条'!R408</f>
        <v>0</v>
      </c>
      <c r="I395" s="113">
        <f>转换!I408</f>
        <v>9</v>
      </c>
      <c r="J395" s="113">
        <f>IF(I395=17,1,IF(I395=9,1,IF(转换!I408&gt;0,VLOOKUP(转换!H408,道具!B:C,2,FALSE),"")))</f>
        <v>1</v>
      </c>
      <c r="K395" s="114">
        <f>IF(转换!I408=17,ROUND(转换!J408*100/转换!$U$2,0),IF(转换!I408=9,F395,转换!J408))</f>
        <v>1299</v>
      </c>
      <c r="L395" s="115"/>
      <c r="M395" s="115"/>
      <c r="N395" s="115"/>
      <c r="O395" s="113"/>
      <c r="P395" s="113"/>
      <c r="Q395" s="113"/>
      <c r="R395" s="97"/>
      <c r="S395" s="97"/>
      <c r="T395" s="97"/>
    </row>
    <row r="396" customFormat="1" spans="1:20">
      <c r="A396">
        <f>IF(C396=1,1001+COUNTIF($C$5:C395,1),2001+COUNTIF($C$5:C395,2))</f>
        <v>2068</v>
      </c>
      <c r="B396">
        <v>1</v>
      </c>
      <c r="C396" s="121">
        <v>2</v>
      </c>
      <c r="D396" s="122" t="str">
        <f>IFERROR(_xlfn.IFNA(VLOOKUP(ROUND(F396,0),道具!$B$271:$C$295,2,FALSE),""),"")</f>
        <v>gp_hunt_6</v>
      </c>
      <c r="E396" s="122" t="str">
        <f>IFERROR(_xlfn.IFNA(VLOOKUP(ROUND(F396,0),道具!$B$296:$C$320,2,FALSE),""),"")</f>
        <v>iap_hunt_6</v>
      </c>
      <c r="F396">
        <f>IF(转换!B414&gt;0,转换!B414*100,"")</f>
        <v>1499</v>
      </c>
      <c r="G396">
        <v>26</v>
      </c>
      <c r="H396">
        <f>'体验表-带进度条'!R414</f>
        <v>10</v>
      </c>
      <c r="I396" s="113">
        <f>转换!I414</f>
        <v>9</v>
      </c>
      <c r="J396" s="113">
        <f>IF(I396=17,1,IF(I396=9,1,IF(转换!I414&gt;0,VLOOKUP(转换!H414,道具!B:C,2,FALSE),"")))</f>
        <v>1</v>
      </c>
      <c r="K396" s="114">
        <f>IF(转换!I414=17,ROUND(转换!J414*100/转换!$U$2,0),IF(转换!I414=9,F396,转换!J414))</f>
        <v>1499</v>
      </c>
      <c r="L396" s="115"/>
      <c r="M396" s="115"/>
      <c r="N396" s="115"/>
      <c r="O396" s="113"/>
      <c r="P396" s="113"/>
      <c r="Q396" s="113"/>
      <c r="R396" s="97"/>
      <c r="S396" s="97"/>
      <c r="T396" s="97"/>
    </row>
    <row r="397" customFormat="1" spans="1:20">
      <c r="A397">
        <f>IF(C397=1,1001+COUNTIF($C$5:C396,1),2001+COUNTIF($C$5:C396,2))</f>
        <v>2069</v>
      </c>
      <c r="B397">
        <v>1</v>
      </c>
      <c r="C397" s="121">
        <v>2</v>
      </c>
      <c r="D397" s="122" t="str">
        <f>IFERROR(_xlfn.IFNA(VLOOKUP(ROUND(F397,0),道具!$B$271:$C$295,2,FALSE),""),"")</f>
        <v>gp_hunt_1799</v>
      </c>
      <c r="E397" s="122" t="str">
        <f>IFERROR(_xlfn.IFNA(VLOOKUP(ROUND(F397,0),道具!$B$296:$C$320,2,FALSE),""),"")</f>
        <v>iap_hunt_1799</v>
      </c>
      <c r="F397">
        <f>IF(转换!B420&gt;0,转换!B420*100,"")</f>
        <v>1799</v>
      </c>
      <c r="G397">
        <v>32</v>
      </c>
      <c r="H397">
        <f>'体验表-带进度条'!R420</f>
        <v>25</v>
      </c>
      <c r="I397" s="113">
        <f>转换!I420</f>
        <v>9</v>
      </c>
      <c r="J397" s="113">
        <f>IF(I397=17,1,IF(I397=9,1,IF(转换!I420&gt;0,VLOOKUP(转换!H420,道具!B:C,2,FALSE),"")))</f>
        <v>1</v>
      </c>
      <c r="K397" s="114">
        <f>IF(转换!I420=17,ROUND(转换!J420*100/转换!$U$2,0),IF(转换!I420=9,F397,转换!J420))</f>
        <v>1799</v>
      </c>
      <c r="L397" s="115"/>
      <c r="M397" s="115"/>
      <c r="N397" s="115"/>
      <c r="O397" s="113"/>
      <c r="P397" s="113"/>
      <c r="Q397" s="113"/>
      <c r="R397" s="97"/>
      <c r="S397" s="97"/>
      <c r="T397" s="97"/>
    </row>
    <row r="398" customFormat="1" spans="1:20">
      <c r="A398">
        <f>IF(C398=1,1001+COUNTIF($C$5:C397,1),2001+COUNTIF($C$5:C397,2))</f>
        <v>2070</v>
      </c>
      <c r="B398">
        <v>1</v>
      </c>
      <c r="C398" s="121">
        <v>2</v>
      </c>
      <c r="D398" s="122" t="str">
        <f>IFERROR(_xlfn.IFNA(VLOOKUP(ROUND(F398,0),道具!$B$271:$C$295,2,FALSE),""),"")</f>
        <v>gp_hunt_1999</v>
      </c>
      <c r="E398" s="122" t="str">
        <f>IFERROR(_xlfn.IFNA(VLOOKUP(ROUND(F398,0),道具!$B$296:$C$320,2,FALSE),""),"")</f>
        <v>iap_hunt_1999</v>
      </c>
      <c r="F398">
        <f>IF(转换!B426&gt;0,转换!B426*100,"")</f>
        <v>1999</v>
      </c>
      <c r="G398">
        <v>38</v>
      </c>
      <c r="H398">
        <f>'体验表-带进度条'!R426</f>
        <v>35</v>
      </c>
      <c r="I398" s="113">
        <f>转换!I426</f>
        <v>9</v>
      </c>
      <c r="J398" s="113">
        <f>IF(I398=17,1,IF(I398=9,1,IF(转换!I426&gt;0,VLOOKUP(转换!H426,道具!B:C,2,FALSE),"")))</f>
        <v>1</v>
      </c>
      <c r="K398" s="114">
        <f>IF(转换!I426=17,ROUND(转换!J426*100/转换!$U$2,0),IF(转换!I426=9,F398,转换!J426))</f>
        <v>1999</v>
      </c>
      <c r="L398" s="115"/>
      <c r="M398" s="115"/>
      <c r="N398" s="115"/>
      <c r="O398" s="113"/>
      <c r="P398" s="113"/>
      <c r="Q398" s="113"/>
      <c r="R398" s="97"/>
      <c r="S398" s="97"/>
      <c r="T398" s="97"/>
    </row>
    <row r="399" customFormat="1" spans="1:20">
      <c r="A399">
        <f>IF(C399=1,1001+COUNTIF($C$5:C398,1),2001+COUNTIF($C$5:C398,2))</f>
        <v>1325</v>
      </c>
      <c r="B399">
        <v>1</v>
      </c>
      <c r="C399" s="121">
        <v>1</v>
      </c>
      <c r="D399" s="122" t="str">
        <f>IFERROR(_xlfn.IFNA(VLOOKUP(ROUND(F399,0),道具!$B$271:$C$295,2,FALSE),""),"")</f>
        <v/>
      </c>
      <c r="E399" s="122" t="str">
        <f>IFERROR(_xlfn.IFNA(VLOOKUP(ROUND(F399,0),道具!$B$296:$C$320,2,FALSE),""),"")</f>
        <v/>
      </c>
      <c r="F399" t="str">
        <f>IF(转换!B389&gt;0,转换!B389*100,"")</f>
        <v/>
      </c>
      <c r="G399">
        <v>1</v>
      </c>
      <c r="H399">
        <f>'体验表-带进度条'!R389</f>
        <v>20</v>
      </c>
      <c r="I399" s="113">
        <f>转换!I389</f>
        <v>1</v>
      </c>
      <c r="J399" s="113">
        <f>IF(I399=17,1,IF(I399=9,1,IF(转换!I389&gt;0,VLOOKUP(转换!H389,道具!B:C,2,FALSE),"")))</f>
        <v>1</v>
      </c>
      <c r="K399" s="114">
        <f>IF(转换!I389=17,ROUND(转换!J389*100/转换!$U$2,0),IF(转换!I389=9,F399,转换!J389))</f>
        <v>5000</v>
      </c>
      <c r="L399" s="115"/>
      <c r="M399" s="115"/>
      <c r="N399" s="115"/>
      <c r="O399" s="113"/>
      <c r="P399" s="113"/>
      <c r="Q399" s="113"/>
      <c r="R399" s="97"/>
      <c r="S399" s="97"/>
      <c r="T399" s="97"/>
    </row>
    <row r="400" customFormat="1" spans="1:20">
      <c r="A400">
        <f>IF(C400=1,1001+COUNTIF($C$5:C399,1),2001+COUNTIF($C$5:C399,2))</f>
        <v>1326</v>
      </c>
      <c r="B400">
        <v>1</v>
      </c>
      <c r="C400" s="121">
        <v>1</v>
      </c>
      <c r="D400" s="122" t="str">
        <f>IFERROR(_xlfn.IFNA(VLOOKUP(ROUND(F400,0),道具!$B$271:$C$295,2,FALSE),""),"")</f>
        <v/>
      </c>
      <c r="E400" s="122" t="str">
        <f>IFERROR(_xlfn.IFNA(VLOOKUP(ROUND(F400,0),道具!$B$296:$C$320,2,FALSE),""),"")</f>
        <v/>
      </c>
      <c r="F400" t="str">
        <f>IF(转换!B391&gt;0,转换!B391*100,"")</f>
        <v/>
      </c>
      <c r="G400">
        <v>3</v>
      </c>
      <c r="H400">
        <f>'体验表-带进度条'!R391</f>
        <v>0</v>
      </c>
      <c r="I400" s="113">
        <f>转换!I391</f>
        <v>3</v>
      </c>
      <c r="J400" s="113">
        <f>IF(I400=17,1,IF(I400=9,1,IF(转换!I391&gt;0,VLOOKUP(转换!H391,道具!B:C,2,FALSE),"")))</f>
        <v>160001</v>
      </c>
      <c r="K400" s="114">
        <f>IF(转换!I391=17,ROUND(转换!J391*100/转换!$U$2,0),IF(转换!I391=9,F400,转换!J391))</f>
        <v>1</v>
      </c>
      <c r="L400" s="115"/>
      <c r="M400" s="115"/>
      <c r="N400" s="115"/>
      <c r="O400" s="113"/>
      <c r="P400" s="113"/>
      <c r="Q400" s="113"/>
      <c r="R400" s="97"/>
      <c r="S400" s="97"/>
      <c r="T400" s="97"/>
    </row>
    <row r="401" customFormat="1" spans="1:20">
      <c r="A401">
        <f>IF(C401=1,1001+COUNTIF($C$5:C400,1),2001+COUNTIF($C$5:C400,2))</f>
        <v>1327</v>
      </c>
      <c r="B401">
        <v>1</v>
      </c>
      <c r="C401" s="121">
        <v>1</v>
      </c>
      <c r="D401" s="122" t="str">
        <f>IFERROR(_xlfn.IFNA(VLOOKUP(ROUND(F401,0),道具!$B$271:$C$295,2,FALSE),""),"")</f>
        <v/>
      </c>
      <c r="E401" s="122" t="str">
        <f>IFERROR(_xlfn.IFNA(VLOOKUP(ROUND(F401,0),道具!$B$296:$C$320,2,FALSE),""),"")</f>
        <v/>
      </c>
      <c r="F401" t="str">
        <f>IF(转换!B392&gt;0,转换!B392*100,"")</f>
        <v/>
      </c>
      <c r="G401">
        <v>4</v>
      </c>
      <c r="H401">
        <f>'体验表-带进度条'!R392</f>
        <v>0</v>
      </c>
      <c r="I401" s="113">
        <f>转换!I392</f>
        <v>17</v>
      </c>
      <c r="J401" s="113">
        <f>IF(I401=17,1,IF(I401=9,1,IF(转换!I392&gt;0,VLOOKUP(转换!H392,道具!B:C,2,FALSE),"")))</f>
        <v>1</v>
      </c>
      <c r="K401" s="114">
        <f>IF(转换!I392=17,ROUND(转换!J392*100/转换!$U$2,0),IF(转换!I392=9,F401,转换!J392))</f>
        <v>201</v>
      </c>
      <c r="L401" s="115"/>
      <c r="M401" s="115"/>
      <c r="N401" s="115"/>
      <c r="O401" s="113"/>
      <c r="P401" s="113"/>
      <c r="Q401" s="113"/>
      <c r="R401" s="97"/>
      <c r="S401" s="97"/>
      <c r="T401" s="97"/>
    </row>
    <row r="402" customFormat="1" spans="1:20">
      <c r="A402">
        <f>IF(C402=1,1001+COUNTIF($C$5:C401,1),2001+COUNTIF($C$5:C401,2))</f>
        <v>1328</v>
      </c>
      <c r="B402">
        <v>1</v>
      </c>
      <c r="C402" s="121">
        <v>1</v>
      </c>
      <c r="D402" s="122" t="str">
        <f>IFERROR(_xlfn.IFNA(VLOOKUP(ROUND(F402,0),道具!$B$271:$C$295,2,FALSE),""),"")</f>
        <v/>
      </c>
      <c r="E402" s="122" t="str">
        <f>IFERROR(_xlfn.IFNA(VLOOKUP(ROUND(F402,0),道具!$B$296:$C$320,2,FALSE),""),"")</f>
        <v/>
      </c>
      <c r="F402" t="str">
        <f>IF(转换!B393&gt;0,转换!B393*100,"")</f>
        <v/>
      </c>
      <c r="G402">
        <v>5</v>
      </c>
      <c r="H402">
        <f>'体验表-带进度条'!R393</f>
        <v>10</v>
      </c>
      <c r="I402" s="113">
        <f>转换!I393</f>
        <v>4</v>
      </c>
      <c r="J402" s="113">
        <f>IF(I402=17,1,IF(I402=9,1,IF(转换!I393&gt;0,VLOOKUP(转换!H393,道具!B:C,2,FALSE),"")))</f>
        <v>100002</v>
      </c>
      <c r="K402" s="114">
        <f>IF(转换!I393=17,ROUND(转换!J393*100/转换!$U$2,0),IF(转换!I393=9,F402,转换!J393))</f>
        <v>1</v>
      </c>
      <c r="L402" s="115"/>
      <c r="M402" s="115"/>
      <c r="N402" s="115"/>
      <c r="O402" s="113"/>
      <c r="P402" s="113"/>
      <c r="Q402" s="113"/>
      <c r="R402" s="97"/>
      <c r="S402" s="97"/>
      <c r="T402" s="97"/>
    </row>
    <row r="403" customFormat="1" spans="1:20">
      <c r="A403">
        <f>IF(C403=1,1001+COUNTIF($C$5:C402,1),2001+COUNTIF($C$5:C402,2))</f>
        <v>1329</v>
      </c>
      <c r="B403">
        <v>1</v>
      </c>
      <c r="C403" s="121">
        <v>1</v>
      </c>
      <c r="D403" s="122" t="str">
        <f>IFERROR(_xlfn.IFNA(VLOOKUP(ROUND(F403,0),道具!$B$271:$C$295,2,FALSE),""),"")</f>
        <v/>
      </c>
      <c r="E403" s="122" t="str">
        <f>IFERROR(_xlfn.IFNA(VLOOKUP(ROUND(F403,0),道具!$B$296:$C$320,2,FALSE),""),"")</f>
        <v/>
      </c>
      <c r="F403" t="str">
        <f>IF(转换!B394&gt;0,转换!B394*100,"")</f>
        <v/>
      </c>
      <c r="G403">
        <v>6</v>
      </c>
      <c r="H403">
        <f>'体验表-带进度条'!R394</f>
        <v>0</v>
      </c>
      <c r="I403" s="113">
        <f>转换!I394</f>
        <v>3</v>
      </c>
      <c r="J403" s="113">
        <f>IF(I403=17,1,IF(I403=9,1,IF(转换!I394&gt;0,VLOOKUP(转换!H394,道具!B:C,2,FALSE),"")))</f>
        <v>192001</v>
      </c>
      <c r="K403" s="114">
        <f>IF(转换!I394=17,ROUND(转换!J394*100/转换!$U$2,0),IF(转换!I394=9,F403,转换!J394))</f>
        <v>5</v>
      </c>
      <c r="L403" s="115"/>
      <c r="M403" s="115"/>
      <c r="N403" s="115"/>
      <c r="O403" s="113"/>
      <c r="P403" s="113"/>
      <c r="Q403" s="113"/>
      <c r="R403" s="97"/>
      <c r="S403" s="97"/>
      <c r="T403" s="97"/>
    </row>
    <row r="404" customFormat="1" spans="1:20">
      <c r="A404">
        <f>IF(C404=1,1001+COUNTIF($C$5:C403,1),2001+COUNTIF($C$5:C403,2))</f>
        <v>1330</v>
      </c>
      <c r="B404">
        <v>1</v>
      </c>
      <c r="C404" s="121">
        <v>1</v>
      </c>
      <c r="D404" s="122" t="str">
        <f>IFERROR(_xlfn.IFNA(VLOOKUP(ROUND(F404,0),道具!$B$271:$C$295,2,FALSE),""),"")</f>
        <v/>
      </c>
      <c r="E404" s="122" t="str">
        <f>IFERROR(_xlfn.IFNA(VLOOKUP(ROUND(F404,0),道具!$B$296:$C$320,2,FALSE),""),"")</f>
        <v/>
      </c>
      <c r="F404" t="str">
        <f>IF(转换!B395&gt;0,转换!B395*100,"")</f>
        <v/>
      </c>
      <c r="G404">
        <v>7</v>
      </c>
      <c r="H404">
        <f>'体验表-带进度条'!R395</f>
        <v>0</v>
      </c>
      <c r="I404" s="113">
        <f>转换!I395</f>
        <v>3</v>
      </c>
      <c r="J404" s="113">
        <f>IF(I404=17,1,IF(I404=9,1,IF(转换!I395&gt;0,VLOOKUP(转换!H395,道具!B:C,2,FALSE),"")))</f>
        <v>171001</v>
      </c>
      <c r="K404" s="114">
        <f>IF(转换!I395=17,ROUND(转换!J395*100/转换!$U$2,0),IF(转换!I395=9,F404,转换!J395))</f>
        <v>1</v>
      </c>
      <c r="L404" s="115"/>
      <c r="M404" s="115"/>
      <c r="N404" s="115"/>
      <c r="O404" s="113"/>
      <c r="P404" s="113"/>
      <c r="Q404" s="113"/>
      <c r="R404" s="97"/>
      <c r="S404" s="97"/>
      <c r="T404" s="97"/>
    </row>
    <row r="405" customFormat="1" spans="1:20">
      <c r="A405">
        <f>IF(C405=1,1001+COUNTIF($C$5:C404,1),2001+COUNTIF($C$5:C404,2))</f>
        <v>1331</v>
      </c>
      <c r="B405">
        <v>1</v>
      </c>
      <c r="C405" s="121">
        <v>1</v>
      </c>
      <c r="D405" s="122" t="str">
        <f>IFERROR(_xlfn.IFNA(VLOOKUP(ROUND(F405,0),道具!$B$271:$C$295,2,FALSE),""),"")</f>
        <v/>
      </c>
      <c r="E405" s="122" t="str">
        <f>IFERROR(_xlfn.IFNA(VLOOKUP(ROUND(F405,0),道具!$B$296:$C$320,2,FALSE),""),"")</f>
        <v/>
      </c>
      <c r="F405" t="str">
        <f>IF(转换!B397&gt;0,转换!B397*100,"")</f>
        <v/>
      </c>
      <c r="G405">
        <v>9</v>
      </c>
      <c r="H405">
        <f>'体验表-带进度条'!R397</f>
        <v>0</v>
      </c>
      <c r="I405" s="113">
        <f>转换!I397</f>
        <v>3</v>
      </c>
      <c r="J405" s="113">
        <f>IF(I405=17,1,IF(I405=9,1,IF(转换!I397&gt;0,VLOOKUP(转换!H397,道具!B:C,2,FALSE),"")))</f>
        <v>160001</v>
      </c>
      <c r="K405" s="114">
        <f>IF(转换!I397=17,ROUND(转换!J397*100/转换!$U$2,0),IF(转换!I397=9,F405,转换!J397))</f>
        <v>2</v>
      </c>
      <c r="L405" s="115"/>
      <c r="M405" s="115"/>
      <c r="N405" s="115"/>
      <c r="O405" s="113"/>
      <c r="P405" s="113"/>
      <c r="Q405" s="113"/>
      <c r="R405" s="97"/>
      <c r="S405" s="97"/>
      <c r="T405" s="97"/>
    </row>
    <row r="406" customFormat="1" spans="1:20">
      <c r="A406">
        <f>IF(C406=1,1001+COUNTIF($C$5:C405,1),2001+COUNTIF($C$5:C405,2))</f>
        <v>1332</v>
      </c>
      <c r="B406">
        <v>1</v>
      </c>
      <c r="C406" s="121">
        <v>1</v>
      </c>
      <c r="D406" s="122" t="str">
        <f>IFERROR(_xlfn.IFNA(VLOOKUP(ROUND(F406,0),道具!$B$271:$C$295,2,FALSE),""),"")</f>
        <v/>
      </c>
      <c r="E406" s="122" t="str">
        <f>IFERROR(_xlfn.IFNA(VLOOKUP(ROUND(F406,0),道具!$B$296:$C$320,2,FALSE),""),"")</f>
        <v/>
      </c>
      <c r="F406" t="str">
        <f>IF(转换!B398&gt;0,转换!B398*100,"")</f>
        <v/>
      </c>
      <c r="G406">
        <v>10</v>
      </c>
      <c r="H406">
        <f>'体验表-带进度条'!R398</f>
        <v>0</v>
      </c>
      <c r="I406" s="113">
        <f>转换!I398</f>
        <v>17</v>
      </c>
      <c r="J406" s="113">
        <f>IF(I406=17,1,IF(I406=9,1,IF(转换!I398&gt;0,VLOOKUP(转换!H398,道具!B:C,2,FALSE),"")))</f>
        <v>1</v>
      </c>
      <c r="K406" s="114">
        <f>IF(转换!I398=17,ROUND(转换!J398*100/转换!$U$2,0),IF(转换!I398=9,F406,转换!J398))</f>
        <v>40</v>
      </c>
      <c r="L406" s="115"/>
      <c r="M406" s="115"/>
      <c r="N406" s="115"/>
      <c r="O406" s="113"/>
      <c r="P406" s="113"/>
      <c r="Q406" s="113"/>
      <c r="R406" s="97"/>
      <c r="S406" s="97"/>
      <c r="T406" s="97"/>
    </row>
    <row r="407" customFormat="1" spans="1:20">
      <c r="A407">
        <f>IF(C407=1,1001+COUNTIF($C$5:C406,1),2001+COUNTIF($C$5:C406,2))</f>
        <v>1333</v>
      </c>
      <c r="B407">
        <v>1</v>
      </c>
      <c r="C407" s="121">
        <v>1</v>
      </c>
      <c r="D407" s="122" t="str">
        <f>IFERROR(_xlfn.IFNA(VLOOKUP(ROUND(F407,0),道具!$B$271:$C$295,2,FALSE),""),"")</f>
        <v/>
      </c>
      <c r="E407" s="122" t="str">
        <f>IFERROR(_xlfn.IFNA(VLOOKUP(ROUND(F407,0),道具!$B$296:$C$320,2,FALSE),""),"")</f>
        <v/>
      </c>
      <c r="F407" t="str">
        <f>IF(转换!B399&gt;0,转换!B399*100,"")</f>
        <v/>
      </c>
      <c r="G407">
        <v>11</v>
      </c>
      <c r="H407">
        <f>'体验表-带进度条'!R399</f>
        <v>0</v>
      </c>
      <c r="I407" s="113">
        <f>转换!I399</f>
        <v>4</v>
      </c>
      <c r="J407" s="113">
        <f>IF(I407=17,1,IF(I407=9,1,IF(转换!I399&gt;0,VLOOKUP(转换!H399,道具!B:C,2,FALSE),"")))</f>
        <v>100003</v>
      </c>
      <c r="K407" s="114">
        <f>IF(转换!I399=17,ROUND(转换!J399*100/转换!$U$2,0),IF(转换!I399=9,F407,转换!J399))</f>
        <v>1</v>
      </c>
      <c r="L407" s="115"/>
      <c r="M407" s="115"/>
      <c r="N407" s="115"/>
      <c r="O407" s="113"/>
      <c r="P407" s="113"/>
      <c r="Q407" s="113"/>
      <c r="R407" s="97"/>
      <c r="S407" s="97"/>
      <c r="T407" s="97"/>
    </row>
    <row r="408" customFormat="1" spans="1:20">
      <c r="A408">
        <f>IF(C408=1,1001+COUNTIF($C$5:C407,1),2001+COUNTIF($C$5:C407,2))</f>
        <v>1334</v>
      </c>
      <c r="B408">
        <v>1</v>
      </c>
      <c r="C408" s="121">
        <v>1</v>
      </c>
      <c r="D408" s="122" t="str">
        <f>IFERROR(_xlfn.IFNA(VLOOKUP(ROUND(F408,0),道具!$B$271:$C$295,2,FALSE),""),"")</f>
        <v/>
      </c>
      <c r="E408" s="122" t="str">
        <f>IFERROR(_xlfn.IFNA(VLOOKUP(ROUND(F408,0),道具!$B$296:$C$320,2,FALSE),""),"")</f>
        <v/>
      </c>
      <c r="F408" t="str">
        <f>IF(转换!B400&gt;0,转换!B400*100,"")</f>
        <v/>
      </c>
      <c r="G408">
        <v>12</v>
      </c>
      <c r="H408">
        <f>'体验表-带进度条'!R400</f>
        <v>0</v>
      </c>
      <c r="I408" s="113">
        <f>转换!I400</f>
        <v>3</v>
      </c>
      <c r="J408" s="113">
        <f>IF(I408=17,1,IF(I408=9,1,IF(转换!I400&gt;0,VLOOKUP(转换!H400,道具!B:C,2,FALSE),"")))</f>
        <v>192001</v>
      </c>
      <c r="K408" s="114">
        <f>IF(转换!I400=17,ROUND(转换!J400*100/转换!$U$2,0),IF(转换!I400=9,F408,转换!J400))</f>
        <v>10</v>
      </c>
      <c r="L408" s="115"/>
      <c r="M408" s="115"/>
      <c r="N408" s="115"/>
      <c r="O408" s="113"/>
      <c r="P408" s="113"/>
      <c r="Q408" s="113"/>
      <c r="R408" s="97"/>
      <c r="S408" s="97"/>
      <c r="T408" s="97"/>
    </row>
    <row r="409" customFormat="1" spans="1:20">
      <c r="A409">
        <f>IF(C409=1,1001+COUNTIF($C$5:C408,1),2001+COUNTIF($C$5:C408,2))</f>
        <v>1335</v>
      </c>
      <c r="B409">
        <v>1</v>
      </c>
      <c r="C409" s="121">
        <v>1</v>
      </c>
      <c r="D409" s="122" t="str">
        <f>IFERROR(_xlfn.IFNA(VLOOKUP(ROUND(F409,0),道具!$B$271:$C$295,2,FALSE),""),"")</f>
        <v/>
      </c>
      <c r="E409" s="122" t="str">
        <f>IFERROR(_xlfn.IFNA(VLOOKUP(ROUND(F409,0),道具!$B$296:$C$320,2,FALSE),""),"")</f>
        <v/>
      </c>
      <c r="F409" t="str">
        <f>IF(转换!B401&gt;0,转换!B401*100,"")</f>
        <v/>
      </c>
      <c r="G409">
        <v>13</v>
      </c>
      <c r="H409">
        <f>'体验表-带进度条'!R401</f>
        <v>0</v>
      </c>
      <c r="I409" s="113">
        <f>转换!I401</f>
        <v>3</v>
      </c>
      <c r="J409" s="113">
        <f>IF(I409=17,1,IF(I409=9,1,IF(转换!I401&gt;0,VLOOKUP(转换!H401,道具!B:C,2,FALSE),"")))</f>
        <v>171002</v>
      </c>
      <c r="K409" s="114">
        <f>IF(转换!I401=17,ROUND(转换!J401*100/转换!$U$2,0),IF(转换!I401=9,F409,转换!J401))</f>
        <v>1</v>
      </c>
      <c r="L409" s="115"/>
      <c r="M409" s="115"/>
      <c r="N409" s="115"/>
      <c r="O409" s="113"/>
      <c r="P409" s="113"/>
      <c r="Q409" s="113"/>
      <c r="R409" s="97"/>
      <c r="S409" s="97"/>
      <c r="T409" s="97"/>
    </row>
    <row r="410" customFormat="1" spans="1:20">
      <c r="A410">
        <f>IF(C410=1,1001+COUNTIF($C$5:C409,1),2001+COUNTIF($C$5:C409,2))</f>
        <v>1336</v>
      </c>
      <c r="B410">
        <v>1</v>
      </c>
      <c r="C410" s="121">
        <v>1</v>
      </c>
      <c r="D410" s="122" t="str">
        <f>IFERROR(_xlfn.IFNA(VLOOKUP(ROUND(F410,0),道具!$B$271:$C$295,2,FALSE),""),"")</f>
        <v/>
      </c>
      <c r="E410" s="122" t="str">
        <f>IFERROR(_xlfn.IFNA(VLOOKUP(ROUND(F410,0),道具!$B$296:$C$320,2,FALSE),""),"")</f>
        <v/>
      </c>
      <c r="F410" t="str">
        <f>IF(转换!B403&gt;0,转换!B403*100,"")</f>
        <v/>
      </c>
      <c r="G410">
        <v>15</v>
      </c>
      <c r="H410">
        <f>'体验表-带进度条'!R403</f>
        <v>0</v>
      </c>
      <c r="I410" s="113">
        <f>转换!I403</f>
        <v>3</v>
      </c>
      <c r="J410" s="113">
        <f>IF(I410=17,1,IF(I410=9,1,IF(转换!I403&gt;0,VLOOKUP(转换!H403,道具!B:C,2,FALSE),"")))</f>
        <v>160001</v>
      </c>
      <c r="K410" s="114">
        <f>IF(转换!I403=17,ROUND(转换!J403*100/转换!$U$2,0),IF(转换!I403=9,F410,转换!J403))</f>
        <v>3</v>
      </c>
      <c r="L410" s="115"/>
      <c r="M410" s="115"/>
      <c r="N410" s="115"/>
      <c r="O410" s="113"/>
      <c r="P410" s="113"/>
      <c r="Q410" s="113"/>
      <c r="R410" s="97"/>
      <c r="S410" s="97"/>
      <c r="T410" s="97"/>
    </row>
    <row r="411" customFormat="1" spans="1:20">
      <c r="A411">
        <f>IF(C411=1,1001+COUNTIF($C$5:C410,1),2001+COUNTIF($C$5:C410,2))</f>
        <v>1337</v>
      </c>
      <c r="B411">
        <v>1</v>
      </c>
      <c r="C411" s="121">
        <v>1</v>
      </c>
      <c r="D411" s="122" t="str">
        <f>IFERROR(_xlfn.IFNA(VLOOKUP(ROUND(F411,0),道具!$B$271:$C$295,2,FALSE),""),"")</f>
        <v/>
      </c>
      <c r="E411" s="122" t="str">
        <f>IFERROR(_xlfn.IFNA(VLOOKUP(ROUND(F411,0),道具!$B$296:$C$320,2,FALSE),""),"")</f>
        <v/>
      </c>
      <c r="F411" t="str">
        <f>IF(转换!B404&gt;0,转换!B404*100,"")</f>
        <v/>
      </c>
      <c r="G411">
        <v>16</v>
      </c>
      <c r="H411">
        <f>'体验表-带进度条'!R404</f>
        <v>0</v>
      </c>
      <c r="I411" s="113">
        <f>转换!I404</f>
        <v>17</v>
      </c>
      <c r="J411" s="113">
        <f>IF(I411=17,1,IF(I411=9,1,IF(转换!I404&gt;0,VLOOKUP(转换!H404,道具!B:C,2,FALSE),"")))</f>
        <v>1</v>
      </c>
      <c r="K411" s="114">
        <f>IF(转换!I404=17,ROUND(转换!J404*100/转换!$U$2,0),IF(转换!I404=9,F411,转换!J404))</f>
        <v>201</v>
      </c>
      <c r="L411" s="115"/>
      <c r="M411" s="115"/>
      <c r="N411" s="115"/>
      <c r="O411" s="113"/>
      <c r="P411" s="113"/>
      <c r="Q411" s="113"/>
      <c r="R411" s="97"/>
      <c r="S411" s="97"/>
      <c r="T411" s="97"/>
    </row>
    <row r="412" customFormat="1" spans="1:20">
      <c r="A412">
        <f>IF(C412=1,1001+COUNTIF($C$5:C411,1),2001+COUNTIF($C$5:C411,2))</f>
        <v>1338</v>
      </c>
      <c r="B412">
        <v>1</v>
      </c>
      <c r="C412" s="121">
        <v>1</v>
      </c>
      <c r="D412" s="122" t="str">
        <f>IFERROR(_xlfn.IFNA(VLOOKUP(ROUND(F412,0),道具!$B$271:$C$295,2,FALSE),""),"")</f>
        <v/>
      </c>
      <c r="E412" s="122" t="str">
        <f>IFERROR(_xlfn.IFNA(VLOOKUP(ROUND(F412,0),道具!$B$296:$C$320,2,FALSE),""),"")</f>
        <v/>
      </c>
      <c r="F412" t="str">
        <f>IF(转换!B405&gt;0,转换!B405*100,"")</f>
        <v/>
      </c>
      <c r="G412">
        <v>17</v>
      </c>
      <c r="H412">
        <f>'体验表-带进度条'!R405</f>
        <v>25</v>
      </c>
      <c r="I412" s="113">
        <f>转换!I405</f>
        <v>4</v>
      </c>
      <c r="J412" s="113">
        <f>IF(I412=17,1,IF(I412=9,1,IF(转换!I405&gt;0,VLOOKUP(转换!H405,道具!B:C,2,FALSE),"")))</f>
        <v>100004</v>
      </c>
      <c r="K412" s="114">
        <f>IF(转换!I405=17,ROUND(转换!J405*100/转换!$U$2,0),IF(转换!I405=9,F412,转换!J405))</f>
        <v>1</v>
      </c>
      <c r="L412" s="115"/>
      <c r="M412" s="115"/>
      <c r="N412" s="115"/>
      <c r="O412" s="113"/>
      <c r="P412" s="113"/>
      <c r="Q412" s="113"/>
      <c r="R412" s="97"/>
      <c r="S412" s="97"/>
      <c r="T412" s="97"/>
    </row>
    <row r="413" customFormat="1" spans="1:20">
      <c r="A413">
        <f>IF(C413=1,1001+COUNTIF($C$5:C412,1),2001+COUNTIF($C$5:C412,2))</f>
        <v>1339</v>
      </c>
      <c r="B413">
        <v>1</v>
      </c>
      <c r="C413" s="121">
        <v>1</v>
      </c>
      <c r="D413" s="122" t="str">
        <f>IFERROR(_xlfn.IFNA(VLOOKUP(ROUND(F413,0),道具!$B$271:$C$295,2,FALSE),""),"")</f>
        <v/>
      </c>
      <c r="E413" s="122" t="str">
        <f>IFERROR(_xlfn.IFNA(VLOOKUP(ROUND(F413,0),道具!$B$296:$C$320,2,FALSE),""),"")</f>
        <v/>
      </c>
      <c r="F413" t="str">
        <f>IF(转换!B406&gt;0,转换!B406*100,"")</f>
        <v/>
      </c>
      <c r="G413">
        <v>18</v>
      </c>
      <c r="H413">
        <f>'体验表-带进度条'!R406</f>
        <v>0</v>
      </c>
      <c r="I413" s="113">
        <f>转换!I406</f>
        <v>3</v>
      </c>
      <c r="J413" s="113">
        <f>IF(I413=17,1,IF(I413=9,1,IF(转换!I406&gt;0,VLOOKUP(转换!H406,道具!B:C,2,FALSE),"")))</f>
        <v>192001</v>
      </c>
      <c r="K413" s="114">
        <f>IF(转换!I406=17,ROUND(转换!J406*100/转换!$U$2,0),IF(转换!I406=9,F413,转换!J406))</f>
        <v>15</v>
      </c>
      <c r="L413" s="115"/>
      <c r="M413" s="115"/>
      <c r="N413" s="115"/>
      <c r="O413" s="113"/>
      <c r="P413" s="113"/>
      <c r="Q413" s="113"/>
      <c r="R413" s="97"/>
      <c r="S413" s="97"/>
      <c r="T413" s="97"/>
    </row>
    <row r="414" customFormat="1" ht="18" customHeight="1" spans="1:20">
      <c r="A414">
        <f>IF(C414=1,1001+COUNTIF($C$5:C413,1),2001+COUNTIF($C$5:C413,2))</f>
        <v>1340</v>
      </c>
      <c r="B414">
        <v>1</v>
      </c>
      <c r="C414" s="121">
        <v>1</v>
      </c>
      <c r="D414" s="122" t="str">
        <f>IFERROR(_xlfn.IFNA(VLOOKUP(ROUND(F414,0),道具!$B$271:$C$295,2,FALSE),""),"")</f>
        <v/>
      </c>
      <c r="E414" s="122" t="str">
        <f>IFERROR(_xlfn.IFNA(VLOOKUP(ROUND(F414,0),道具!$B$296:$C$320,2,FALSE),""),"")</f>
        <v/>
      </c>
      <c r="F414" t="str">
        <f>IF(转换!B407&gt;0,转换!B407*100,"")</f>
        <v/>
      </c>
      <c r="G414">
        <v>19</v>
      </c>
      <c r="H414">
        <f>'体验表-带进度条'!R407</f>
        <v>0</v>
      </c>
      <c r="I414" s="113">
        <f>转换!I407</f>
        <v>3</v>
      </c>
      <c r="J414" s="113">
        <f>IF(I414=17,1,IF(I414=9,1,IF(转换!I407&gt;0,VLOOKUP(转换!H407,道具!B:C,2,FALSE),"")))</f>
        <v>171001</v>
      </c>
      <c r="K414" s="114">
        <f>IF(转换!I407=17,ROUND(转换!J407*100/转换!$U$2,0),IF(转换!I407=9,F414,转换!J407))</f>
        <v>1</v>
      </c>
      <c r="L414" s="115"/>
      <c r="M414" s="115"/>
      <c r="N414" s="115"/>
      <c r="O414" s="113"/>
      <c r="P414" s="113"/>
      <c r="Q414" s="113"/>
      <c r="R414" s="97"/>
      <c r="S414" s="97"/>
      <c r="T414" s="97"/>
    </row>
    <row r="415" customFormat="1" spans="1:20">
      <c r="A415">
        <f>IF(C415=1,1001+COUNTIF($C$5:C414,1),2001+COUNTIF($C$5:C414,2))</f>
        <v>1341</v>
      </c>
      <c r="B415">
        <v>1</v>
      </c>
      <c r="C415" s="121">
        <v>1</v>
      </c>
      <c r="D415" s="122" t="str">
        <f>IFERROR(_xlfn.IFNA(VLOOKUP(ROUND(F415,0),道具!$B$271:$C$295,2,FALSE),""),"")</f>
        <v/>
      </c>
      <c r="E415" s="122" t="str">
        <f>IFERROR(_xlfn.IFNA(VLOOKUP(ROUND(F415,0),道具!$B$296:$C$320,2,FALSE),""),"")</f>
        <v/>
      </c>
      <c r="F415" t="str">
        <f>IF(转换!B409&gt;0,转换!B409*100,"")</f>
        <v/>
      </c>
      <c r="G415">
        <v>21</v>
      </c>
      <c r="H415">
        <f>'体验表-带进度条'!R409</f>
        <v>0</v>
      </c>
      <c r="I415" s="113">
        <f>转换!I409</f>
        <v>3</v>
      </c>
      <c r="J415" s="113">
        <f>IF(I415=17,1,IF(I415=9,1,IF(转换!I409&gt;0,VLOOKUP(转换!H409,道具!B:C,2,FALSE),"")))</f>
        <v>160001</v>
      </c>
      <c r="K415" s="114">
        <f>IF(转换!I409=17,ROUND(转换!J409*100/转换!$U$2,0),IF(转换!I409=9,F415,转换!J409))</f>
        <v>4</v>
      </c>
      <c r="L415" s="115"/>
      <c r="M415" s="115"/>
      <c r="N415" s="115"/>
      <c r="O415" s="113"/>
      <c r="P415" s="113"/>
      <c r="Q415" s="113"/>
      <c r="R415" s="97"/>
      <c r="S415" s="97"/>
      <c r="T415" s="97"/>
    </row>
    <row r="416" customFormat="1" spans="1:20">
      <c r="A416">
        <f>IF(C416=1,1001+COUNTIF($C$5:C415,1),2001+COUNTIF($C$5:C415,2))</f>
        <v>1342</v>
      </c>
      <c r="B416">
        <v>1</v>
      </c>
      <c r="C416" s="121">
        <v>1</v>
      </c>
      <c r="D416" s="122" t="str">
        <f>IFERROR(_xlfn.IFNA(VLOOKUP(ROUND(F416,0),道具!$B$271:$C$295,2,FALSE),""),"")</f>
        <v/>
      </c>
      <c r="E416" s="122" t="str">
        <f>IFERROR(_xlfn.IFNA(VLOOKUP(ROUND(F416,0),道具!$B$296:$C$320,2,FALSE),""),"")</f>
        <v/>
      </c>
      <c r="F416" t="str">
        <f>IF(转换!B410&gt;0,转换!B410*100,"")</f>
        <v/>
      </c>
      <c r="G416">
        <v>22</v>
      </c>
      <c r="H416">
        <f>'体验表-带进度条'!R410</f>
        <v>0</v>
      </c>
      <c r="I416" s="113">
        <f>转换!I410</f>
        <v>17</v>
      </c>
      <c r="J416" s="113">
        <f>IF(I416=17,1,IF(I416=9,1,IF(转换!I410&gt;0,VLOOKUP(转换!H410,道具!B:C,2,FALSE),"")))</f>
        <v>1</v>
      </c>
      <c r="K416" s="114">
        <f>IF(转换!I410=17,ROUND(转换!J410*100/转换!$U$2,0),IF(转换!I410=9,F416,转换!J410))</f>
        <v>161</v>
      </c>
      <c r="L416" s="115"/>
      <c r="M416" s="115"/>
      <c r="N416" s="115"/>
      <c r="O416" s="113"/>
      <c r="P416" s="113"/>
      <c r="Q416" s="113"/>
      <c r="R416" s="97"/>
      <c r="S416" s="97"/>
      <c r="T416" s="97"/>
    </row>
    <row r="417" customFormat="1" spans="1:20">
      <c r="A417">
        <f>IF(C417=1,1001+COUNTIF($C$5:C416,1),2001+COUNTIF($C$5:C416,2))</f>
        <v>1343</v>
      </c>
      <c r="B417">
        <v>1</v>
      </c>
      <c r="C417" s="121">
        <v>1</v>
      </c>
      <c r="D417" s="122" t="str">
        <f>IFERROR(_xlfn.IFNA(VLOOKUP(ROUND(F417,0),道具!$B$271:$C$295,2,FALSE),""),"")</f>
        <v/>
      </c>
      <c r="E417" s="122" t="str">
        <f>IFERROR(_xlfn.IFNA(VLOOKUP(ROUND(F417,0),道具!$B$296:$C$320,2,FALSE),""),"")</f>
        <v/>
      </c>
      <c r="F417" t="str">
        <f>IF(转换!B411&gt;0,转换!B411*100,"")</f>
        <v/>
      </c>
      <c r="G417">
        <v>23</v>
      </c>
      <c r="H417">
        <f>'体验表-带进度条'!R411</f>
        <v>15</v>
      </c>
      <c r="I417" s="113">
        <f>转换!I411</f>
        <v>4</v>
      </c>
      <c r="J417" s="113">
        <f>IF(I417=17,1,IF(I417=9,1,IF(转换!I411&gt;0,VLOOKUP(转换!H411,道具!B:C,2,FALSE),"")))</f>
        <v>100004</v>
      </c>
      <c r="K417" s="114">
        <f>IF(转换!I411=17,ROUND(转换!J411*100/转换!$U$2,0),IF(转换!I411=9,F417,转换!J411))</f>
        <v>1</v>
      </c>
      <c r="L417" s="115"/>
      <c r="M417" s="115"/>
      <c r="N417" s="115"/>
      <c r="O417" s="113"/>
      <c r="P417" s="113"/>
      <c r="Q417" s="113"/>
      <c r="R417" s="97"/>
      <c r="S417" s="97"/>
      <c r="T417" s="97"/>
    </row>
    <row r="418" customFormat="1" spans="1:20">
      <c r="A418">
        <f>IF(C418=1,1001+COUNTIF($C$5:C417,1),2001+COUNTIF($C$5:C417,2))</f>
        <v>1344</v>
      </c>
      <c r="B418">
        <v>1</v>
      </c>
      <c r="C418" s="121">
        <v>1</v>
      </c>
      <c r="D418" s="122" t="str">
        <f>IFERROR(_xlfn.IFNA(VLOOKUP(ROUND(F418,0),道具!$B$271:$C$295,2,FALSE),""),"")</f>
        <v/>
      </c>
      <c r="E418" s="122" t="str">
        <f>IFERROR(_xlfn.IFNA(VLOOKUP(ROUND(F418,0),道具!$B$296:$C$320,2,FALSE),""),"")</f>
        <v/>
      </c>
      <c r="F418" t="str">
        <f>IF(转换!B412&gt;0,转换!B412*100,"")</f>
        <v/>
      </c>
      <c r="G418">
        <v>24</v>
      </c>
      <c r="H418">
        <f>'体验表-带进度条'!R412</f>
        <v>0</v>
      </c>
      <c r="I418" s="113">
        <f>转换!I412</f>
        <v>3</v>
      </c>
      <c r="J418" s="113">
        <f>IF(I418=17,1,IF(I418=9,1,IF(转换!I412&gt;0,VLOOKUP(转换!H412,道具!B:C,2,FALSE),"")))</f>
        <v>192001</v>
      </c>
      <c r="K418" s="114">
        <f>IF(转换!I412=17,ROUND(转换!J412*100/转换!$U$2,0),IF(转换!I412=9,F418,转换!J412))</f>
        <v>20</v>
      </c>
      <c r="L418" s="115"/>
      <c r="M418" s="115"/>
      <c r="N418" s="115"/>
      <c r="O418" s="113"/>
      <c r="P418" s="113"/>
      <c r="Q418" s="113"/>
      <c r="R418" s="97"/>
      <c r="S418" s="97"/>
      <c r="T418" s="97"/>
    </row>
    <row r="419" customFormat="1" spans="1:20">
      <c r="A419">
        <f>IF(C419=1,1001+COUNTIF($C$5:C418,1),2001+COUNTIF($C$5:C418,2))</f>
        <v>1345</v>
      </c>
      <c r="B419">
        <v>1</v>
      </c>
      <c r="C419" s="121">
        <v>1</v>
      </c>
      <c r="D419" s="122" t="str">
        <f>IFERROR(_xlfn.IFNA(VLOOKUP(ROUND(F419,0),道具!$B$271:$C$295,2,FALSE),""),"")</f>
        <v/>
      </c>
      <c r="E419" s="122" t="str">
        <f>IFERROR(_xlfn.IFNA(VLOOKUP(ROUND(F419,0),道具!$B$296:$C$320,2,FALSE),""),"")</f>
        <v/>
      </c>
      <c r="F419" t="str">
        <f>IF(转换!B413&gt;0,转换!B413*100,"")</f>
        <v/>
      </c>
      <c r="G419">
        <v>25</v>
      </c>
      <c r="H419">
        <f>'体验表-带进度条'!R413</f>
        <v>0</v>
      </c>
      <c r="I419" s="113">
        <f>转换!I413</f>
        <v>3</v>
      </c>
      <c r="J419" s="113">
        <f>IF(I419=17,1,IF(I419=9,1,IF(转换!I413&gt;0,VLOOKUP(转换!H413,道具!B:C,2,FALSE),"")))</f>
        <v>171002</v>
      </c>
      <c r="K419" s="114">
        <f>IF(转换!I413=17,ROUND(转换!J413*100/转换!$U$2,0),IF(转换!I413=9,F419,转换!J413))</f>
        <v>1</v>
      </c>
      <c r="L419" s="115"/>
      <c r="M419" s="115"/>
      <c r="N419" s="115"/>
      <c r="O419" s="113"/>
      <c r="P419" s="113"/>
      <c r="Q419" s="113"/>
      <c r="R419" s="97"/>
      <c r="S419" s="97"/>
      <c r="T419" s="97"/>
    </row>
    <row r="420" customFormat="1" spans="1:20">
      <c r="A420">
        <f>IF(C420=1,1001+COUNTIF($C$5:C419,1),2001+COUNTIF($C$5:C419,2))</f>
        <v>1346</v>
      </c>
      <c r="B420">
        <v>1</v>
      </c>
      <c r="C420" s="121">
        <v>1</v>
      </c>
      <c r="D420" s="122" t="str">
        <f>IFERROR(_xlfn.IFNA(VLOOKUP(ROUND(F420,0),道具!$B$271:$C$295,2,FALSE),""),"")</f>
        <v/>
      </c>
      <c r="E420" s="122" t="str">
        <f>IFERROR(_xlfn.IFNA(VLOOKUP(ROUND(F420,0),道具!$B$296:$C$320,2,FALSE),""),"")</f>
        <v/>
      </c>
      <c r="F420" t="str">
        <f>IF(转换!B415&gt;0,转换!B415*100,"")</f>
        <v/>
      </c>
      <c r="G420">
        <v>27</v>
      </c>
      <c r="H420">
        <f>'体验表-带进度条'!R415</f>
        <v>0</v>
      </c>
      <c r="I420" s="113">
        <f>转换!I415</f>
        <v>3</v>
      </c>
      <c r="J420" s="113">
        <f>IF(I420=17,1,IF(I420=9,1,IF(转换!I415&gt;0,VLOOKUP(转换!H415,道具!B:C,2,FALSE),"")))</f>
        <v>160001</v>
      </c>
      <c r="K420" s="114">
        <f>IF(转换!I415=17,ROUND(转换!J415*100/转换!$U$2,0),IF(转换!I415=9,F420,转换!J415))</f>
        <v>5</v>
      </c>
      <c r="L420" s="115"/>
      <c r="M420" s="115"/>
      <c r="N420" s="115"/>
      <c r="O420" s="113"/>
      <c r="P420" s="113"/>
      <c r="Q420" s="113"/>
      <c r="R420" s="97"/>
      <c r="S420" s="97"/>
      <c r="T420" s="97"/>
    </row>
    <row r="421" customFormat="1" spans="1:20">
      <c r="A421">
        <f>IF(C421=1,1001+COUNTIF($C$5:C420,1),2001+COUNTIF($C$5:C420,2))</f>
        <v>1347</v>
      </c>
      <c r="B421">
        <v>1</v>
      </c>
      <c r="C421" s="121">
        <v>1</v>
      </c>
      <c r="D421" s="122" t="str">
        <f>IFERROR(_xlfn.IFNA(VLOOKUP(ROUND(F421,0),道具!$B$271:$C$295,2,FALSE),""),"")</f>
        <v/>
      </c>
      <c r="E421" s="122" t="str">
        <f>IFERROR(_xlfn.IFNA(VLOOKUP(ROUND(F421,0),道具!$B$296:$C$320,2,FALSE),""),"")</f>
        <v/>
      </c>
      <c r="F421" t="str">
        <f>IF(转换!B416&gt;0,转换!B416*100,"")</f>
        <v/>
      </c>
      <c r="G421">
        <v>28</v>
      </c>
      <c r="H421">
        <f>'体验表-带进度条'!R416</f>
        <v>0</v>
      </c>
      <c r="I421" s="113">
        <f>转换!I416</f>
        <v>17</v>
      </c>
      <c r="J421" s="113">
        <f>IF(I421=17,1,IF(I421=9,1,IF(转换!I416&gt;0,VLOOKUP(转换!H416,道具!B:C,2,FALSE),"")))</f>
        <v>1</v>
      </c>
      <c r="K421" s="114">
        <f>IF(转换!I416=17,ROUND(转换!J416*100/转换!$U$2,0),IF(转换!I416=9,F421,转换!J416))</f>
        <v>100</v>
      </c>
      <c r="L421" s="115"/>
      <c r="M421" s="115"/>
      <c r="N421" s="115"/>
      <c r="O421" s="113"/>
      <c r="P421" s="113"/>
      <c r="Q421" s="113"/>
      <c r="R421" s="97"/>
      <c r="S421" s="97"/>
      <c r="T421" s="97"/>
    </row>
    <row r="422" customFormat="1" spans="1:20">
      <c r="A422">
        <f>IF(C422=1,1001+COUNTIF($C$5:C421,1),2001+COUNTIF($C$5:C421,2))</f>
        <v>1348</v>
      </c>
      <c r="B422">
        <v>1</v>
      </c>
      <c r="C422" s="121">
        <v>1</v>
      </c>
      <c r="D422" s="122" t="str">
        <f>IFERROR(_xlfn.IFNA(VLOOKUP(ROUND(F422,0),道具!$B$271:$C$295,2,FALSE),""),"")</f>
        <v/>
      </c>
      <c r="E422" s="122" t="str">
        <f>IFERROR(_xlfn.IFNA(VLOOKUP(ROUND(F422,0),道具!$B$296:$C$320,2,FALSE),""),"")</f>
        <v/>
      </c>
      <c r="F422" t="str">
        <f>IF(转换!B417&gt;0,转换!B417*100,"")</f>
        <v/>
      </c>
      <c r="G422">
        <v>29</v>
      </c>
      <c r="H422">
        <f>'体验表-带进度条'!R417</f>
        <v>25</v>
      </c>
      <c r="I422" s="113">
        <f>转换!I417</f>
        <v>4</v>
      </c>
      <c r="J422" s="113">
        <f>IF(I422=17,1,IF(I422=9,1,IF(转换!I417&gt;0,VLOOKUP(转换!H417,道具!B:C,2,FALSE),"")))</f>
        <v>100005</v>
      </c>
      <c r="K422" s="114">
        <f>IF(转换!I417=17,ROUND(转换!J417*100/转换!$U$2,0),IF(转换!I417=9,F422,转换!J417))</f>
        <v>1</v>
      </c>
      <c r="L422" s="115"/>
      <c r="M422" s="115"/>
      <c r="N422" s="115"/>
      <c r="O422" s="113"/>
      <c r="P422" s="113"/>
      <c r="Q422" s="113"/>
      <c r="R422" s="97"/>
      <c r="S422" s="97"/>
      <c r="T422" s="97"/>
    </row>
    <row r="423" customFormat="1" spans="1:20">
      <c r="A423">
        <f>IF(C423=1,1001+COUNTIF($C$5:C422,1),2001+COUNTIF($C$5:C422,2))</f>
        <v>1349</v>
      </c>
      <c r="B423">
        <v>1</v>
      </c>
      <c r="C423" s="121">
        <v>1</v>
      </c>
      <c r="D423" s="122" t="str">
        <f>IFERROR(_xlfn.IFNA(VLOOKUP(ROUND(F423,0),道具!$B$271:$C$295,2,FALSE),""),"")</f>
        <v/>
      </c>
      <c r="E423" s="122" t="str">
        <f>IFERROR(_xlfn.IFNA(VLOOKUP(ROUND(F423,0),道具!$B$296:$C$320,2,FALSE),""),"")</f>
        <v/>
      </c>
      <c r="F423" t="str">
        <f>IF(转换!B418&gt;0,转换!B418*100,"")</f>
        <v/>
      </c>
      <c r="G423">
        <v>30</v>
      </c>
      <c r="H423">
        <f>'体验表-带进度条'!R418</f>
        <v>0</v>
      </c>
      <c r="I423" s="113">
        <f>转换!I418</f>
        <v>3</v>
      </c>
      <c r="J423" s="113">
        <f>IF(I423=17,1,IF(I423=9,1,IF(转换!I418&gt;0,VLOOKUP(转换!H418,道具!B:C,2,FALSE),"")))</f>
        <v>192001</v>
      </c>
      <c r="K423" s="114">
        <f>IF(转换!I418=17,ROUND(转换!J418*100/转换!$U$2,0),IF(转换!I418=9,F423,转换!J418))</f>
        <v>25</v>
      </c>
      <c r="L423" s="115"/>
      <c r="M423" s="115"/>
      <c r="N423" s="115"/>
      <c r="O423" s="113"/>
      <c r="P423" s="113"/>
      <c r="Q423" s="113"/>
      <c r="R423" s="97"/>
      <c r="S423" s="97"/>
      <c r="T423" s="97"/>
    </row>
    <row r="424" customFormat="1" spans="1:20">
      <c r="A424">
        <f>IF(C424=1,1001+COUNTIF($C$5:C423,1),2001+COUNTIF($C$5:C423,2))</f>
        <v>1350</v>
      </c>
      <c r="B424">
        <v>1</v>
      </c>
      <c r="C424" s="121">
        <v>1</v>
      </c>
      <c r="D424" s="122" t="str">
        <f>IFERROR(_xlfn.IFNA(VLOOKUP(ROUND(F424,0),道具!$B$271:$C$295,2,FALSE),""),"")</f>
        <v/>
      </c>
      <c r="E424" s="122" t="str">
        <f>IFERROR(_xlfn.IFNA(VLOOKUP(ROUND(F424,0),道具!$B$296:$C$320,2,FALSE),""),"")</f>
        <v/>
      </c>
      <c r="F424" t="str">
        <f>IF(转换!B419&gt;0,转换!B419*100,"")</f>
        <v/>
      </c>
      <c r="G424">
        <v>31</v>
      </c>
      <c r="H424">
        <f>'体验表-带进度条'!R419</f>
        <v>0</v>
      </c>
      <c r="I424" s="113">
        <f>转换!I419</f>
        <v>3</v>
      </c>
      <c r="J424" s="113">
        <f>IF(I424=17,1,IF(I424=9,1,IF(转换!I419&gt;0,VLOOKUP(转换!H419,道具!B:C,2,FALSE),"")))</f>
        <v>171001</v>
      </c>
      <c r="K424" s="114">
        <f>IF(转换!I419=17,ROUND(转换!J419*100/转换!$U$2,0),IF(转换!I419=9,F424,转换!J419))</f>
        <v>1</v>
      </c>
      <c r="L424" s="115"/>
      <c r="M424" s="115"/>
      <c r="N424" s="115"/>
      <c r="O424" s="113"/>
      <c r="P424" s="113"/>
      <c r="Q424" s="113"/>
      <c r="R424" s="97"/>
      <c r="S424" s="97"/>
      <c r="T424" s="97"/>
    </row>
    <row r="425" customFormat="1" spans="1:20">
      <c r="A425">
        <f>IF(C425=1,1001+COUNTIF($C$5:C424,1),2001+COUNTIF($C$5:C424,2))</f>
        <v>1351</v>
      </c>
      <c r="B425">
        <v>1</v>
      </c>
      <c r="C425" s="121">
        <v>1</v>
      </c>
      <c r="D425" s="122" t="str">
        <f>IFERROR(_xlfn.IFNA(VLOOKUP(ROUND(F425,0),道具!$B$271:$C$295,2,FALSE),""),"")</f>
        <v/>
      </c>
      <c r="E425" s="122" t="str">
        <f>IFERROR(_xlfn.IFNA(VLOOKUP(ROUND(F425,0),道具!$B$296:$C$320,2,FALSE),""),"")</f>
        <v/>
      </c>
      <c r="F425" t="str">
        <f>IF(转换!B421&gt;0,转换!B421*100,"")</f>
        <v/>
      </c>
      <c r="G425">
        <v>33</v>
      </c>
      <c r="H425">
        <f>'体验表-带进度条'!R421</f>
        <v>0</v>
      </c>
      <c r="I425" s="113">
        <f>转换!I421</f>
        <v>3</v>
      </c>
      <c r="J425" s="113">
        <f>IF(I425=17,1,IF(I425=9,1,IF(转换!I421&gt;0,VLOOKUP(转换!H421,道具!B:C,2,FALSE),"")))</f>
        <v>160001</v>
      </c>
      <c r="K425" s="114">
        <f>IF(转换!I421=17,ROUND(转换!J421*100/转换!$U$2,0),IF(转换!I421=9,F425,转换!J421))</f>
        <v>6</v>
      </c>
      <c r="L425" s="115"/>
      <c r="M425" s="115"/>
      <c r="N425" s="115"/>
      <c r="O425" s="113"/>
      <c r="P425" s="113"/>
      <c r="Q425" s="113"/>
      <c r="R425" s="97"/>
      <c r="S425" s="97"/>
      <c r="T425" s="97"/>
    </row>
    <row r="426" customFormat="1" spans="1:20">
      <c r="A426">
        <f>IF(C426=1,1001+COUNTIF($C$5:C425,1),2001+COUNTIF($C$5:C425,2))</f>
        <v>1352</v>
      </c>
      <c r="B426">
        <v>1</v>
      </c>
      <c r="C426" s="121">
        <v>1</v>
      </c>
      <c r="D426" s="122" t="str">
        <f>IFERROR(_xlfn.IFNA(VLOOKUP(ROUND(F426,0),道具!$B$271:$C$295,2,FALSE),""),"")</f>
        <v/>
      </c>
      <c r="E426" s="122" t="str">
        <f>IFERROR(_xlfn.IFNA(VLOOKUP(ROUND(F426,0),道具!$B$296:$C$320,2,FALSE),""),"")</f>
        <v/>
      </c>
      <c r="F426" t="str">
        <f>IF(转换!B422&gt;0,转换!B422*100,"")</f>
        <v/>
      </c>
      <c r="G426">
        <v>34</v>
      </c>
      <c r="H426">
        <f>'体验表-带进度条'!R422</f>
        <v>0</v>
      </c>
      <c r="I426" s="113">
        <f>转换!I422</f>
        <v>17</v>
      </c>
      <c r="J426" s="113">
        <f>IF(I426=17,1,IF(I426=9,1,IF(转换!I422&gt;0,VLOOKUP(转换!H422,道具!B:C,2,FALSE),"")))</f>
        <v>1</v>
      </c>
      <c r="K426" s="114">
        <f>IF(转换!I422=17,ROUND(转换!J422*100/转换!$U$2,0),IF(转换!I422=9,F426,转换!J422))</f>
        <v>241</v>
      </c>
      <c r="L426" s="115"/>
      <c r="M426" s="115"/>
      <c r="N426" s="115"/>
      <c r="O426" s="113"/>
      <c r="P426" s="113"/>
      <c r="Q426" s="113"/>
      <c r="R426" s="97"/>
      <c r="S426" s="97"/>
      <c r="T426" s="97"/>
    </row>
    <row r="427" customFormat="1" spans="1:20">
      <c r="A427">
        <f>IF(C427=1,1001+COUNTIF($C$5:C426,1),2001+COUNTIF($C$5:C426,2))</f>
        <v>1353</v>
      </c>
      <c r="B427">
        <v>1</v>
      </c>
      <c r="C427" s="121">
        <v>1</v>
      </c>
      <c r="D427" s="122" t="str">
        <f>IFERROR(_xlfn.IFNA(VLOOKUP(ROUND(F427,0),道具!$B$271:$C$295,2,FALSE),""),"")</f>
        <v/>
      </c>
      <c r="E427" s="122" t="str">
        <f>IFERROR(_xlfn.IFNA(VLOOKUP(ROUND(F427,0),道具!$B$296:$C$320,2,FALSE),""),"")</f>
        <v/>
      </c>
      <c r="F427" t="str">
        <f>IF(转换!B423&gt;0,转换!B423*100,"")</f>
        <v/>
      </c>
      <c r="G427">
        <v>35</v>
      </c>
      <c r="H427">
        <f>'体验表-带进度条'!R423</f>
        <v>15</v>
      </c>
      <c r="I427" s="113">
        <f>转换!I423</f>
        <v>4</v>
      </c>
      <c r="J427" s="113">
        <f>IF(I427=17,1,IF(I427=9,1,IF(转换!I423&gt;0,VLOOKUP(转换!H423,道具!B:C,2,FALSE),"")))</f>
        <v>100005</v>
      </c>
      <c r="K427" s="114">
        <f>IF(转换!I423=17,ROUND(转换!J423*100/转换!$U$2,0),IF(转换!I423=9,F427,转换!J423))</f>
        <v>1</v>
      </c>
      <c r="L427" s="115"/>
      <c r="M427" s="115"/>
      <c r="N427" s="115"/>
      <c r="O427" s="113"/>
      <c r="P427" s="113"/>
      <c r="Q427" s="113"/>
      <c r="R427" s="97"/>
      <c r="S427" s="97"/>
      <c r="T427" s="97"/>
    </row>
    <row r="428" customFormat="1" spans="1:20">
      <c r="A428">
        <f>IF(C428=1,1001+COUNTIF($C$5:C427,1),2001+COUNTIF($C$5:C427,2))</f>
        <v>1354</v>
      </c>
      <c r="B428">
        <v>1</v>
      </c>
      <c r="C428" s="121">
        <v>1</v>
      </c>
      <c r="D428" s="122" t="str">
        <f>IFERROR(_xlfn.IFNA(VLOOKUP(ROUND(F428,0),道具!$B$271:$C$295,2,FALSE),""),"")</f>
        <v/>
      </c>
      <c r="E428" s="122" t="str">
        <f>IFERROR(_xlfn.IFNA(VLOOKUP(ROUND(F428,0),道具!$B$296:$C$320,2,FALSE),""),"")</f>
        <v/>
      </c>
      <c r="F428" t="str">
        <f>IF(转换!B424&gt;0,转换!B424*100,"")</f>
        <v/>
      </c>
      <c r="G428">
        <v>36</v>
      </c>
      <c r="H428">
        <f>'体验表-带进度条'!R424</f>
        <v>0</v>
      </c>
      <c r="I428" s="113">
        <f>转换!I424</f>
        <v>3</v>
      </c>
      <c r="J428" s="113">
        <f>IF(I428=17,1,IF(I428=9,1,IF(转换!I424&gt;0,VLOOKUP(转换!H424,道具!B:C,2,FALSE),"")))</f>
        <v>192001</v>
      </c>
      <c r="K428" s="114">
        <f>IF(转换!I424=17,ROUND(转换!J424*100/转换!$U$2,0),IF(转换!I424=9,F428,转换!J424))</f>
        <v>30</v>
      </c>
      <c r="L428" s="115"/>
      <c r="M428" s="115"/>
      <c r="N428" s="115"/>
      <c r="O428" s="113"/>
      <c r="P428" s="113"/>
      <c r="Q428" s="113"/>
      <c r="R428" s="97"/>
      <c r="S428" s="97"/>
      <c r="T428" s="97"/>
    </row>
    <row r="429" customFormat="1" spans="1:20">
      <c r="A429">
        <f>IF(C429=1,1001+COUNTIF($C$5:C428,1),2001+COUNTIF($C$5:C428,2))</f>
        <v>1355</v>
      </c>
      <c r="B429">
        <v>1</v>
      </c>
      <c r="C429" s="121">
        <v>1</v>
      </c>
      <c r="D429" s="122" t="str">
        <f>IFERROR(_xlfn.IFNA(VLOOKUP(ROUND(F429,0),道具!$B$271:$C$295,2,FALSE),""),"")</f>
        <v/>
      </c>
      <c r="E429" s="122" t="str">
        <f>IFERROR(_xlfn.IFNA(VLOOKUP(ROUND(F429,0),道具!$B$296:$C$320,2,FALSE),""),"")</f>
        <v/>
      </c>
      <c r="F429" t="str">
        <f>IF(转换!B425&gt;0,转换!B425*100,"")</f>
        <v/>
      </c>
      <c r="G429">
        <v>37</v>
      </c>
      <c r="H429">
        <f>'体验表-带进度条'!R425</f>
        <v>0</v>
      </c>
      <c r="I429" s="113">
        <f>转换!I425</f>
        <v>3</v>
      </c>
      <c r="J429" s="113">
        <f>IF(I429=17,1,IF(I429=9,1,IF(转换!I425&gt;0,VLOOKUP(转换!H425,道具!B:C,2,FALSE),"")))</f>
        <v>171002</v>
      </c>
      <c r="K429" s="114">
        <f>IF(转换!I425=17,ROUND(转换!J425*100/转换!$U$2,0),IF(转换!I425=9,F429,转换!J425))</f>
        <v>1</v>
      </c>
      <c r="L429" s="115"/>
      <c r="M429" s="115"/>
      <c r="N429" s="115"/>
      <c r="O429" s="113"/>
      <c r="P429" s="113"/>
      <c r="Q429" s="113"/>
      <c r="R429" s="97"/>
      <c r="S429" s="97"/>
      <c r="T429" s="97"/>
    </row>
    <row r="430" customFormat="1" spans="1:20">
      <c r="A430">
        <f>IF(C430=1,1001+COUNTIF($C$5:C429,1),2001+COUNTIF($C$5:C429,2))</f>
        <v>1356</v>
      </c>
      <c r="B430">
        <v>1</v>
      </c>
      <c r="C430" s="121">
        <v>1</v>
      </c>
      <c r="D430" s="122" t="str">
        <f>IFERROR(_xlfn.IFNA(VLOOKUP(ROUND(F430,0),道具!$B$271:$C$295,2,FALSE),""),"")</f>
        <v/>
      </c>
      <c r="E430" s="122" t="str">
        <f>IFERROR(_xlfn.IFNA(VLOOKUP(ROUND(F430,0),道具!$B$296:$C$320,2,FALSE),""),"")</f>
        <v/>
      </c>
      <c r="F430" t="str">
        <f>IF(转换!B427&gt;0,转换!B427*100,"")</f>
        <v/>
      </c>
      <c r="G430">
        <v>39</v>
      </c>
      <c r="H430">
        <f>'体验表-带进度条'!R427</f>
        <v>0</v>
      </c>
      <c r="I430" s="113">
        <f>转换!I427</f>
        <v>3</v>
      </c>
      <c r="J430" s="113">
        <f>IF(I430=17,1,IF(I430=9,1,IF(转换!I427&gt;0,VLOOKUP(转换!H427,道具!B:C,2,FALSE),"")))</f>
        <v>160001</v>
      </c>
      <c r="K430" s="114">
        <f>IF(转换!I427=17,ROUND(转换!J427*100/转换!$U$2,0),IF(转换!I427=9,F430,转换!J427))</f>
        <v>7</v>
      </c>
      <c r="L430" s="115"/>
      <c r="M430" s="115"/>
      <c r="N430" s="115"/>
      <c r="O430" s="113"/>
      <c r="P430" s="113"/>
      <c r="Q430" s="113"/>
      <c r="R430" s="97"/>
      <c r="S430" s="97"/>
      <c r="T430" s="97"/>
    </row>
    <row r="431" customFormat="1" spans="1:20">
      <c r="A431">
        <f>IF(C431=1,1001+COUNTIF($C$5:C430,1),2001+COUNTIF($C$5:C430,2))</f>
        <v>1357</v>
      </c>
      <c r="B431">
        <v>1</v>
      </c>
      <c r="C431" s="121">
        <v>1</v>
      </c>
      <c r="D431" s="122" t="str">
        <f>IFERROR(_xlfn.IFNA(VLOOKUP(ROUND(F431,0),道具!$B$271:$C$295,2,FALSE),""),"")</f>
        <v/>
      </c>
      <c r="E431" s="122" t="str">
        <f>IFERROR(_xlfn.IFNA(VLOOKUP(ROUND(F431,0),道具!$B$296:$C$320,2,FALSE),""),"")</f>
        <v/>
      </c>
      <c r="F431" t="str">
        <f>IF(转换!B428&gt;0,转换!B428*100,"")</f>
        <v/>
      </c>
      <c r="G431">
        <v>40</v>
      </c>
      <c r="H431">
        <f>'体验表-带进度条'!R428</f>
        <v>0</v>
      </c>
      <c r="I431" s="113">
        <f>转换!I428</f>
        <v>17</v>
      </c>
      <c r="J431" s="113">
        <f>IF(I431=17,1,IF(I431=9,1,IF(转换!I428&gt;0,VLOOKUP(转换!H428,道具!B:C,2,FALSE),"")))</f>
        <v>1</v>
      </c>
      <c r="K431" s="114">
        <f>IF(转换!I428=17,ROUND(转换!J428*100/转换!$U$2,0),IF(转换!I428=9,F431,转换!J428))</f>
        <v>241</v>
      </c>
      <c r="L431" s="115"/>
      <c r="M431" s="115"/>
      <c r="N431" s="115"/>
      <c r="O431" s="113"/>
      <c r="P431" s="113"/>
      <c r="Q431" s="113"/>
      <c r="R431" s="97"/>
      <c r="S431" s="97"/>
      <c r="T431" s="97"/>
    </row>
    <row r="432" customFormat="1" spans="1:20">
      <c r="A432">
        <f>IF(C432=1,1001+COUNTIF($C$5:C431,1),2001+COUNTIF($C$5:C431,2))</f>
        <v>1358</v>
      </c>
      <c r="B432">
        <v>1</v>
      </c>
      <c r="C432" s="121">
        <v>1</v>
      </c>
      <c r="D432" s="122" t="str">
        <f>IFERROR(_xlfn.IFNA(VLOOKUP(ROUND(F432,0),道具!$B$271:$C$295,2,FALSE),""),"")</f>
        <v/>
      </c>
      <c r="E432" s="122" t="str">
        <f>IFERROR(_xlfn.IFNA(VLOOKUP(ROUND(F432,0),道具!$B$296:$C$320,2,FALSE),""),"")</f>
        <v/>
      </c>
      <c r="F432" t="str">
        <f>IF(转换!B429&gt;0,转换!B429*100,"")</f>
        <v/>
      </c>
      <c r="G432">
        <v>41</v>
      </c>
      <c r="H432">
        <f>'体验表-带进度条'!R429</f>
        <v>50</v>
      </c>
      <c r="I432" s="113">
        <f>转换!I429</f>
        <v>4</v>
      </c>
      <c r="J432" s="113">
        <f>IF(I432=17,1,IF(I432=9,1,IF(转换!I429&gt;0,VLOOKUP(转换!H429,道具!B:C,2,FALSE),"")))</f>
        <v>100006</v>
      </c>
      <c r="K432" s="114">
        <f>IF(转换!I429=17,ROUND(转换!J429*100/转换!$U$2,0),IF(转换!I429=9,F432,转换!J429))</f>
        <v>1</v>
      </c>
      <c r="L432" s="115"/>
      <c r="M432" s="115"/>
      <c r="N432" s="115"/>
      <c r="O432" s="113"/>
      <c r="P432" s="113"/>
      <c r="Q432" s="113"/>
      <c r="R432" s="97"/>
      <c r="S432" s="97"/>
      <c r="T432" s="97"/>
    </row>
    <row r="433" customFormat="1" spans="1:20">
      <c r="A433">
        <f>IF(C433=1,1001+COUNTIF($C$5:C432,1),2001+COUNTIF($C$5:C432,2))</f>
        <v>1359</v>
      </c>
      <c r="B433">
        <v>1</v>
      </c>
      <c r="C433" s="121">
        <v>1</v>
      </c>
      <c r="D433" s="122" t="str">
        <f>IFERROR(_xlfn.IFNA(VLOOKUP(ROUND(F433,0),道具!$B$271:$C$295,2,FALSE),""),"")</f>
        <v/>
      </c>
      <c r="E433" s="122" t="str">
        <f>IFERROR(_xlfn.IFNA(VLOOKUP(ROUND(F433,0),道具!$B$296:$C$320,2,FALSE),""),"")</f>
        <v/>
      </c>
      <c r="F433" t="str">
        <f>IF(转换!B430&gt;0,转换!B430*100,"")</f>
        <v/>
      </c>
      <c r="G433">
        <v>42</v>
      </c>
      <c r="H433">
        <f>'体验表-带进度条'!R430</f>
        <v>0</v>
      </c>
      <c r="I433" s="113">
        <f>转换!I430</f>
        <v>3</v>
      </c>
      <c r="J433" s="113">
        <f>IF(I433=17,1,IF(I433=9,1,IF(转换!I430&gt;0,VLOOKUP(转换!H430,道具!B:C,2,FALSE),"")))</f>
        <v>192001</v>
      </c>
      <c r="K433" s="114">
        <f>IF(转换!I430=17,ROUND(转换!J430*100/转换!$U$2,0),IF(转换!I430=9,F433,转换!J430))</f>
        <v>35</v>
      </c>
      <c r="L433" s="115"/>
      <c r="M433" s="115"/>
      <c r="N433" s="115"/>
      <c r="O433" s="113"/>
      <c r="P433" s="113"/>
      <c r="Q433" s="113"/>
      <c r="R433" s="97"/>
      <c r="S433" s="97"/>
      <c r="T433" s="97"/>
    </row>
    <row r="434" customFormat="1" spans="1:20">
      <c r="A434">
        <f>IF(C434=1,1001+COUNTIF($C$5:C433,1),2001+COUNTIF($C$5:C433,2))</f>
        <v>1360</v>
      </c>
      <c r="B434">
        <v>1</v>
      </c>
      <c r="C434" s="121">
        <v>1</v>
      </c>
      <c r="D434" s="122" t="str">
        <f>IFERROR(_xlfn.IFNA(VLOOKUP(ROUND(F434,0),道具!$B$271:$C$295,2,FALSE),""),"")</f>
        <v/>
      </c>
      <c r="E434" s="122" t="str">
        <f>IFERROR(_xlfn.IFNA(VLOOKUP(ROUND(F434,0),道具!$B$296:$C$320,2,FALSE),""),"")</f>
        <v/>
      </c>
      <c r="F434" t="str">
        <f>IF(转换!B431&gt;0,转换!B431*100,"")</f>
        <v/>
      </c>
      <c r="G434">
        <v>43</v>
      </c>
      <c r="H434">
        <f>'体验表-带进度条'!R431</f>
        <v>0</v>
      </c>
      <c r="I434" s="113">
        <f>转换!I431</f>
        <v>3</v>
      </c>
      <c r="J434" s="113">
        <f>IF(I434=17,1,IF(I434=9,1,IF(转换!I431&gt;0,VLOOKUP(转换!H431,道具!B:C,2,FALSE),"")))</f>
        <v>171001</v>
      </c>
      <c r="K434" s="114">
        <f>IF(转换!I431=17,ROUND(转换!J431*100/转换!$U$2,0),IF(转换!I431=9,F434,转换!J431))</f>
        <v>1</v>
      </c>
      <c r="L434" s="115"/>
      <c r="M434" s="115"/>
      <c r="N434" s="115"/>
      <c r="O434" s="113"/>
      <c r="P434" s="113"/>
      <c r="Q434" s="113"/>
      <c r="R434" s="97"/>
      <c r="S434" s="97"/>
      <c r="T434" s="97"/>
    </row>
    <row r="435" customFormat="1" spans="1:20">
      <c r="A435">
        <f>IF(C435=1,1001+COUNTIF($C$5:C434,1),2001+COUNTIF($C$5:C434,2))</f>
        <v>2071</v>
      </c>
      <c r="B435">
        <v>1</v>
      </c>
      <c r="C435" s="121">
        <v>2</v>
      </c>
      <c r="D435" s="122" t="str">
        <f>IFERROR(_xlfn.IFNA(VLOOKUP(ROUND(F435,0),道具!$B$271:$C$295,2,FALSE),""),"")</f>
        <v>gp_hunt_599</v>
      </c>
      <c r="E435" s="122" t="str">
        <f>IFERROR(_xlfn.IFNA(VLOOKUP(ROUND(F435,0),道具!$B$296:$C$320,2,FALSE),""),"")</f>
        <v>iap_hunt_599</v>
      </c>
      <c r="F435">
        <f>IF(转换!B433&gt;0,转换!B433*100,"")</f>
        <v>599</v>
      </c>
      <c r="G435">
        <v>2</v>
      </c>
      <c r="H435">
        <f>'体验表-带进度条'!R433</f>
        <v>10</v>
      </c>
      <c r="I435" s="113">
        <f>转换!I433</f>
        <v>9</v>
      </c>
      <c r="J435" s="113">
        <f>IF(I435=17,1,IF(I435=9,1,IF(转换!I433&gt;0,VLOOKUP(转换!H433,道具!B:C,2,FALSE),"")))</f>
        <v>1</v>
      </c>
      <c r="K435" s="114">
        <f>IF(转换!I433=17,ROUND(转换!J433*100/转换!$U$2,0),IF(转换!I433=9,F435,转换!J433))</f>
        <v>599</v>
      </c>
      <c r="L435" s="115"/>
      <c r="M435" s="115"/>
      <c r="N435" s="115"/>
      <c r="O435" s="113"/>
      <c r="P435" s="113"/>
      <c r="Q435" s="113"/>
      <c r="R435" s="97"/>
      <c r="S435" s="97"/>
      <c r="T435" s="97"/>
    </row>
    <row r="436" customFormat="1" spans="1:20">
      <c r="A436">
        <f>IF(C436=1,1001+COUNTIF($C$5:C435,1),2001+COUNTIF($C$5:C435,2))</f>
        <v>2072</v>
      </c>
      <c r="B436">
        <v>1</v>
      </c>
      <c r="C436" s="121">
        <v>2</v>
      </c>
      <c r="D436" s="122" t="str">
        <f>IFERROR(_xlfn.IFNA(VLOOKUP(ROUND(F436,0),道具!$B$271:$C$295,2,FALSE),""),"")</f>
        <v>gp_hunt_3</v>
      </c>
      <c r="E436" s="122" t="str">
        <f>IFERROR(_xlfn.IFNA(VLOOKUP(ROUND(F436,0),道具!$B$296:$C$320,2,FALSE),""),"")</f>
        <v>iap_hunt_3</v>
      </c>
      <c r="F436">
        <f>IF(转换!B439&gt;0,转换!B439*100,"")</f>
        <v>799</v>
      </c>
      <c r="G436">
        <v>8</v>
      </c>
      <c r="H436">
        <f>'体验表-带进度条'!R439</f>
        <v>25</v>
      </c>
      <c r="I436" s="113">
        <f>转换!I439</f>
        <v>9</v>
      </c>
      <c r="J436" s="113">
        <f>IF(I436=17,1,IF(I436=9,1,IF(转换!I439&gt;0,VLOOKUP(转换!H439,道具!B:C,2,FALSE),"")))</f>
        <v>1</v>
      </c>
      <c r="K436" s="114">
        <f>IF(转换!I439=17,ROUND(转换!J439*100/转换!$U$2,0),IF(转换!I439=9,F436,转换!J439))</f>
        <v>799</v>
      </c>
      <c r="L436" s="115"/>
      <c r="M436" s="115"/>
      <c r="N436" s="115"/>
      <c r="O436" s="113"/>
      <c r="P436" s="113"/>
      <c r="Q436" s="113"/>
      <c r="R436" s="97"/>
      <c r="S436" s="97"/>
      <c r="T436" s="97"/>
    </row>
    <row r="437" customFormat="1" spans="1:20">
      <c r="A437">
        <f>IF(C437=1,1001+COUNTIF($C$5:C436,1),2001+COUNTIF($C$5:C436,2))</f>
        <v>2073</v>
      </c>
      <c r="B437">
        <v>1</v>
      </c>
      <c r="C437" s="121">
        <v>2</v>
      </c>
      <c r="D437" s="122" t="str">
        <f>IFERROR(_xlfn.IFNA(VLOOKUP(ROUND(F437,0),道具!$B$271:$C$295,2,FALSE),""),"")</f>
        <v>gp_hunt_999</v>
      </c>
      <c r="E437" s="122" t="str">
        <f>IFERROR(_xlfn.IFNA(VLOOKUP(ROUND(F437,0),道具!$B$296:$C$320,2,FALSE),""),"")</f>
        <v>iap_hunt_999</v>
      </c>
      <c r="F437">
        <f>IF(转换!B445&gt;0,转换!B445*100,"")</f>
        <v>999</v>
      </c>
      <c r="G437">
        <v>14</v>
      </c>
      <c r="H437">
        <f>'体验表-带进度条'!R445</f>
        <v>35</v>
      </c>
      <c r="I437" s="113">
        <f>转换!I445</f>
        <v>9</v>
      </c>
      <c r="J437" s="113">
        <f>IF(I437=17,1,IF(I437=9,1,IF(转换!I445&gt;0,VLOOKUP(转换!H445,道具!B:C,2,FALSE),"")))</f>
        <v>1</v>
      </c>
      <c r="K437" s="114">
        <f>IF(转换!I445=17,ROUND(转换!J445*100/转换!$U$2,0),IF(转换!I445=9,F437,转换!J445))</f>
        <v>999</v>
      </c>
      <c r="L437" s="115"/>
      <c r="M437" s="115"/>
      <c r="N437" s="115"/>
      <c r="O437" s="113"/>
      <c r="P437" s="113"/>
      <c r="Q437" s="113"/>
      <c r="R437" s="97"/>
      <c r="S437" s="97"/>
      <c r="T437" s="97"/>
    </row>
    <row r="438" customFormat="1" spans="1:20">
      <c r="A438">
        <f>IF(C438=1,1001+COUNTIF($C$5:C437,1),2001+COUNTIF($C$5:C437,2))</f>
        <v>2074</v>
      </c>
      <c r="B438">
        <v>1</v>
      </c>
      <c r="C438" s="121">
        <v>2</v>
      </c>
      <c r="D438" s="122" t="str">
        <f>IFERROR(_xlfn.IFNA(VLOOKUP(ROUND(F438,0),道具!$B$271:$C$295,2,FALSE),""),"")</f>
        <v>gp_hunt_5</v>
      </c>
      <c r="E438" s="122" t="str">
        <f>IFERROR(_xlfn.IFNA(VLOOKUP(ROUND(F438,0),道具!$B$296:$C$320,2,FALSE),""),"")</f>
        <v>iap_hunt_5</v>
      </c>
      <c r="F438">
        <f>IF(转换!B451&gt;0,转换!B451*100,"")</f>
        <v>1299</v>
      </c>
      <c r="G438">
        <v>20</v>
      </c>
      <c r="H438">
        <f>'体验表-带进度条'!R451</f>
        <v>0</v>
      </c>
      <c r="I438" s="113">
        <f>转换!I451</f>
        <v>9</v>
      </c>
      <c r="J438" s="113">
        <f>IF(I438=17,1,IF(I438=9,1,IF(转换!I451&gt;0,VLOOKUP(转换!H451,道具!B:C,2,FALSE),"")))</f>
        <v>1</v>
      </c>
      <c r="K438" s="114">
        <f>IF(转换!I451=17,ROUND(转换!J451*100/转换!$U$2,0),IF(转换!I451=9,F438,转换!J451))</f>
        <v>1299</v>
      </c>
      <c r="L438" s="115"/>
      <c r="M438" s="115"/>
      <c r="N438" s="115"/>
      <c r="O438" s="113"/>
      <c r="P438" s="113"/>
      <c r="Q438" s="113"/>
      <c r="R438" s="97"/>
      <c r="S438" s="97"/>
      <c r="T438" s="97"/>
    </row>
    <row r="439" customFormat="1" spans="1:20">
      <c r="A439">
        <f>IF(C439=1,1001+COUNTIF($C$5:C438,1),2001+COUNTIF($C$5:C438,2))</f>
        <v>2075</v>
      </c>
      <c r="B439">
        <v>1</v>
      </c>
      <c r="C439" s="121">
        <v>2</v>
      </c>
      <c r="D439" s="122" t="str">
        <f>IFERROR(_xlfn.IFNA(VLOOKUP(ROUND(F439,0),道具!$B$271:$C$295,2,FALSE),""),"")</f>
        <v>gp_hunt_6</v>
      </c>
      <c r="E439" s="122" t="str">
        <f>IFERROR(_xlfn.IFNA(VLOOKUP(ROUND(F439,0),道具!$B$296:$C$320,2,FALSE),""),"")</f>
        <v>iap_hunt_6</v>
      </c>
      <c r="F439">
        <f>IF(转换!B457&gt;0,转换!B457*100,"")</f>
        <v>1499</v>
      </c>
      <c r="G439">
        <v>26</v>
      </c>
      <c r="H439">
        <f>'体验表-带进度条'!R457</f>
        <v>10</v>
      </c>
      <c r="I439" s="113">
        <f>转换!I457</f>
        <v>9</v>
      </c>
      <c r="J439" s="113">
        <f>IF(I439=17,1,IF(I439=9,1,IF(转换!I457&gt;0,VLOOKUP(转换!H457,道具!B:C,2,FALSE),"")))</f>
        <v>1</v>
      </c>
      <c r="K439" s="114">
        <f>IF(转换!I457=17,ROUND(转换!J457*100/转换!$U$2,0),IF(转换!I457=9,F439,转换!J457))</f>
        <v>1499</v>
      </c>
      <c r="L439" s="115"/>
      <c r="M439" s="115"/>
      <c r="N439" s="115"/>
      <c r="O439" s="113"/>
      <c r="P439" s="113"/>
      <c r="Q439" s="113"/>
      <c r="R439" s="97"/>
      <c r="S439" s="97"/>
      <c r="T439" s="97"/>
    </row>
    <row r="440" customFormat="1" spans="1:20">
      <c r="A440">
        <f>IF(C440=1,1001+COUNTIF($C$5:C439,1),2001+COUNTIF($C$5:C439,2))</f>
        <v>2076</v>
      </c>
      <c r="B440">
        <v>1</v>
      </c>
      <c r="C440" s="121">
        <v>2</v>
      </c>
      <c r="D440" s="122" t="str">
        <f>IFERROR(_xlfn.IFNA(VLOOKUP(ROUND(F440,0),道具!$B$271:$C$295,2,FALSE),""),"")</f>
        <v>gp_hunt_1799</v>
      </c>
      <c r="E440" s="122" t="str">
        <f>IFERROR(_xlfn.IFNA(VLOOKUP(ROUND(F440,0),道具!$B$296:$C$320,2,FALSE),""),"")</f>
        <v>iap_hunt_1799</v>
      </c>
      <c r="F440">
        <f>IF(转换!B463&gt;0,转换!B463*100,"")</f>
        <v>1799</v>
      </c>
      <c r="G440">
        <v>32</v>
      </c>
      <c r="H440">
        <f>'体验表-带进度条'!R463</f>
        <v>25</v>
      </c>
      <c r="I440" s="113">
        <f>转换!I463</f>
        <v>9</v>
      </c>
      <c r="J440" s="113">
        <f>IF(I440=17,1,IF(I440=9,1,IF(转换!I463&gt;0,VLOOKUP(转换!H463,道具!B:C,2,FALSE),"")))</f>
        <v>1</v>
      </c>
      <c r="K440" s="114">
        <f>IF(转换!I463=17,ROUND(转换!J463*100/转换!$U$2,0),IF(转换!I463=9,F440,转换!J463))</f>
        <v>1799</v>
      </c>
      <c r="L440" s="115"/>
      <c r="M440" s="115"/>
      <c r="N440" s="115"/>
      <c r="O440" s="113"/>
      <c r="P440" s="113"/>
      <c r="Q440" s="113"/>
      <c r="R440" s="97"/>
      <c r="S440" s="97"/>
      <c r="T440" s="97"/>
    </row>
    <row r="441" customFormat="1" spans="1:20">
      <c r="A441">
        <f>IF(C441=1,1001+COUNTIF($C$5:C440,1),2001+COUNTIF($C$5:C440,2))</f>
        <v>2077</v>
      </c>
      <c r="B441">
        <v>1</v>
      </c>
      <c r="C441" s="121">
        <v>2</v>
      </c>
      <c r="D441" s="122" t="str">
        <f>IFERROR(_xlfn.IFNA(VLOOKUP(ROUND(F441,0),道具!$B$271:$C$295,2,FALSE),""),"")</f>
        <v>gp_hunt_1999</v>
      </c>
      <c r="E441" s="122" t="str">
        <f>IFERROR(_xlfn.IFNA(VLOOKUP(ROUND(F441,0),道具!$B$296:$C$320,2,FALSE),""),"")</f>
        <v>iap_hunt_1999</v>
      </c>
      <c r="F441">
        <f>IF(转换!B469&gt;0,转换!B469*100,"")</f>
        <v>1999</v>
      </c>
      <c r="G441">
        <v>38</v>
      </c>
      <c r="H441">
        <f>'体验表-带进度条'!R469</f>
        <v>35</v>
      </c>
      <c r="I441" s="113">
        <f>转换!I469</f>
        <v>9</v>
      </c>
      <c r="J441" s="113">
        <f>IF(I441=17,1,IF(I441=9,1,IF(转换!I469&gt;0,VLOOKUP(转换!H469,道具!B:C,2,FALSE),"")))</f>
        <v>1</v>
      </c>
      <c r="K441" s="114">
        <f>IF(转换!I469=17,ROUND(转换!J469*100/转换!$U$2,0),IF(转换!I469=9,F441,转换!J469))</f>
        <v>1999</v>
      </c>
      <c r="L441" s="115"/>
      <c r="M441" s="115"/>
      <c r="N441" s="115"/>
      <c r="O441" s="113"/>
      <c r="P441" s="113"/>
      <c r="Q441" s="113"/>
      <c r="R441" s="97"/>
      <c r="S441" s="97"/>
      <c r="T441" s="97"/>
    </row>
    <row r="442" customFormat="1" spans="1:20">
      <c r="A442">
        <f>IF(C442=1,1001+COUNTIF($C$5:C441,1),2001+COUNTIF($C$5:C441,2))</f>
        <v>1361</v>
      </c>
      <c r="B442">
        <v>1</v>
      </c>
      <c r="C442" s="121">
        <v>1</v>
      </c>
      <c r="D442" s="122" t="str">
        <f>IFERROR(_xlfn.IFNA(VLOOKUP(ROUND(F442,0),道具!$B$271:$C$295,2,FALSE),""),"")</f>
        <v/>
      </c>
      <c r="E442" s="122" t="str">
        <f>IFERROR(_xlfn.IFNA(VLOOKUP(ROUND(F442,0),道具!$B$296:$C$320,2,FALSE),""),"")</f>
        <v/>
      </c>
      <c r="F442" t="str">
        <f>IF(转换!B432&gt;0,转换!B432*100,"")</f>
        <v/>
      </c>
      <c r="G442">
        <v>1</v>
      </c>
      <c r="H442">
        <f>'体验表-带进度条'!R432</f>
        <v>20</v>
      </c>
      <c r="I442" s="113">
        <f>转换!I432</f>
        <v>1</v>
      </c>
      <c r="J442" s="113">
        <f>IF(I442=17,1,IF(I442=9,1,IF(转换!I432&gt;0,VLOOKUP(转换!H432,道具!B:C,2,FALSE),"")))</f>
        <v>1</v>
      </c>
      <c r="K442" s="114">
        <f>IF(转换!I432=17,ROUND(转换!J432*100/转换!$U$2,0),IF(转换!I432=9,F442,转换!J432))</f>
        <v>5000</v>
      </c>
      <c r="L442" s="115"/>
      <c r="M442" s="115"/>
      <c r="N442" s="115"/>
      <c r="O442" s="113"/>
      <c r="P442" s="113"/>
      <c r="Q442" s="113"/>
      <c r="R442" s="97"/>
      <c r="S442" s="97"/>
      <c r="T442" s="97"/>
    </row>
    <row r="443" customFormat="1" spans="1:20">
      <c r="A443">
        <f>IF(C443=1,1001+COUNTIF($C$5:C442,1),2001+COUNTIF($C$5:C442,2))</f>
        <v>1362</v>
      </c>
      <c r="B443">
        <v>1</v>
      </c>
      <c r="C443" s="121">
        <v>1</v>
      </c>
      <c r="D443" s="122" t="str">
        <f>IFERROR(_xlfn.IFNA(VLOOKUP(ROUND(F443,0),道具!$B$271:$C$295,2,FALSE),""),"")</f>
        <v/>
      </c>
      <c r="E443" s="122" t="str">
        <f>IFERROR(_xlfn.IFNA(VLOOKUP(ROUND(F443,0),道具!$B$296:$C$320,2,FALSE),""),"")</f>
        <v/>
      </c>
      <c r="F443" t="str">
        <f>IF(转换!B434&gt;0,转换!B434*100,"")</f>
        <v/>
      </c>
      <c r="G443">
        <v>3</v>
      </c>
      <c r="H443">
        <f>'体验表-带进度条'!R434</f>
        <v>0</v>
      </c>
      <c r="I443" s="113">
        <f>转换!I434</f>
        <v>3</v>
      </c>
      <c r="J443" s="113">
        <f>IF(I443=17,1,IF(I443=9,1,IF(转换!I434&gt;0,VLOOKUP(转换!H434,道具!B:C,2,FALSE),"")))</f>
        <v>160001</v>
      </c>
      <c r="K443" s="114">
        <f>IF(转换!I434=17,ROUND(转换!J434*100/转换!$U$2,0),IF(转换!I434=9,F443,转换!J434))</f>
        <v>1</v>
      </c>
      <c r="L443" s="115"/>
      <c r="M443" s="115"/>
      <c r="N443" s="115"/>
      <c r="O443" s="113"/>
      <c r="P443" s="113"/>
      <c r="Q443" s="113"/>
      <c r="R443" s="97"/>
      <c r="S443" s="97"/>
      <c r="T443" s="97"/>
    </row>
    <row r="444" customFormat="1" spans="1:20">
      <c r="A444">
        <f>IF(C444=1,1001+COUNTIF($C$5:C443,1),2001+COUNTIF($C$5:C443,2))</f>
        <v>1363</v>
      </c>
      <c r="B444">
        <v>1</v>
      </c>
      <c r="C444" s="121">
        <v>1</v>
      </c>
      <c r="D444" s="122" t="str">
        <f>IFERROR(_xlfn.IFNA(VLOOKUP(ROUND(F444,0),道具!$B$271:$C$295,2,FALSE),""),"")</f>
        <v/>
      </c>
      <c r="E444" s="122" t="str">
        <f>IFERROR(_xlfn.IFNA(VLOOKUP(ROUND(F444,0),道具!$B$296:$C$320,2,FALSE),""),"")</f>
        <v/>
      </c>
      <c r="F444" t="str">
        <f>IF(转换!B435&gt;0,转换!B435*100,"")</f>
        <v/>
      </c>
      <c r="G444">
        <v>4</v>
      </c>
      <c r="H444">
        <f>'体验表-带进度条'!R435</f>
        <v>0</v>
      </c>
      <c r="I444" s="113">
        <f>转换!I435</f>
        <v>17</v>
      </c>
      <c r="J444" s="113">
        <f>IF(I444=17,1,IF(I444=9,1,IF(转换!I435&gt;0,VLOOKUP(转换!H435,道具!B:C,2,FALSE),"")))</f>
        <v>1</v>
      </c>
      <c r="K444" s="114">
        <f>IF(转换!I435=17,ROUND(转换!J435*100/转换!$U$2,0),IF(转换!I435=9,F444,转换!J435))</f>
        <v>201</v>
      </c>
      <c r="L444" s="115"/>
      <c r="M444" s="115"/>
      <c r="N444" s="115"/>
      <c r="O444" s="113"/>
      <c r="P444" s="113"/>
      <c r="Q444" s="113"/>
      <c r="R444" s="97"/>
      <c r="S444" s="97"/>
      <c r="T444" s="97"/>
    </row>
    <row r="445" customFormat="1" spans="1:20">
      <c r="A445">
        <f>IF(C445=1,1001+COUNTIF($C$5:C444,1),2001+COUNTIF($C$5:C444,2))</f>
        <v>1364</v>
      </c>
      <c r="B445">
        <v>1</v>
      </c>
      <c r="C445" s="121">
        <v>1</v>
      </c>
      <c r="D445" s="122" t="str">
        <f>IFERROR(_xlfn.IFNA(VLOOKUP(ROUND(F445,0),道具!$B$271:$C$295,2,FALSE),""),"")</f>
        <v/>
      </c>
      <c r="E445" s="122" t="str">
        <f>IFERROR(_xlfn.IFNA(VLOOKUP(ROUND(F445,0),道具!$B$296:$C$320,2,FALSE),""),"")</f>
        <v/>
      </c>
      <c r="F445" t="str">
        <f>IF(转换!B436&gt;0,转换!B436*100,"")</f>
        <v/>
      </c>
      <c r="G445">
        <v>5</v>
      </c>
      <c r="H445">
        <f>'体验表-带进度条'!R436</f>
        <v>10</v>
      </c>
      <c r="I445" s="113">
        <f>转换!I436</f>
        <v>4</v>
      </c>
      <c r="J445" s="113">
        <f>IF(I445=17,1,IF(I445=9,1,IF(转换!I436&gt;0,VLOOKUP(转换!H436,道具!B:C,2,FALSE),"")))</f>
        <v>100002</v>
      </c>
      <c r="K445" s="114">
        <f>IF(转换!I436=17,ROUND(转换!J436*100/转换!$U$2,0),IF(转换!I436=9,F445,转换!J436))</f>
        <v>1</v>
      </c>
      <c r="L445" s="115"/>
      <c r="M445" s="115"/>
      <c r="N445" s="115"/>
      <c r="O445" s="113"/>
      <c r="P445" s="113"/>
      <c r="Q445" s="113"/>
      <c r="R445" s="97"/>
      <c r="S445" s="97"/>
      <c r="T445" s="97"/>
    </row>
    <row r="446" customFormat="1" spans="1:20">
      <c r="A446">
        <f>IF(C446=1,1001+COUNTIF($C$5:C445,1),2001+COUNTIF($C$5:C445,2))</f>
        <v>1365</v>
      </c>
      <c r="B446">
        <v>1</v>
      </c>
      <c r="C446" s="121">
        <v>1</v>
      </c>
      <c r="D446" s="122" t="str">
        <f>IFERROR(_xlfn.IFNA(VLOOKUP(ROUND(F446,0),道具!$B$271:$C$295,2,FALSE),""),"")</f>
        <v/>
      </c>
      <c r="E446" s="122" t="str">
        <f>IFERROR(_xlfn.IFNA(VLOOKUP(ROUND(F446,0),道具!$B$296:$C$320,2,FALSE),""),"")</f>
        <v/>
      </c>
      <c r="F446" t="str">
        <f>IF(转换!B437&gt;0,转换!B437*100,"")</f>
        <v/>
      </c>
      <c r="G446">
        <v>6</v>
      </c>
      <c r="H446">
        <f>'体验表-带进度条'!R437</f>
        <v>0</v>
      </c>
      <c r="I446" s="113">
        <f>转换!I437</f>
        <v>3</v>
      </c>
      <c r="J446" s="113">
        <f>IF(I446=17,1,IF(I446=9,1,IF(转换!I437&gt;0,VLOOKUP(转换!H437,道具!B:C,2,FALSE),"")))</f>
        <v>192001</v>
      </c>
      <c r="K446" s="114">
        <f>IF(转换!I437=17,ROUND(转换!J437*100/转换!$U$2,0),IF(转换!I437=9,F446,转换!J437))</f>
        <v>5</v>
      </c>
      <c r="L446" s="115"/>
      <c r="M446" s="115"/>
      <c r="N446" s="115"/>
      <c r="O446" s="113"/>
      <c r="P446" s="113"/>
      <c r="Q446" s="113"/>
      <c r="R446" s="97"/>
      <c r="S446" s="97"/>
      <c r="T446" s="97"/>
    </row>
    <row r="447" customFormat="1" spans="1:20">
      <c r="A447">
        <f>IF(C447=1,1001+COUNTIF($C$5:C446,1),2001+COUNTIF($C$5:C446,2))</f>
        <v>1366</v>
      </c>
      <c r="B447">
        <v>1</v>
      </c>
      <c r="C447" s="121">
        <v>1</v>
      </c>
      <c r="D447" s="122" t="str">
        <f>IFERROR(_xlfn.IFNA(VLOOKUP(ROUND(F447,0),道具!$B$271:$C$295,2,FALSE),""),"")</f>
        <v/>
      </c>
      <c r="E447" s="122" t="str">
        <f>IFERROR(_xlfn.IFNA(VLOOKUP(ROUND(F447,0),道具!$B$296:$C$320,2,FALSE),""),"")</f>
        <v/>
      </c>
      <c r="F447" t="str">
        <f>IF(转换!B438&gt;0,转换!B438*100,"")</f>
        <v/>
      </c>
      <c r="G447">
        <v>7</v>
      </c>
      <c r="H447">
        <f>'体验表-带进度条'!R438</f>
        <v>0</v>
      </c>
      <c r="I447" s="113">
        <f>转换!I438</f>
        <v>3</v>
      </c>
      <c r="J447" s="113">
        <f>IF(I447=17,1,IF(I447=9,1,IF(转换!I438&gt;0,VLOOKUP(转换!H438,道具!B:C,2,FALSE),"")))</f>
        <v>171001</v>
      </c>
      <c r="K447" s="114">
        <f>IF(转换!I438=17,ROUND(转换!J438*100/转换!$U$2,0),IF(转换!I438=9,F447,转换!J438))</f>
        <v>1</v>
      </c>
      <c r="L447" s="115"/>
      <c r="M447" s="115"/>
      <c r="N447" s="115"/>
      <c r="O447" s="113"/>
      <c r="P447" s="113"/>
      <c r="Q447" s="113"/>
      <c r="R447" s="97"/>
      <c r="S447" s="97"/>
      <c r="T447" s="97"/>
    </row>
    <row r="448" customFormat="1" spans="1:20">
      <c r="A448">
        <f>IF(C448=1,1001+COUNTIF($C$5:C447,1),2001+COUNTIF($C$5:C447,2))</f>
        <v>1367</v>
      </c>
      <c r="B448">
        <v>1</v>
      </c>
      <c r="C448" s="121">
        <v>1</v>
      </c>
      <c r="D448" s="122" t="str">
        <f>IFERROR(_xlfn.IFNA(VLOOKUP(ROUND(F448,0),道具!$B$271:$C$295,2,FALSE),""),"")</f>
        <v/>
      </c>
      <c r="E448" s="122" t="str">
        <f>IFERROR(_xlfn.IFNA(VLOOKUP(ROUND(F448,0),道具!$B$296:$C$320,2,FALSE),""),"")</f>
        <v/>
      </c>
      <c r="F448" t="str">
        <f>IF(转换!B440&gt;0,转换!B440*100,"")</f>
        <v/>
      </c>
      <c r="G448">
        <v>9</v>
      </c>
      <c r="H448">
        <f>'体验表-带进度条'!R440</f>
        <v>0</v>
      </c>
      <c r="I448" s="113">
        <f>转换!I440</f>
        <v>3</v>
      </c>
      <c r="J448" s="113">
        <f>IF(I448=17,1,IF(I448=9,1,IF(转换!I440&gt;0,VLOOKUP(转换!H440,道具!B:C,2,FALSE),"")))</f>
        <v>160001</v>
      </c>
      <c r="K448" s="114">
        <f>IF(转换!I440=17,ROUND(转换!J440*100/转换!$U$2,0),IF(转换!I440=9,F448,转换!J440))</f>
        <v>2</v>
      </c>
      <c r="L448" s="115"/>
      <c r="M448" s="115"/>
      <c r="N448" s="115"/>
      <c r="O448" s="113"/>
      <c r="P448" s="113"/>
      <c r="Q448" s="113"/>
      <c r="R448" s="97"/>
      <c r="S448" s="97"/>
      <c r="T448" s="97"/>
    </row>
    <row r="449" customFormat="1" spans="1:20">
      <c r="A449">
        <f>IF(C449=1,1001+COUNTIF($C$5:C448,1),2001+COUNTIF($C$5:C448,2))</f>
        <v>1368</v>
      </c>
      <c r="B449">
        <v>1</v>
      </c>
      <c r="C449" s="121">
        <v>1</v>
      </c>
      <c r="D449" s="122" t="str">
        <f>IFERROR(_xlfn.IFNA(VLOOKUP(ROUND(F449,0),道具!$B$271:$C$295,2,FALSE),""),"")</f>
        <v/>
      </c>
      <c r="E449" s="122" t="str">
        <f>IFERROR(_xlfn.IFNA(VLOOKUP(ROUND(F449,0),道具!$B$296:$C$320,2,FALSE),""),"")</f>
        <v/>
      </c>
      <c r="F449" t="str">
        <f>IF(转换!B441&gt;0,转换!B441*100,"")</f>
        <v/>
      </c>
      <c r="G449">
        <v>10</v>
      </c>
      <c r="H449">
        <f>'体验表-带进度条'!R441</f>
        <v>0</v>
      </c>
      <c r="I449" s="113">
        <f>转换!I441</f>
        <v>17</v>
      </c>
      <c r="J449" s="113">
        <f>IF(I449=17,1,IF(I449=9,1,IF(转换!I441&gt;0,VLOOKUP(转换!H441,道具!B:C,2,FALSE),"")))</f>
        <v>1</v>
      </c>
      <c r="K449" s="114">
        <f>IF(转换!I441=17,ROUND(转换!J441*100/转换!$U$2,0),IF(转换!I441=9,F449,转换!J441))</f>
        <v>40</v>
      </c>
      <c r="L449" s="115"/>
      <c r="M449" s="115"/>
      <c r="N449" s="115"/>
      <c r="O449" s="113"/>
      <c r="P449" s="113"/>
      <c r="Q449" s="113"/>
      <c r="R449" s="97"/>
      <c r="S449" s="97"/>
      <c r="T449" s="97"/>
    </row>
    <row r="450" customFormat="1" spans="1:20">
      <c r="A450">
        <f>IF(C450=1,1001+COUNTIF($C$5:C449,1),2001+COUNTIF($C$5:C449,2))</f>
        <v>1369</v>
      </c>
      <c r="B450">
        <v>1</v>
      </c>
      <c r="C450" s="121">
        <v>1</v>
      </c>
      <c r="D450" s="122" t="str">
        <f>IFERROR(_xlfn.IFNA(VLOOKUP(ROUND(F450,0),道具!$B$271:$C$295,2,FALSE),""),"")</f>
        <v/>
      </c>
      <c r="E450" s="122" t="str">
        <f>IFERROR(_xlfn.IFNA(VLOOKUP(ROUND(F450,0),道具!$B$296:$C$320,2,FALSE),""),"")</f>
        <v/>
      </c>
      <c r="F450" t="str">
        <f>IF(转换!B442&gt;0,转换!B442*100,"")</f>
        <v/>
      </c>
      <c r="G450">
        <v>11</v>
      </c>
      <c r="H450">
        <f>'体验表-带进度条'!R442</f>
        <v>0</v>
      </c>
      <c r="I450" s="113">
        <f>转换!I442</f>
        <v>4</v>
      </c>
      <c r="J450" s="113">
        <f>IF(I450=17,1,IF(I450=9,1,IF(转换!I442&gt;0,VLOOKUP(转换!H442,道具!B:C,2,FALSE),"")))</f>
        <v>100003</v>
      </c>
      <c r="K450" s="114">
        <f>IF(转换!I442=17,ROUND(转换!J442*100/转换!$U$2,0),IF(转换!I442=9,F450,转换!J442))</f>
        <v>1</v>
      </c>
      <c r="L450" s="115"/>
      <c r="M450" s="115"/>
      <c r="N450" s="115"/>
      <c r="O450" s="113"/>
      <c r="P450" s="113"/>
      <c r="Q450" s="113"/>
      <c r="R450" s="97"/>
      <c r="S450" s="97"/>
      <c r="T450" s="97"/>
    </row>
    <row r="451" customFormat="1" spans="1:20">
      <c r="A451">
        <f>IF(C451=1,1001+COUNTIF($C$5:C450,1),2001+COUNTIF($C$5:C450,2))</f>
        <v>1370</v>
      </c>
      <c r="B451">
        <v>1</v>
      </c>
      <c r="C451" s="121">
        <v>1</v>
      </c>
      <c r="D451" s="122" t="str">
        <f>IFERROR(_xlfn.IFNA(VLOOKUP(ROUND(F451,0),道具!$B$271:$C$295,2,FALSE),""),"")</f>
        <v/>
      </c>
      <c r="E451" s="122" t="str">
        <f>IFERROR(_xlfn.IFNA(VLOOKUP(ROUND(F451,0),道具!$B$296:$C$320,2,FALSE),""),"")</f>
        <v/>
      </c>
      <c r="F451" t="str">
        <f>IF(转换!B443&gt;0,转换!B443*100,"")</f>
        <v/>
      </c>
      <c r="G451">
        <v>12</v>
      </c>
      <c r="H451">
        <f>'体验表-带进度条'!R443</f>
        <v>0</v>
      </c>
      <c r="I451" s="113">
        <f>转换!I443</f>
        <v>3</v>
      </c>
      <c r="J451" s="113">
        <f>IF(I451=17,1,IF(I451=9,1,IF(转换!I443&gt;0,VLOOKUP(转换!H443,道具!B:C,2,FALSE),"")))</f>
        <v>192001</v>
      </c>
      <c r="K451" s="114">
        <f>IF(转换!I443=17,ROUND(转换!J443*100/转换!$U$2,0),IF(转换!I443=9,F451,转换!J443))</f>
        <v>10</v>
      </c>
      <c r="L451" s="115"/>
      <c r="M451" s="115"/>
      <c r="N451" s="115"/>
      <c r="O451" s="113"/>
      <c r="P451" s="113"/>
      <c r="Q451" s="113"/>
      <c r="R451" s="97"/>
      <c r="S451" s="97"/>
      <c r="T451" s="97"/>
    </row>
    <row r="452" customFormat="1" spans="1:20">
      <c r="A452">
        <f>IF(C452=1,1001+COUNTIF($C$5:C451,1),2001+COUNTIF($C$5:C451,2))</f>
        <v>1371</v>
      </c>
      <c r="B452">
        <v>1</v>
      </c>
      <c r="C452" s="121">
        <v>1</v>
      </c>
      <c r="D452" s="122" t="str">
        <f>IFERROR(_xlfn.IFNA(VLOOKUP(ROUND(F452,0),道具!$B$271:$C$295,2,FALSE),""),"")</f>
        <v/>
      </c>
      <c r="E452" s="122" t="str">
        <f>IFERROR(_xlfn.IFNA(VLOOKUP(ROUND(F452,0),道具!$B$296:$C$320,2,FALSE),""),"")</f>
        <v/>
      </c>
      <c r="F452" t="str">
        <f>IF(转换!B444&gt;0,转换!B444*100,"")</f>
        <v/>
      </c>
      <c r="G452">
        <v>13</v>
      </c>
      <c r="H452">
        <f>'体验表-带进度条'!R444</f>
        <v>0</v>
      </c>
      <c r="I452" s="113">
        <f>转换!I444</f>
        <v>3</v>
      </c>
      <c r="J452" s="113">
        <f>IF(I452=17,1,IF(I452=9,1,IF(转换!I444&gt;0,VLOOKUP(转换!H444,道具!B:C,2,FALSE),"")))</f>
        <v>171002</v>
      </c>
      <c r="K452" s="114">
        <f>IF(转换!I444=17,ROUND(转换!J444*100/转换!$U$2,0),IF(转换!I444=9,F452,转换!J444))</f>
        <v>1</v>
      </c>
      <c r="L452" s="115"/>
      <c r="M452" s="115"/>
      <c r="N452" s="115"/>
      <c r="O452" s="113"/>
      <c r="P452" s="113"/>
      <c r="Q452" s="113"/>
      <c r="R452" s="97"/>
      <c r="S452" s="97"/>
      <c r="T452" s="97"/>
    </row>
    <row r="453" customFormat="1" spans="1:20">
      <c r="A453">
        <f>IF(C453=1,1001+COUNTIF($C$5:C452,1),2001+COUNTIF($C$5:C452,2))</f>
        <v>1372</v>
      </c>
      <c r="B453">
        <v>1</v>
      </c>
      <c r="C453" s="121">
        <v>1</v>
      </c>
      <c r="D453" s="122" t="str">
        <f>IFERROR(_xlfn.IFNA(VLOOKUP(ROUND(F453,0),道具!$B$271:$C$295,2,FALSE),""),"")</f>
        <v/>
      </c>
      <c r="E453" s="122" t="str">
        <f>IFERROR(_xlfn.IFNA(VLOOKUP(ROUND(F453,0),道具!$B$296:$C$320,2,FALSE),""),"")</f>
        <v/>
      </c>
      <c r="F453" t="str">
        <f>IF(转换!B446&gt;0,转换!B446*100,"")</f>
        <v/>
      </c>
      <c r="G453">
        <v>15</v>
      </c>
      <c r="H453">
        <f>'体验表-带进度条'!R446</f>
        <v>0</v>
      </c>
      <c r="I453" s="113">
        <f>转换!I446</f>
        <v>3</v>
      </c>
      <c r="J453" s="113">
        <f>IF(I453=17,1,IF(I453=9,1,IF(转换!I446&gt;0,VLOOKUP(转换!H446,道具!B:C,2,FALSE),"")))</f>
        <v>160001</v>
      </c>
      <c r="K453" s="114">
        <f>IF(转换!I446=17,ROUND(转换!J446*100/转换!$U$2,0),IF(转换!I446=9,F453,转换!J446))</f>
        <v>3</v>
      </c>
      <c r="L453" s="115"/>
      <c r="M453" s="115"/>
      <c r="N453" s="115"/>
      <c r="O453" s="113"/>
      <c r="P453" s="113"/>
      <c r="Q453" s="113"/>
      <c r="R453" s="97"/>
      <c r="S453" s="97"/>
      <c r="T453" s="97"/>
    </row>
    <row r="454" customFormat="1" spans="1:20">
      <c r="A454">
        <f>IF(C454=1,1001+COUNTIF($C$5:C453,1),2001+COUNTIF($C$5:C453,2))</f>
        <v>1373</v>
      </c>
      <c r="B454">
        <v>1</v>
      </c>
      <c r="C454" s="121">
        <v>1</v>
      </c>
      <c r="D454" s="122" t="str">
        <f>IFERROR(_xlfn.IFNA(VLOOKUP(ROUND(F454,0),道具!$B$271:$C$295,2,FALSE),""),"")</f>
        <v/>
      </c>
      <c r="E454" s="122" t="str">
        <f>IFERROR(_xlfn.IFNA(VLOOKUP(ROUND(F454,0),道具!$B$296:$C$320,2,FALSE),""),"")</f>
        <v/>
      </c>
      <c r="F454" t="str">
        <f>IF(转换!B447&gt;0,转换!B447*100,"")</f>
        <v/>
      </c>
      <c r="G454">
        <v>16</v>
      </c>
      <c r="H454">
        <f>'体验表-带进度条'!R447</f>
        <v>0</v>
      </c>
      <c r="I454" s="113">
        <f>转换!I447</f>
        <v>17</v>
      </c>
      <c r="J454" s="113">
        <f>IF(I454=17,1,IF(I454=9,1,IF(转换!I447&gt;0,VLOOKUP(转换!H447,道具!B:C,2,FALSE),"")))</f>
        <v>1</v>
      </c>
      <c r="K454" s="114">
        <f>IF(转换!I447=17,ROUND(转换!J447*100/转换!$U$2,0),IF(转换!I447=9,F454,转换!J447))</f>
        <v>201</v>
      </c>
      <c r="L454" s="115"/>
      <c r="M454" s="115"/>
      <c r="N454" s="115"/>
      <c r="O454" s="113"/>
      <c r="P454" s="113"/>
      <c r="Q454" s="113"/>
      <c r="R454" s="97"/>
      <c r="S454" s="97"/>
      <c r="T454" s="97"/>
    </row>
    <row r="455" customFormat="1" spans="1:20">
      <c r="A455">
        <f>IF(C455=1,1001+COUNTIF($C$5:C454,1),2001+COUNTIF($C$5:C454,2))</f>
        <v>1374</v>
      </c>
      <c r="B455">
        <v>1</v>
      </c>
      <c r="C455" s="121">
        <v>1</v>
      </c>
      <c r="D455" s="122" t="str">
        <f>IFERROR(_xlfn.IFNA(VLOOKUP(ROUND(F455,0),道具!$B$271:$C$295,2,FALSE),""),"")</f>
        <v/>
      </c>
      <c r="E455" s="122" t="str">
        <f>IFERROR(_xlfn.IFNA(VLOOKUP(ROUND(F455,0),道具!$B$296:$C$320,2,FALSE),""),"")</f>
        <v/>
      </c>
      <c r="F455" t="str">
        <f>IF(转换!B448&gt;0,转换!B448*100,"")</f>
        <v/>
      </c>
      <c r="G455">
        <v>17</v>
      </c>
      <c r="H455">
        <f>'体验表-带进度条'!R448</f>
        <v>25</v>
      </c>
      <c r="I455" s="113">
        <f>转换!I448</f>
        <v>4</v>
      </c>
      <c r="J455" s="113">
        <f>IF(I455=17,1,IF(I455=9,1,IF(转换!I448&gt;0,VLOOKUP(转换!H448,道具!B:C,2,FALSE),"")))</f>
        <v>100004</v>
      </c>
      <c r="K455" s="114">
        <f>IF(转换!I448=17,ROUND(转换!J448*100/转换!$U$2,0),IF(转换!I448=9,F455,转换!J448))</f>
        <v>1</v>
      </c>
      <c r="L455" s="115"/>
      <c r="M455" s="115"/>
      <c r="N455" s="115"/>
      <c r="O455" s="113"/>
      <c r="P455" s="113"/>
      <c r="Q455" s="113"/>
      <c r="R455" s="97"/>
      <c r="S455" s="97"/>
      <c r="T455" s="97"/>
    </row>
    <row r="456" customFormat="1" spans="1:20">
      <c r="A456">
        <f>IF(C456=1,1001+COUNTIF($C$5:C455,1),2001+COUNTIF($C$5:C455,2))</f>
        <v>1375</v>
      </c>
      <c r="B456">
        <v>1</v>
      </c>
      <c r="C456" s="121">
        <v>1</v>
      </c>
      <c r="D456" s="122" t="str">
        <f>IFERROR(_xlfn.IFNA(VLOOKUP(ROUND(F456,0),道具!$B$271:$C$295,2,FALSE),""),"")</f>
        <v/>
      </c>
      <c r="E456" s="122" t="str">
        <f>IFERROR(_xlfn.IFNA(VLOOKUP(ROUND(F456,0),道具!$B$296:$C$320,2,FALSE),""),"")</f>
        <v/>
      </c>
      <c r="F456" t="str">
        <f>IF(转换!B449&gt;0,转换!B449*100,"")</f>
        <v/>
      </c>
      <c r="G456">
        <v>18</v>
      </c>
      <c r="H456">
        <f>'体验表-带进度条'!R449</f>
        <v>0</v>
      </c>
      <c r="I456" s="113">
        <f>转换!I449</f>
        <v>3</v>
      </c>
      <c r="J456" s="113">
        <f>IF(I456=17,1,IF(I456=9,1,IF(转换!I449&gt;0,VLOOKUP(转换!H449,道具!B:C,2,FALSE),"")))</f>
        <v>192001</v>
      </c>
      <c r="K456" s="114">
        <f>IF(转换!I449=17,ROUND(转换!J449*100/转换!$U$2,0),IF(转换!I449=9,F456,转换!J449))</f>
        <v>15</v>
      </c>
      <c r="L456" s="115"/>
      <c r="M456" s="115"/>
      <c r="N456" s="115"/>
      <c r="O456" s="113"/>
      <c r="P456" s="113"/>
      <c r="Q456" s="113"/>
      <c r="R456" s="97"/>
      <c r="S456" s="97"/>
      <c r="T456" s="97"/>
    </row>
    <row r="457" customFormat="1" ht="18" customHeight="1" spans="1:20">
      <c r="A457">
        <f>IF(C457=1,1001+COUNTIF($C$5:C456,1),2001+COUNTIF($C$5:C456,2))</f>
        <v>1376</v>
      </c>
      <c r="B457">
        <v>1</v>
      </c>
      <c r="C457" s="121">
        <v>1</v>
      </c>
      <c r="D457" s="122" t="str">
        <f>IFERROR(_xlfn.IFNA(VLOOKUP(ROUND(F457,0),道具!$B$271:$C$295,2,FALSE),""),"")</f>
        <v/>
      </c>
      <c r="E457" s="122" t="str">
        <f>IFERROR(_xlfn.IFNA(VLOOKUP(ROUND(F457,0),道具!$B$296:$C$320,2,FALSE),""),"")</f>
        <v/>
      </c>
      <c r="F457" t="str">
        <f>IF(转换!B450&gt;0,转换!B450*100,"")</f>
        <v/>
      </c>
      <c r="G457">
        <v>19</v>
      </c>
      <c r="H457">
        <f>'体验表-带进度条'!R450</f>
        <v>0</v>
      </c>
      <c r="I457" s="113">
        <f>转换!I450</f>
        <v>3</v>
      </c>
      <c r="J457" s="113">
        <f>IF(I457=17,1,IF(I457=9,1,IF(转换!I450&gt;0,VLOOKUP(转换!H450,道具!B:C,2,FALSE),"")))</f>
        <v>171001</v>
      </c>
      <c r="K457" s="114">
        <f>IF(转换!I450=17,ROUND(转换!J450*100/转换!$U$2,0),IF(转换!I450=9,F457,转换!J450))</f>
        <v>1</v>
      </c>
      <c r="L457" s="115"/>
      <c r="M457" s="115"/>
      <c r="N457" s="115"/>
      <c r="O457" s="113"/>
      <c r="P457" s="113"/>
      <c r="Q457" s="113"/>
      <c r="R457" s="97"/>
      <c r="S457" s="97"/>
      <c r="T457" s="97"/>
    </row>
    <row r="458" customFormat="1" spans="1:20">
      <c r="A458">
        <f>IF(C458=1,1001+COUNTIF($C$5:C457,1),2001+COUNTIF($C$5:C457,2))</f>
        <v>1377</v>
      </c>
      <c r="B458">
        <v>1</v>
      </c>
      <c r="C458" s="121">
        <v>1</v>
      </c>
      <c r="D458" s="122" t="str">
        <f>IFERROR(_xlfn.IFNA(VLOOKUP(ROUND(F458,0),道具!$B$271:$C$295,2,FALSE),""),"")</f>
        <v/>
      </c>
      <c r="E458" s="122" t="str">
        <f>IFERROR(_xlfn.IFNA(VLOOKUP(ROUND(F458,0),道具!$B$296:$C$320,2,FALSE),""),"")</f>
        <v/>
      </c>
      <c r="F458" t="str">
        <f>IF(转换!B452&gt;0,转换!B452*100,"")</f>
        <v/>
      </c>
      <c r="G458">
        <v>21</v>
      </c>
      <c r="H458">
        <f>'体验表-带进度条'!R452</f>
        <v>0</v>
      </c>
      <c r="I458" s="113">
        <f>转换!I452</f>
        <v>3</v>
      </c>
      <c r="J458" s="113">
        <f>IF(I458=17,1,IF(I458=9,1,IF(转换!I452&gt;0,VLOOKUP(转换!H452,道具!B:C,2,FALSE),"")))</f>
        <v>160001</v>
      </c>
      <c r="K458" s="114">
        <f>IF(转换!I452=17,ROUND(转换!J452*100/转换!$U$2,0),IF(转换!I452=9,F458,转换!J452))</f>
        <v>4</v>
      </c>
      <c r="L458" s="115"/>
      <c r="M458" s="115"/>
      <c r="N458" s="115"/>
      <c r="O458" s="113"/>
      <c r="P458" s="113"/>
      <c r="Q458" s="113"/>
      <c r="R458" s="97"/>
      <c r="S458" s="97"/>
      <c r="T458" s="97"/>
    </row>
    <row r="459" customFormat="1" spans="1:20">
      <c r="A459">
        <f>IF(C459=1,1001+COUNTIF($C$5:C458,1),2001+COUNTIF($C$5:C458,2))</f>
        <v>1378</v>
      </c>
      <c r="B459">
        <v>1</v>
      </c>
      <c r="C459" s="121">
        <v>1</v>
      </c>
      <c r="D459" s="122" t="str">
        <f>IFERROR(_xlfn.IFNA(VLOOKUP(ROUND(F459,0),道具!$B$271:$C$295,2,FALSE),""),"")</f>
        <v/>
      </c>
      <c r="E459" s="122" t="str">
        <f>IFERROR(_xlfn.IFNA(VLOOKUP(ROUND(F459,0),道具!$B$296:$C$320,2,FALSE),""),"")</f>
        <v/>
      </c>
      <c r="F459" t="str">
        <f>IF(转换!B453&gt;0,转换!B453*100,"")</f>
        <v/>
      </c>
      <c r="G459">
        <v>22</v>
      </c>
      <c r="H459">
        <f>'体验表-带进度条'!R453</f>
        <v>0</v>
      </c>
      <c r="I459" s="113">
        <f>转换!I453</f>
        <v>17</v>
      </c>
      <c r="J459" s="113">
        <f>IF(I459=17,1,IF(I459=9,1,IF(转换!I453&gt;0,VLOOKUP(转换!H453,道具!B:C,2,FALSE),"")))</f>
        <v>1</v>
      </c>
      <c r="K459" s="114">
        <f>IF(转换!I453=17,ROUND(转换!J453*100/转换!$U$2,0),IF(转换!I453=9,F459,转换!J453))</f>
        <v>161</v>
      </c>
      <c r="L459" s="115"/>
      <c r="M459" s="115"/>
      <c r="N459" s="115"/>
      <c r="O459" s="113"/>
      <c r="P459" s="113"/>
      <c r="Q459" s="113"/>
      <c r="R459" s="97"/>
      <c r="S459" s="97"/>
      <c r="T459" s="97"/>
    </row>
    <row r="460" customFormat="1" spans="1:20">
      <c r="A460">
        <f>IF(C460=1,1001+COUNTIF($C$5:C459,1),2001+COUNTIF($C$5:C459,2))</f>
        <v>1379</v>
      </c>
      <c r="B460">
        <v>1</v>
      </c>
      <c r="C460" s="121">
        <v>1</v>
      </c>
      <c r="D460" s="122" t="str">
        <f>IFERROR(_xlfn.IFNA(VLOOKUP(ROUND(F460,0),道具!$B$271:$C$295,2,FALSE),""),"")</f>
        <v/>
      </c>
      <c r="E460" s="122" t="str">
        <f>IFERROR(_xlfn.IFNA(VLOOKUP(ROUND(F460,0),道具!$B$296:$C$320,2,FALSE),""),"")</f>
        <v/>
      </c>
      <c r="F460" t="str">
        <f>IF(转换!B454&gt;0,转换!B454*100,"")</f>
        <v/>
      </c>
      <c r="G460">
        <v>23</v>
      </c>
      <c r="H460">
        <f>'体验表-带进度条'!R454</f>
        <v>15</v>
      </c>
      <c r="I460" s="113">
        <f>转换!I454</f>
        <v>4</v>
      </c>
      <c r="J460" s="113">
        <f>IF(I460=17,1,IF(I460=9,1,IF(转换!I454&gt;0,VLOOKUP(转换!H454,道具!B:C,2,FALSE),"")))</f>
        <v>100004</v>
      </c>
      <c r="K460" s="114">
        <f>IF(转换!I454=17,ROUND(转换!J454*100/转换!$U$2,0),IF(转换!I454=9,F460,转换!J454))</f>
        <v>1</v>
      </c>
      <c r="L460" s="115"/>
      <c r="M460" s="115"/>
      <c r="N460" s="115"/>
      <c r="O460" s="113"/>
      <c r="P460" s="113"/>
      <c r="Q460" s="113"/>
      <c r="R460" s="97"/>
      <c r="S460" s="97"/>
      <c r="T460" s="97"/>
    </row>
    <row r="461" customFormat="1" spans="1:20">
      <c r="A461">
        <f>IF(C461=1,1001+COUNTIF($C$5:C460,1),2001+COUNTIF($C$5:C460,2))</f>
        <v>1380</v>
      </c>
      <c r="B461">
        <v>1</v>
      </c>
      <c r="C461" s="121">
        <v>1</v>
      </c>
      <c r="D461" s="122" t="str">
        <f>IFERROR(_xlfn.IFNA(VLOOKUP(ROUND(F461,0),道具!$B$271:$C$295,2,FALSE),""),"")</f>
        <v/>
      </c>
      <c r="E461" s="122" t="str">
        <f>IFERROR(_xlfn.IFNA(VLOOKUP(ROUND(F461,0),道具!$B$296:$C$320,2,FALSE),""),"")</f>
        <v/>
      </c>
      <c r="F461" t="str">
        <f>IF(转换!B455&gt;0,转换!B455*100,"")</f>
        <v/>
      </c>
      <c r="G461">
        <v>24</v>
      </c>
      <c r="H461">
        <f>'体验表-带进度条'!R455</f>
        <v>0</v>
      </c>
      <c r="I461" s="113">
        <f>转换!I455</f>
        <v>3</v>
      </c>
      <c r="J461" s="113">
        <f>IF(I461=17,1,IF(I461=9,1,IF(转换!I455&gt;0,VLOOKUP(转换!H455,道具!B:C,2,FALSE),"")))</f>
        <v>192001</v>
      </c>
      <c r="K461" s="114">
        <f>IF(转换!I455=17,ROUND(转换!J455*100/转换!$U$2,0),IF(转换!I455=9,F461,转换!J455))</f>
        <v>20</v>
      </c>
      <c r="L461" s="115"/>
      <c r="M461" s="115"/>
      <c r="N461" s="115"/>
      <c r="O461" s="113"/>
      <c r="P461" s="113"/>
      <c r="Q461" s="113"/>
      <c r="R461" s="97"/>
      <c r="S461" s="97"/>
      <c r="T461" s="97"/>
    </row>
    <row r="462" customFormat="1" spans="1:20">
      <c r="A462">
        <f>IF(C462=1,1001+COUNTIF($C$5:C461,1),2001+COUNTIF($C$5:C461,2))</f>
        <v>1381</v>
      </c>
      <c r="B462">
        <v>1</v>
      </c>
      <c r="C462" s="121">
        <v>1</v>
      </c>
      <c r="D462" s="122" t="str">
        <f>IFERROR(_xlfn.IFNA(VLOOKUP(ROUND(F462,0),道具!$B$271:$C$295,2,FALSE),""),"")</f>
        <v/>
      </c>
      <c r="E462" s="122" t="str">
        <f>IFERROR(_xlfn.IFNA(VLOOKUP(ROUND(F462,0),道具!$B$296:$C$320,2,FALSE),""),"")</f>
        <v/>
      </c>
      <c r="F462" t="str">
        <f>IF(转换!B456&gt;0,转换!B456*100,"")</f>
        <v/>
      </c>
      <c r="G462">
        <v>25</v>
      </c>
      <c r="H462">
        <f>'体验表-带进度条'!R456</f>
        <v>0</v>
      </c>
      <c r="I462" s="113">
        <f>转换!I456</f>
        <v>3</v>
      </c>
      <c r="J462" s="113">
        <f>IF(I462=17,1,IF(I462=9,1,IF(转换!I456&gt;0,VLOOKUP(转换!H456,道具!B:C,2,FALSE),"")))</f>
        <v>171002</v>
      </c>
      <c r="K462" s="114">
        <f>IF(转换!I456=17,ROUND(转换!J456*100/转换!$U$2,0),IF(转换!I456=9,F462,转换!J456))</f>
        <v>1</v>
      </c>
      <c r="L462" s="115"/>
      <c r="M462" s="115"/>
      <c r="N462" s="115"/>
      <c r="O462" s="113"/>
      <c r="P462" s="113"/>
      <c r="Q462" s="113"/>
      <c r="R462" s="97"/>
      <c r="S462" s="97"/>
      <c r="T462" s="97"/>
    </row>
    <row r="463" customFormat="1" spans="1:20">
      <c r="A463">
        <f>IF(C463=1,1001+COUNTIF($C$5:C462,1),2001+COUNTIF($C$5:C462,2))</f>
        <v>1382</v>
      </c>
      <c r="B463">
        <v>1</v>
      </c>
      <c r="C463" s="121">
        <v>1</v>
      </c>
      <c r="D463" s="122" t="str">
        <f>IFERROR(_xlfn.IFNA(VLOOKUP(ROUND(F463,0),道具!$B$271:$C$295,2,FALSE),""),"")</f>
        <v/>
      </c>
      <c r="E463" s="122" t="str">
        <f>IFERROR(_xlfn.IFNA(VLOOKUP(ROUND(F463,0),道具!$B$296:$C$320,2,FALSE),""),"")</f>
        <v/>
      </c>
      <c r="F463" t="str">
        <f>IF(转换!B458&gt;0,转换!B458*100,"")</f>
        <v/>
      </c>
      <c r="G463">
        <v>27</v>
      </c>
      <c r="H463">
        <f>'体验表-带进度条'!R458</f>
        <v>0</v>
      </c>
      <c r="I463" s="113">
        <f>转换!I458</f>
        <v>3</v>
      </c>
      <c r="J463" s="113">
        <f>IF(I463=17,1,IF(I463=9,1,IF(转换!I458&gt;0,VLOOKUP(转换!H458,道具!B:C,2,FALSE),"")))</f>
        <v>160001</v>
      </c>
      <c r="K463" s="114">
        <f>IF(转换!I458=17,ROUND(转换!J458*100/转换!$U$2,0),IF(转换!I458=9,F463,转换!J458))</f>
        <v>5</v>
      </c>
      <c r="L463" s="115"/>
      <c r="M463" s="115"/>
      <c r="N463" s="115"/>
      <c r="O463" s="113"/>
      <c r="P463" s="113"/>
      <c r="Q463" s="113"/>
      <c r="R463" s="97"/>
      <c r="S463" s="97"/>
      <c r="T463" s="97"/>
    </row>
    <row r="464" customFormat="1" spans="1:20">
      <c r="A464">
        <f>IF(C464=1,1001+COUNTIF($C$5:C463,1),2001+COUNTIF($C$5:C463,2))</f>
        <v>1383</v>
      </c>
      <c r="B464">
        <v>1</v>
      </c>
      <c r="C464" s="121">
        <v>1</v>
      </c>
      <c r="D464" s="122" t="str">
        <f>IFERROR(_xlfn.IFNA(VLOOKUP(ROUND(F464,0),道具!$B$271:$C$295,2,FALSE),""),"")</f>
        <v/>
      </c>
      <c r="E464" s="122" t="str">
        <f>IFERROR(_xlfn.IFNA(VLOOKUP(ROUND(F464,0),道具!$B$296:$C$320,2,FALSE),""),"")</f>
        <v/>
      </c>
      <c r="F464" t="str">
        <f>IF(转换!B459&gt;0,转换!B459*100,"")</f>
        <v/>
      </c>
      <c r="G464">
        <v>28</v>
      </c>
      <c r="H464">
        <f>'体验表-带进度条'!R459</f>
        <v>0</v>
      </c>
      <c r="I464" s="113">
        <f>转换!I459</f>
        <v>17</v>
      </c>
      <c r="J464" s="113">
        <f>IF(I464=17,1,IF(I464=9,1,IF(转换!I459&gt;0,VLOOKUP(转换!H459,道具!B:C,2,FALSE),"")))</f>
        <v>1</v>
      </c>
      <c r="K464" s="114">
        <f>IF(转换!I459=17,ROUND(转换!J459*100/转换!$U$2,0),IF(转换!I459=9,F464,转换!J459))</f>
        <v>100</v>
      </c>
      <c r="L464" s="115"/>
      <c r="M464" s="115"/>
      <c r="N464" s="115"/>
      <c r="O464" s="113"/>
      <c r="P464" s="113"/>
      <c r="Q464" s="113"/>
      <c r="R464" s="97"/>
      <c r="S464" s="97"/>
      <c r="T464" s="97"/>
    </row>
    <row r="465" customFormat="1" spans="1:20">
      <c r="A465">
        <f>IF(C465=1,1001+COUNTIF($C$5:C464,1),2001+COUNTIF($C$5:C464,2))</f>
        <v>1384</v>
      </c>
      <c r="B465">
        <v>1</v>
      </c>
      <c r="C465" s="121">
        <v>1</v>
      </c>
      <c r="D465" s="122" t="str">
        <f>IFERROR(_xlfn.IFNA(VLOOKUP(ROUND(F465,0),道具!$B$271:$C$295,2,FALSE),""),"")</f>
        <v/>
      </c>
      <c r="E465" s="122" t="str">
        <f>IFERROR(_xlfn.IFNA(VLOOKUP(ROUND(F465,0),道具!$B$296:$C$320,2,FALSE),""),"")</f>
        <v/>
      </c>
      <c r="F465" t="str">
        <f>IF(转换!B460&gt;0,转换!B460*100,"")</f>
        <v/>
      </c>
      <c r="G465">
        <v>29</v>
      </c>
      <c r="H465">
        <f>'体验表-带进度条'!R460</f>
        <v>25</v>
      </c>
      <c r="I465" s="113">
        <f>转换!I460</f>
        <v>4</v>
      </c>
      <c r="J465" s="113">
        <f>IF(I465=17,1,IF(I465=9,1,IF(转换!I460&gt;0,VLOOKUP(转换!H460,道具!B:C,2,FALSE),"")))</f>
        <v>100005</v>
      </c>
      <c r="K465" s="114">
        <f>IF(转换!I460=17,ROUND(转换!J460*100/转换!$U$2,0),IF(转换!I460=9,F465,转换!J460))</f>
        <v>1</v>
      </c>
      <c r="L465" s="115"/>
      <c r="M465" s="115"/>
      <c r="N465" s="115"/>
      <c r="O465" s="113"/>
      <c r="P465" s="113"/>
      <c r="Q465" s="113"/>
      <c r="R465" s="97"/>
      <c r="S465" s="97"/>
      <c r="T465" s="97"/>
    </row>
    <row r="466" customFormat="1" spans="1:20">
      <c r="A466">
        <f>IF(C466=1,1001+COUNTIF($C$5:C465,1),2001+COUNTIF($C$5:C465,2))</f>
        <v>1385</v>
      </c>
      <c r="B466">
        <v>1</v>
      </c>
      <c r="C466" s="121">
        <v>1</v>
      </c>
      <c r="D466" s="122" t="str">
        <f>IFERROR(_xlfn.IFNA(VLOOKUP(ROUND(F466,0),道具!$B$271:$C$295,2,FALSE),""),"")</f>
        <v/>
      </c>
      <c r="E466" s="122" t="str">
        <f>IFERROR(_xlfn.IFNA(VLOOKUP(ROUND(F466,0),道具!$B$296:$C$320,2,FALSE),""),"")</f>
        <v/>
      </c>
      <c r="F466" t="str">
        <f>IF(转换!B461&gt;0,转换!B461*100,"")</f>
        <v/>
      </c>
      <c r="G466">
        <v>30</v>
      </c>
      <c r="H466">
        <f>'体验表-带进度条'!R461</f>
        <v>0</v>
      </c>
      <c r="I466" s="113">
        <f>转换!I461</f>
        <v>3</v>
      </c>
      <c r="J466" s="113">
        <f>IF(I466=17,1,IF(I466=9,1,IF(转换!I461&gt;0,VLOOKUP(转换!H461,道具!B:C,2,FALSE),"")))</f>
        <v>192001</v>
      </c>
      <c r="K466" s="114">
        <f>IF(转换!I461=17,ROUND(转换!J461*100/转换!$U$2,0),IF(转换!I461=9,F466,转换!J461))</f>
        <v>25</v>
      </c>
      <c r="L466" s="115"/>
      <c r="M466" s="115"/>
      <c r="N466" s="115"/>
      <c r="O466" s="113"/>
      <c r="P466" s="113"/>
      <c r="Q466" s="113"/>
      <c r="R466" s="97"/>
      <c r="S466" s="97"/>
      <c r="T466" s="97"/>
    </row>
    <row r="467" customFormat="1" spans="1:20">
      <c r="A467">
        <f>IF(C467=1,1001+COUNTIF($C$5:C466,1),2001+COUNTIF($C$5:C466,2))</f>
        <v>1386</v>
      </c>
      <c r="B467">
        <v>1</v>
      </c>
      <c r="C467" s="121">
        <v>1</v>
      </c>
      <c r="D467" s="122" t="str">
        <f>IFERROR(_xlfn.IFNA(VLOOKUP(ROUND(F467,0),道具!$B$271:$C$295,2,FALSE),""),"")</f>
        <v/>
      </c>
      <c r="E467" s="122" t="str">
        <f>IFERROR(_xlfn.IFNA(VLOOKUP(ROUND(F467,0),道具!$B$296:$C$320,2,FALSE),""),"")</f>
        <v/>
      </c>
      <c r="F467" t="str">
        <f>IF(转换!B462&gt;0,转换!B462*100,"")</f>
        <v/>
      </c>
      <c r="G467">
        <v>31</v>
      </c>
      <c r="H467">
        <f>'体验表-带进度条'!R462</f>
        <v>0</v>
      </c>
      <c r="I467" s="113">
        <f>转换!I462</f>
        <v>3</v>
      </c>
      <c r="J467" s="113">
        <f>IF(I467=17,1,IF(I467=9,1,IF(转换!I462&gt;0,VLOOKUP(转换!H462,道具!B:C,2,FALSE),"")))</f>
        <v>171001</v>
      </c>
      <c r="K467" s="114">
        <f>IF(转换!I462=17,ROUND(转换!J462*100/转换!$U$2,0),IF(转换!I462=9,F467,转换!J462))</f>
        <v>1</v>
      </c>
      <c r="L467" s="115"/>
      <c r="M467" s="115"/>
      <c r="N467" s="115"/>
      <c r="O467" s="113"/>
      <c r="P467" s="113"/>
      <c r="Q467" s="113"/>
      <c r="R467" s="97"/>
      <c r="S467" s="97"/>
      <c r="T467" s="97"/>
    </row>
    <row r="468" customFormat="1" spans="1:20">
      <c r="A468">
        <f>IF(C468=1,1001+COUNTIF($C$5:C467,1),2001+COUNTIF($C$5:C467,2))</f>
        <v>1387</v>
      </c>
      <c r="B468">
        <v>1</v>
      </c>
      <c r="C468" s="121">
        <v>1</v>
      </c>
      <c r="D468" s="122" t="str">
        <f>IFERROR(_xlfn.IFNA(VLOOKUP(ROUND(F468,0),道具!$B$271:$C$295,2,FALSE),""),"")</f>
        <v/>
      </c>
      <c r="E468" s="122" t="str">
        <f>IFERROR(_xlfn.IFNA(VLOOKUP(ROUND(F468,0),道具!$B$296:$C$320,2,FALSE),""),"")</f>
        <v/>
      </c>
      <c r="F468" t="str">
        <f>IF(转换!B464&gt;0,转换!B464*100,"")</f>
        <v/>
      </c>
      <c r="G468">
        <v>33</v>
      </c>
      <c r="H468">
        <f>'体验表-带进度条'!R464</f>
        <v>0</v>
      </c>
      <c r="I468" s="113">
        <f>转换!I464</f>
        <v>3</v>
      </c>
      <c r="J468" s="113">
        <f>IF(I468=17,1,IF(I468=9,1,IF(转换!I464&gt;0,VLOOKUP(转换!H464,道具!B:C,2,FALSE),"")))</f>
        <v>160001</v>
      </c>
      <c r="K468" s="114">
        <f>IF(转换!I464=17,ROUND(转换!J464*100/转换!$U$2,0),IF(转换!I464=9,F468,转换!J464))</f>
        <v>6</v>
      </c>
      <c r="L468" s="115"/>
      <c r="M468" s="115"/>
      <c r="N468" s="115"/>
      <c r="O468" s="113"/>
      <c r="P468" s="113"/>
      <c r="Q468" s="113"/>
      <c r="R468" s="97"/>
      <c r="S468" s="97"/>
      <c r="T468" s="97"/>
    </row>
    <row r="469" customFormat="1" spans="1:20">
      <c r="A469">
        <f>IF(C469=1,1001+COUNTIF($C$5:C468,1),2001+COUNTIF($C$5:C468,2))</f>
        <v>1388</v>
      </c>
      <c r="B469">
        <v>1</v>
      </c>
      <c r="C469" s="121">
        <v>1</v>
      </c>
      <c r="D469" s="122" t="str">
        <f>IFERROR(_xlfn.IFNA(VLOOKUP(ROUND(F469,0),道具!$B$271:$C$295,2,FALSE),""),"")</f>
        <v/>
      </c>
      <c r="E469" s="122" t="str">
        <f>IFERROR(_xlfn.IFNA(VLOOKUP(ROUND(F469,0),道具!$B$296:$C$320,2,FALSE),""),"")</f>
        <v/>
      </c>
      <c r="F469" t="str">
        <f>IF(转换!B465&gt;0,转换!B465*100,"")</f>
        <v/>
      </c>
      <c r="G469">
        <v>34</v>
      </c>
      <c r="H469">
        <f>'体验表-带进度条'!R465</f>
        <v>0</v>
      </c>
      <c r="I469" s="113">
        <f>转换!I465</f>
        <v>17</v>
      </c>
      <c r="J469" s="113">
        <f>IF(I469=17,1,IF(I469=9,1,IF(转换!I465&gt;0,VLOOKUP(转换!H465,道具!B:C,2,FALSE),"")))</f>
        <v>1</v>
      </c>
      <c r="K469" s="114">
        <f>IF(转换!I465=17,ROUND(转换!J465*100/转换!$U$2,0),IF(转换!I465=9,F469,转换!J465))</f>
        <v>241</v>
      </c>
      <c r="L469" s="115"/>
      <c r="M469" s="115"/>
      <c r="N469" s="115"/>
      <c r="O469" s="113"/>
      <c r="P469" s="113"/>
      <c r="Q469" s="113"/>
      <c r="R469" s="97"/>
      <c r="S469" s="97"/>
      <c r="T469" s="97"/>
    </row>
    <row r="470" customFormat="1" spans="1:20">
      <c r="A470">
        <f>IF(C470=1,1001+COUNTIF($C$5:C469,1),2001+COUNTIF($C$5:C469,2))</f>
        <v>1389</v>
      </c>
      <c r="B470">
        <v>1</v>
      </c>
      <c r="C470" s="121">
        <v>1</v>
      </c>
      <c r="D470" s="122" t="str">
        <f>IFERROR(_xlfn.IFNA(VLOOKUP(ROUND(F470,0),道具!$B$271:$C$295,2,FALSE),""),"")</f>
        <v/>
      </c>
      <c r="E470" s="122" t="str">
        <f>IFERROR(_xlfn.IFNA(VLOOKUP(ROUND(F470,0),道具!$B$296:$C$320,2,FALSE),""),"")</f>
        <v/>
      </c>
      <c r="F470" t="str">
        <f>IF(转换!B466&gt;0,转换!B466*100,"")</f>
        <v/>
      </c>
      <c r="G470">
        <v>35</v>
      </c>
      <c r="H470">
        <f>'体验表-带进度条'!R466</f>
        <v>15</v>
      </c>
      <c r="I470" s="113">
        <f>转换!I466</f>
        <v>4</v>
      </c>
      <c r="J470" s="113">
        <f>IF(I470=17,1,IF(I470=9,1,IF(转换!I466&gt;0,VLOOKUP(转换!H466,道具!B:C,2,FALSE),"")))</f>
        <v>100005</v>
      </c>
      <c r="K470" s="114">
        <f>IF(转换!I466=17,ROUND(转换!J466*100/转换!$U$2,0),IF(转换!I466=9,F470,转换!J466))</f>
        <v>1</v>
      </c>
      <c r="L470" s="115"/>
      <c r="M470" s="115"/>
      <c r="N470" s="115"/>
      <c r="O470" s="113"/>
      <c r="P470" s="113"/>
      <c r="Q470" s="113"/>
      <c r="R470" s="97"/>
      <c r="S470" s="97"/>
      <c r="T470" s="97"/>
    </row>
    <row r="471" customFormat="1" spans="1:20">
      <c r="A471">
        <f>IF(C471=1,1001+COUNTIF($C$5:C470,1),2001+COUNTIF($C$5:C470,2))</f>
        <v>1390</v>
      </c>
      <c r="B471">
        <v>1</v>
      </c>
      <c r="C471" s="121">
        <v>1</v>
      </c>
      <c r="D471" s="122" t="str">
        <f>IFERROR(_xlfn.IFNA(VLOOKUP(ROUND(F471,0),道具!$B$271:$C$295,2,FALSE),""),"")</f>
        <v/>
      </c>
      <c r="E471" s="122" t="str">
        <f>IFERROR(_xlfn.IFNA(VLOOKUP(ROUND(F471,0),道具!$B$296:$C$320,2,FALSE),""),"")</f>
        <v/>
      </c>
      <c r="F471" t="str">
        <f>IF(转换!B467&gt;0,转换!B467*100,"")</f>
        <v/>
      </c>
      <c r="G471">
        <v>36</v>
      </c>
      <c r="H471">
        <f>'体验表-带进度条'!R467</f>
        <v>0</v>
      </c>
      <c r="I471" s="113">
        <f>转换!I467</f>
        <v>3</v>
      </c>
      <c r="J471" s="113">
        <f>IF(I471=17,1,IF(I471=9,1,IF(转换!I467&gt;0,VLOOKUP(转换!H467,道具!B:C,2,FALSE),"")))</f>
        <v>192001</v>
      </c>
      <c r="K471" s="114">
        <f>IF(转换!I467=17,ROUND(转换!J467*100/转换!$U$2,0),IF(转换!I467=9,F471,转换!J467))</f>
        <v>30</v>
      </c>
      <c r="L471" s="115"/>
      <c r="M471" s="115"/>
      <c r="N471" s="115"/>
      <c r="O471" s="113"/>
      <c r="P471" s="113"/>
      <c r="Q471" s="113"/>
      <c r="R471" s="97"/>
      <c r="S471" s="97"/>
      <c r="T471" s="97"/>
    </row>
    <row r="472" customFormat="1" spans="1:20">
      <c r="A472">
        <f>IF(C472=1,1001+COUNTIF($C$5:C471,1),2001+COUNTIF($C$5:C471,2))</f>
        <v>1391</v>
      </c>
      <c r="B472">
        <v>1</v>
      </c>
      <c r="C472" s="121">
        <v>1</v>
      </c>
      <c r="D472" s="122" t="str">
        <f>IFERROR(_xlfn.IFNA(VLOOKUP(ROUND(F472,0),道具!$B$271:$C$295,2,FALSE),""),"")</f>
        <v/>
      </c>
      <c r="E472" s="122" t="str">
        <f>IFERROR(_xlfn.IFNA(VLOOKUP(ROUND(F472,0),道具!$B$296:$C$320,2,FALSE),""),"")</f>
        <v/>
      </c>
      <c r="F472" t="str">
        <f>IF(转换!B468&gt;0,转换!B468*100,"")</f>
        <v/>
      </c>
      <c r="G472">
        <v>37</v>
      </c>
      <c r="H472">
        <f>'体验表-带进度条'!R468</f>
        <v>0</v>
      </c>
      <c r="I472" s="113">
        <f>转换!I468</f>
        <v>3</v>
      </c>
      <c r="J472" s="113">
        <f>IF(I472=17,1,IF(I472=9,1,IF(转换!I468&gt;0,VLOOKUP(转换!H468,道具!B:C,2,FALSE),"")))</f>
        <v>171002</v>
      </c>
      <c r="K472" s="114">
        <f>IF(转换!I468=17,ROUND(转换!J468*100/转换!$U$2,0),IF(转换!I468=9,F472,转换!J468))</f>
        <v>1</v>
      </c>
      <c r="L472" s="115"/>
      <c r="M472" s="115"/>
      <c r="N472" s="115"/>
      <c r="O472" s="113"/>
      <c r="P472" s="113"/>
      <c r="Q472" s="113"/>
      <c r="R472" s="97"/>
      <c r="S472" s="97"/>
      <c r="T472" s="97"/>
    </row>
    <row r="473" customFormat="1" spans="1:20">
      <c r="A473">
        <f>IF(C473=1,1001+COUNTIF($C$5:C472,1),2001+COUNTIF($C$5:C472,2))</f>
        <v>1392</v>
      </c>
      <c r="B473">
        <v>1</v>
      </c>
      <c r="C473" s="121">
        <v>1</v>
      </c>
      <c r="D473" s="122" t="str">
        <f>IFERROR(_xlfn.IFNA(VLOOKUP(ROUND(F473,0),道具!$B$271:$C$295,2,FALSE),""),"")</f>
        <v/>
      </c>
      <c r="E473" s="122" t="str">
        <f>IFERROR(_xlfn.IFNA(VLOOKUP(ROUND(F473,0),道具!$B$296:$C$320,2,FALSE),""),"")</f>
        <v/>
      </c>
      <c r="F473" t="str">
        <f>IF(转换!B470&gt;0,转换!B470*100,"")</f>
        <v/>
      </c>
      <c r="G473">
        <v>39</v>
      </c>
      <c r="H473">
        <f>'体验表-带进度条'!R470</f>
        <v>0</v>
      </c>
      <c r="I473" s="113">
        <f>转换!I470</f>
        <v>3</v>
      </c>
      <c r="J473" s="113">
        <f>IF(I473=17,1,IF(I473=9,1,IF(转换!I470&gt;0,VLOOKUP(转换!H470,道具!B:C,2,FALSE),"")))</f>
        <v>160001</v>
      </c>
      <c r="K473" s="114">
        <f>IF(转换!I470=17,ROUND(转换!J470*100/转换!$U$2,0),IF(转换!I470=9,F473,转换!J470))</f>
        <v>7</v>
      </c>
      <c r="L473" s="115"/>
      <c r="M473" s="115"/>
      <c r="N473" s="115"/>
      <c r="O473" s="113"/>
      <c r="P473" s="113"/>
      <c r="Q473" s="113"/>
      <c r="R473" s="97"/>
      <c r="S473" s="97"/>
      <c r="T473" s="97"/>
    </row>
    <row r="474" customFormat="1" spans="1:20">
      <c r="A474">
        <f>IF(C474=1,1001+COUNTIF($C$5:C473,1),2001+COUNTIF($C$5:C473,2))</f>
        <v>1393</v>
      </c>
      <c r="B474">
        <v>1</v>
      </c>
      <c r="C474" s="121">
        <v>1</v>
      </c>
      <c r="D474" s="122" t="str">
        <f>IFERROR(_xlfn.IFNA(VLOOKUP(ROUND(F474,0),道具!$B$271:$C$295,2,FALSE),""),"")</f>
        <v/>
      </c>
      <c r="E474" s="122" t="str">
        <f>IFERROR(_xlfn.IFNA(VLOOKUP(ROUND(F474,0),道具!$B$296:$C$320,2,FALSE),""),"")</f>
        <v/>
      </c>
      <c r="F474" t="str">
        <f>IF(转换!B471&gt;0,转换!B471*100,"")</f>
        <v/>
      </c>
      <c r="G474">
        <v>40</v>
      </c>
      <c r="H474">
        <f>'体验表-带进度条'!R471</f>
        <v>0</v>
      </c>
      <c r="I474" s="113">
        <f>转换!I471</f>
        <v>17</v>
      </c>
      <c r="J474" s="113">
        <f>IF(I474=17,1,IF(I474=9,1,IF(转换!I471&gt;0,VLOOKUP(转换!H471,道具!B:C,2,FALSE),"")))</f>
        <v>1</v>
      </c>
      <c r="K474" s="114">
        <f>IF(转换!I471=17,ROUND(转换!J471*100/转换!$U$2,0),IF(转换!I471=9,F474,转换!J471))</f>
        <v>241</v>
      </c>
      <c r="L474" s="115"/>
      <c r="M474" s="115"/>
      <c r="N474" s="115"/>
      <c r="O474" s="113"/>
      <c r="P474" s="113"/>
      <c r="Q474" s="113"/>
      <c r="R474" s="97"/>
      <c r="S474" s="97"/>
      <c r="T474" s="97"/>
    </row>
    <row r="475" customFormat="1" spans="1:20">
      <c r="A475">
        <f>IF(C475=1,1001+COUNTIF($C$5:C474,1),2001+COUNTIF($C$5:C474,2))</f>
        <v>1394</v>
      </c>
      <c r="B475">
        <v>1</v>
      </c>
      <c r="C475" s="121">
        <v>1</v>
      </c>
      <c r="D475" s="122" t="str">
        <f>IFERROR(_xlfn.IFNA(VLOOKUP(ROUND(F475,0),道具!$B$271:$C$295,2,FALSE),""),"")</f>
        <v/>
      </c>
      <c r="E475" s="122" t="str">
        <f>IFERROR(_xlfn.IFNA(VLOOKUP(ROUND(F475,0),道具!$B$296:$C$320,2,FALSE),""),"")</f>
        <v/>
      </c>
      <c r="F475" t="str">
        <f>IF(转换!B472&gt;0,转换!B472*100,"")</f>
        <v/>
      </c>
      <c r="G475">
        <v>41</v>
      </c>
      <c r="H475">
        <f>'体验表-带进度条'!R472</f>
        <v>50</v>
      </c>
      <c r="I475" s="113">
        <f>转换!I472</f>
        <v>4</v>
      </c>
      <c r="J475" s="113">
        <f>IF(I475=17,1,IF(I475=9,1,IF(转换!I472&gt;0,VLOOKUP(转换!H472,道具!B:C,2,FALSE),"")))</f>
        <v>100006</v>
      </c>
      <c r="K475" s="114">
        <f>IF(转换!I472=17,ROUND(转换!J472*100/转换!$U$2,0),IF(转换!I472=9,F475,转换!J472))</f>
        <v>1</v>
      </c>
      <c r="L475" s="115"/>
      <c r="M475" s="115"/>
      <c r="N475" s="115"/>
      <c r="O475" s="113"/>
      <c r="P475" s="113"/>
      <c r="Q475" s="113"/>
      <c r="R475" s="97"/>
      <c r="S475" s="97"/>
      <c r="T475" s="97"/>
    </row>
    <row r="476" customFormat="1" spans="1:20">
      <c r="A476">
        <f>IF(C476=1,1001+COUNTIF($C$5:C475,1),2001+COUNTIF($C$5:C475,2))</f>
        <v>1395</v>
      </c>
      <c r="B476">
        <v>1</v>
      </c>
      <c r="C476" s="121">
        <v>1</v>
      </c>
      <c r="D476" s="122" t="str">
        <f>IFERROR(_xlfn.IFNA(VLOOKUP(ROUND(F476,0),道具!$B$271:$C$295,2,FALSE),""),"")</f>
        <v/>
      </c>
      <c r="E476" s="122" t="str">
        <f>IFERROR(_xlfn.IFNA(VLOOKUP(ROUND(F476,0),道具!$B$296:$C$320,2,FALSE),""),"")</f>
        <v/>
      </c>
      <c r="F476" t="str">
        <f>IF(转换!B473&gt;0,转换!B473*100,"")</f>
        <v/>
      </c>
      <c r="G476">
        <v>42</v>
      </c>
      <c r="H476">
        <f>'体验表-带进度条'!R473</f>
        <v>0</v>
      </c>
      <c r="I476" s="113">
        <f>转换!I473</f>
        <v>3</v>
      </c>
      <c r="J476" s="113">
        <f>IF(I476=17,1,IF(I476=9,1,IF(转换!I473&gt;0,VLOOKUP(转换!H473,道具!B:C,2,FALSE),"")))</f>
        <v>192001</v>
      </c>
      <c r="K476" s="114">
        <f>IF(转换!I473=17,ROUND(转换!J473*100/转换!$U$2,0),IF(转换!I473=9,F476,转换!J473))</f>
        <v>35</v>
      </c>
      <c r="L476" s="115"/>
      <c r="M476" s="115"/>
      <c r="N476" s="115"/>
      <c r="O476" s="113"/>
      <c r="P476" s="113"/>
      <c r="Q476" s="113"/>
      <c r="R476" s="97"/>
      <c r="S476" s="97"/>
      <c r="T476" s="97"/>
    </row>
    <row r="477" customFormat="1" spans="1:20">
      <c r="A477">
        <f>IF(C477=1,1001+COUNTIF($C$5:C476,1),2001+COUNTIF($C$5:C476,2))</f>
        <v>1396</v>
      </c>
      <c r="B477">
        <v>1</v>
      </c>
      <c r="C477" s="121">
        <v>1</v>
      </c>
      <c r="D477" s="122" t="str">
        <f>IFERROR(_xlfn.IFNA(VLOOKUP(ROUND(F477,0),道具!$B$271:$C$295,2,FALSE),""),"")</f>
        <v/>
      </c>
      <c r="E477" s="122" t="str">
        <f>IFERROR(_xlfn.IFNA(VLOOKUP(ROUND(F477,0),道具!$B$296:$C$320,2,FALSE),""),"")</f>
        <v/>
      </c>
      <c r="F477" t="str">
        <f>IF(转换!B474&gt;0,转换!B474*100,"")</f>
        <v/>
      </c>
      <c r="G477">
        <v>43</v>
      </c>
      <c r="H477">
        <f>'体验表-带进度条'!R474</f>
        <v>0</v>
      </c>
      <c r="I477" s="113">
        <f>转换!I474</f>
        <v>3</v>
      </c>
      <c r="J477" s="113">
        <f>IF(I477=17,1,IF(I477=9,1,IF(转换!I474&gt;0,VLOOKUP(转换!H474,道具!B:C,2,FALSE),"")))</f>
        <v>171001</v>
      </c>
      <c r="K477" s="114">
        <f>IF(转换!I474=17,ROUND(转换!J474*100/转换!$U$2,0),IF(转换!I474=9,F477,转换!J474))</f>
        <v>1</v>
      </c>
      <c r="L477" s="115"/>
      <c r="M477" s="115"/>
      <c r="N477" s="115"/>
      <c r="O477" s="113"/>
      <c r="P477" s="113"/>
      <c r="Q477" s="113"/>
      <c r="R477" s="97"/>
      <c r="S477" s="97"/>
      <c r="T477" s="97"/>
    </row>
  </sheetData>
  <autoFilter xmlns:etc="http://www.wps.cn/officeDocument/2017/etCustomData" ref="A1:T477" etc:filterBottomFollowUsedRange="0">
    <extLst/>
  </autoFilter>
  <conditionalFormatting sqref="M7">
    <cfRule type="duplicateValues" dxfId="0" priority="1888"/>
    <cfRule type="duplicateValues" dxfId="1" priority="1891"/>
  </conditionalFormatting>
  <conditionalFormatting sqref="M10">
    <cfRule type="duplicateValues" dxfId="0" priority="1784"/>
    <cfRule type="duplicateValues" dxfId="1" priority="1787"/>
  </conditionalFormatting>
  <conditionalFormatting sqref="M11">
    <cfRule type="duplicateValues" dxfId="0" priority="1758"/>
    <cfRule type="duplicateValues" dxfId="1" priority="1762"/>
  </conditionalFormatting>
  <conditionalFormatting sqref="J17">
    <cfRule type="duplicateValues" dxfId="0" priority="1640"/>
  </conditionalFormatting>
  <conditionalFormatting sqref="P17">
    <cfRule type="duplicateValues" dxfId="0" priority="1934"/>
    <cfRule type="duplicateValues" dxfId="1" priority="1937"/>
  </conditionalFormatting>
  <conditionalFormatting sqref="S17">
    <cfRule type="duplicateValues" dxfId="0" priority="1930"/>
    <cfRule type="duplicateValues" dxfId="1" priority="1933"/>
  </conditionalFormatting>
  <conditionalFormatting sqref="M19">
    <cfRule type="duplicateValues" dxfId="0" priority="1913"/>
    <cfRule type="duplicateValues" dxfId="1" priority="1916"/>
  </conditionalFormatting>
  <conditionalFormatting sqref="M20">
    <cfRule type="duplicateValues" dxfId="0" priority="1909"/>
    <cfRule type="duplicateValues" dxfId="1" priority="1912"/>
  </conditionalFormatting>
  <conditionalFormatting sqref="M21">
    <cfRule type="duplicateValues" dxfId="0" priority="1905"/>
    <cfRule type="duplicateValues" dxfId="1" priority="1908"/>
  </conditionalFormatting>
  <conditionalFormatting sqref="M22">
    <cfRule type="duplicateValues" dxfId="0" priority="1578"/>
  </conditionalFormatting>
  <conditionalFormatting sqref="M23">
    <cfRule type="duplicateValues" dxfId="0" priority="1879"/>
    <cfRule type="duplicateValues" dxfId="1" priority="1883"/>
  </conditionalFormatting>
  <conditionalFormatting sqref="M24">
    <cfRule type="duplicateValues" dxfId="0" priority="1577"/>
  </conditionalFormatting>
  <conditionalFormatting sqref="M25">
    <cfRule type="duplicateValues" dxfId="0" priority="1572"/>
  </conditionalFormatting>
  <conditionalFormatting sqref="M26">
    <cfRule type="duplicateValues" dxfId="0" priority="1857"/>
    <cfRule type="duplicateValues" dxfId="1" priority="1860"/>
  </conditionalFormatting>
  <conditionalFormatting sqref="M27">
    <cfRule type="duplicateValues" dxfId="0" priority="1847"/>
    <cfRule type="duplicateValues" dxfId="1" priority="1851"/>
  </conditionalFormatting>
  <conditionalFormatting sqref="M35">
    <cfRule type="duplicateValues" dxfId="0" priority="1796"/>
    <cfRule type="duplicateValues" dxfId="1" priority="1799"/>
  </conditionalFormatting>
  <conditionalFormatting sqref="M36">
    <cfRule type="duplicateValues" dxfId="0" priority="1792"/>
    <cfRule type="duplicateValues" dxfId="1" priority="1795"/>
  </conditionalFormatting>
  <conditionalFormatting sqref="M37">
    <cfRule type="duplicateValues" dxfId="0" priority="1788"/>
    <cfRule type="duplicateValues" dxfId="1" priority="1791"/>
  </conditionalFormatting>
  <conditionalFormatting sqref="M38">
    <cfRule type="duplicateValues" dxfId="0" priority="1576"/>
  </conditionalFormatting>
  <conditionalFormatting sqref="M39">
    <cfRule type="duplicateValues" dxfId="0" priority="1775"/>
    <cfRule type="duplicateValues" dxfId="1" priority="1779"/>
  </conditionalFormatting>
  <conditionalFormatting sqref="M40">
    <cfRule type="duplicateValues" dxfId="0" priority="1771"/>
    <cfRule type="duplicateValues" dxfId="1" priority="1774"/>
  </conditionalFormatting>
  <conditionalFormatting sqref="M41">
    <cfRule type="duplicateValues" dxfId="0" priority="1767"/>
    <cfRule type="duplicateValues" dxfId="1" priority="1770"/>
  </conditionalFormatting>
  <conditionalFormatting sqref="M42">
    <cfRule type="duplicateValues" dxfId="0" priority="1763"/>
    <cfRule type="duplicateValues" dxfId="1" priority="1766"/>
  </conditionalFormatting>
  <conditionalFormatting sqref="M50">
    <cfRule type="duplicateValues" dxfId="1" priority="884"/>
    <cfRule type="duplicateValues" dxfId="0" priority="883"/>
  </conditionalFormatting>
  <conditionalFormatting sqref="M53">
    <cfRule type="duplicateValues" dxfId="1" priority="870"/>
    <cfRule type="duplicateValues" dxfId="0" priority="869"/>
  </conditionalFormatting>
  <conditionalFormatting sqref="M54">
    <cfRule type="duplicateValues" dxfId="1" priority="860"/>
    <cfRule type="duplicateValues" dxfId="0" priority="859"/>
  </conditionalFormatting>
  <conditionalFormatting sqref="J60">
    <cfRule type="duplicateValues" dxfId="0" priority="858"/>
  </conditionalFormatting>
  <conditionalFormatting sqref="P60">
    <cfRule type="duplicateValues" dxfId="1" priority="900"/>
    <cfRule type="duplicateValues" dxfId="0" priority="899"/>
  </conditionalFormatting>
  <conditionalFormatting sqref="S60">
    <cfRule type="duplicateValues" dxfId="1" priority="898"/>
    <cfRule type="duplicateValues" dxfId="0" priority="897"/>
  </conditionalFormatting>
  <conditionalFormatting sqref="M62">
    <cfRule type="duplicateValues" dxfId="1" priority="892"/>
    <cfRule type="duplicateValues" dxfId="0" priority="891"/>
  </conditionalFormatting>
  <conditionalFormatting sqref="M63">
    <cfRule type="duplicateValues" dxfId="1" priority="890"/>
    <cfRule type="duplicateValues" dxfId="0" priority="889"/>
  </conditionalFormatting>
  <conditionalFormatting sqref="M64">
    <cfRule type="duplicateValues" dxfId="1" priority="888"/>
    <cfRule type="duplicateValues" dxfId="0" priority="887"/>
  </conditionalFormatting>
  <conditionalFormatting sqref="M65">
    <cfRule type="duplicateValues" dxfId="0" priority="856"/>
  </conditionalFormatting>
  <conditionalFormatting sqref="M66">
    <cfRule type="duplicateValues" dxfId="1" priority="882"/>
    <cfRule type="duplicateValues" dxfId="0" priority="881"/>
  </conditionalFormatting>
  <conditionalFormatting sqref="M67">
    <cfRule type="duplicateValues" dxfId="0" priority="855"/>
  </conditionalFormatting>
  <conditionalFormatting sqref="M68">
    <cfRule type="duplicateValues" dxfId="0" priority="853"/>
  </conditionalFormatting>
  <conditionalFormatting sqref="M69">
    <cfRule type="duplicateValues" dxfId="1" priority="880"/>
    <cfRule type="duplicateValues" dxfId="0" priority="879"/>
  </conditionalFormatting>
  <conditionalFormatting sqref="M70">
    <cfRule type="duplicateValues" dxfId="1" priority="878"/>
    <cfRule type="duplicateValues" dxfId="0" priority="877"/>
  </conditionalFormatting>
  <conditionalFormatting sqref="M78">
    <cfRule type="duplicateValues" dxfId="1" priority="876"/>
    <cfRule type="duplicateValues" dxfId="0" priority="875"/>
  </conditionalFormatting>
  <conditionalFormatting sqref="M79">
    <cfRule type="duplicateValues" dxfId="1" priority="874"/>
    <cfRule type="duplicateValues" dxfId="0" priority="873"/>
  </conditionalFormatting>
  <conditionalFormatting sqref="M80">
    <cfRule type="duplicateValues" dxfId="1" priority="872"/>
    <cfRule type="duplicateValues" dxfId="0" priority="871"/>
  </conditionalFormatting>
  <conditionalFormatting sqref="M81">
    <cfRule type="duplicateValues" dxfId="0" priority="854"/>
  </conditionalFormatting>
  <conditionalFormatting sqref="M82">
    <cfRule type="duplicateValues" dxfId="1" priority="868"/>
    <cfRule type="duplicateValues" dxfId="0" priority="867"/>
  </conditionalFormatting>
  <conditionalFormatting sqref="M83">
    <cfRule type="duplicateValues" dxfId="1" priority="866"/>
    <cfRule type="duplicateValues" dxfId="0" priority="865"/>
  </conditionalFormatting>
  <conditionalFormatting sqref="M84">
    <cfRule type="duplicateValues" dxfId="1" priority="864"/>
    <cfRule type="duplicateValues" dxfId="0" priority="863"/>
  </conditionalFormatting>
  <conditionalFormatting sqref="M85">
    <cfRule type="duplicateValues" dxfId="1" priority="862"/>
    <cfRule type="duplicateValues" dxfId="0" priority="861"/>
  </conditionalFormatting>
  <conditionalFormatting sqref="M93">
    <cfRule type="duplicateValues" dxfId="1" priority="434"/>
    <cfRule type="duplicateValues" dxfId="0" priority="433"/>
  </conditionalFormatting>
  <conditionalFormatting sqref="M96">
    <cfRule type="duplicateValues" dxfId="1" priority="420"/>
    <cfRule type="duplicateValues" dxfId="0" priority="419"/>
  </conditionalFormatting>
  <conditionalFormatting sqref="M97">
    <cfRule type="duplicateValues" dxfId="1" priority="410"/>
    <cfRule type="duplicateValues" dxfId="0" priority="409"/>
  </conditionalFormatting>
  <conditionalFormatting sqref="J103">
    <cfRule type="duplicateValues" dxfId="0" priority="408"/>
  </conditionalFormatting>
  <conditionalFormatting sqref="P103">
    <cfRule type="duplicateValues" dxfId="1" priority="450"/>
    <cfRule type="duplicateValues" dxfId="0" priority="449"/>
  </conditionalFormatting>
  <conditionalFormatting sqref="S103">
    <cfRule type="duplicateValues" dxfId="1" priority="448"/>
    <cfRule type="duplicateValues" dxfId="0" priority="447"/>
  </conditionalFormatting>
  <conditionalFormatting sqref="M105">
    <cfRule type="duplicateValues" dxfId="1" priority="442"/>
    <cfRule type="duplicateValues" dxfId="0" priority="441"/>
  </conditionalFormatting>
  <conditionalFormatting sqref="M106">
    <cfRule type="duplicateValues" dxfId="1" priority="440"/>
    <cfRule type="duplicateValues" dxfId="0" priority="439"/>
  </conditionalFormatting>
  <conditionalFormatting sqref="M107">
    <cfRule type="duplicateValues" dxfId="1" priority="438"/>
    <cfRule type="duplicateValues" dxfId="0" priority="437"/>
  </conditionalFormatting>
  <conditionalFormatting sqref="M108">
    <cfRule type="duplicateValues" dxfId="0" priority="406"/>
  </conditionalFormatting>
  <conditionalFormatting sqref="M109">
    <cfRule type="duplicateValues" dxfId="1" priority="432"/>
    <cfRule type="duplicateValues" dxfId="0" priority="431"/>
  </conditionalFormatting>
  <conditionalFormatting sqref="M110">
    <cfRule type="duplicateValues" dxfId="0" priority="405"/>
  </conditionalFormatting>
  <conditionalFormatting sqref="M111">
    <cfRule type="duplicateValues" dxfId="0" priority="403"/>
  </conditionalFormatting>
  <conditionalFormatting sqref="M112">
    <cfRule type="duplicateValues" dxfId="1" priority="430"/>
    <cfRule type="duplicateValues" dxfId="0" priority="429"/>
  </conditionalFormatting>
  <conditionalFormatting sqref="M113">
    <cfRule type="duplicateValues" dxfId="1" priority="428"/>
    <cfRule type="duplicateValues" dxfId="0" priority="427"/>
  </conditionalFormatting>
  <conditionalFormatting sqref="M121">
    <cfRule type="duplicateValues" dxfId="1" priority="426"/>
    <cfRule type="duplicateValues" dxfId="0" priority="425"/>
  </conditionalFormatting>
  <conditionalFormatting sqref="M122">
    <cfRule type="duplicateValues" dxfId="1" priority="424"/>
    <cfRule type="duplicateValues" dxfId="0" priority="423"/>
  </conditionalFormatting>
  <conditionalFormatting sqref="M123">
    <cfRule type="duplicateValues" dxfId="1" priority="422"/>
    <cfRule type="duplicateValues" dxfId="0" priority="421"/>
  </conditionalFormatting>
  <conditionalFormatting sqref="M124">
    <cfRule type="duplicateValues" dxfId="0" priority="404"/>
  </conditionalFormatting>
  <conditionalFormatting sqref="M125">
    <cfRule type="duplicateValues" dxfId="1" priority="418"/>
    <cfRule type="duplicateValues" dxfId="0" priority="417"/>
  </conditionalFormatting>
  <conditionalFormatting sqref="M126">
    <cfRule type="duplicateValues" dxfId="1" priority="416"/>
    <cfRule type="duplicateValues" dxfId="0" priority="415"/>
  </conditionalFormatting>
  <conditionalFormatting sqref="M127">
    <cfRule type="duplicateValues" dxfId="1" priority="414"/>
    <cfRule type="duplicateValues" dxfId="0" priority="413"/>
  </conditionalFormatting>
  <conditionalFormatting sqref="M128">
    <cfRule type="duplicateValues" dxfId="1" priority="412"/>
    <cfRule type="duplicateValues" dxfId="0" priority="411"/>
  </conditionalFormatting>
  <conditionalFormatting sqref="M136">
    <cfRule type="duplicateValues" dxfId="1" priority="384"/>
    <cfRule type="duplicateValues" dxfId="0" priority="383"/>
  </conditionalFormatting>
  <conditionalFormatting sqref="M139">
    <cfRule type="duplicateValues" dxfId="1" priority="370"/>
    <cfRule type="duplicateValues" dxfId="0" priority="369"/>
  </conditionalFormatting>
  <conditionalFormatting sqref="M140">
    <cfRule type="duplicateValues" dxfId="1" priority="360"/>
    <cfRule type="duplicateValues" dxfId="0" priority="359"/>
  </conditionalFormatting>
  <conditionalFormatting sqref="J146">
    <cfRule type="duplicateValues" dxfId="0" priority="358"/>
  </conditionalFormatting>
  <conditionalFormatting sqref="P146">
    <cfRule type="duplicateValues" dxfId="1" priority="400"/>
    <cfRule type="duplicateValues" dxfId="0" priority="399"/>
  </conditionalFormatting>
  <conditionalFormatting sqref="S146">
    <cfRule type="duplicateValues" dxfId="1" priority="398"/>
    <cfRule type="duplicateValues" dxfId="0" priority="397"/>
  </conditionalFormatting>
  <conditionalFormatting sqref="M148">
    <cfRule type="duplicateValues" dxfId="1" priority="392"/>
    <cfRule type="duplicateValues" dxfId="0" priority="391"/>
  </conditionalFormatting>
  <conditionalFormatting sqref="M149">
    <cfRule type="duplicateValues" dxfId="1" priority="390"/>
    <cfRule type="duplicateValues" dxfId="0" priority="389"/>
  </conditionalFormatting>
  <conditionalFormatting sqref="M150">
    <cfRule type="duplicateValues" dxfId="1" priority="388"/>
    <cfRule type="duplicateValues" dxfId="0" priority="387"/>
  </conditionalFormatting>
  <conditionalFormatting sqref="M151">
    <cfRule type="duplicateValues" dxfId="0" priority="356"/>
  </conditionalFormatting>
  <conditionalFormatting sqref="M152">
    <cfRule type="duplicateValues" dxfId="1" priority="382"/>
    <cfRule type="duplicateValues" dxfId="0" priority="381"/>
  </conditionalFormatting>
  <conditionalFormatting sqref="M153">
    <cfRule type="duplicateValues" dxfId="0" priority="355"/>
  </conditionalFormatting>
  <conditionalFormatting sqref="M154">
    <cfRule type="duplicateValues" dxfId="0" priority="353"/>
  </conditionalFormatting>
  <conditionalFormatting sqref="M155">
    <cfRule type="duplicateValues" dxfId="1" priority="380"/>
    <cfRule type="duplicateValues" dxfId="0" priority="379"/>
  </conditionalFormatting>
  <conditionalFormatting sqref="M156">
    <cfRule type="duplicateValues" dxfId="1" priority="378"/>
    <cfRule type="duplicateValues" dxfId="0" priority="377"/>
  </conditionalFormatting>
  <conditionalFormatting sqref="M164">
    <cfRule type="duplicateValues" dxfId="1" priority="376"/>
    <cfRule type="duplicateValues" dxfId="0" priority="375"/>
  </conditionalFormatting>
  <conditionalFormatting sqref="M165">
    <cfRule type="duplicateValues" dxfId="1" priority="374"/>
    <cfRule type="duplicateValues" dxfId="0" priority="373"/>
  </conditionalFormatting>
  <conditionalFormatting sqref="M166">
    <cfRule type="duplicateValues" dxfId="1" priority="372"/>
    <cfRule type="duplicateValues" dxfId="0" priority="371"/>
  </conditionalFormatting>
  <conditionalFormatting sqref="M167">
    <cfRule type="duplicateValues" dxfId="0" priority="354"/>
  </conditionalFormatting>
  <conditionalFormatting sqref="M168">
    <cfRule type="duplicateValues" dxfId="1" priority="368"/>
    <cfRule type="duplicateValues" dxfId="0" priority="367"/>
  </conditionalFormatting>
  <conditionalFormatting sqref="M169">
    <cfRule type="duplicateValues" dxfId="1" priority="366"/>
    <cfRule type="duplicateValues" dxfId="0" priority="365"/>
  </conditionalFormatting>
  <conditionalFormatting sqref="M170">
    <cfRule type="duplicateValues" dxfId="1" priority="364"/>
    <cfRule type="duplicateValues" dxfId="0" priority="363"/>
  </conditionalFormatting>
  <conditionalFormatting sqref="M171">
    <cfRule type="duplicateValues" dxfId="1" priority="362"/>
    <cfRule type="duplicateValues" dxfId="0" priority="361"/>
  </conditionalFormatting>
  <conditionalFormatting sqref="M179">
    <cfRule type="duplicateValues" dxfId="1" priority="334"/>
    <cfRule type="duplicateValues" dxfId="0" priority="333"/>
  </conditionalFormatting>
  <conditionalFormatting sqref="M182">
    <cfRule type="duplicateValues" dxfId="1" priority="320"/>
    <cfRule type="duplicateValues" dxfId="0" priority="319"/>
  </conditionalFormatting>
  <conditionalFormatting sqref="M183">
    <cfRule type="duplicateValues" dxfId="1" priority="310"/>
    <cfRule type="duplicateValues" dxfId="0" priority="309"/>
  </conditionalFormatting>
  <conditionalFormatting sqref="J189">
    <cfRule type="duplicateValues" dxfId="0" priority="308"/>
  </conditionalFormatting>
  <conditionalFormatting sqref="P189">
    <cfRule type="duplicateValues" dxfId="1" priority="350"/>
    <cfRule type="duplicateValues" dxfId="0" priority="349"/>
  </conditionalFormatting>
  <conditionalFormatting sqref="S189">
    <cfRule type="duplicateValues" dxfId="1" priority="348"/>
    <cfRule type="duplicateValues" dxfId="0" priority="347"/>
  </conditionalFormatting>
  <conditionalFormatting sqref="M191">
    <cfRule type="duplicateValues" dxfId="1" priority="342"/>
    <cfRule type="duplicateValues" dxfId="0" priority="341"/>
  </conditionalFormatting>
  <conditionalFormatting sqref="M192">
    <cfRule type="duplicateValues" dxfId="1" priority="340"/>
    <cfRule type="duplicateValues" dxfId="0" priority="339"/>
  </conditionalFormatting>
  <conditionalFormatting sqref="M193">
    <cfRule type="duplicateValues" dxfId="1" priority="338"/>
    <cfRule type="duplicateValues" dxfId="0" priority="337"/>
  </conditionalFormatting>
  <conditionalFormatting sqref="M194">
    <cfRule type="duplicateValues" dxfId="0" priority="306"/>
  </conditionalFormatting>
  <conditionalFormatting sqref="M195">
    <cfRule type="duplicateValues" dxfId="1" priority="332"/>
    <cfRule type="duplicateValues" dxfId="0" priority="331"/>
  </conditionalFormatting>
  <conditionalFormatting sqref="M196">
    <cfRule type="duplicateValues" dxfId="0" priority="305"/>
  </conditionalFormatting>
  <conditionalFormatting sqref="M197">
    <cfRule type="duplicateValues" dxfId="0" priority="303"/>
  </conditionalFormatting>
  <conditionalFormatting sqref="M198">
    <cfRule type="duplicateValues" dxfId="1" priority="330"/>
    <cfRule type="duplicateValues" dxfId="0" priority="329"/>
  </conditionalFormatting>
  <conditionalFormatting sqref="M199">
    <cfRule type="duplicateValues" dxfId="1" priority="328"/>
    <cfRule type="duplicateValues" dxfId="0" priority="327"/>
  </conditionalFormatting>
  <conditionalFormatting sqref="M207">
    <cfRule type="duplicateValues" dxfId="1" priority="326"/>
    <cfRule type="duplicateValues" dxfId="0" priority="325"/>
  </conditionalFormatting>
  <conditionalFormatting sqref="M208">
    <cfRule type="duplicateValues" dxfId="1" priority="324"/>
    <cfRule type="duplicateValues" dxfId="0" priority="323"/>
  </conditionalFormatting>
  <conditionalFormatting sqref="M209">
    <cfRule type="duplicateValues" dxfId="1" priority="322"/>
    <cfRule type="duplicateValues" dxfId="0" priority="321"/>
  </conditionalFormatting>
  <conditionalFormatting sqref="M210">
    <cfRule type="duplicateValues" dxfId="0" priority="304"/>
  </conditionalFormatting>
  <conditionalFormatting sqref="M211">
    <cfRule type="duplicateValues" dxfId="1" priority="318"/>
    <cfRule type="duplicateValues" dxfId="0" priority="317"/>
  </conditionalFormatting>
  <conditionalFormatting sqref="M212">
    <cfRule type="duplicateValues" dxfId="1" priority="316"/>
    <cfRule type="duplicateValues" dxfId="0" priority="315"/>
  </conditionalFormatting>
  <conditionalFormatting sqref="M213">
    <cfRule type="duplicateValues" dxfId="1" priority="314"/>
    <cfRule type="duplicateValues" dxfId="0" priority="313"/>
  </conditionalFormatting>
  <conditionalFormatting sqref="M214">
    <cfRule type="duplicateValues" dxfId="1" priority="312"/>
    <cfRule type="duplicateValues" dxfId="0" priority="311"/>
  </conditionalFormatting>
  <conditionalFormatting sqref="M222">
    <cfRule type="duplicateValues" dxfId="1" priority="284"/>
    <cfRule type="duplicateValues" dxfId="0" priority="283"/>
  </conditionalFormatting>
  <conditionalFormatting sqref="M225">
    <cfRule type="duplicateValues" dxfId="1" priority="270"/>
    <cfRule type="duplicateValues" dxfId="0" priority="269"/>
  </conditionalFormatting>
  <conditionalFormatting sqref="M226">
    <cfRule type="duplicateValues" dxfId="1" priority="260"/>
    <cfRule type="duplicateValues" dxfId="0" priority="259"/>
  </conditionalFormatting>
  <conditionalFormatting sqref="J232">
    <cfRule type="duplicateValues" dxfId="0" priority="258"/>
  </conditionalFormatting>
  <conditionalFormatting sqref="P232">
    <cfRule type="duplicateValues" dxfId="1" priority="300"/>
    <cfRule type="duplicateValues" dxfId="0" priority="299"/>
  </conditionalFormatting>
  <conditionalFormatting sqref="S232">
    <cfRule type="duplicateValues" dxfId="1" priority="298"/>
    <cfRule type="duplicateValues" dxfId="0" priority="297"/>
  </conditionalFormatting>
  <conditionalFormatting sqref="M234">
    <cfRule type="duplicateValues" dxfId="1" priority="292"/>
    <cfRule type="duplicateValues" dxfId="0" priority="291"/>
  </conditionalFormatting>
  <conditionalFormatting sqref="M235">
    <cfRule type="duplicateValues" dxfId="1" priority="290"/>
    <cfRule type="duplicateValues" dxfId="0" priority="289"/>
  </conditionalFormatting>
  <conditionalFormatting sqref="M236">
    <cfRule type="duplicateValues" dxfId="1" priority="288"/>
    <cfRule type="duplicateValues" dxfId="0" priority="287"/>
  </conditionalFormatting>
  <conditionalFormatting sqref="M237">
    <cfRule type="duplicateValues" dxfId="0" priority="256"/>
  </conditionalFormatting>
  <conditionalFormatting sqref="M238">
    <cfRule type="duplicateValues" dxfId="1" priority="282"/>
    <cfRule type="duplicateValues" dxfId="0" priority="281"/>
  </conditionalFormatting>
  <conditionalFormatting sqref="M239">
    <cfRule type="duplicateValues" dxfId="0" priority="255"/>
  </conditionalFormatting>
  <conditionalFormatting sqref="M240">
    <cfRule type="duplicateValues" dxfId="0" priority="253"/>
  </conditionalFormatting>
  <conditionalFormatting sqref="M241">
    <cfRule type="duplicateValues" dxfId="1" priority="280"/>
    <cfRule type="duplicateValues" dxfId="0" priority="279"/>
  </conditionalFormatting>
  <conditionalFormatting sqref="M242">
    <cfRule type="duplicateValues" dxfId="1" priority="278"/>
    <cfRule type="duplicateValues" dxfId="0" priority="277"/>
  </conditionalFormatting>
  <conditionalFormatting sqref="M250">
    <cfRule type="duplicateValues" dxfId="1" priority="276"/>
    <cfRule type="duplicateValues" dxfId="0" priority="275"/>
  </conditionalFormatting>
  <conditionalFormatting sqref="M251">
    <cfRule type="duplicateValues" dxfId="1" priority="274"/>
    <cfRule type="duplicateValues" dxfId="0" priority="273"/>
  </conditionalFormatting>
  <conditionalFormatting sqref="M252">
    <cfRule type="duplicateValues" dxfId="1" priority="272"/>
    <cfRule type="duplicateValues" dxfId="0" priority="271"/>
  </conditionalFormatting>
  <conditionalFormatting sqref="M253">
    <cfRule type="duplicateValues" dxfId="0" priority="254"/>
  </conditionalFormatting>
  <conditionalFormatting sqref="M254">
    <cfRule type="duplicateValues" dxfId="1" priority="268"/>
    <cfRule type="duplicateValues" dxfId="0" priority="267"/>
  </conditionalFormatting>
  <conditionalFormatting sqref="M255">
    <cfRule type="duplicateValues" dxfId="1" priority="266"/>
    <cfRule type="duplicateValues" dxfId="0" priority="265"/>
  </conditionalFormatting>
  <conditionalFormatting sqref="M256">
    <cfRule type="duplicateValues" dxfId="1" priority="264"/>
    <cfRule type="duplicateValues" dxfId="0" priority="263"/>
  </conditionalFormatting>
  <conditionalFormatting sqref="M257">
    <cfRule type="duplicateValues" dxfId="1" priority="262"/>
    <cfRule type="duplicateValues" dxfId="0" priority="261"/>
  </conditionalFormatting>
  <conditionalFormatting sqref="M265">
    <cfRule type="duplicateValues" dxfId="1" priority="234"/>
    <cfRule type="duplicateValues" dxfId="0" priority="233"/>
  </conditionalFormatting>
  <conditionalFormatting sqref="M268">
    <cfRule type="duplicateValues" dxfId="1" priority="220"/>
    <cfRule type="duplicateValues" dxfId="0" priority="219"/>
  </conditionalFormatting>
  <conditionalFormatting sqref="M269">
    <cfRule type="duplicateValues" dxfId="1" priority="210"/>
    <cfRule type="duplicateValues" dxfId="0" priority="209"/>
  </conditionalFormatting>
  <conditionalFormatting sqref="J275">
    <cfRule type="duplicateValues" dxfId="0" priority="208"/>
  </conditionalFormatting>
  <conditionalFormatting sqref="P275">
    <cfRule type="duplicateValues" dxfId="1" priority="250"/>
    <cfRule type="duplicateValues" dxfId="0" priority="249"/>
  </conditionalFormatting>
  <conditionalFormatting sqref="S275">
    <cfRule type="duplicateValues" dxfId="1" priority="248"/>
    <cfRule type="duplicateValues" dxfId="0" priority="247"/>
  </conditionalFormatting>
  <conditionalFormatting sqref="M277">
    <cfRule type="duplicateValues" dxfId="1" priority="242"/>
    <cfRule type="duplicateValues" dxfId="0" priority="241"/>
  </conditionalFormatting>
  <conditionalFormatting sqref="M278">
    <cfRule type="duplicateValues" dxfId="1" priority="240"/>
    <cfRule type="duplicateValues" dxfId="0" priority="239"/>
  </conditionalFormatting>
  <conditionalFormatting sqref="M279">
    <cfRule type="duplicateValues" dxfId="1" priority="238"/>
    <cfRule type="duplicateValues" dxfId="0" priority="237"/>
  </conditionalFormatting>
  <conditionalFormatting sqref="M280">
    <cfRule type="duplicateValues" dxfId="0" priority="206"/>
  </conditionalFormatting>
  <conditionalFormatting sqref="M281">
    <cfRule type="duplicateValues" dxfId="1" priority="232"/>
    <cfRule type="duplicateValues" dxfId="0" priority="231"/>
  </conditionalFormatting>
  <conditionalFormatting sqref="M282">
    <cfRule type="duplicateValues" dxfId="0" priority="205"/>
  </conditionalFormatting>
  <conditionalFormatting sqref="M283">
    <cfRule type="duplicateValues" dxfId="0" priority="203"/>
  </conditionalFormatting>
  <conditionalFormatting sqref="M284">
    <cfRule type="duplicateValues" dxfId="1" priority="230"/>
    <cfRule type="duplicateValues" dxfId="0" priority="229"/>
  </conditionalFormatting>
  <conditionalFormatting sqref="M285">
    <cfRule type="duplicateValues" dxfId="1" priority="228"/>
    <cfRule type="duplicateValues" dxfId="0" priority="227"/>
  </conditionalFormatting>
  <conditionalFormatting sqref="M293">
    <cfRule type="duplicateValues" dxfId="1" priority="226"/>
    <cfRule type="duplicateValues" dxfId="0" priority="225"/>
  </conditionalFormatting>
  <conditionalFormatting sqref="M294">
    <cfRule type="duplicateValues" dxfId="1" priority="224"/>
    <cfRule type="duplicateValues" dxfId="0" priority="223"/>
  </conditionalFormatting>
  <conditionalFormatting sqref="M295">
    <cfRule type="duplicateValues" dxfId="1" priority="222"/>
    <cfRule type="duplicateValues" dxfId="0" priority="221"/>
  </conditionalFormatting>
  <conditionalFormatting sqref="M296">
    <cfRule type="duplicateValues" dxfId="0" priority="204"/>
  </conditionalFormatting>
  <conditionalFormatting sqref="M297">
    <cfRule type="duplicateValues" dxfId="1" priority="218"/>
    <cfRule type="duplicateValues" dxfId="0" priority="217"/>
  </conditionalFormatting>
  <conditionalFormatting sqref="M298">
    <cfRule type="duplicateValues" dxfId="1" priority="216"/>
    <cfRule type="duplicateValues" dxfId="0" priority="215"/>
  </conditionalFormatting>
  <conditionalFormatting sqref="M299">
    <cfRule type="duplicateValues" dxfId="1" priority="214"/>
    <cfRule type="duplicateValues" dxfId="0" priority="213"/>
  </conditionalFormatting>
  <conditionalFormatting sqref="M300">
    <cfRule type="duplicateValues" dxfId="1" priority="212"/>
    <cfRule type="duplicateValues" dxfId="0" priority="211"/>
  </conditionalFormatting>
  <conditionalFormatting sqref="M308">
    <cfRule type="duplicateValues" dxfId="1" priority="184"/>
    <cfRule type="duplicateValues" dxfId="0" priority="183"/>
  </conditionalFormatting>
  <conditionalFormatting sqref="M311">
    <cfRule type="duplicateValues" dxfId="1" priority="170"/>
    <cfRule type="duplicateValues" dxfId="0" priority="169"/>
  </conditionalFormatting>
  <conditionalFormatting sqref="M312">
    <cfRule type="duplicateValues" dxfId="1" priority="160"/>
    <cfRule type="duplicateValues" dxfId="0" priority="159"/>
  </conditionalFormatting>
  <conditionalFormatting sqref="J318">
    <cfRule type="duplicateValues" dxfId="0" priority="158"/>
  </conditionalFormatting>
  <conditionalFormatting sqref="P318">
    <cfRule type="duplicateValues" dxfId="1" priority="200"/>
    <cfRule type="duplicateValues" dxfId="0" priority="199"/>
  </conditionalFormatting>
  <conditionalFormatting sqref="S318">
    <cfRule type="duplicateValues" dxfId="1" priority="198"/>
    <cfRule type="duplicateValues" dxfId="0" priority="197"/>
  </conditionalFormatting>
  <conditionalFormatting sqref="M320">
    <cfRule type="duplicateValues" dxfId="1" priority="192"/>
    <cfRule type="duplicateValues" dxfId="0" priority="191"/>
  </conditionalFormatting>
  <conditionalFormatting sqref="M321">
    <cfRule type="duplicateValues" dxfId="1" priority="190"/>
    <cfRule type="duplicateValues" dxfId="0" priority="189"/>
  </conditionalFormatting>
  <conditionalFormatting sqref="M322">
    <cfRule type="duplicateValues" dxfId="1" priority="188"/>
    <cfRule type="duplicateValues" dxfId="0" priority="187"/>
  </conditionalFormatting>
  <conditionalFormatting sqref="M323">
    <cfRule type="duplicateValues" dxfId="0" priority="156"/>
  </conditionalFormatting>
  <conditionalFormatting sqref="M324">
    <cfRule type="duplicateValues" dxfId="1" priority="182"/>
    <cfRule type="duplicateValues" dxfId="0" priority="181"/>
  </conditionalFormatting>
  <conditionalFormatting sqref="M325">
    <cfRule type="duplicateValues" dxfId="0" priority="155"/>
  </conditionalFormatting>
  <conditionalFormatting sqref="M326">
    <cfRule type="duplicateValues" dxfId="0" priority="153"/>
  </conditionalFormatting>
  <conditionalFormatting sqref="M327">
    <cfRule type="duplicateValues" dxfId="1" priority="180"/>
    <cfRule type="duplicateValues" dxfId="0" priority="179"/>
  </conditionalFormatting>
  <conditionalFormatting sqref="M328">
    <cfRule type="duplicateValues" dxfId="1" priority="178"/>
    <cfRule type="duplicateValues" dxfId="0" priority="177"/>
  </conditionalFormatting>
  <conditionalFormatting sqref="M336">
    <cfRule type="duplicateValues" dxfId="1" priority="176"/>
    <cfRule type="duplicateValues" dxfId="0" priority="175"/>
  </conditionalFormatting>
  <conditionalFormatting sqref="M337">
    <cfRule type="duplicateValues" dxfId="1" priority="174"/>
    <cfRule type="duplicateValues" dxfId="0" priority="173"/>
  </conditionalFormatting>
  <conditionalFormatting sqref="M338">
    <cfRule type="duplicateValues" dxfId="1" priority="172"/>
    <cfRule type="duplicateValues" dxfId="0" priority="171"/>
  </conditionalFormatting>
  <conditionalFormatting sqref="M339">
    <cfRule type="duplicateValues" dxfId="0" priority="154"/>
  </conditionalFormatting>
  <conditionalFormatting sqref="M340">
    <cfRule type="duplicateValues" dxfId="1" priority="168"/>
    <cfRule type="duplicateValues" dxfId="0" priority="167"/>
  </conditionalFormatting>
  <conditionalFormatting sqref="M341">
    <cfRule type="duplicateValues" dxfId="1" priority="166"/>
    <cfRule type="duplicateValues" dxfId="0" priority="165"/>
  </conditionalFormatting>
  <conditionalFormatting sqref="M342">
    <cfRule type="duplicateValues" dxfId="1" priority="164"/>
    <cfRule type="duplicateValues" dxfId="0" priority="163"/>
  </conditionalFormatting>
  <conditionalFormatting sqref="M343">
    <cfRule type="duplicateValues" dxfId="1" priority="162"/>
    <cfRule type="duplicateValues" dxfId="0" priority="161"/>
  </conditionalFormatting>
  <conditionalFormatting sqref="M351">
    <cfRule type="duplicateValues" dxfId="1" priority="134"/>
    <cfRule type="duplicateValues" dxfId="0" priority="133"/>
  </conditionalFormatting>
  <conditionalFormatting sqref="M354">
    <cfRule type="duplicateValues" dxfId="1" priority="120"/>
    <cfRule type="duplicateValues" dxfId="0" priority="119"/>
  </conditionalFormatting>
  <conditionalFormatting sqref="M355">
    <cfRule type="duplicateValues" dxfId="1" priority="110"/>
    <cfRule type="duplicateValues" dxfId="0" priority="109"/>
  </conditionalFormatting>
  <conditionalFormatting sqref="J361">
    <cfRule type="duplicateValues" dxfId="0" priority="108"/>
  </conditionalFormatting>
  <conditionalFormatting sqref="P361">
    <cfRule type="duplicateValues" dxfId="1" priority="150"/>
    <cfRule type="duplicateValues" dxfId="0" priority="149"/>
  </conditionalFormatting>
  <conditionalFormatting sqref="S361">
    <cfRule type="duplicateValues" dxfId="1" priority="148"/>
    <cfRule type="duplicateValues" dxfId="0" priority="147"/>
  </conditionalFormatting>
  <conditionalFormatting sqref="M363">
    <cfRule type="duplicateValues" dxfId="1" priority="142"/>
    <cfRule type="duplicateValues" dxfId="0" priority="141"/>
  </conditionalFormatting>
  <conditionalFormatting sqref="M364">
    <cfRule type="duplicateValues" dxfId="1" priority="140"/>
    <cfRule type="duplicateValues" dxfId="0" priority="139"/>
  </conditionalFormatting>
  <conditionalFormatting sqref="M365">
    <cfRule type="duplicateValues" dxfId="1" priority="138"/>
    <cfRule type="duplicateValues" dxfId="0" priority="137"/>
  </conditionalFormatting>
  <conditionalFormatting sqref="M366">
    <cfRule type="duplicateValues" dxfId="0" priority="106"/>
  </conditionalFormatting>
  <conditionalFormatting sqref="M367">
    <cfRule type="duplicateValues" dxfId="1" priority="132"/>
    <cfRule type="duplicateValues" dxfId="0" priority="131"/>
  </conditionalFormatting>
  <conditionalFormatting sqref="M368">
    <cfRule type="duplicateValues" dxfId="0" priority="105"/>
  </conditionalFormatting>
  <conditionalFormatting sqref="M369">
    <cfRule type="duplicateValues" dxfId="0" priority="103"/>
  </conditionalFormatting>
  <conditionalFormatting sqref="M370">
    <cfRule type="duplicateValues" dxfId="1" priority="130"/>
    <cfRule type="duplicateValues" dxfId="0" priority="129"/>
  </conditionalFormatting>
  <conditionalFormatting sqref="M371">
    <cfRule type="duplicateValues" dxfId="1" priority="128"/>
    <cfRule type="duplicateValues" dxfId="0" priority="127"/>
  </conditionalFormatting>
  <conditionalFormatting sqref="M379">
    <cfRule type="duplicateValues" dxfId="1" priority="126"/>
    <cfRule type="duplicateValues" dxfId="0" priority="125"/>
  </conditionalFormatting>
  <conditionalFormatting sqref="M380">
    <cfRule type="duplicateValues" dxfId="1" priority="124"/>
    <cfRule type="duplicateValues" dxfId="0" priority="123"/>
  </conditionalFormatting>
  <conditionalFormatting sqref="M381">
    <cfRule type="duplicateValues" dxfId="1" priority="122"/>
    <cfRule type="duplicateValues" dxfId="0" priority="121"/>
  </conditionalFormatting>
  <conditionalFormatting sqref="M382">
    <cfRule type="duplicateValues" dxfId="0" priority="104"/>
  </conditionalFormatting>
  <conditionalFormatting sqref="M383">
    <cfRule type="duplicateValues" dxfId="1" priority="118"/>
    <cfRule type="duplicateValues" dxfId="0" priority="117"/>
  </conditionalFormatting>
  <conditionalFormatting sqref="M384">
    <cfRule type="duplicateValues" dxfId="1" priority="116"/>
    <cfRule type="duplicateValues" dxfId="0" priority="115"/>
  </conditionalFormatting>
  <conditionalFormatting sqref="M385">
    <cfRule type="duplicateValues" dxfId="1" priority="114"/>
    <cfRule type="duplicateValues" dxfId="0" priority="113"/>
  </conditionalFormatting>
  <conditionalFormatting sqref="M386">
    <cfRule type="duplicateValues" dxfId="1" priority="112"/>
    <cfRule type="duplicateValues" dxfId="0" priority="111"/>
  </conditionalFormatting>
  <conditionalFormatting sqref="M394">
    <cfRule type="duplicateValues" dxfId="1" priority="84"/>
    <cfRule type="duplicateValues" dxfId="0" priority="83"/>
  </conditionalFormatting>
  <conditionalFormatting sqref="M397">
    <cfRule type="duplicateValues" dxfId="1" priority="70"/>
    <cfRule type="duplicateValues" dxfId="0" priority="69"/>
  </conditionalFormatting>
  <conditionalFormatting sqref="M398">
    <cfRule type="duplicateValues" dxfId="1" priority="60"/>
    <cfRule type="duplicateValues" dxfId="0" priority="59"/>
  </conditionalFormatting>
  <conditionalFormatting sqref="J404">
    <cfRule type="duplicateValues" dxfId="0" priority="58"/>
  </conditionalFormatting>
  <conditionalFormatting sqref="P404">
    <cfRule type="duplicateValues" dxfId="1" priority="100"/>
    <cfRule type="duplicateValues" dxfId="0" priority="99"/>
  </conditionalFormatting>
  <conditionalFormatting sqref="S404">
    <cfRule type="duplicateValues" dxfId="1" priority="98"/>
    <cfRule type="duplicateValues" dxfId="0" priority="97"/>
  </conditionalFormatting>
  <conditionalFormatting sqref="M406">
    <cfRule type="duplicateValues" dxfId="1" priority="92"/>
    <cfRule type="duplicateValues" dxfId="0" priority="91"/>
  </conditionalFormatting>
  <conditionalFormatting sqref="M407">
    <cfRule type="duplicateValues" dxfId="1" priority="90"/>
    <cfRule type="duplicateValues" dxfId="0" priority="89"/>
  </conditionalFormatting>
  <conditionalFormatting sqref="M408">
    <cfRule type="duplicateValues" dxfId="1" priority="88"/>
    <cfRule type="duplicateValues" dxfId="0" priority="87"/>
  </conditionalFormatting>
  <conditionalFormatting sqref="M409">
    <cfRule type="duplicateValues" dxfId="0" priority="56"/>
  </conditionalFormatting>
  <conditionalFormatting sqref="M410">
    <cfRule type="duplicateValues" dxfId="1" priority="82"/>
    <cfRule type="duplicateValues" dxfId="0" priority="81"/>
  </conditionalFormatting>
  <conditionalFormatting sqref="M411">
    <cfRule type="duplicateValues" dxfId="0" priority="55"/>
  </conditionalFormatting>
  <conditionalFormatting sqref="M412">
    <cfRule type="duplicateValues" dxfId="0" priority="53"/>
  </conditionalFormatting>
  <conditionalFormatting sqref="M413">
    <cfRule type="duplicateValues" dxfId="1" priority="80"/>
    <cfRule type="duplicateValues" dxfId="0" priority="79"/>
  </conditionalFormatting>
  <conditionalFormatting sqref="M414">
    <cfRule type="duplicateValues" dxfId="1" priority="78"/>
    <cfRule type="duplicateValues" dxfId="0" priority="77"/>
  </conditionalFormatting>
  <conditionalFormatting sqref="M422">
    <cfRule type="duplicateValues" dxfId="1" priority="76"/>
    <cfRule type="duplicateValues" dxfId="0" priority="75"/>
  </conditionalFormatting>
  <conditionalFormatting sqref="M423">
    <cfRule type="duplicateValues" dxfId="1" priority="74"/>
    <cfRule type="duplicateValues" dxfId="0" priority="73"/>
  </conditionalFormatting>
  <conditionalFormatting sqref="M424">
    <cfRule type="duplicateValues" dxfId="1" priority="72"/>
    <cfRule type="duplicateValues" dxfId="0" priority="71"/>
  </conditionalFormatting>
  <conditionalFormatting sqref="M425">
    <cfRule type="duplicateValues" dxfId="0" priority="54"/>
  </conditionalFormatting>
  <conditionalFormatting sqref="M426">
    <cfRule type="duplicateValues" dxfId="1" priority="68"/>
    <cfRule type="duplicateValues" dxfId="0" priority="67"/>
  </conditionalFormatting>
  <conditionalFormatting sqref="M427">
    <cfRule type="duplicateValues" dxfId="1" priority="66"/>
    <cfRule type="duplicateValues" dxfId="0" priority="65"/>
  </conditionalFormatting>
  <conditionalFormatting sqref="M428">
    <cfRule type="duplicateValues" dxfId="1" priority="64"/>
    <cfRule type="duplicateValues" dxfId="0" priority="63"/>
  </conditionalFormatting>
  <conditionalFormatting sqref="M429">
    <cfRule type="duplicateValues" dxfId="1" priority="62"/>
    <cfRule type="duplicateValues" dxfId="0" priority="61"/>
  </conditionalFormatting>
  <conditionalFormatting sqref="M437">
    <cfRule type="duplicateValues" dxfId="1" priority="34"/>
    <cfRule type="duplicateValues" dxfId="0" priority="33"/>
  </conditionalFormatting>
  <conditionalFormatting sqref="M440">
    <cfRule type="duplicateValues" dxfId="1" priority="20"/>
    <cfRule type="duplicateValues" dxfId="0" priority="19"/>
  </conditionalFormatting>
  <conditionalFormatting sqref="M441">
    <cfRule type="duplicateValues" dxfId="1" priority="10"/>
    <cfRule type="duplicateValues" dxfId="0" priority="9"/>
  </conditionalFormatting>
  <conditionalFormatting sqref="J447">
    <cfRule type="duplicateValues" dxfId="0" priority="8"/>
  </conditionalFormatting>
  <conditionalFormatting sqref="P447">
    <cfRule type="duplicateValues" dxfId="1" priority="50"/>
    <cfRule type="duplicateValues" dxfId="0" priority="49"/>
  </conditionalFormatting>
  <conditionalFormatting sqref="S447">
    <cfRule type="duplicateValues" dxfId="1" priority="48"/>
    <cfRule type="duplicateValues" dxfId="0" priority="47"/>
  </conditionalFormatting>
  <conditionalFormatting sqref="M449">
    <cfRule type="duplicateValues" dxfId="1" priority="42"/>
    <cfRule type="duplicateValues" dxfId="0" priority="41"/>
  </conditionalFormatting>
  <conditionalFormatting sqref="M450">
    <cfRule type="duplicateValues" dxfId="1" priority="40"/>
    <cfRule type="duplicateValues" dxfId="0" priority="39"/>
  </conditionalFormatting>
  <conditionalFormatting sqref="M451">
    <cfRule type="duplicateValues" dxfId="1" priority="38"/>
    <cfRule type="duplicateValues" dxfId="0" priority="37"/>
  </conditionalFormatting>
  <conditionalFormatting sqref="M452">
    <cfRule type="duplicateValues" dxfId="0" priority="6"/>
  </conditionalFormatting>
  <conditionalFormatting sqref="M453">
    <cfRule type="duplicateValues" dxfId="1" priority="32"/>
    <cfRule type="duplicateValues" dxfId="0" priority="31"/>
  </conditionalFormatting>
  <conditionalFormatting sqref="M454">
    <cfRule type="duplicateValues" dxfId="0" priority="5"/>
  </conditionalFormatting>
  <conditionalFormatting sqref="M455">
    <cfRule type="duplicateValues" dxfId="0" priority="3"/>
  </conditionalFormatting>
  <conditionalFormatting sqref="M456">
    <cfRule type="duplicateValues" dxfId="1" priority="30"/>
    <cfRule type="duplicateValues" dxfId="0" priority="29"/>
  </conditionalFormatting>
  <conditionalFormatting sqref="M457">
    <cfRule type="duplicateValues" dxfId="1" priority="28"/>
    <cfRule type="duplicateValues" dxfId="0" priority="27"/>
  </conditionalFormatting>
  <conditionalFormatting sqref="M465">
    <cfRule type="duplicateValues" dxfId="1" priority="26"/>
    <cfRule type="duplicateValues" dxfId="0" priority="25"/>
  </conditionalFormatting>
  <conditionalFormatting sqref="M466">
    <cfRule type="duplicateValues" dxfId="1" priority="24"/>
    <cfRule type="duplicateValues" dxfId="0" priority="23"/>
  </conditionalFormatting>
  <conditionalFormatting sqref="M467">
    <cfRule type="duplicateValues" dxfId="1" priority="22"/>
    <cfRule type="duplicateValues" dxfId="0" priority="21"/>
  </conditionalFormatting>
  <conditionalFormatting sqref="M468">
    <cfRule type="duplicateValues" dxfId="0" priority="4"/>
  </conditionalFormatting>
  <conditionalFormatting sqref="M469">
    <cfRule type="duplicateValues" dxfId="1" priority="18"/>
    <cfRule type="duplicateValues" dxfId="0" priority="17"/>
  </conditionalFormatting>
  <conditionalFormatting sqref="M470">
    <cfRule type="duplicateValues" dxfId="1" priority="16"/>
    <cfRule type="duplicateValues" dxfId="0" priority="15"/>
  </conditionalFormatting>
  <conditionalFormatting sqref="M471">
    <cfRule type="duplicateValues" dxfId="1" priority="14"/>
    <cfRule type="duplicateValues" dxfId="0" priority="13"/>
  </conditionalFormatting>
  <conditionalFormatting sqref="M472">
    <cfRule type="duplicateValues" dxfId="1" priority="12"/>
    <cfRule type="duplicateValues" dxfId="0" priority="11"/>
  </conditionalFormatting>
  <conditionalFormatting sqref="D5:D47">
    <cfRule type="duplicateValues" dxfId="1" priority="1549"/>
  </conditionalFormatting>
  <conditionalFormatting sqref="D48:D90">
    <cfRule type="duplicateValues" dxfId="1" priority="851"/>
  </conditionalFormatting>
  <conditionalFormatting sqref="D91:D133">
    <cfRule type="duplicateValues" dxfId="1" priority="401"/>
  </conditionalFormatting>
  <conditionalFormatting sqref="D134:D176">
    <cfRule type="duplicateValues" dxfId="1" priority="351"/>
  </conditionalFormatting>
  <conditionalFormatting sqref="D177:D219">
    <cfRule type="duplicateValues" dxfId="1" priority="301"/>
  </conditionalFormatting>
  <conditionalFormatting sqref="D220:D262">
    <cfRule type="duplicateValues" dxfId="1" priority="251"/>
  </conditionalFormatting>
  <conditionalFormatting sqref="D263:D305">
    <cfRule type="duplicateValues" dxfId="1" priority="201"/>
  </conditionalFormatting>
  <conditionalFormatting sqref="D306:D348">
    <cfRule type="duplicateValues" dxfId="1" priority="151"/>
  </conditionalFormatting>
  <conditionalFormatting sqref="D349:D391">
    <cfRule type="duplicateValues" dxfId="1" priority="101"/>
  </conditionalFormatting>
  <conditionalFormatting sqref="D392:D434">
    <cfRule type="duplicateValues" dxfId="1" priority="51"/>
  </conditionalFormatting>
  <conditionalFormatting sqref="D435:D477">
    <cfRule type="duplicateValues" dxfId="1" priority="1"/>
  </conditionalFormatting>
  <conditionalFormatting sqref="E5:E47">
    <cfRule type="duplicateValues" dxfId="1" priority="1550"/>
  </conditionalFormatting>
  <conditionalFormatting sqref="E48:E90">
    <cfRule type="duplicateValues" dxfId="1" priority="852"/>
  </conditionalFormatting>
  <conditionalFormatting sqref="E91:E133">
    <cfRule type="duplicateValues" dxfId="1" priority="402"/>
  </conditionalFormatting>
  <conditionalFormatting sqref="E134:E176">
    <cfRule type="duplicateValues" dxfId="1" priority="352"/>
  </conditionalFormatting>
  <conditionalFormatting sqref="E177:E219">
    <cfRule type="duplicateValues" dxfId="1" priority="302"/>
  </conditionalFormatting>
  <conditionalFormatting sqref="E220:E262">
    <cfRule type="duplicateValues" dxfId="1" priority="252"/>
  </conditionalFormatting>
  <conditionalFormatting sqref="E263:E305">
    <cfRule type="duplicateValues" dxfId="1" priority="202"/>
  </conditionalFormatting>
  <conditionalFormatting sqref="E306:E348">
    <cfRule type="duplicateValues" dxfId="1" priority="152"/>
  </conditionalFormatting>
  <conditionalFormatting sqref="E349:E391">
    <cfRule type="duplicateValues" dxfId="1" priority="102"/>
  </conditionalFormatting>
  <conditionalFormatting sqref="E392:E434">
    <cfRule type="duplicateValues" dxfId="1" priority="52"/>
  </conditionalFormatting>
  <conditionalFormatting sqref="E435:E477">
    <cfRule type="duplicateValues" dxfId="1" priority="2"/>
  </conditionalFormatting>
  <conditionalFormatting sqref="J6:J11">
    <cfRule type="duplicateValues" dxfId="0" priority="1639"/>
  </conditionalFormatting>
  <conditionalFormatting sqref="J49:J54">
    <cfRule type="duplicateValues" dxfId="0" priority="857"/>
  </conditionalFormatting>
  <conditionalFormatting sqref="J92:J97">
    <cfRule type="duplicateValues" dxfId="0" priority="407"/>
  </conditionalFormatting>
  <conditionalFormatting sqref="J135:J140">
    <cfRule type="duplicateValues" dxfId="0" priority="357"/>
  </conditionalFormatting>
  <conditionalFormatting sqref="J178:J183">
    <cfRule type="duplicateValues" dxfId="0" priority="307"/>
  </conditionalFormatting>
  <conditionalFormatting sqref="J221:J226">
    <cfRule type="duplicateValues" dxfId="0" priority="257"/>
  </conditionalFormatting>
  <conditionalFormatting sqref="J264:J269">
    <cfRule type="duplicateValues" dxfId="0" priority="207"/>
  </conditionalFormatting>
  <conditionalFormatting sqref="J307:J312">
    <cfRule type="duplicateValues" dxfId="0" priority="157"/>
  </conditionalFormatting>
  <conditionalFormatting sqref="J350:J355">
    <cfRule type="duplicateValues" dxfId="0" priority="107"/>
  </conditionalFormatting>
  <conditionalFormatting sqref="J393:J398">
    <cfRule type="duplicateValues" dxfId="0" priority="57"/>
  </conditionalFormatting>
  <conditionalFormatting sqref="J436:J441">
    <cfRule type="duplicateValues" dxfId="0" priority="7"/>
  </conditionalFormatting>
  <conditionalFormatting sqref="J38 J43:J47 J23 J33 J28 J18">
    <cfRule type="duplicateValues" dxfId="0" priority="1922"/>
    <cfRule type="duplicateValues" dxfId="1" priority="1925"/>
  </conditionalFormatting>
  <conditionalFormatting sqref="J24 J39 J29 J34 J19">
    <cfRule type="duplicateValues" dxfId="0" priority="1917"/>
    <cfRule type="duplicateValues" dxfId="1" priority="1921"/>
  </conditionalFormatting>
  <conditionalFormatting sqref="J27 J42 J32 J37 J22">
    <cfRule type="duplicateValues" dxfId="0" priority="1896"/>
    <cfRule type="duplicateValues" dxfId="1" priority="1900"/>
  </conditionalFormatting>
  <conditionalFormatting sqref="J81 J86:J90 J66 J76 J71 J61">
    <cfRule type="duplicateValues" dxfId="1" priority="896"/>
    <cfRule type="duplicateValues" dxfId="0" priority="895"/>
  </conditionalFormatting>
  <conditionalFormatting sqref="J67 J82 J72 J77 J62">
    <cfRule type="duplicateValues" dxfId="1" priority="894"/>
    <cfRule type="duplicateValues" dxfId="0" priority="893"/>
  </conditionalFormatting>
  <conditionalFormatting sqref="J70 J85 J75 J80 J65">
    <cfRule type="duplicateValues" dxfId="1" priority="886"/>
    <cfRule type="duplicateValues" dxfId="0" priority="885"/>
  </conditionalFormatting>
  <conditionalFormatting sqref="J124 J129:J133 J109 J119 J114 J104">
    <cfRule type="duplicateValues" dxfId="1" priority="446"/>
    <cfRule type="duplicateValues" dxfId="0" priority="445"/>
  </conditionalFormatting>
  <conditionalFormatting sqref="J110 J125 J115 J120 J105">
    <cfRule type="duplicateValues" dxfId="1" priority="444"/>
    <cfRule type="duplicateValues" dxfId="0" priority="443"/>
  </conditionalFormatting>
  <conditionalFormatting sqref="J113 J128 J118 J123 J108">
    <cfRule type="duplicateValues" dxfId="1" priority="436"/>
    <cfRule type="duplicateValues" dxfId="0" priority="435"/>
  </conditionalFormatting>
  <conditionalFormatting sqref="J167 J172:J176 J152 J162 J157 J147">
    <cfRule type="duplicateValues" dxfId="1" priority="396"/>
    <cfRule type="duplicateValues" dxfId="0" priority="395"/>
  </conditionalFormatting>
  <conditionalFormatting sqref="J153 J168 J158 J163 J148">
    <cfRule type="duplicateValues" dxfId="1" priority="394"/>
    <cfRule type="duplicateValues" dxfId="0" priority="393"/>
  </conditionalFormatting>
  <conditionalFormatting sqref="J156 J171 J161 J166 J151">
    <cfRule type="duplicateValues" dxfId="1" priority="386"/>
    <cfRule type="duplicateValues" dxfId="0" priority="385"/>
  </conditionalFormatting>
  <conditionalFormatting sqref="J210 J215:J219 J195 J205 J200 J190">
    <cfRule type="duplicateValues" dxfId="1" priority="346"/>
    <cfRule type="duplicateValues" dxfId="0" priority="345"/>
  </conditionalFormatting>
  <conditionalFormatting sqref="J196 J211 J201 J206 J191">
    <cfRule type="duplicateValues" dxfId="1" priority="344"/>
    <cfRule type="duplicateValues" dxfId="0" priority="343"/>
  </conditionalFormatting>
  <conditionalFormatting sqref="J199 J214 J204 J209 J194">
    <cfRule type="duplicateValues" dxfId="1" priority="336"/>
    <cfRule type="duplicateValues" dxfId="0" priority="335"/>
  </conditionalFormatting>
  <conditionalFormatting sqref="J253 J258:J262 J238 J248 J243 J233">
    <cfRule type="duplicateValues" dxfId="1" priority="296"/>
    <cfRule type="duplicateValues" dxfId="0" priority="295"/>
  </conditionalFormatting>
  <conditionalFormatting sqref="J239 J254 J244 J249 J234">
    <cfRule type="duplicateValues" dxfId="1" priority="294"/>
    <cfRule type="duplicateValues" dxfId="0" priority="293"/>
  </conditionalFormatting>
  <conditionalFormatting sqref="J242 J257 J247 J252 J237">
    <cfRule type="duplicateValues" dxfId="1" priority="286"/>
    <cfRule type="duplicateValues" dxfId="0" priority="285"/>
  </conditionalFormatting>
  <conditionalFormatting sqref="J296 J301:J305 J281 J291 J286 J276">
    <cfRule type="duplicateValues" dxfId="1" priority="246"/>
    <cfRule type="duplicateValues" dxfId="0" priority="245"/>
  </conditionalFormatting>
  <conditionalFormatting sqref="J282 J297 J287 J292 J277">
    <cfRule type="duplicateValues" dxfId="1" priority="244"/>
    <cfRule type="duplicateValues" dxfId="0" priority="243"/>
  </conditionalFormatting>
  <conditionalFormatting sqref="J285 J300 J290 J295 J280">
    <cfRule type="duplicateValues" dxfId="1" priority="236"/>
    <cfRule type="duplicateValues" dxfId="0" priority="235"/>
  </conditionalFormatting>
  <conditionalFormatting sqref="J339 J344:J348 J324 J334 J329 J319">
    <cfRule type="duplicateValues" dxfId="1" priority="196"/>
    <cfRule type="duplicateValues" dxfId="0" priority="195"/>
  </conditionalFormatting>
  <conditionalFormatting sqref="J325 J340 J330 J335 J320">
    <cfRule type="duplicateValues" dxfId="1" priority="194"/>
    <cfRule type="duplicateValues" dxfId="0" priority="193"/>
  </conditionalFormatting>
  <conditionalFormatting sqref="J328 J343 J333 J338 J323">
    <cfRule type="duplicateValues" dxfId="1" priority="186"/>
    <cfRule type="duplicateValues" dxfId="0" priority="185"/>
  </conditionalFormatting>
  <conditionalFormatting sqref="J382 J387:J391 J367 J377 J372 J362">
    <cfRule type="duplicateValues" dxfId="1" priority="146"/>
    <cfRule type="duplicateValues" dxfId="0" priority="145"/>
  </conditionalFormatting>
  <conditionalFormatting sqref="J368 J383 J373 J378 J363">
    <cfRule type="duplicateValues" dxfId="1" priority="144"/>
    <cfRule type="duplicateValues" dxfId="0" priority="143"/>
  </conditionalFormatting>
  <conditionalFormatting sqref="J371 J386 J376 J381 J366">
    <cfRule type="duplicateValues" dxfId="1" priority="136"/>
    <cfRule type="duplicateValues" dxfId="0" priority="135"/>
  </conditionalFormatting>
  <conditionalFormatting sqref="J425 J430:J434 J410 J420 J415 J405">
    <cfRule type="duplicateValues" dxfId="1" priority="96"/>
    <cfRule type="duplicateValues" dxfId="0" priority="95"/>
  </conditionalFormatting>
  <conditionalFormatting sqref="J411 J426 J416 J421 J406">
    <cfRule type="duplicateValues" dxfId="1" priority="94"/>
    <cfRule type="duplicateValues" dxfId="0" priority="93"/>
  </conditionalFormatting>
  <conditionalFormatting sqref="J414 J429 J419 J424 J409">
    <cfRule type="duplicateValues" dxfId="1" priority="86"/>
    <cfRule type="duplicateValues" dxfId="0" priority="85"/>
  </conditionalFormatting>
  <conditionalFormatting sqref="J468 J473:J477 J453 J463 J458 J448">
    <cfRule type="duplicateValues" dxfId="1" priority="46"/>
    <cfRule type="duplicateValues" dxfId="0" priority="45"/>
  </conditionalFormatting>
  <conditionalFormatting sqref="J454 J469 J459 J464 J449">
    <cfRule type="duplicateValues" dxfId="1" priority="44"/>
    <cfRule type="duplicateValues" dxfId="0" priority="43"/>
  </conditionalFormatting>
  <conditionalFormatting sqref="J457 J472 J462 J467 J452">
    <cfRule type="duplicateValues" dxfId="1" priority="36"/>
    <cfRule type="duplicateValues" dxfId="0" priority="35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F17" sqref="F17"/>
    </sheetView>
  </sheetViews>
  <sheetFormatPr defaultColWidth="9" defaultRowHeight="13.5"/>
  <cols>
    <col min="2" max="2" width="16.425" style="90" customWidth="1"/>
    <col min="3" max="3" width="21.125" style="91" customWidth="1"/>
    <col min="4" max="4" width="16.25" style="91" customWidth="1"/>
    <col min="5" max="5" width="11.375" customWidth="1"/>
    <col min="6" max="6" width="13.625" customWidth="1"/>
    <col min="7" max="7" width="16.5083333333333" customWidth="1"/>
    <col min="8" max="8" width="16.1833333333333" customWidth="1"/>
    <col min="9" max="9" width="16.3333333333333" customWidth="1"/>
  </cols>
  <sheetData>
    <row r="1" spans="1:9">
      <c r="A1" s="45" t="s">
        <v>14</v>
      </c>
      <c r="B1" s="92" t="s">
        <v>49</v>
      </c>
      <c r="C1" s="93" t="s">
        <v>50</v>
      </c>
      <c r="D1" s="94" t="s">
        <v>21</v>
      </c>
      <c r="E1" s="95" t="s">
        <v>22</v>
      </c>
      <c r="F1" s="96" t="s">
        <v>23</v>
      </c>
      <c r="G1" s="97"/>
      <c r="H1" s="97"/>
      <c r="I1" s="97"/>
    </row>
    <row r="2" spans="1:9">
      <c r="A2" s="98" t="s">
        <v>34</v>
      </c>
      <c r="B2" s="92" t="s">
        <v>34</v>
      </c>
      <c r="C2" s="93" t="s">
        <v>34</v>
      </c>
      <c r="D2" s="94" t="s">
        <v>34</v>
      </c>
      <c r="E2" s="94" t="s">
        <v>36</v>
      </c>
      <c r="F2" s="99" t="s">
        <v>51</v>
      </c>
      <c r="G2" s="97"/>
      <c r="H2" s="97"/>
      <c r="I2" s="97"/>
    </row>
    <row r="3" spans="1:9">
      <c r="A3" s="98" t="s">
        <v>38</v>
      </c>
      <c r="B3" s="92" t="s">
        <v>38</v>
      </c>
      <c r="C3" s="93" t="s">
        <v>38</v>
      </c>
      <c r="D3" s="94" t="s">
        <v>37</v>
      </c>
      <c r="E3" s="94" t="s">
        <v>38</v>
      </c>
      <c r="F3" s="99" t="s">
        <v>38</v>
      </c>
      <c r="G3" s="97"/>
      <c r="H3" s="97"/>
      <c r="I3" s="97"/>
    </row>
    <row r="4" s="87" customFormat="1" ht="102" customHeight="1" spans="1:9">
      <c r="A4" s="100" t="s">
        <v>40</v>
      </c>
      <c r="B4" s="101" t="s">
        <v>52</v>
      </c>
      <c r="C4" s="102" t="s">
        <v>53</v>
      </c>
      <c r="D4" s="103" t="s">
        <v>46</v>
      </c>
      <c r="E4" s="103" t="s">
        <v>47</v>
      </c>
      <c r="F4" s="104" t="s">
        <v>48</v>
      </c>
      <c r="G4" s="105"/>
      <c r="H4" s="105"/>
      <c r="I4" s="105"/>
    </row>
    <row r="5" spans="1:9">
      <c r="A5">
        <f>'体验表-带进度条'!AL2</f>
        <v>1</v>
      </c>
      <c r="B5" s="90">
        <f>'体验表-带进度条'!AM2</f>
        <v>1</v>
      </c>
      <c r="C5" s="91">
        <f>'体验表-带进度条'!AO2</f>
        <v>50</v>
      </c>
      <c r="D5" s="91">
        <f>IF(SUMIFS('体验表-带进度条'!U:U,'体验表-带进度条'!A:A,"="&amp;A5,'体验表-带进度条'!P:P,"="&amp;B5)=1,17)</f>
        <v>17</v>
      </c>
      <c r="E5" s="106">
        <f t="shared" ref="E5:E37" si="0">IF(D5=17,1,)</f>
        <v>1</v>
      </c>
      <c r="F5" s="91">
        <f>SUMIFS('体验表-带进度条'!V:V,'体验表-带进度条'!A:A,"="&amp;A5,'体验表-带进度条'!P:P,"="&amp;B5)</f>
        <v>110</v>
      </c>
      <c r="H5" s="106"/>
      <c r="I5" s="106"/>
    </row>
    <row r="6" spans="1:9">
      <c r="A6">
        <f>'体验表-带进度条'!AL3</f>
        <v>1</v>
      </c>
      <c r="B6" s="90">
        <f>'体验表-带进度条'!AM3</f>
        <v>2</v>
      </c>
      <c r="C6" s="91">
        <f>'体验表-带进度条'!AO3</f>
        <v>150</v>
      </c>
      <c r="D6" s="91">
        <f>IF(SUMIFS('体验表-带进度条'!U:U,'体验表-带进度条'!A:A,"="&amp;A6,'体验表-带进度条'!P:P,"="&amp;B6)=1,17)</f>
        <v>17</v>
      </c>
      <c r="E6" s="106">
        <f t="shared" si="0"/>
        <v>1</v>
      </c>
      <c r="F6">
        <f>SUMIFS('体验表-带进度条'!V:V,'体验表-带进度条'!A:A,"="&amp;A6,'体验表-带进度条'!P:P,"="&amp;B6)</f>
        <v>220</v>
      </c>
      <c r="G6" s="106"/>
      <c r="H6" s="106"/>
      <c r="I6" s="106"/>
    </row>
    <row r="7" spans="1:9">
      <c r="A7">
        <f>'体验表-带进度条'!AL4</f>
        <v>1</v>
      </c>
      <c r="B7" s="90">
        <f>'体验表-带进度条'!AM4</f>
        <v>3</v>
      </c>
      <c r="C7" s="91">
        <f>'体验表-带进度条'!AO4</f>
        <v>300</v>
      </c>
      <c r="D7" s="91">
        <f>IF(SUMIFS('体验表-带进度条'!U:U,'体验表-带进度条'!A:A,"="&amp;A7,'体验表-带进度条'!P:P,"="&amp;B7)=1,17)</f>
        <v>17</v>
      </c>
      <c r="E7" s="106">
        <f t="shared" si="0"/>
        <v>1</v>
      </c>
      <c r="F7">
        <f>SUMIFS('体验表-带进度条'!V:V,'体验表-带进度条'!A:A,"="&amp;A7,'体验表-带进度条'!P:P,"="&amp;B7)</f>
        <v>405</v>
      </c>
      <c r="G7" s="106"/>
      <c r="H7" s="106"/>
      <c r="I7" s="106"/>
    </row>
    <row r="8" s="88" customFormat="1" spans="1:9">
      <c r="A8" s="88">
        <f>'体验表-带进度条'!AL5</f>
        <v>2</v>
      </c>
      <c r="B8" s="107">
        <f>'体验表-带进度条'!AM5</f>
        <v>1</v>
      </c>
      <c r="C8" s="108">
        <f>'体验表-带进度条'!AO5</f>
        <v>50</v>
      </c>
      <c r="D8" s="108">
        <f>IF(SUMIFS('体验表-带进度条'!U:U,'体验表-带进度条'!A:A,"="&amp;A8,'体验表-带进度条'!P:P,"="&amp;B8)=1,17)</f>
        <v>17</v>
      </c>
      <c r="E8" s="109">
        <f t="shared" si="0"/>
        <v>1</v>
      </c>
      <c r="F8" s="88">
        <f>SUMIFS('体验表-带进度条'!V:V,'体验表-带进度条'!A:A,"="&amp;A8,'体验表-带进度条'!P:P,"="&amp;B8)</f>
        <v>110</v>
      </c>
      <c r="G8" s="109"/>
      <c r="H8" s="109"/>
      <c r="I8" s="109"/>
    </row>
    <row r="9" s="88" customFormat="1" spans="1:9">
      <c r="A9" s="88">
        <f>'体验表-带进度条'!AL6</f>
        <v>2</v>
      </c>
      <c r="B9" s="107">
        <f>'体验表-带进度条'!AM6</f>
        <v>2</v>
      </c>
      <c r="C9" s="108">
        <f>'体验表-带进度条'!AO6</f>
        <v>150</v>
      </c>
      <c r="D9" s="108">
        <f>IF(SUMIFS('体验表-带进度条'!U:U,'体验表-带进度条'!A:A,"="&amp;A9,'体验表-带进度条'!P:P,"="&amp;B9)=1,17)</f>
        <v>17</v>
      </c>
      <c r="E9" s="109">
        <f t="shared" si="0"/>
        <v>1</v>
      </c>
      <c r="F9" s="88">
        <f>SUMIFS('体验表-带进度条'!V:V,'体验表-带进度条'!A:A,"="&amp;A9,'体验表-带进度条'!P:P,"="&amp;B9)</f>
        <v>220</v>
      </c>
      <c r="G9" s="109"/>
      <c r="H9" s="109"/>
      <c r="I9" s="109"/>
    </row>
    <row r="10" s="88" customFormat="1" spans="1:9">
      <c r="A10" s="88">
        <f>'体验表-带进度条'!AL7</f>
        <v>2</v>
      </c>
      <c r="B10" s="107">
        <f>'体验表-带进度条'!AM7</f>
        <v>3</v>
      </c>
      <c r="C10" s="108">
        <f>'体验表-带进度条'!AO7</f>
        <v>300</v>
      </c>
      <c r="D10" s="108">
        <f>IF(SUMIFS('体验表-带进度条'!U:U,'体验表-带进度条'!A:A,"="&amp;A10,'体验表-带进度条'!P:P,"="&amp;B10)=1,17)</f>
        <v>17</v>
      </c>
      <c r="E10" s="109">
        <f t="shared" si="0"/>
        <v>1</v>
      </c>
      <c r="F10" s="88">
        <f>SUMIFS('体验表-带进度条'!V:V,'体验表-带进度条'!A:A,"="&amp;A10,'体验表-带进度条'!P:P,"="&amp;B10)</f>
        <v>405</v>
      </c>
      <c r="G10" s="109"/>
      <c r="H10" s="109"/>
      <c r="I10" s="109"/>
    </row>
    <row r="11" s="89" customFormat="1" spans="1:9">
      <c r="A11" s="89">
        <f>'体验表-带进度条'!AL8</f>
        <v>3</v>
      </c>
      <c r="B11" s="110">
        <f>'体验表-带进度条'!AM8</f>
        <v>1</v>
      </c>
      <c r="C11" s="111">
        <f>'体验表-带进度条'!AO8</f>
        <v>50</v>
      </c>
      <c r="D11" s="111">
        <f>IF(SUMIFS('体验表-带进度条'!U:U,'体验表-带进度条'!A:A,"="&amp;A11,'体验表-带进度条'!P:P,"="&amp;B11)=1,17)</f>
        <v>17</v>
      </c>
      <c r="E11" s="112">
        <f t="shared" si="0"/>
        <v>1</v>
      </c>
      <c r="F11" s="89">
        <f>SUMIFS('体验表-带进度条'!V:V,'体验表-带进度条'!A:A,"="&amp;A11,'体验表-带进度条'!P:P,"="&amp;B11)</f>
        <v>110</v>
      </c>
      <c r="G11" s="112"/>
      <c r="H11" s="112"/>
      <c r="I11" s="112"/>
    </row>
    <row r="12" s="89" customFormat="1" spans="1:9">
      <c r="A12" s="89">
        <f>'体验表-带进度条'!AL9</f>
        <v>3</v>
      </c>
      <c r="B12" s="110">
        <f>'体验表-带进度条'!AM9</f>
        <v>2</v>
      </c>
      <c r="C12" s="111">
        <f>'体验表-带进度条'!AO9</f>
        <v>150</v>
      </c>
      <c r="D12" s="111">
        <f>IF(SUMIFS('体验表-带进度条'!U:U,'体验表-带进度条'!A:A,"="&amp;A12,'体验表-带进度条'!P:P,"="&amp;B12)=1,17)</f>
        <v>17</v>
      </c>
      <c r="E12" s="112">
        <f t="shared" si="0"/>
        <v>1</v>
      </c>
      <c r="F12" s="89">
        <f>SUMIFS('体验表-带进度条'!V:V,'体验表-带进度条'!A:A,"="&amp;A12,'体验表-带进度条'!P:P,"="&amp;B12)</f>
        <v>220</v>
      </c>
      <c r="G12" s="112"/>
      <c r="H12" s="112"/>
      <c r="I12" s="112"/>
    </row>
    <row r="13" s="89" customFormat="1" spans="1:9">
      <c r="A13" s="89">
        <f>'体验表-带进度条'!AL10</f>
        <v>3</v>
      </c>
      <c r="B13" s="110">
        <f>'体验表-带进度条'!AM10</f>
        <v>3</v>
      </c>
      <c r="C13" s="111">
        <f>'体验表-带进度条'!AO10</f>
        <v>300</v>
      </c>
      <c r="D13" s="111">
        <f>IF(SUMIFS('体验表-带进度条'!U:U,'体验表-带进度条'!A:A,"="&amp;A13,'体验表-带进度条'!P:P,"="&amp;B13)=1,17)</f>
        <v>17</v>
      </c>
      <c r="E13" s="112">
        <f t="shared" si="0"/>
        <v>1</v>
      </c>
      <c r="F13" s="89">
        <f>SUMIFS('体验表-带进度条'!V:V,'体验表-带进度条'!A:A,"="&amp;A13,'体验表-带进度条'!P:P,"="&amp;B13)</f>
        <v>405</v>
      </c>
      <c r="G13" s="112"/>
      <c r="H13" s="112"/>
      <c r="I13" s="112"/>
    </row>
    <row r="14" s="89" customFormat="1" spans="1:9">
      <c r="A14" s="89">
        <f>'体验表-带进度条'!AL11</f>
        <v>4</v>
      </c>
      <c r="B14" s="110">
        <f>'体验表-带进度条'!AM11</f>
        <v>1</v>
      </c>
      <c r="C14" s="111">
        <f>'体验表-带进度条'!AO11</f>
        <v>50</v>
      </c>
      <c r="D14" s="111">
        <f>IF(SUMIFS('体验表-带进度条'!U:U,'体验表-带进度条'!A:A,"="&amp;A14,'体验表-带进度条'!P:P,"="&amp;B14)=1,17)</f>
        <v>17</v>
      </c>
      <c r="E14" s="112">
        <f t="shared" si="0"/>
        <v>1</v>
      </c>
      <c r="F14" s="89">
        <f>SUMIFS('体验表-带进度条'!V:V,'体验表-带进度条'!A:A,"="&amp;A14,'体验表-带进度条'!P:P,"="&amp;B14)</f>
        <v>110</v>
      </c>
      <c r="G14" s="112"/>
      <c r="H14" s="112"/>
      <c r="I14" s="112"/>
    </row>
    <row r="15" s="89" customFormat="1" spans="1:9">
      <c r="A15" s="89">
        <f>'体验表-带进度条'!AL12</f>
        <v>4</v>
      </c>
      <c r="B15" s="110">
        <f>'体验表-带进度条'!AM12</f>
        <v>2</v>
      </c>
      <c r="C15" s="111">
        <f>'体验表-带进度条'!AO12</f>
        <v>150</v>
      </c>
      <c r="D15" s="111">
        <f>IF(SUMIFS('体验表-带进度条'!U:U,'体验表-带进度条'!A:A,"="&amp;A15,'体验表-带进度条'!P:P,"="&amp;B15)=1,17)</f>
        <v>17</v>
      </c>
      <c r="E15" s="112">
        <f t="shared" si="0"/>
        <v>1</v>
      </c>
      <c r="F15" s="89">
        <f>SUMIFS('体验表-带进度条'!V:V,'体验表-带进度条'!A:A,"="&amp;A15,'体验表-带进度条'!P:P,"="&amp;B15)</f>
        <v>220</v>
      </c>
      <c r="G15" s="112"/>
    </row>
    <row r="16" s="88" customFormat="1" spans="1:9">
      <c r="A16" s="88">
        <f>'体验表-带进度条'!AL13</f>
        <v>4</v>
      </c>
      <c r="B16" s="107">
        <f>'体验表-带进度条'!AM13</f>
        <v>3</v>
      </c>
      <c r="C16" s="108">
        <f>'体验表-带进度条'!AO13</f>
        <v>300</v>
      </c>
      <c r="D16" s="108">
        <f>IF(SUMIFS('体验表-带进度条'!U:U,'体验表-带进度条'!A:A,"="&amp;A16,'体验表-带进度条'!P:P,"="&amp;B16)=1,17)</f>
        <v>17</v>
      </c>
      <c r="E16" s="109">
        <f t="shared" si="0"/>
        <v>1</v>
      </c>
      <c r="F16" s="88">
        <f>SUMIFS('体验表-带进度条'!V:V,'体验表-带进度条'!A:A,"="&amp;A16,'体验表-带进度条'!P:P,"="&amp;B16)</f>
        <v>405</v>
      </c>
      <c r="G16" s="109"/>
      <c r="H16" s="109"/>
      <c r="I16" s="109"/>
    </row>
    <row r="17" s="88" customFormat="1" spans="1:9">
      <c r="A17" s="88">
        <f>'体验表-带进度条'!AL14</f>
        <v>5</v>
      </c>
      <c r="B17" s="107">
        <f>'体验表-带进度条'!AM14</f>
        <v>1</v>
      </c>
      <c r="C17" s="108">
        <f>'体验表-带进度条'!AO14</f>
        <v>50</v>
      </c>
      <c r="D17" s="108">
        <f>IF(SUMIFS('体验表-带进度条'!U:U,'体验表-带进度条'!A:A,"="&amp;A17,'体验表-带进度条'!P:P,"="&amp;B17)=1,17)</f>
        <v>17</v>
      </c>
      <c r="E17" s="109">
        <f t="shared" si="0"/>
        <v>1</v>
      </c>
      <c r="F17" s="88">
        <f>SUMIFS('体验表-带进度条'!V:V,'体验表-带进度条'!A:A,"="&amp;A17,'体验表-带进度条'!P:P,"="&amp;B17)</f>
        <v>110</v>
      </c>
      <c r="G17" s="109"/>
      <c r="H17" s="109"/>
      <c r="I17" s="109"/>
    </row>
    <row r="18" s="88" customFormat="1" spans="1:9">
      <c r="A18" s="88">
        <f>'体验表-带进度条'!AL15</f>
        <v>5</v>
      </c>
      <c r="B18" s="107">
        <f>'体验表-带进度条'!AM15</f>
        <v>2</v>
      </c>
      <c r="C18" s="108">
        <f>'体验表-带进度条'!AO15</f>
        <v>150</v>
      </c>
      <c r="D18" s="108">
        <f>IF(SUMIFS('体验表-带进度条'!U:U,'体验表-带进度条'!A:A,"="&amp;A18,'体验表-带进度条'!P:P,"="&amp;B18)=1,17)</f>
        <v>17</v>
      </c>
      <c r="E18" s="109">
        <f t="shared" si="0"/>
        <v>1</v>
      </c>
      <c r="F18" s="88">
        <f>SUMIFS('体验表-带进度条'!V:V,'体验表-带进度条'!A:A,"="&amp;A18,'体验表-带进度条'!P:P,"="&amp;B18)</f>
        <v>220</v>
      </c>
      <c r="G18" s="109"/>
      <c r="H18" s="109"/>
      <c r="I18" s="109"/>
    </row>
    <row r="19" s="88" customFormat="1" spans="1:9">
      <c r="A19" s="88">
        <f>'体验表-带进度条'!AL16</f>
        <v>5</v>
      </c>
      <c r="B19" s="107">
        <f>'体验表-带进度条'!AM16</f>
        <v>3</v>
      </c>
      <c r="C19" s="108">
        <f>'体验表-带进度条'!AO16</f>
        <v>300</v>
      </c>
      <c r="D19" s="108">
        <f>IF(SUMIFS('体验表-带进度条'!U:U,'体验表-带进度条'!A:A,"="&amp;A19,'体验表-带进度条'!P:P,"="&amp;B19)=1,17)</f>
        <v>17</v>
      </c>
      <c r="E19" s="109">
        <f t="shared" si="0"/>
        <v>1</v>
      </c>
      <c r="F19" s="88">
        <f>SUMIFS('体验表-带进度条'!V:V,'体验表-带进度条'!A:A,"="&amp;A19,'体验表-带进度条'!P:P,"="&amp;B19)</f>
        <v>405</v>
      </c>
      <c r="G19" s="109"/>
      <c r="H19" s="109"/>
      <c r="I19" s="109"/>
    </row>
    <row r="20" s="88" customFormat="1" spans="1:9">
      <c r="A20" s="88">
        <f>'体验表-带进度条'!AL17</f>
        <v>6</v>
      </c>
      <c r="B20" s="107">
        <f>'体验表-带进度条'!AM17</f>
        <v>1</v>
      </c>
      <c r="C20" s="108">
        <f>'体验表-带进度条'!AO17</f>
        <v>50</v>
      </c>
      <c r="D20" s="108">
        <f>IF(SUMIFS('体验表-带进度条'!U:U,'体验表-带进度条'!A:A,"="&amp;A20,'体验表-带进度条'!P:P,"="&amp;B20)=1,17)</f>
        <v>17</v>
      </c>
      <c r="E20" s="109">
        <f t="shared" si="0"/>
        <v>1</v>
      </c>
      <c r="F20" s="88">
        <f>SUMIFS('体验表-带进度条'!V:V,'体验表-带进度条'!A:A,"="&amp;A20,'体验表-带进度条'!P:P,"="&amp;B20)</f>
        <v>110</v>
      </c>
      <c r="G20" s="109"/>
    </row>
    <row r="21" s="89" customFormat="1" spans="1:9">
      <c r="A21" s="89">
        <f>'体验表-带进度条'!AL18</f>
        <v>6</v>
      </c>
      <c r="B21" s="110">
        <f>'体验表-带进度条'!AM18</f>
        <v>2</v>
      </c>
      <c r="C21" s="111">
        <f>'体验表-带进度条'!AO18</f>
        <v>150</v>
      </c>
      <c r="D21" s="111">
        <f>IF(SUMIFS('体验表-带进度条'!U:U,'体验表-带进度条'!A:A,"="&amp;A21,'体验表-带进度条'!P:P,"="&amp;B21)=1,17)</f>
        <v>17</v>
      </c>
      <c r="E21" s="112">
        <f t="shared" si="0"/>
        <v>1</v>
      </c>
      <c r="F21" s="89">
        <f>SUMIFS('体验表-带进度条'!V:V,'体验表-带进度条'!A:A,"="&amp;A21,'体验表-带进度条'!P:P,"="&amp;B21)</f>
        <v>220</v>
      </c>
      <c r="G21" s="112"/>
      <c r="H21" s="112"/>
      <c r="I21" s="112"/>
    </row>
    <row r="22" s="89" customFormat="1" spans="1:9">
      <c r="A22" s="89">
        <f>'体验表-带进度条'!AL19</f>
        <v>6</v>
      </c>
      <c r="B22" s="110">
        <f>'体验表-带进度条'!AM19</f>
        <v>3</v>
      </c>
      <c r="C22" s="111">
        <f>'体验表-带进度条'!AO19</f>
        <v>300</v>
      </c>
      <c r="D22" s="111">
        <f>IF(SUMIFS('体验表-带进度条'!U:U,'体验表-带进度条'!A:A,"="&amp;A22,'体验表-带进度条'!P:P,"="&amp;B22)=1,17)</f>
        <v>17</v>
      </c>
      <c r="E22" s="112">
        <f t="shared" si="0"/>
        <v>1</v>
      </c>
      <c r="F22" s="89">
        <f>SUMIFS('体验表-带进度条'!V:V,'体验表-带进度条'!A:A,"="&amp;A22,'体验表-带进度条'!P:P,"="&amp;B22)</f>
        <v>405</v>
      </c>
      <c r="G22" s="112"/>
      <c r="H22" s="112"/>
      <c r="I22" s="112"/>
    </row>
    <row r="23" s="89" customFormat="1" spans="1:9">
      <c r="A23" s="89">
        <f>'体验表-带进度条'!AL20</f>
        <v>7</v>
      </c>
      <c r="B23" s="110">
        <f>'体验表-带进度条'!AM20</f>
        <v>1</v>
      </c>
      <c r="C23" s="111">
        <f>'体验表-带进度条'!AO20</f>
        <v>50</v>
      </c>
      <c r="D23" s="111">
        <f>IF(SUMIFS('体验表-带进度条'!U:U,'体验表-带进度条'!A:A,"="&amp;A23,'体验表-带进度条'!P:P,"="&amp;B23)=1,17)</f>
        <v>17</v>
      </c>
      <c r="E23" s="112">
        <f t="shared" si="0"/>
        <v>1</v>
      </c>
      <c r="F23" s="89">
        <f>SUMIFS('体验表-带进度条'!V:V,'体验表-带进度条'!A:A,"="&amp;A23,'体验表-带进度条'!P:P,"="&amp;B23)</f>
        <v>110</v>
      </c>
      <c r="G23" s="112"/>
      <c r="H23" s="112"/>
      <c r="I23" s="112"/>
    </row>
    <row r="24" s="89" customFormat="1" spans="1:9">
      <c r="A24" s="89">
        <f>'体验表-带进度条'!AL21</f>
        <v>7</v>
      </c>
      <c r="B24" s="110">
        <f>'体验表-带进度条'!AM21</f>
        <v>2</v>
      </c>
      <c r="C24" s="111">
        <f>'体验表-带进度条'!AO21</f>
        <v>150</v>
      </c>
      <c r="D24" s="111">
        <f>IF(SUMIFS('体验表-带进度条'!U:U,'体验表-带进度条'!A:A,"="&amp;A24,'体验表-带进度条'!P:P,"="&amp;B24)=1,17)</f>
        <v>17</v>
      </c>
      <c r="E24" s="112">
        <f t="shared" si="0"/>
        <v>1</v>
      </c>
      <c r="F24" s="89">
        <f>SUMIFS('体验表-带进度条'!V:V,'体验表-带进度条'!A:A,"="&amp;A24,'体验表-带进度条'!P:P,"="&amp;B24)</f>
        <v>220</v>
      </c>
      <c r="G24" s="112"/>
      <c r="H24" s="112"/>
      <c r="I24" s="112"/>
    </row>
    <row r="25" s="89" customFormat="1" spans="1:9">
      <c r="A25" s="89">
        <f>'体验表-带进度条'!AL22</f>
        <v>7</v>
      </c>
      <c r="B25" s="110">
        <f>'体验表-带进度条'!AM22</f>
        <v>3</v>
      </c>
      <c r="C25" s="111">
        <f>'体验表-带进度条'!AO22</f>
        <v>300</v>
      </c>
      <c r="D25" s="111">
        <f>IF(SUMIFS('体验表-带进度条'!U:U,'体验表-带进度条'!A:A,"="&amp;A25,'体验表-带进度条'!P:P,"="&amp;B25)=1,17)</f>
        <v>17</v>
      </c>
      <c r="E25" s="112">
        <f t="shared" si="0"/>
        <v>1</v>
      </c>
      <c r="F25" s="89">
        <f>SUMIFS('体验表-带进度条'!V:V,'体验表-带进度条'!A:A,"="&amp;A25,'体验表-带进度条'!P:P,"="&amp;B25)</f>
        <v>405</v>
      </c>
      <c r="G25" s="112"/>
    </row>
    <row r="26" s="88" customFormat="1" spans="1:9">
      <c r="A26" s="88">
        <f>'体验表-带进度条'!AL23</f>
        <v>8</v>
      </c>
      <c r="B26" s="107">
        <f>'体验表-带进度条'!AM23</f>
        <v>1</v>
      </c>
      <c r="C26" s="108">
        <f>'体验表-带进度条'!AO23</f>
        <v>50</v>
      </c>
      <c r="D26" s="108">
        <f>IF(SUMIFS('体验表-带进度条'!U:U,'体验表-带进度条'!A:A,"="&amp;A26,'体验表-带进度条'!P:P,"="&amp;B26)=1,17)</f>
        <v>17</v>
      </c>
      <c r="E26" s="109">
        <f t="shared" si="0"/>
        <v>1</v>
      </c>
      <c r="F26" s="88">
        <f>SUMIFS('体验表-带进度条'!V:V,'体验表-带进度条'!A:A,"="&amp;A26,'体验表-带进度条'!P:P,"="&amp;B26)</f>
        <v>110</v>
      </c>
      <c r="G26" s="109"/>
      <c r="H26" s="109"/>
      <c r="I26" s="109"/>
    </row>
    <row r="27" s="88" customFormat="1" spans="1:9">
      <c r="A27" s="88">
        <f>'体验表-带进度条'!AL24</f>
        <v>8</v>
      </c>
      <c r="B27" s="107">
        <f>'体验表-带进度条'!AM24</f>
        <v>2</v>
      </c>
      <c r="C27" s="108">
        <f>'体验表-带进度条'!AO24</f>
        <v>150</v>
      </c>
      <c r="D27" s="108">
        <f>IF(SUMIFS('体验表-带进度条'!U:U,'体验表-带进度条'!A:A,"="&amp;A27,'体验表-带进度条'!P:P,"="&amp;B27)=1,17)</f>
        <v>17</v>
      </c>
      <c r="E27" s="109">
        <f t="shared" si="0"/>
        <v>1</v>
      </c>
      <c r="F27" s="88">
        <f>SUMIFS('体验表-带进度条'!V:V,'体验表-带进度条'!A:A,"="&amp;A27,'体验表-带进度条'!P:P,"="&amp;B27)</f>
        <v>220</v>
      </c>
      <c r="G27" s="109"/>
      <c r="H27" s="109"/>
      <c r="I27" s="109"/>
    </row>
    <row r="28" s="88" customFormat="1" spans="1:9">
      <c r="A28" s="88">
        <f>'体验表-带进度条'!AL25</f>
        <v>8</v>
      </c>
      <c r="B28" s="107">
        <f>'体验表-带进度条'!AM25</f>
        <v>3</v>
      </c>
      <c r="C28" s="108">
        <f>'体验表-带进度条'!AO25</f>
        <v>300</v>
      </c>
      <c r="D28" s="108">
        <f>IF(SUMIFS('体验表-带进度条'!U:U,'体验表-带进度条'!A:A,"="&amp;A28,'体验表-带进度条'!P:P,"="&amp;B28)=1,17)</f>
        <v>17</v>
      </c>
      <c r="E28" s="109">
        <f t="shared" si="0"/>
        <v>1</v>
      </c>
      <c r="F28" s="88">
        <f>SUMIFS('体验表-带进度条'!V:V,'体验表-带进度条'!A:A,"="&amp;A28,'体验表-带进度条'!P:P,"="&amp;B28)</f>
        <v>405</v>
      </c>
      <c r="G28" s="109"/>
      <c r="H28" s="109"/>
      <c r="I28" s="109"/>
    </row>
    <row r="29" s="88" customFormat="1" spans="1:9">
      <c r="A29" s="88">
        <f>'体验表-带进度条'!AL26</f>
        <v>9</v>
      </c>
      <c r="B29" s="107">
        <f>'体验表-带进度条'!AM26</f>
        <v>1</v>
      </c>
      <c r="C29" s="108">
        <f>'体验表-带进度条'!AO26</f>
        <v>50</v>
      </c>
      <c r="D29" s="108">
        <f>IF(SUMIFS('体验表-带进度条'!U:U,'体验表-带进度条'!A:A,"="&amp;A29,'体验表-带进度条'!P:P,"="&amp;B29)=1,17)</f>
        <v>17</v>
      </c>
      <c r="E29" s="109">
        <f t="shared" si="0"/>
        <v>1</v>
      </c>
      <c r="F29" s="88">
        <f>SUMIFS('体验表-带进度条'!V:V,'体验表-带进度条'!A:A,"="&amp;A29,'体验表-带进度条'!P:P,"="&amp;B29)</f>
        <v>110</v>
      </c>
      <c r="G29" s="109"/>
      <c r="H29" s="109"/>
      <c r="I29" s="109"/>
    </row>
    <row r="30" s="88" customFormat="1" spans="1:9">
      <c r="A30" s="88">
        <f>'体验表-带进度条'!AL27</f>
        <v>9</v>
      </c>
      <c r="B30" s="107">
        <f>'体验表-带进度条'!AM27</f>
        <v>2</v>
      </c>
      <c r="C30" s="108">
        <f>'体验表-带进度条'!AO27</f>
        <v>150</v>
      </c>
      <c r="D30" s="108">
        <f>IF(SUMIFS('体验表-带进度条'!U:U,'体验表-带进度条'!A:A,"="&amp;A30,'体验表-带进度条'!P:P,"="&amp;B30)=1,17)</f>
        <v>17</v>
      </c>
      <c r="E30" s="109">
        <f t="shared" si="0"/>
        <v>1</v>
      </c>
      <c r="F30" s="88">
        <f>SUMIFS('体验表-带进度条'!V:V,'体验表-带进度条'!A:A,"="&amp;A30,'体验表-带进度条'!P:P,"="&amp;B30)</f>
        <v>220</v>
      </c>
      <c r="G30" s="109"/>
    </row>
    <row r="31" s="89" customFormat="1" spans="1:9">
      <c r="A31" s="89">
        <f>'体验表-带进度条'!AL28</f>
        <v>9</v>
      </c>
      <c r="B31" s="110">
        <f>'体验表-带进度条'!AM28</f>
        <v>3</v>
      </c>
      <c r="C31" s="111">
        <f>'体验表-带进度条'!AO28</f>
        <v>300</v>
      </c>
      <c r="D31" s="111">
        <f>IF(SUMIFS('体验表-带进度条'!U:U,'体验表-带进度条'!A:A,"="&amp;A31,'体验表-带进度条'!P:P,"="&amp;B31)=1,17)</f>
        <v>17</v>
      </c>
      <c r="E31" s="112">
        <f t="shared" si="0"/>
        <v>1</v>
      </c>
      <c r="F31" s="89">
        <f>SUMIFS('体验表-带进度条'!V:V,'体验表-带进度条'!A:A,"="&amp;A31,'体验表-带进度条'!P:P,"="&amp;B31)</f>
        <v>405</v>
      </c>
      <c r="G31" s="112"/>
      <c r="H31" s="112"/>
      <c r="I31" s="112"/>
    </row>
    <row r="32" s="89" customFormat="1" spans="1:9">
      <c r="A32" s="89">
        <f>'体验表-带进度条'!AL29</f>
        <v>10</v>
      </c>
      <c r="B32" s="110">
        <f>'体验表-带进度条'!AM29</f>
        <v>1</v>
      </c>
      <c r="C32" s="111">
        <f>'体验表-带进度条'!AO29</f>
        <v>50</v>
      </c>
      <c r="D32" s="111">
        <f>IF(SUMIFS('体验表-带进度条'!U:U,'体验表-带进度条'!A:A,"="&amp;A32,'体验表-带进度条'!P:P,"="&amp;B32)=1,17)</f>
        <v>17</v>
      </c>
      <c r="E32" s="112">
        <f t="shared" si="0"/>
        <v>1</v>
      </c>
      <c r="F32" s="89">
        <f>SUMIFS('体验表-带进度条'!V:V,'体验表-带进度条'!A:A,"="&amp;A32,'体验表-带进度条'!P:P,"="&amp;B32)</f>
        <v>110</v>
      </c>
      <c r="G32" s="112"/>
      <c r="H32" s="112"/>
      <c r="I32" s="112"/>
    </row>
    <row r="33" s="89" customFormat="1" spans="1:9">
      <c r="A33" s="89">
        <f>'体验表-带进度条'!AL30</f>
        <v>10</v>
      </c>
      <c r="B33" s="110">
        <f>'体验表-带进度条'!AM30</f>
        <v>2</v>
      </c>
      <c r="C33" s="111">
        <f>'体验表-带进度条'!AO30</f>
        <v>150</v>
      </c>
      <c r="D33" s="111">
        <f>IF(SUMIFS('体验表-带进度条'!U:U,'体验表-带进度条'!A:A,"="&amp;A33,'体验表-带进度条'!P:P,"="&amp;B33)=1,17)</f>
        <v>17</v>
      </c>
      <c r="E33" s="112">
        <f t="shared" si="0"/>
        <v>1</v>
      </c>
      <c r="F33" s="89">
        <f>SUMIFS('体验表-带进度条'!V:V,'体验表-带进度条'!A:A,"="&amp;A33,'体验表-带进度条'!P:P,"="&amp;B33)</f>
        <v>220</v>
      </c>
      <c r="G33" s="112"/>
      <c r="H33" s="112"/>
      <c r="I33" s="112"/>
    </row>
    <row r="34" s="89" customFormat="1" spans="1:9">
      <c r="A34" s="89">
        <f>'体验表-带进度条'!AL31</f>
        <v>10</v>
      </c>
      <c r="B34" s="110">
        <f>'体验表-带进度条'!AM31</f>
        <v>3</v>
      </c>
      <c r="C34" s="111">
        <f>'体验表-带进度条'!AO31</f>
        <v>300</v>
      </c>
      <c r="D34" s="111">
        <f>IF(SUMIFS('体验表-带进度条'!U:U,'体验表-带进度条'!A:A,"="&amp;A34,'体验表-带进度条'!P:P,"="&amp;B34)=1,17)</f>
        <v>17</v>
      </c>
      <c r="E34" s="112">
        <f t="shared" si="0"/>
        <v>1</v>
      </c>
      <c r="F34" s="89">
        <f>SUMIFS('体验表-带进度条'!V:V,'体验表-带进度条'!A:A,"="&amp;A34,'体验表-带进度条'!P:P,"="&amp;B34)</f>
        <v>405</v>
      </c>
      <c r="G34" s="112"/>
      <c r="H34" s="112"/>
      <c r="I34" s="112"/>
    </row>
    <row r="35" s="89" customFormat="1" spans="1:9">
      <c r="A35" s="89">
        <f>'体验表-带进度条'!AL32</f>
        <v>11</v>
      </c>
      <c r="B35" s="110">
        <f>'体验表-带进度条'!AM32</f>
        <v>1</v>
      </c>
      <c r="C35" s="111">
        <f>'体验表-带进度条'!AO32</f>
        <v>50</v>
      </c>
      <c r="D35" s="111">
        <f>IF(SUMIFS('体验表-带进度条'!U:U,'体验表-带进度条'!A:A,"="&amp;A35,'体验表-带进度条'!P:P,"="&amp;B35)=1,17)</f>
        <v>17</v>
      </c>
      <c r="E35" s="112">
        <f t="shared" si="0"/>
        <v>1</v>
      </c>
      <c r="F35" s="89">
        <f>SUMIFS('体验表-带进度条'!V:V,'体验表-带进度条'!A:A,"="&amp;A35,'体验表-带进度条'!P:P,"="&amp;B35)</f>
        <v>110</v>
      </c>
      <c r="G35" s="112"/>
    </row>
    <row r="36" s="88" customFormat="1" spans="1:9">
      <c r="A36" s="88">
        <f>'体验表-带进度条'!AL33</f>
        <v>11</v>
      </c>
      <c r="B36" s="107">
        <f>'体验表-带进度条'!AM33</f>
        <v>2</v>
      </c>
      <c r="C36" s="108">
        <f>'体验表-带进度条'!AO33</f>
        <v>150</v>
      </c>
      <c r="D36" s="108">
        <f>IF(SUMIFS('体验表-带进度条'!U:U,'体验表-带进度条'!A:A,"="&amp;A36,'体验表-带进度条'!P:P,"="&amp;B36)=1,17)</f>
        <v>17</v>
      </c>
      <c r="E36" s="109">
        <f t="shared" si="0"/>
        <v>1</v>
      </c>
      <c r="F36" s="88">
        <f>SUMIFS('体验表-带进度条'!V:V,'体验表-带进度条'!A:A,"="&amp;A36,'体验表-带进度条'!P:P,"="&amp;B36)</f>
        <v>220</v>
      </c>
      <c r="G36" s="109"/>
      <c r="H36" s="109"/>
      <c r="I36" s="109"/>
    </row>
    <row r="37" s="88" customFormat="1" spans="1:9">
      <c r="A37" s="88">
        <f>'体验表-带进度条'!AL34</f>
        <v>11</v>
      </c>
      <c r="B37" s="107">
        <f>'体验表-带进度条'!AM34</f>
        <v>3</v>
      </c>
      <c r="C37" s="108">
        <f>'体验表-带进度条'!AO34</f>
        <v>300</v>
      </c>
      <c r="D37" s="108">
        <f>IF(SUMIFS('体验表-带进度条'!U:U,'体验表-带进度条'!A:A,"="&amp;A37,'体验表-带进度条'!P:P,"="&amp;B37)=1,17)</f>
        <v>17</v>
      </c>
      <c r="E37" s="109">
        <f t="shared" si="0"/>
        <v>1</v>
      </c>
      <c r="F37" s="88">
        <f>SUMIFS('体验表-带进度条'!V:V,'体验表-带进度条'!A:A,"="&amp;A37,'体验表-带进度条'!P:P,"="&amp;B37)</f>
        <v>405</v>
      </c>
      <c r="G37" s="109"/>
      <c r="H37" s="109"/>
      <c r="I37" s="109"/>
    </row>
  </sheetData>
  <conditionalFormatting sqref="F6">
    <cfRule type="duplicateValues" dxfId="1" priority="104"/>
    <cfRule type="duplicateValues" dxfId="0" priority="103"/>
  </conditionalFormatting>
  <conditionalFormatting sqref="F7">
    <cfRule type="duplicateValues" dxfId="1" priority="102"/>
    <cfRule type="duplicateValues" dxfId="0" priority="101"/>
  </conditionalFormatting>
  <conditionalFormatting sqref="F8">
    <cfRule type="duplicateValues" dxfId="0" priority="99"/>
    <cfRule type="duplicateValues" dxfId="1" priority="100"/>
  </conditionalFormatting>
  <conditionalFormatting sqref="F9">
    <cfRule type="duplicateValues" dxfId="0" priority="93"/>
    <cfRule type="duplicateValues" dxfId="1" priority="94"/>
  </conditionalFormatting>
  <conditionalFormatting sqref="F10">
    <cfRule type="duplicateValues" dxfId="0" priority="91"/>
    <cfRule type="duplicateValues" dxfId="1" priority="92"/>
  </conditionalFormatting>
  <conditionalFormatting sqref="F11">
    <cfRule type="duplicateValues" dxfId="0" priority="89"/>
    <cfRule type="duplicateValues" dxfId="1" priority="90"/>
  </conditionalFormatting>
  <conditionalFormatting sqref="F12">
    <cfRule type="duplicateValues" dxfId="0" priority="83"/>
    <cfRule type="duplicateValues" dxfId="1" priority="84"/>
  </conditionalFormatting>
  <conditionalFormatting sqref="F13">
    <cfRule type="duplicateValues" dxfId="0" priority="81"/>
    <cfRule type="duplicateValues" dxfId="1" priority="82"/>
  </conditionalFormatting>
  <conditionalFormatting sqref="F14">
    <cfRule type="duplicateValues" dxfId="0" priority="87"/>
    <cfRule type="duplicateValues" dxfId="1" priority="88"/>
  </conditionalFormatting>
  <conditionalFormatting sqref="F15">
    <cfRule type="duplicateValues" dxfId="0" priority="85"/>
    <cfRule type="duplicateValues" dxfId="1" priority="86"/>
  </conditionalFormatting>
  <conditionalFormatting sqref="F16">
    <cfRule type="duplicateValues" dxfId="0" priority="79"/>
    <cfRule type="duplicateValues" dxfId="1" priority="80"/>
  </conditionalFormatting>
  <conditionalFormatting sqref="F17">
    <cfRule type="duplicateValues" dxfId="0" priority="73"/>
    <cfRule type="duplicateValues" dxfId="1" priority="74"/>
  </conditionalFormatting>
  <conditionalFormatting sqref="F18">
    <cfRule type="duplicateValues" dxfId="0" priority="71"/>
    <cfRule type="duplicateValues" dxfId="1" priority="72"/>
  </conditionalFormatting>
  <conditionalFormatting sqref="F19">
    <cfRule type="duplicateValues" dxfId="0" priority="77"/>
    <cfRule type="duplicateValues" dxfId="1" priority="78"/>
  </conditionalFormatting>
  <conditionalFormatting sqref="F20">
    <cfRule type="duplicateValues" dxfId="0" priority="75"/>
    <cfRule type="duplicateValues" dxfId="1" priority="76"/>
  </conditionalFormatting>
  <conditionalFormatting sqref="F21">
    <cfRule type="duplicateValues" dxfId="0" priority="69"/>
    <cfRule type="duplicateValues" dxfId="1" priority="70"/>
  </conditionalFormatting>
  <conditionalFormatting sqref="F22">
    <cfRule type="duplicateValues" dxfId="0" priority="63"/>
    <cfRule type="duplicateValues" dxfId="1" priority="64"/>
  </conditionalFormatting>
  <conditionalFormatting sqref="F23">
    <cfRule type="duplicateValues" dxfId="0" priority="61"/>
    <cfRule type="duplicateValues" dxfId="1" priority="62"/>
  </conditionalFormatting>
  <conditionalFormatting sqref="F24">
    <cfRule type="duplicateValues" dxfId="0" priority="67"/>
    <cfRule type="duplicateValues" dxfId="1" priority="68"/>
  </conditionalFormatting>
  <conditionalFormatting sqref="F25">
    <cfRule type="duplicateValues" dxfId="0" priority="65"/>
    <cfRule type="duplicateValues" dxfId="1" priority="66"/>
  </conditionalFormatting>
  <conditionalFormatting sqref="F26">
    <cfRule type="duplicateValues" dxfId="0" priority="59"/>
    <cfRule type="duplicateValues" dxfId="1" priority="60"/>
  </conditionalFormatting>
  <conditionalFormatting sqref="F27">
    <cfRule type="duplicateValues" dxfId="0" priority="53"/>
    <cfRule type="duplicateValues" dxfId="1" priority="54"/>
  </conditionalFormatting>
  <conditionalFormatting sqref="F28">
    <cfRule type="duplicateValues" dxfId="0" priority="51"/>
    <cfRule type="duplicateValues" dxfId="1" priority="52"/>
  </conditionalFormatting>
  <conditionalFormatting sqref="F29">
    <cfRule type="duplicateValues" dxfId="0" priority="57"/>
    <cfRule type="duplicateValues" dxfId="1" priority="58"/>
  </conditionalFormatting>
  <conditionalFormatting sqref="F30">
    <cfRule type="duplicateValues" dxfId="0" priority="55"/>
    <cfRule type="duplicateValues" dxfId="1" priority="56"/>
  </conditionalFormatting>
  <conditionalFormatting sqref="F31">
    <cfRule type="duplicateValues" dxfId="0" priority="49"/>
    <cfRule type="duplicateValues" dxfId="1" priority="50"/>
  </conditionalFormatting>
  <conditionalFormatting sqref="F32">
    <cfRule type="duplicateValues" dxfId="0" priority="43"/>
    <cfRule type="duplicateValues" dxfId="1" priority="44"/>
  </conditionalFormatting>
  <conditionalFormatting sqref="F33">
    <cfRule type="duplicateValues" dxfId="0" priority="41"/>
    <cfRule type="duplicateValues" dxfId="1" priority="42"/>
  </conditionalFormatting>
  <conditionalFormatting sqref="F34">
    <cfRule type="duplicateValues" dxfId="0" priority="47"/>
    <cfRule type="duplicateValues" dxfId="1" priority="48"/>
  </conditionalFormatting>
  <conditionalFormatting sqref="F35">
    <cfRule type="duplicateValues" dxfId="0" priority="45"/>
    <cfRule type="duplicateValues" dxfId="1" priority="46"/>
  </conditionalFormatting>
  <conditionalFormatting sqref="F36">
    <cfRule type="duplicateValues" dxfId="0" priority="39"/>
    <cfRule type="duplicateValues" dxfId="1" priority="40"/>
  </conditionalFormatting>
  <conditionalFormatting sqref="F37">
    <cfRule type="duplicateValues" dxfId="0" priority="33"/>
    <cfRule type="duplicateValues" dxfId="1" priority="34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0"/>
  <sheetViews>
    <sheetView topLeftCell="A28" workbookViewId="0">
      <selection activeCell="A1" sqref="A1"/>
    </sheetView>
  </sheetViews>
  <sheetFormatPr defaultColWidth="9" defaultRowHeight="13.5" outlineLevelCol="2"/>
  <cols>
    <col min="2" max="2" width="29.875" customWidth="1"/>
    <col min="3" max="3" width="14.875" customWidth="1"/>
  </cols>
  <sheetData>
    <row r="1" spans="1:3">
      <c r="A1" t="s">
        <v>54</v>
      </c>
      <c r="B1" t="s">
        <v>55</v>
      </c>
      <c r="C1" t="s">
        <v>56</v>
      </c>
    </row>
    <row r="2" spans="1:3">
      <c r="A2" t="s">
        <v>57</v>
      </c>
      <c r="B2" t="s">
        <v>35</v>
      </c>
      <c r="C2" t="s">
        <v>58</v>
      </c>
    </row>
    <row r="3" spans="1:3">
      <c r="A3" t="s">
        <v>38</v>
      </c>
      <c r="B3" t="s">
        <v>59</v>
      </c>
      <c r="C3" t="s">
        <v>38</v>
      </c>
    </row>
    <row r="4" spans="1:3">
      <c r="A4" t="s">
        <v>60</v>
      </c>
      <c r="B4" t="s">
        <v>61</v>
      </c>
      <c r="C4" t="s">
        <v>62</v>
      </c>
    </row>
    <row r="5" spans="1:3">
      <c r="A5" t="s">
        <v>63</v>
      </c>
      <c r="B5" s="78"/>
      <c r="C5">
        <v>1</v>
      </c>
    </row>
    <row r="6" spans="1:3">
      <c r="A6" t="s">
        <v>64</v>
      </c>
      <c r="B6" s="78"/>
      <c r="C6">
        <v>2</v>
      </c>
    </row>
    <row r="7" spans="1:3">
      <c r="A7" t="s">
        <v>65</v>
      </c>
      <c r="B7" s="78"/>
      <c r="C7">
        <v>3</v>
      </c>
    </row>
    <row r="8" spans="1:3">
      <c r="A8" t="s">
        <v>66</v>
      </c>
      <c r="B8" t="s">
        <v>67</v>
      </c>
      <c r="C8">
        <v>30088</v>
      </c>
    </row>
    <row r="9" spans="1:3">
      <c r="A9" t="s">
        <v>68</v>
      </c>
      <c r="B9" t="s">
        <v>69</v>
      </c>
      <c r="C9">
        <v>30089</v>
      </c>
    </row>
    <row r="10" spans="1:3">
      <c r="A10" t="s">
        <v>70</v>
      </c>
      <c r="B10" t="s">
        <v>71</v>
      </c>
      <c r="C10">
        <v>30090</v>
      </c>
    </row>
    <row r="11" spans="1:3">
      <c r="A11" t="s">
        <v>72</v>
      </c>
      <c r="B11" t="s">
        <v>73</v>
      </c>
      <c r="C11">
        <v>30091</v>
      </c>
    </row>
    <row r="12" spans="1:3">
      <c r="A12" t="s">
        <v>74</v>
      </c>
      <c r="B12" t="s">
        <v>75</v>
      </c>
      <c r="C12">
        <v>30092</v>
      </c>
    </row>
    <row r="13" spans="1:3">
      <c r="A13" t="s">
        <v>76</v>
      </c>
      <c r="B13" t="s">
        <v>77</v>
      </c>
      <c r="C13">
        <v>30093</v>
      </c>
    </row>
    <row r="14" spans="1:3">
      <c r="A14" t="s">
        <v>78</v>
      </c>
      <c r="B14" t="s">
        <v>79</v>
      </c>
      <c r="C14">
        <v>30094</v>
      </c>
    </row>
    <row r="15" spans="1:3">
      <c r="A15" t="s">
        <v>80</v>
      </c>
      <c r="B15" t="s">
        <v>81</v>
      </c>
      <c r="C15">
        <v>30101</v>
      </c>
    </row>
    <row r="16" spans="1:3">
      <c r="A16" t="s">
        <v>82</v>
      </c>
      <c r="B16" t="s">
        <v>83</v>
      </c>
      <c r="C16">
        <v>30102</v>
      </c>
    </row>
    <row r="17" spans="1:3">
      <c r="A17" t="s">
        <v>84</v>
      </c>
      <c r="B17" t="s">
        <v>85</v>
      </c>
      <c r="C17">
        <v>30103</v>
      </c>
    </row>
    <row r="18" spans="1:3">
      <c r="A18" t="s">
        <v>86</v>
      </c>
      <c r="B18" t="s">
        <v>87</v>
      </c>
      <c r="C18">
        <v>30104</v>
      </c>
    </row>
    <row r="19" spans="1:3">
      <c r="A19" t="s">
        <v>88</v>
      </c>
      <c r="B19" t="s">
        <v>89</v>
      </c>
      <c r="C19">
        <v>30105</v>
      </c>
    </row>
    <row r="20" spans="1:3">
      <c r="A20" t="s">
        <v>90</v>
      </c>
      <c r="B20" t="s">
        <v>91</v>
      </c>
      <c r="C20">
        <v>30106</v>
      </c>
    </row>
    <row r="21" spans="1:3">
      <c r="A21" t="s">
        <v>92</v>
      </c>
      <c r="B21" t="s">
        <v>93</v>
      </c>
      <c r="C21">
        <v>30107</v>
      </c>
    </row>
    <row r="22" spans="1:3">
      <c r="A22" t="s">
        <v>94</v>
      </c>
      <c r="B22" t="s">
        <v>95</v>
      </c>
      <c r="C22">
        <v>30108</v>
      </c>
    </row>
    <row r="23" spans="1:3">
      <c r="A23" t="s">
        <v>96</v>
      </c>
      <c r="B23" t="s">
        <v>97</v>
      </c>
      <c r="C23">
        <v>30109</v>
      </c>
    </row>
    <row r="24" spans="1:3">
      <c r="A24" t="s">
        <v>98</v>
      </c>
      <c r="B24" t="s">
        <v>99</v>
      </c>
      <c r="C24">
        <v>30110</v>
      </c>
    </row>
    <row r="25" spans="1:3">
      <c r="A25" t="s">
        <v>100</v>
      </c>
      <c r="B25" t="s">
        <v>101</v>
      </c>
      <c r="C25">
        <v>30111</v>
      </c>
    </row>
    <row r="26" spans="1:3">
      <c r="A26" t="s">
        <v>102</v>
      </c>
      <c r="B26" t="s">
        <v>103</v>
      </c>
      <c r="C26">
        <v>30112</v>
      </c>
    </row>
    <row r="27" spans="1:3">
      <c r="A27" t="s">
        <v>104</v>
      </c>
      <c r="B27" t="s">
        <v>105</v>
      </c>
      <c r="C27">
        <v>30113</v>
      </c>
    </row>
    <row r="28" spans="1:3">
      <c r="A28" t="s">
        <v>106</v>
      </c>
      <c r="B28" t="s">
        <v>107</v>
      </c>
      <c r="C28">
        <v>30114</v>
      </c>
    </row>
    <row r="29" spans="1:3">
      <c r="A29" t="s">
        <v>108</v>
      </c>
      <c r="B29" t="s">
        <v>109</v>
      </c>
      <c r="C29">
        <v>110001</v>
      </c>
    </row>
    <row r="30" spans="1:3">
      <c r="A30" t="s">
        <v>110</v>
      </c>
      <c r="B30" t="s">
        <v>111</v>
      </c>
      <c r="C30">
        <v>110002</v>
      </c>
    </row>
    <row r="31" spans="1:3">
      <c r="A31" t="s">
        <v>112</v>
      </c>
      <c r="B31" t="s">
        <v>113</v>
      </c>
      <c r="C31">
        <v>110003</v>
      </c>
    </row>
    <row r="32" spans="1:3">
      <c r="A32" t="s">
        <v>114</v>
      </c>
      <c r="B32" t="s">
        <v>115</v>
      </c>
      <c r="C32">
        <v>120001</v>
      </c>
    </row>
    <row r="33" spans="1:3">
      <c r="A33" t="s">
        <v>116</v>
      </c>
      <c r="B33" t="s">
        <v>117</v>
      </c>
      <c r="C33">
        <v>120002</v>
      </c>
    </row>
    <row r="34" spans="1:3">
      <c r="A34" t="s">
        <v>118</v>
      </c>
      <c r="B34" t="s">
        <v>119</v>
      </c>
      <c r="C34">
        <v>120003</v>
      </c>
    </row>
    <row r="35" spans="1:3">
      <c r="A35" t="s">
        <v>120</v>
      </c>
      <c r="B35" t="s">
        <v>121</v>
      </c>
      <c r="C35">
        <v>120004</v>
      </c>
    </row>
    <row r="36" spans="1:3">
      <c r="A36" t="s">
        <v>122</v>
      </c>
      <c r="B36" t="s">
        <v>123</v>
      </c>
      <c r="C36">
        <v>120005</v>
      </c>
    </row>
    <row r="37" spans="1:3">
      <c r="A37" t="s">
        <v>124</v>
      </c>
      <c r="B37" t="s">
        <v>125</v>
      </c>
      <c r="C37">
        <v>120006</v>
      </c>
    </row>
    <row r="38" spans="1:3">
      <c r="A38" t="s">
        <v>126</v>
      </c>
      <c r="B38" t="s">
        <v>127</v>
      </c>
      <c r="C38">
        <v>120007</v>
      </c>
    </row>
    <row r="39" spans="1:3">
      <c r="A39" t="s">
        <v>128</v>
      </c>
      <c r="B39" t="s">
        <v>129</v>
      </c>
      <c r="C39">
        <v>190001</v>
      </c>
    </row>
    <row r="40" spans="1:3">
      <c r="A40" t="s">
        <v>130</v>
      </c>
      <c r="B40" t="s">
        <v>131</v>
      </c>
      <c r="C40">
        <v>190002</v>
      </c>
    </row>
    <row r="41" spans="1:3">
      <c r="A41" t="s">
        <v>132</v>
      </c>
      <c r="B41" t="s">
        <v>133</v>
      </c>
      <c r="C41">
        <v>10001</v>
      </c>
    </row>
    <row r="42" spans="1:3">
      <c r="A42" t="s">
        <v>134</v>
      </c>
      <c r="B42" t="s">
        <v>135</v>
      </c>
      <c r="C42">
        <v>10002</v>
      </c>
    </row>
    <row r="43" spans="1:3">
      <c r="A43" t="s">
        <v>136</v>
      </c>
      <c r="B43" t="s">
        <v>137</v>
      </c>
      <c r="C43">
        <v>10003</v>
      </c>
    </row>
    <row r="44" spans="1:3">
      <c r="A44" t="s">
        <v>138</v>
      </c>
      <c r="B44" t="s">
        <v>139</v>
      </c>
      <c r="C44">
        <v>10004</v>
      </c>
    </row>
    <row r="45" spans="1:3">
      <c r="A45" t="s">
        <v>140</v>
      </c>
      <c r="B45" t="s">
        <v>141</v>
      </c>
      <c r="C45">
        <v>10005</v>
      </c>
    </row>
    <row r="46" spans="1:3">
      <c r="A46" t="s">
        <v>142</v>
      </c>
      <c r="B46" s="78"/>
      <c r="C46">
        <v>10006</v>
      </c>
    </row>
    <row r="47" spans="1:3">
      <c r="A47" t="s">
        <v>143</v>
      </c>
      <c r="B47" t="s">
        <v>144</v>
      </c>
      <c r="C47">
        <v>10007</v>
      </c>
    </row>
    <row r="48" spans="1:3">
      <c r="A48" t="s">
        <v>145</v>
      </c>
      <c r="B48" t="s">
        <v>146</v>
      </c>
      <c r="C48">
        <v>10008</v>
      </c>
    </row>
    <row r="49" spans="1:3">
      <c r="A49" t="s">
        <v>147</v>
      </c>
      <c r="B49" t="s">
        <v>148</v>
      </c>
      <c r="C49">
        <v>10009</v>
      </c>
    </row>
    <row r="50" spans="1:3">
      <c r="A50" t="s">
        <v>149</v>
      </c>
      <c r="B50" t="s">
        <v>150</v>
      </c>
      <c r="C50">
        <v>10010</v>
      </c>
    </row>
    <row r="51" spans="1:3">
      <c r="A51" t="s">
        <v>151</v>
      </c>
      <c r="B51" t="s">
        <v>152</v>
      </c>
      <c r="C51">
        <v>20002</v>
      </c>
    </row>
    <row r="52" spans="1:3">
      <c r="A52" t="s">
        <v>153</v>
      </c>
      <c r="B52" t="s">
        <v>154</v>
      </c>
      <c r="C52">
        <v>20003</v>
      </c>
    </row>
    <row r="53" spans="1:3">
      <c r="A53" t="s">
        <v>155</v>
      </c>
      <c r="B53" t="s">
        <v>156</v>
      </c>
      <c r="C53">
        <v>20005</v>
      </c>
    </row>
    <row r="54" spans="1:3">
      <c r="A54" t="s">
        <v>157</v>
      </c>
      <c r="B54" t="s">
        <v>158</v>
      </c>
      <c r="C54">
        <v>20022</v>
      </c>
    </row>
    <row r="55" spans="1:3">
      <c r="A55" t="s">
        <v>159</v>
      </c>
      <c r="B55" t="s">
        <v>160</v>
      </c>
      <c r="C55">
        <v>20023</v>
      </c>
    </row>
    <row r="56" spans="1:3">
      <c r="A56" t="s">
        <v>161</v>
      </c>
      <c r="B56" t="s">
        <v>162</v>
      </c>
      <c r="C56">
        <v>20101</v>
      </c>
    </row>
    <row r="57" spans="1:3">
      <c r="A57" t="s">
        <v>163</v>
      </c>
      <c r="B57" t="s">
        <v>164</v>
      </c>
      <c r="C57">
        <v>30001</v>
      </c>
    </row>
    <row r="58" spans="1:3">
      <c r="A58" t="s">
        <v>163</v>
      </c>
      <c r="B58" t="s">
        <v>164</v>
      </c>
      <c r="C58">
        <v>30002</v>
      </c>
    </row>
    <row r="59" spans="1:3">
      <c r="A59" t="s">
        <v>163</v>
      </c>
      <c r="B59" t="s">
        <v>164</v>
      </c>
      <c r="C59">
        <v>30003</v>
      </c>
    </row>
    <row r="60" spans="1:3">
      <c r="A60" t="s">
        <v>163</v>
      </c>
      <c r="B60" t="s">
        <v>164</v>
      </c>
      <c r="C60">
        <v>30004</v>
      </c>
    </row>
    <row r="61" spans="1:3">
      <c r="A61" t="s">
        <v>163</v>
      </c>
      <c r="B61" t="s">
        <v>164</v>
      </c>
      <c r="C61">
        <v>30005</v>
      </c>
    </row>
    <row r="62" spans="1:3">
      <c r="A62" t="s">
        <v>165</v>
      </c>
      <c r="B62" t="s">
        <v>164</v>
      </c>
      <c r="C62">
        <v>30006</v>
      </c>
    </row>
    <row r="63" spans="1:3">
      <c r="A63" t="s">
        <v>165</v>
      </c>
      <c r="B63" t="s">
        <v>164</v>
      </c>
      <c r="C63">
        <v>30007</v>
      </c>
    </row>
    <row r="64" spans="1:3">
      <c r="A64" t="s">
        <v>165</v>
      </c>
      <c r="B64" t="s">
        <v>164</v>
      </c>
      <c r="C64">
        <v>30008</v>
      </c>
    </row>
    <row r="65" spans="1:3">
      <c r="A65" t="s">
        <v>165</v>
      </c>
      <c r="B65" t="s">
        <v>164</v>
      </c>
      <c r="C65">
        <v>30009</v>
      </c>
    </row>
    <row r="66" spans="1:3">
      <c r="A66" t="s">
        <v>165</v>
      </c>
      <c r="B66" t="s">
        <v>164</v>
      </c>
      <c r="C66">
        <v>30010</v>
      </c>
    </row>
    <row r="67" spans="1:3">
      <c r="A67" t="s">
        <v>166</v>
      </c>
      <c r="B67" t="s">
        <v>164</v>
      </c>
      <c r="C67">
        <v>30011</v>
      </c>
    </row>
    <row r="68" spans="1:3">
      <c r="A68" t="s">
        <v>166</v>
      </c>
      <c r="B68" t="s">
        <v>164</v>
      </c>
      <c r="C68">
        <v>30012</v>
      </c>
    </row>
    <row r="69" spans="1:3">
      <c r="A69" t="s">
        <v>166</v>
      </c>
      <c r="B69" t="s">
        <v>164</v>
      </c>
      <c r="C69">
        <v>30013</v>
      </c>
    </row>
    <row r="70" spans="1:3">
      <c r="A70" t="s">
        <v>166</v>
      </c>
      <c r="B70" t="s">
        <v>164</v>
      </c>
      <c r="C70">
        <v>30014</v>
      </c>
    </row>
    <row r="71" spans="1:3">
      <c r="A71" t="s">
        <v>166</v>
      </c>
      <c r="B71" t="s">
        <v>164</v>
      </c>
      <c r="C71">
        <v>30015</v>
      </c>
    </row>
    <row r="72" spans="1:3">
      <c r="A72" t="s">
        <v>167</v>
      </c>
      <c r="B72" t="s">
        <v>164</v>
      </c>
      <c r="C72">
        <v>30050</v>
      </c>
    </row>
    <row r="73" spans="1:3">
      <c r="A73" t="s">
        <v>168</v>
      </c>
      <c r="B73" t="s">
        <v>164</v>
      </c>
      <c r="C73">
        <v>30051</v>
      </c>
    </row>
    <row r="74" spans="1:3">
      <c r="A74" t="s">
        <v>169</v>
      </c>
      <c r="B74" t="s">
        <v>164</v>
      </c>
      <c r="C74">
        <v>30052</v>
      </c>
    </row>
    <row r="75" spans="1:3">
      <c r="A75" t="s">
        <v>170</v>
      </c>
      <c r="B75" t="s">
        <v>164</v>
      </c>
      <c r="C75">
        <v>30053</v>
      </c>
    </row>
    <row r="76" spans="1:3">
      <c r="A76" t="s">
        <v>171</v>
      </c>
      <c r="B76" t="s">
        <v>164</v>
      </c>
      <c r="C76">
        <v>30054</v>
      </c>
    </row>
    <row r="77" spans="1:3">
      <c r="A77" t="s">
        <v>172</v>
      </c>
      <c r="B77" t="s">
        <v>164</v>
      </c>
      <c r="C77">
        <v>30055</v>
      </c>
    </row>
    <row r="78" spans="1:3">
      <c r="A78" t="s">
        <v>173</v>
      </c>
      <c r="B78" t="s">
        <v>164</v>
      </c>
      <c r="C78">
        <v>30056</v>
      </c>
    </row>
    <row r="79" spans="1:3">
      <c r="A79" t="s">
        <v>174</v>
      </c>
      <c r="B79" t="s">
        <v>164</v>
      </c>
      <c r="C79">
        <v>30057</v>
      </c>
    </row>
    <row r="80" spans="1:3">
      <c r="A80" t="s">
        <v>175</v>
      </c>
      <c r="B80" t="s">
        <v>164</v>
      </c>
      <c r="C80">
        <v>30058</v>
      </c>
    </row>
    <row r="81" spans="1:3">
      <c r="A81" t="s">
        <v>175</v>
      </c>
      <c r="B81" t="s">
        <v>164</v>
      </c>
      <c r="C81">
        <v>30059</v>
      </c>
    </row>
    <row r="82" spans="1:3">
      <c r="A82" t="s">
        <v>175</v>
      </c>
      <c r="B82" t="s">
        <v>164</v>
      </c>
      <c r="C82">
        <v>30060</v>
      </c>
    </row>
    <row r="83" spans="1:3">
      <c r="A83" t="s">
        <v>175</v>
      </c>
      <c r="B83" t="s">
        <v>164</v>
      </c>
      <c r="C83">
        <v>30061</v>
      </c>
    </row>
    <row r="84" spans="1:3">
      <c r="A84" t="s">
        <v>175</v>
      </c>
      <c r="B84" t="s">
        <v>164</v>
      </c>
      <c r="C84">
        <v>30062</v>
      </c>
    </row>
    <row r="85" spans="1:3">
      <c r="A85" t="s">
        <v>176</v>
      </c>
      <c r="B85" t="s">
        <v>164</v>
      </c>
      <c r="C85">
        <v>30063</v>
      </c>
    </row>
    <row r="86" spans="1:3">
      <c r="A86" t="s">
        <v>176</v>
      </c>
      <c r="B86" t="s">
        <v>164</v>
      </c>
      <c r="C86">
        <v>30064</v>
      </c>
    </row>
    <row r="87" spans="1:3">
      <c r="A87" t="s">
        <v>176</v>
      </c>
      <c r="B87" t="s">
        <v>164</v>
      </c>
      <c r="C87">
        <v>30065</v>
      </c>
    </row>
    <row r="88" spans="1:3">
      <c r="A88" t="s">
        <v>176</v>
      </c>
      <c r="B88" t="s">
        <v>164</v>
      </c>
      <c r="C88">
        <v>30066</v>
      </c>
    </row>
    <row r="89" spans="1:3">
      <c r="A89" t="s">
        <v>176</v>
      </c>
      <c r="B89" t="s">
        <v>164</v>
      </c>
      <c r="C89">
        <v>30067</v>
      </c>
    </row>
    <row r="90" spans="1:3">
      <c r="A90" t="s">
        <v>177</v>
      </c>
      <c r="B90" t="s">
        <v>178</v>
      </c>
      <c r="C90">
        <v>30021</v>
      </c>
    </row>
    <row r="91" spans="1:3">
      <c r="A91" t="s">
        <v>177</v>
      </c>
      <c r="B91" t="s">
        <v>178</v>
      </c>
      <c r="C91">
        <v>30022</v>
      </c>
    </row>
    <row r="92" spans="1:3">
      <c r="A92" t="s">
        <v>177</v>
      </c>
      <c r="B92" t="s">
        <v>178</v>
      </c>
      <c r="C92">
        <v>30023</v>
      </c>
    </row>
    <row r="93" spans="1:3">
      <c r="A93" t="s">
        <v>177</v>
      </c>
      <c r="B93" t="s">
        <v>178</v>
      </c>
      <c r="C93">
        <v>30024</v>
      </c>
    </row>
    <row r="94" spans="1:3">
      <c r="A94" t="s">
        <v>179</v>
      </c>
      <c r="B94" t="s">
        <v>180</v>
      </c>
      <c r="C94">
        <v>30025</v>
      </c>
    </row>
    <row r="95" spans="1:3">
      <c r="A95" t="s">
        <v>181</v>
      </c>
      <c r="B95" t="s">
        <v>182</v>
      </c>
      <c r="C95">
        <v>30026</v>
      </c>
    </row>
    <row r="96" spans="1:3">
      <c r="A96" t="s">
        <v>183</v>
      </c>
      <c r="B96" t="s">
        <v>184</v>
      </c>
      <c r="C96">
        <v>30027</v>
      </c>
    </row>
    <row r="97" spans="1:3">
      <c r="A97" t="s">
        <v>185</v>
      </c>
      <c r="B97" t="s">
        <v>186</v>
      </c>
      <c r="C97">
        <v>30028</v>
      </c>
    </row>
    <row r="98" spans="1:3">
      <c r="A98" t="s">
        <v>187</v>
      </c>
      <c r="B98" t="s">
        <v>188</v>
      </c>
      <c r="C98">
        <v>30029</v>
      </c>
    </row>
    <row r="99" spans="1:3">
      <c r="A99" t="s">
        <v>189</v>
      </c>
      <c r="B99" t="s">
        <v>190</v>
      </c>
      <c r="C99">
        <v>30030</v>
      </c>
    </row>
    <row r="100" spans="1:3">
      <c r="A100" t="s">
        <v>191</v>
      </c>
      <c r="B100" t="s">
        <v>192</v>
      </c>
      <c r="C100">
        <v>30031</v>
      </c>
    </row>
    <row r="101" spans="1:3">
      <c r="A101" t="s">
        <v>193</v>
      </c>
      <c r="B101" t="s">
        <v>194</v>
      </c>
      <c r="C101">
        <v>30032</v>
      </c>
    </row>
    <row r="102" spans="1:3">
      <c r="A102" t="s">
        <v>195</v>
      </c>
      <c r="B102" t="s">
        <v>196</v>
      </c>
      <c r="C102">
        <v>30068</v>
      </c>
    </row>
    <row r="103" spans="1:3">
      <c r="A103" t="s">
        <v>197</v>
      </c>
      <c r="B103" t="s">
        <v>198</v>
      </c>
      <c r="C103">
        <v>30069</v>
      </c>
    </row>
    <row r="104" spans="1:3">
      <c r="A104" t="s">
        <v>199</v>
      </c>
      <c r="B104" t="s">
        <v>200</v>
      </c>
      <c r="C104">
        <v>30070</v>
      </c>
    </row>
    <row r="105" spans="1:3">
      <c r="A105" t="s">
        <v>201</v>
      </c>
      <c r="B105" t="s">
        <v>202</v>
      </c>
      <c r="C105">
        <v>30071</v>
      </c>
    </row>
    <row r="106" spans="1:3">
      <c r="A106" t="s">
        <v>203</v>
      </c>
      <c r="B106" t="s">
        <v>204</v>
      </c>
      <c r="C106">
        <v>30072</v>
      </c>
    </row>
    <row r="107" spans="1:3">
      <c r="A107" t="s">
        <v>205</v>
      </c>
      <c r="B107" t="s">
        <v>206</v>
      </c>
      <c r="C107">
        <v>30073</v>
      </c>
    </row>
    <row r="108" spans="1:3">
      <c r="A108" t="s">
        <v>207</v>
      </c>
      <c r="B108" t="s">
        <v>208</v>
      </c>
      <c r="C108">
        <v>30074</v>
      </c>
    </row>
    <row r="109" spans="1:3">
      <c r="A109" t="s">
        <v>209</v>
      </c>
      <c r="B109" t="s">
        <v>210</v>
      </c>
      <c r="C109">
        <v>30075</v>
      </c>
    </row>
    <row r="110" spans="1:3">
      <c r="A110" t="s">
        <v>211</v>
      </c>
      <c r="B110" t="s">
        <v>212</v>
      </c>
      <c r="C110">
        <v>30076</v>
      </c>
    </row>
    <row r="111" spans="1:3">
      <c r="A111" t="s">
        <v>213</v>
      </c>
      <c r="B111" t="s">
        <v>214</v>
      </c>
      <c r="C111">
        <v>30077</v>
      </c>
    </row>
    <row r="112" spans="1:3">
      <c r="A112" t="s">
        <v>215</v>
      </c>
      <c r="B112" t="s">
        <v>216</v>
      </c>
      <c r="C112">
        <v>30078</v>
      </c>
    </row>
    <row r="113" spans="1:3">
      <c r="A113" t="s">
        <v>217</v>
      </c>
      <c r="B113" t="s">
        <v>218</v>
      </c>
      <c r="C113">
        <v>30079</v>
      </c>
    </row>
    <row r="114" spans="1:3">
      <c r="A114" t="s">
        <v>219</v>
      </c>
      <c r="B114" t="s">
        <v>220</v>
      </c>
      <c r="C114">
        <v>30080</v>
      </c>
    </row>
    <row r="115" spans="1:3">
      <c r="A115" t="s">
        <v>221</v>
      </c>
      <c r="B115" t="s">
        <v>222</v>
      </c>
      <c r="C115">
        <v>30081</v>
      </c>
    </row>
    <row r="116" spans="1:3">
      <c r="A116" t="s">
        <v>223</v>
      </c>
      <c r="B116" t="s">
        <v>224</v>
      </c>
      <c r="C116">
        <v>30082</v>
      </c>
    </row>
    <row r="117" spans="1:3">
      <c r="A117" t="s">
        <v>225</v>
      </c>
      <c r="B117" t="s">
        <v>226</v>
      </c>
      <c r="C117">
        <v>30083</v>
      </c>
    </row>
    <row r="118" spans="1:3">
      <c r="A118" t="s">
        <v>227</v>
      </c>
      <c r="B118" t="s">
        <v>228</v>
      </c>
      <c r="C118">
        <v>30084</v>
      </c>
    </row>
    <row r="119" spans="1:3">
      <c r="A119" t="s">
        <v>229</v>
      </c>
      <c r="B119" t="s">
        <v>230</v>
      </c>
      <c r="C119">
        <v>30085</v>
      </c>
    </row>
    <row r="120" spans="1:3">
      <c r="A120" t="s">
        <v>231</v>
      </c>
      <c r="B120" t="s">
        <v>232</v>
      </c>
      <c r="C120">
        <v>30086</v>
      </c>
    </row>
    <row r="121" spans="1:3">
      <c r="A121" t="s">
        <v>233</v>
      </c>
      <c r="B121" t="s">
        <v>234</v>
      </c>
      <c r="C121">
        <v>30087</v>
      </c>
    </row>
    <row r="122" spans="1:3">
      <c r="A122" t="s">
        <v>235</v>
      </c>
      <c r="B122" t="s">
        <v>236</v>
      </c>
      <c r="C122">
        <v>40001</v>
      </c>
    </row>
    <row r="123" spans="1:3">
      <c r="A123" t="s">
        <v>237</v>
      </c>
      <c r="B123" t="s">
        <v>238</v>
      </c>
      <c r="C123">
        <v>40002</v>
      </c>
    </row>
    <row r="124" spans="1:3">
      <c r="A124" t="s">
        <v>239</v>
      </c>
      <c r="B124" t="s">
        <v>240</v>
      </c>
      <c r="C124">
        <v>40003</v>
      </c>
    </row>
    <row r="125" spans="1:3">
      <c r="A125" t="s">
        <v>241</v>
      </c>
      <c r="B125" t="s">
        <v>242</v>
      </c>
      <c r="C125">
        <v>40004</v>
      </c>
    </row>
    <row r="126" spans="1:3">
      <c r="A126" t="s">
        <v>243</v>
      </c>
      <c r="B126" t="s">
        <v>244</v>
      </c>
      <c r="C126">
        <v>40005</v>
      </c>
    </row>
    <row r="127" spans="1:3">
      <c r="A127" t="s">
        <v>245</v>
      </c>
      <c r="B127" t="s">
        <v>246</v>
      </c>
      <c r="C127">
        <v>40006</v>
      </c>
    </row>
    <row r="128" spans="1:3">
      <c r="A128" t="s">
        <v>247</v>
      </c>
      <c r="B128" t="s">
        <v>248</v>
      </c>
      <c r="C128">
        <v>40007</v>
      </c>
    </row>
    <row r="129" spans="1:3">
      <c r="A129" t="s">
        <v>249</v>
      </c>
      <c r="B129" t="s">
        <v>250</v>
      </c>
      <c r="C129">
        <v>50001</v>
      </c>
    </row>
    <row r="130" spans="1:3">
      <c r="A130" t="s">
        <v>251</v>
      </c>
      <c r="B130" t="s">
        <v>252</v>
      </c>
      <c r="C130">
        <v>50002</v>
      </c>
    </row>
    <row r="131" spans="1:3">
      <c r="A131" t="s">
        <v>253</v>
      </c>
      <c r="B131" t="s">
        <v>254</v>
      </c>
      <c r="C131">
        <v>50003</v>
      </c>
    </row>
    <row r="132" spans="1:3">
      <c r="A132" t="s">
        <v>255</v>
      </c>
      <c r="B132" t="s">
        <v>256</v>
      </c>
      <c r="C132">
        <v>60001</v>
      </c>
    </row>
    <row r="133" spans="1:3">
      <c r="A133" t="s">
        <v>257</v>
      </c>
      <c r="B133" t="s">
        <v>258</v>
      </c>
      <c r="C133">
        <v>60002</v>
      </c>
    </row>
    <row r="134" spans="1:3">
      <c r="A134" t="s">
        <v>259</v>
      </c>
      <c r="B134" t="s">
        <v>260</v>
      </c>
      <c r="C134">
        <v>60003</v>
      </c>
    </row>
    <row r="135" spans="1:3">
      <c r="A135" t="s">
        <v>261</v>
      </c>
      <c r="B135" t="s">
        <v>262</v>
      </c>
      <c r="C135">
        <v>60004</v>
      </c>
    </row>
    <row r="136" spans="1:3">
      <c r="A136" t="s">
        <v>263</v>
      </c>
      <c r="B136" t="s">
        <v>264</v>
      </c>
      <c r="C136">
        <v>70001</v>
      </c>
    </row>
    <row r="137" spans="1:3">
      <c r="A137" t="s">
        <v>265</v>
      </c>
      <c r="B137" t="s">
        <v>266</v>
      </c>
      <c r="C137">
        <v>70002</v>
      </c>
    </row>
    <row r="138" spans="1:3">
      <c r="A138" t="s">
        <v>267</v>
      </c>
      <c r="B138" t="s">
        <v>268</v>
      </c>
      <c r="C138">
        <v>70003</v>
      </c>
    </row>
    <row r="139" spans="1:3">
      <c r="A139" t="s">
        <v>269</v>
      </c>
      <c r="B139" t="s">
        <v>270</v>
      </c>
      <c r="C139">
        <v>70004</v>
      </c>
    </row>
    <row r="140" spans="1:3">
      <c r="A140" t="s">
        <v>271</v>
      </c>
      <c r="B140" t="s">
        <v>272</v>
      </c>
      <c r="C140">
        <v>70005</v>
      </c>
    </row>
    <row r="141" spans="1:3">
      <c r="A141" t="s">
        <v>273</v>
      </c>
      <c r="B141" t="s">
        <v>274</v>
      </c>
      <c r="C141">
        <v>70011</v>
      </c>
    </row>
    <row r="142" spans="1:3">
      <c r="A142" t="s">
        <v>275</v>
      </c>
      <c r="B142" t="s">
        <v>276</v>
      </c>
      <c r="C142">
        <v>70012</v>
      </c>
    </row>
    <row r="143" spans="1:3">
      <c r="A143" t="s">
        <v>277</v>
      </c>
      <c r="B143" t="s">
        <v>278</v>
      </c>
      <c r="C143">
        <v>70013</v>
      </c>
    </row>
    <row r="144" spans="1:3">
      <c r="A144" t="s">
        <v>279</v>
      </c>
      <c r="B144" t="s">
        <v>280</v>
      </c>
      <c r="C144">
        <v>70014</v>
      </c>
    </row>
    <row r="145" spans="1:3">
      <c r="A145" t="s">
        <v>281</v>
      </c>
      <c r="B145" t="s">
        <v>282</v>
      </c>
      <c r="C145">
        <v>70015</v>
      </c>
    </row>
    <row r="146" spans="1:3">
      <c r="A146" t="s">
        <v>283</v>
      </c>
      <c r="B146" t="s">
        <v>284</v>
      </c>
      <c r="C146">
        <v>70016</v>
      </c>
    </row>
    <row r="147" spans="1:3">
      <c r="A147" t="s">
        <v>285</v>
      </c>
      <c r="B147" t="s">
        <v>286</v>
      </c>
      <c r="C147">
        <v>70017</v>
      </c>
    </row>
    <row r="148" spans="1:3">
      <c r="A148" t="s">
        <v>287</v>
      </c>
      <c r="B148" t="s">
        <v>288</v>
      </c>
      <c r="C148">
        <v>70018</v>
      </c>
    </row>
    <row r="149" spans="1:3">
      <c r="A149" t="s">
        <v>289</v>
      </c>
      <c r="B149" t="s">
        <v>290</v>
      </c>
      <c r="C149">
        <v>70019</v>
      </c>
    </row>
    <row r="150" spans="1:3">
      <c r="A150" t="s">
        <v>291</v>
      </c>
      <c r="B150" t="s">
        <v>292</v>
      </c>
      <c r="C150">
        <v>70020</v>
      </c>
    </row>
    <row r="151" spans="1:3">
      <c r="A151" s="79"/>
      <c r="B151" t="s">
        <v>293</v>
      </c>
      <c r="C151">
        <v>70021</v>
      </c>
    </row>
    <row r="152" spans="1:3">
      <c r="A152" s="79"/>
      <c r="B152" t="s">
        <v>294</v>
      </c>
      <c r="C152">
        <v>70022</v>
      </c>
    </row>
    <row r="153" spans="1:3">
      <c r="A153" s="79"/>
      <c r="B153" t="s">
        <v>295</v>
      </c>
      <c r="C153">
        <v>70023</v>
      </c>
    </row>
    <row r="154" spans="1:3">
      <c r="A154" s="79"/>
      <c r="B154" t="s">
        <v>296</v>
      </c>
      <c r="C154">
        <v>70024</v>
      </c>
    </row>
    <row r="155" spans="1:3">
      <c r="A155" s="79"/>
      <c r="B155" t="s">
        <v>297</v>
      </c>
      <c r="C155">
        <v>70025</v>
      </c>
    </row>
    <row r="156" spans="1:3">
      <c r="A156" s="79"/>
      <c r="B156" t="s">
        <v>298</v>
      </c>
      <c r="C156">
        <v>70031</v>
      </c>
    </row>
    <row r="157" spans="1:3">
      <c r="A157" s="79"/>
      <c r="B157" t="s">
        <v>299</v>
      </c>
      <c r="C157">
        <v>70032</v>
      </c>
    </row>
    <row r="158" spans="1:3">
      <c r="A158" s="79"/>
      <c r="B158" t="s">
        <v>300</v>
      </c>
      <c r="C158">
        <v>70033</v>
      </c>
    </row>
    <row r="159" spans="1:3">
      <c r="A159" s="79"/>
      <c r="B159" t="s">
        <v>301</v>
      </c>
      <c r="C159">
        <v>70034</v>
      </c>
    </row>
    <row r="160" spans="1:3">
      <c r="A160" s="79"/>
      <c r="B160" t="s">
        <v>302</v>
      </c>
      <c r="C160">
        <v>70035</v>
      </c>
    </row>
    <row r="161" spans="1:3">
      <c r="A161" s="79"/>
      <c r="B161" t="s">
        <v>303</v>
      </c>
      <c r="C161">
        <v>70036</v>
      </c>
    </row>
    <row r="162" spans="1:3">
      <c r="A162" s="79"/>
      <c r="B162" t="s">
        <v>304</v>
      </c>
      <c r="C162">
        <v>70037</v>
      </c>
    </row>
    <row r="163" spans="1:3">
      <c r="A163" s="80"/>
      <c r="B163" t="s">
        <v>305</v>
      </c>
      <c r="C163">
        <v>70038</v>
      </c>
    </row>
    <row r="164" spans="1:3">
      <c r="A164" s="80"/>
      <c r="B164" t="s">
        <v>306</v>
      </c>
      <c r="C164">
        <v>70039</v>
      </c>
    </row>
    <row r="165" spans="1:3">
      <c r="A165" s="80"/>
      <c r="B165" t="s">
        <v>307</v>
      </c>
      <c r="C165">
        <v>70040</v>
      </c>
    </row>
    <row r="166" spans="1:3">
      <c r="A166" s="80"/>
      <c r="B166" t="s">
        <v>308</v>
      </c>
      <c r="C166">
        <v>70041</v>
      </c>
    </row>
    <row r="167" spans="1:3">
      <c r="A167" s="80"/>
      <c r="B167" t="s">
        <v>309</v>
      </c>
      <c r="C167">
        <v>70042</v>
      </c>
    </row>
    <row r="168" spans="1:3">
      <c r="A168" s="80"/>
      <c r="B168" t="s">
        <v>310</v>
      </c>
      <c r="C168">
        <v>70043</v>
      </c>
    </row>
    <row r="169" spans="1:3">
      <c r="A169" s="80"/>
      <c r="B169" t="s">
        <v>311</v>
      </c>
      <c r="C169">
        <v>70044</v>
      </c>
    </row>
    <row r="170" spans="1:3">
      <c r="A170" s="80"/>
      <c r="B170" t="s">
        <v>312</v>
      </c>
      <c r="C170">
        <v>70045</v>
      </c>
    </row>
    <row r="171" spans="1:3">
      <c r="A171" s="80"/>
      <c r="B171" t="s">
        <v>313</v>
      </c>
      <c r="C171">
        <v>70046</v>
      </c>
    </row>
    <row r="172" spans="1:3">
      <c r="A172" s="80"/>
      <c r="B172" t="s">
        <v>314</v>
      </c>
      <c r="C172">
        <v>70047</v>
      </c>
    </row>
    <row r="173" spans="1:3">
      <c r="A173" s="80"/>
      <c r="B173" t="s">
        <v>315</v>
      </c>
      <c r="C173">
        <v>70048</v>
      </c>
    </row>
    <row r="174" spans="1:3">
      <c r="A174" s="80"/>
      <c r="B174" t="s">
        <v>316</v>
      </c>
      <c r="C174">
        <v>70049</v>
      </c>
    </row>
    <row r="175" spans="1:3">
      <c r="A175" s="80"/>
      <c r="B175" t="s">
        <v>317</v>
      </c>
      <c r="C175">
        <v>70050</v>
      </c>
    </row>
    <row r="176" spans="1:3">
      <c r="A176" s="80"/>
      <c r="B176" t="s">
        <v>318</v>
      </c>
      <c r="C176">
        <v>70051</v>
      </c>
    </row>
    <row r="177" spans="1:3">
      <c r="A177" t="s">
        <v>319</v>
      </c>
      <c r="B177" t="s">
        <v>320</v>
      </c>
      <c r="C177">
        <v>80001</v>
      </c>
    </row>
    <row r="178" spans="1:3">
      <c r="A178" t="s">
        <v>321</v>
      </c>
      <c r="B178" t="s">
        <v>322</v>
      </c>
      <c r="C178">
        <v>80002</v>
      </c>
    </row>
    <row r="179" spans="1:3">
      <c r="A179" t="s">
        <v>323</v>
      </c>
      <c r="B179" t="s">
        <v>324</v>
      </c>
      <c r="C179">
        <v>80003</v>
      </c>
    </row>
    <row r="180" spans="1:3">
      <c r="B180" t="s">
        <v>325</v>
      </c>
      <c r="C180">
        <v>90001</v>
      </c>
    </row>
    <row r="181" spans="1:3">
      <c r="B181" t="s">
        <v>326</v>
      </c>
      <c r="C181">
        <v>90002</v>
      </c>
    </row>
    <row r="182" spans="1:3">
      <c r="B182" t="s">
        <v>327</v>
      </c>
      <c r="C182">
        <v>90003</v>
      </c>
    </row>
    <row r="183" spans="1:3">
      <c r="A183" t="s">
        <v>328</v>
      </c>
      <c r="B183" t="s">
        <v>329</v>
      </c>
      <c r="C183">
        <v>1001</v>
      </c>
    </row>
    <row r="184" spans="1:3">
      <c r="A184" t="s">
        <v>330</v>
      </c>
      <c r="B184" t="s">
        <v>331</v>
      </c>
      <c r="C184">
        <v>1002</v>
      </c>
    </row>
    <row r="185" spans="1:3">
      <c r="A185" t="s">
        <v>332</v>
      </c>
      <c r="B185" t="s">
        <v>333</v>
      </c>
      <c r="C185">
        <v>1003</v>
      </c>
    </row>
    <row r="186" spans="1:3">
      <c r="A186" t="s">
        <v>334</v>
      </c>
      <c r="B186" t="s">
        <v>335</v>
      </c>
      <c r="C186">
        <v>1004</v>
      </c>
    </row>
    <row r="187" spans="1:3">
      <c r="A187" t="s">
        <v>336</v>
      </c>
      <c r="B187" t="s">
        <v>337</v>
      </c>
      <c r="C187">
        <v>1005</v>
      </c>
    </row>
    <row r="188" spans="1:3">
      <c r="A188" t="s">
        <v>338</v>
      </c>
      <c r="B188" t="s">
        <v>339</v>
      </c>
      <c r="C188">
        <v>130001</v>
      </c>
    </row>
    <row r="189" spans="1:3">
      <c r="A189" t="s">
        <v>340</v>
      </c>
      <c r="B189" t="s">
        <v>341</v>
      </c>
      <c r="C189">
        <v>130002</v>
      </c>
    </row>
    <row r="190" spans="1:3">
      <c r="A190" t="s">
        <v>342</v>
      </c>
      <c r="B190" t="s">
        <v>343</v>
      </c>
      <c r="C190">
        <v>130003</v>
      </c>
    </row>
    <row r="191" spans="1:3">
      <c r="A191" t="s">
        <v>344</v>
      </c>
      <c r="B191" t="s">
        <v>345</v>
      </c>
      <c r="C191">
        <v>130004</v>
      </c>
    </row>
    <row r="192" spans="1:3">
      <c r="A192" t="s">
        <v>346</v>
      </c>
      <c r="B192" t="s">
        <v>347</v>
      </c>
      <c r="C192">
        <v>130005</v>
      </c>
    </row>
    <row r="193" spans="1:3">
      <c r="A193" t="s">
        <v>348</v>
      </c>
      <c r="B193" t="s">
        <v>349</v>
      </c>
      <c r="C193">
        <v>130006</v>
      </c>
    </row>
    <row r="194" spans="1:3">
      <c r="A194" t="s">
        <v>350</v>
      </c>
      <c r="B194" t="s">
        <v>351</v>
      </c>
      <c r="C194">
        <v>130007</v>
      </c>
    </row>
    <row r="195" spans="1:3">
      <c r="A195" t="s">
        <v>352</v>
      </c>
      <c r="B195" t="s">
        <v>353</v>
      </c>
      <c r="C195">
        <v>130008</v>
      </c>
    </row>
    <row r="196" spans="1:3">
      <c r="A196" t="s">
        <v>354</v>
      </c>
      <c r="B196" t="s">
        <v>355</v>
      </c>
      <c r="C196">
        <v>130009</v>
      </c>
    </row>
    <row r="197" spans="1:3">
      <c r="A197" t="s">
        <v>356</v>
      </c>
      <c r="B197" t="s">
        <v>357</v>
      </c>
      <c r="C197">
        <v>130010</v>
      </c>
    </row>
    <row r="198" spans="1:3">
      <c r="A198" t="s">
        <v>358</v>
      </c>
      <c r="B198" t="s">
        <v>359</v>
      </c>
      <c r="C198">
        <v>130011</v>
      </c>
    </row>
    <row r="199" spans="1:3">
      <c r="A199" t="s">
        <v>360</v>
      </c>
      <c r="B199" t="s">
        <v>361</v>
      </c>
      <c r="C199">
        <v>130012</v>
      </c>
    </row>
    <row r="200" spans="1:3">
      <c r="A200" t="s">
        <v>362</v>
      </c>
      <c r="B200" t="s">
        <v>363</v>
      </c>
      <c r="C200">
        <v>130013</v>
      </c>
    </row>
    <row r="201" spans="1:3">
      <c r="A201" t="s">
        <v>330</v>
      </c>
      <c r="B201" t="s">
        <v>331</v>
      </c>
      <c r="C201">
        <v>130014</v>
      </c>
    </row>
    <row r="202" spans="1:3">
      <c r="A202" t="s">
        <v>364</v>
      </c>
      <c r="B202" t="s">
        <v>365</v>
      </c>
      <c r="C202">
        <v>130015</v>
      </c>
    </row>
    <row r="203" spans="1:3">
      <c r="A203" t="s">
        <v>366</v>
      </c>
      <c r="B203" t="s">
        <v>367</v>
      </c>
      <c r="C203">
        <v>130016</v>
      </c>
    </row>
    <row r="204" spans="1:3">
      <c r="A204" t="s">
        <v>368</v>
      </c>
      <c r="B204" t="s">
        <v>369</v>
      </c>
      <c r="C204">
        <v>130017</v>
      </c>
    </row>
    <row r="205" spans="1:3">
      <c r="A205" t="s">
        <v>370</v>
      </c>
      <c r="B205" t="s">
        <v>371</v>
      </c>
      <c r="C205">
        <v>130018</v>
      </c>
    </row>
    <row r="206" spans="1:3">
      <c r="A206" t="s">
        <v>372</v>
      </c>
      <c r="B206" t="s">
        <v>373</v>
      </c>
      <c r="C206">
        <v>130019</v>
      </c>
    </row>
    <row r="207" spans="1:3">
      <c r="A207" t="s">
        <v>374</v>
      </c>
      <c r="B207" t="s">
        <v>375</v>
      </c>
      <c r="C207">
        <v>130020</v>
      </c>
    </row>
    <row r="208" spans="1:3">
      <c r="A208" t="s">
        <v>376</v>
      </c>
      <c r="B208" t="s">
        <v>377</v>
      </c>
      <c r="C208">
        <v>130021</v>
      </c>
    </row>
    <row r="209" spans="1:3">
      <c r="A209" t="s">
        <v>378</v>
      </c>
      <c r="B209" t="s">
        <v>379</v>
      </c>
      <c r="C209">
        <v>130022</v>
      </c>
    </row>
    <row r="210" spans="1:3">
      <c r="A210" t="s">
        <v>380</v>
      </c>
      <c r="B210" t="s">
        <v>381</v>
      </c>
      <c r="C210">
        <v>130023</v>
      </c>
    </row>
    <row r="211" spans="1:3">
      <c r="A211" t="s">
        <v>382</v>
      </c>
      <c r="B211" t="s">
        <v>383</v>
      </c>
      <c r="C211">
        <v>130024</v>
      </c>
    </row>
    <row r="212" spans="1:3">
      <c r="A212" t="s">
        <v>384</v>
      </c>
      <c r="B212" t="s">
        <v>385</v>
      </c>
      <c r="C212">
        <v>130025</v>
      </c>
    </row>
    <row r="213" spans="1:3">
      <c r="A213" t="s">
        <v>386</v>
      </c>
      <c r="B213" t="s">
        <v>387</v>
      </c>
      <c r="C213">
        <v>130026</v>
      </c>
    </row>
    <row r="214" spans="1:3">
      <c r="A214" t="s">
        <v>388</v>
      </c>
      <c r="B214" t="s">
        <v>389</v>
      </c>
      <c r="C214">
        <v>130027</v>
      </c>
    </row>
    <row r="215" spans="1:3">
      <c r="A215" t="s">
        <v>390</v>
      </c>
      <c r="B215" t="s">
        <v>391</v>
      </c>
      <c r="C215">
        <v>130028</v>
      </c>
    </row>
    <row r="216" spans="1:3">
      <c r="A216" t="s">
        <v>392</v>
      </c>
      <c r="B216" t="s">
        <v>393</v>
      </c>
      <c r="C216">
        <v>130029</v>
      </c>
    </row>
    <row r="217" spans="1:3">
      <c r="A217" t="s">
        <v>394</v>
      </c>
      <c r="B217" t="s">
        <v>395</v>
      </c>
      <c r="C217">
        <v>140001</v>
      </c>
    </row>
    <row r="218" spans="1:3">
      <c r="A218" t="s">
        <v>396</v>
      </c>
      <c r="B218" t="s">
        <v>397</v>
      </c>
      <c r="C218">
        <v>140002</v>
      </c>
    </row>
    <row r="219" spans="1:3">
      <c r="A219" t="s">
        <v>398</v>
      </c>
      <c r="B219" t="s">
        <v>399</v>
      </c>
      <c r="C219">
        <v>140003</v>
      </c>
    </row>
    <row r="220" spans="1:3">
      <c r="A220" t="s">
        <v>400</v>
      </c>
      <c r="B220" t="s">
        <v>401</v>
      </c>
      <c r="C220">
        <v>140004</v>
      </c>
    </row>
    <row r="221" spans="1:3">
      <c r="A221" t="s">
        <v>402</v>
      </c>
      <c r="B221" t="s">
        <v>403</v>
      </c>
      <c r="C221">
        <v>140005</v>
      </c>
    </row>
    <row r="222" spans="1:3">
      <c r="A222" t="s">
        <v>404</v>
      </c>
      <c r="B222" t="s">
        <v>405</v>
      </c>
      <c r="C222">
        <v>140006</v>
      </c>
    </row>
    <row r="223" spans="1:3">
      <c r="A223" t="s">
        <v>406</v>
      </c>
      <c r="B223" t="s">
        <v>407</v>
      </c>
      <c r="C223">
        <v>150001</v>
      </c>
    </row>
    <row r="224" spans="1:3">
      <c r="A224" t="s">
        <v>406</v>
      </c>
      <c r="B224" t="s">
        <v>408</v>
      </c>
      <c r="C224">
        <v>160001</v>
      </c>
    </row>
    <row r="225" spans="1:3">
      <c r="A225" t="s">
        <v>409</v>
      </c>
      <c r="B225" t="s">
        <v>410</v>
      </c>
      <c r="C225">
        <v>170001</v>
      </c>
    </row>
    <row r="226" spans="1:3">
      <c r="A226" t="s">
        <v>411</v>
      </c>
      <c r="B226" t="s">
        <v>412</v>
      </c>
      <c r="C226">
        <v>170002</v>
      </c>
    </row>
    <row r="227" spans="1:3">
      <c r="A227" t="s">
        <v>413</v>
      </c>
      <c r="B227" t="s">
        <v>414</v>
      </c>
      <c r="C227">
        <v>170003</v>
      </c>
    </row>
    <row r="228" spans="1:3">
      <c r="A228" t="s">
        <v>415</v>
      </c>
      <c r="B228" t="s">
        <v>416</v>
      </c>
      <c r="C228">
        <v>170004</v>
      </c>
    </row>
    <row r="229" spans="1:3">
      <c r="A229" t="s">
        <v>417</v>
      </c>
      <c r="B229" t="s">
        <v>418</v>
      </c>
      <c r="C229">
        <v>170005</v>
      </c>
    </row>
    <row r="230" spans="1:3">
      <c r="A230" t="s">
        <v>419</v>
      </c>
      <c r="B230" t="s">
        <v>420</v>
      </c>
      <c r="C230">
        <v>170006</v>
      </c>
    </row>
    <row r="231" spans="1:3">
      <c r="A231" t="s">
        <v>421</v>
      </c>
      <c r="B231" t="s">
        <v>422</v>
      </c>
      <c r="C231">
        <v>170007</v>
      </c>
    </row>
    <row r="232" spans="1:3">
      <c r="A232" t="s">
        <v>423</v>
      </c>
      <c r="B232" t="s">
        <v>424</v>
      </c>
      <c r="C232">
        <v>171001</v>
      </c>
    </row>
    <row r="233" spans="1:3">
      <c r="A233" t="s">
        <v>425</v>
      </c>
      <c r="B233" t="s">
        <v>426</v>
      </c>
      <c r="C233">
        <v>171002</v>
      </c>
    </row>
    <row r="234" spans="1:3">
      <c r="A234" t="s">
        <v>427</v>
      </c>
      <c r="B234" t="s">
        <v>428</v>
      </c>
      <c r="C234">
        <v>181001</v>
      </c>
    </row>
    <row r="235" spans="1:3">
      <c r="A235" t="s">
        <v>429</v>
      </c>
      <c r="B235" t="s">
        <v>430</v>
      </c>
      <c r="C235">
        <v>181002</v>
      </c>
    </row>
    <row r="236" spans="1:3">
      <c r="A236" t="s">
        <v>431</v>
      </c>
      <c r="B236" t="s">
        <v>432</v>
      </c>
      <c r="C236">
        <v>181003</v>
      </c>
    </row>
    <row r="237" spans="1:3">
      <c r="A237" t="s">
        <v>433</v>
      </c>
      <c r="B237" t="s">
        <v>434</v>
      </c>
      <c r="C237">
        <v>181004</v>
      </c>
    </row>
    <row r="238" spans="1:3">
      <c r="A238" t="s">
        <v>435</v>
      </c>
      <c r="B238" t="s">
        <v>436</v>
      </c>
      <c r="C238">
        <v>181005</v>
      </c>
    </row>
    <row r="239" spans="1:3">
      <c r="A239" t="s">
        <v>437</v>
      </c>
      <c r="B239" t="s">
        <v>438</v>
      </c>
      <c r="C239">
        <v>300001</v>
      </c>
    </row>
    <row r="240" spans="1:3">
      <c r="A240" t="s">
        <v>439</v>
      </c>
      <c r="B240" t="s">
        <v>440</v>
      </c>
      <c r="C240">
        <v>300002</v>
      </c>
    </row>
    <row r="241" spans="1:3">
      <c r="A241" t="s">
        <v>441</v>
      </c>
      <c r="B241" t="s">
        <v>442</v>
      </c>
      <c r="C241">
        <v>300003</v>
      </c>
    </row>
    <row r="242" spans="1:3">
      <c r="A242" t="s">
        <v>443</v>
      </c>
      <c r="B242" t="s">
        <v>444</v>
      </c>
      <c r="C242">
        <v>300004</v>
      </c>
    </row>
    <row r="243" spans="1:3">
      <c r="A243" t="s">
        <v>445</v>
      </c>
      <c r="B243" t="s">
        <v>446</v>
      </c>
      <c r="C243">
        <v>191001</v>
      </c>
    </row>
    <row r="244" spans="1:3">
      <c r="A244" t="s">
        <v>447</v>
      </c>
      <c r="B244" t="s">
        <v>448</v>
      </c>
      <c r="C244">
        <v>201001</v>
      </c>
    </row>
    <row r="245" spans="1:3">
      <c r="A245" t="s">
        <v>447</v>
      </c>
      <c r="B245" t="s">
        <v>448</v>
      </c>
      <c r="C245">
        <v>201002</v>
      </c>
    </row>
    <row r="246" spans="1:3">
      <c r="A246" t="s">
        <v>449</v>
      </c>
      <c r="B246" t="s">
        <v>448</v>
      </c>
      <c r="C246">
        <v>201003</v>
      </c>
    </row>
    <row r="247" spans="1:3">
      <c r="A247" t="s">
        <v>450</v>
      </c>
      <c r="B247" t="s">
        <v>448</v>
      </c>
      <c r="C247">
        <v>201004</v>
      </c>
    </row>
    <row r="248" spans="1:3">
      <c r="A248" t="s">
        <v>451</v>
      </c>
      <c r="B248" t="s">
        <v>448</v>
      </c>
      <c r="C248">
        <v>201005</v>
      </c>
    </row>
    <row r="249" spans="1:3">
      <c r="A249" t="s">
        <v>452</v>
      </c>
      <c r="B249" t="s">
        <v>453</v>
      </c>
      <c r="C249">
        <v>192001</v>
      </c>
    </row>
    <row r="250" spans="1:3">
      <c r="A250" t="s">
        <v>454</v>
      </c>
      <c r="B250" t="s">
        <v>455</v>
      </c>
      <c r="C250">
        <v>100001</v>
      </c>
    </row>
    <row r="251" spans="1:3">
      <c r="A251" t="s">
        <v>456</v>
      </c>
      <c r="B251" t="s">
        <v>457</v>
      </c>
      <c r="C251">
        <v>100002</v>
      </c>
    </row>
    <row r="252" spans="1:3">
      <c r="A252" t="s">
        <v>458</v>
      </c>
      <c r="B252" t="s">
        <v>459</v>
      </c>
      <c r="C252">
        <v>100003</v>
      </c>
    </row>
    <row r="253" spans="1:3">
      <c r="A253" t="s">
        <v>460</v>
      </c>
      <c r="B253" t="s">
        <v>461</v>
      </c>
      <c r="C253">
        <v>100004</v>
      </c>
    </row>
    <row r="254" spans="1:3">
      <c r="A254" t="s">
        <v>462</v>
      </c>
      <c r="B254" t="s">
        <v>463</v>
      </c>
      <c r="C254">
        <v>100005</v>
      </c>
    </row>
    <row r="255" spans="1:3">
      <c r="A255" t="s">
        <v>464</v>
      </c>
      <c r="B255" t="s">
        <v>465</v>
      </c>
      <c r="C255">
        <v>210006</v>
      </c>
    </row>
    <row r="256" spans="1:3">
      <c r="A256" t="s">
        <v>466</v>
      </c>
      <c r="B256" t="s">
        <v>467</v>
      </c>
      <c r="C256">
        <v>210007</v>
      </c>
    </row>
    <row r="257" spans="1:3">
      <c r="A257" t="s">
        <v>468</v>
      </c>
      <c r="B257" t="s">
        <v>469</v>
      </c>
      <c r="C257">
        <v>210008</v>
      </c>
    </row>
    <row r="258" spans="1:3">
      <c r="A258" t="s">
        <v>470</v>
      </c>
      <c r="B258" t="s">
        <v>471</v>
      </c>
      <c r="C258">
        <v>210009</v>
      </c>
    </row>
    <row r="259" spans="1:3">
      <c r="A259" t="s">
        <v>472</v>
      </c>
      <c r="B259" t="s">
        <v>473</v>
      </c>
      <c r="C259">
        <v>100006</v>
      </c>
    </row>
    <row r="260" spans="1:3">
      <c r="B260" t="s">
        <v>474</v>
      </c>
      <c r="C260" s="81">
        <v>100001</v>
      </c>
    </row>
    <row r="261" spans="1:3">
      <c r="B261" t="s">
        <v>475</v>
      </c>
      <c r="C261" s="81">
        <v>100002</v>
      </c>
    </row>
    <row r="262" spans="1:3">
      <c r="B262" t="s">
        <v>476</v>
      </c>
      <c r="C262" s="81">
        <v>100003</v>
      </c>
    </row>
    <row r="263" spans="1:3">
      <c r="B263" t="s">
        <v>477</v>
      </c>
      <c r="C263" s="81">
        <v>100004</v>
      </c>
    </row>
    <row r="264" spans="1:3">
      <c r="B264" t="s">
        <v>478</v>
      </c>
      <c r="C264" s="81">
        <v>100005</v>
      </c>
    </row>
    <row r="265" spans="1:3">
      <c r="B265" t="s">
        <v>2</v>
      </c>
      <c r="C265">
        <v>1</v>
      </c>
    </row>
    <row r="266" spans="1:3">
      <c r="B266" t="s">
        <v>479</v>
      </c>
      <c r="C266">
        <v>2</v>
      </c>
    </row>
    <row r="267" spans="1:3">
      <c r="B267" t="s">
        <v>480</v>
      </c>
      <c r="C267">
        <v>3</v>
      </c>
    </row>
    <row r="268" spans="1:3">
      <c r="B268" t="s">
        <v>481</v>
      </c>
      <c r="C268">
        <v>9</v>
      </c>
    </row>
    <row r="271" spans="1:3">
      <c r="B271" s="82">
        <v>99</v>
      </c>
      <c r="C271" s="83" t="s">
        <v>482</v>
      </c>
    </row>
    <row r="272" spans="1:3">
      <c r="B272" s="82">
        <v>199</v>
      </c>
      <c r="C272" s="83" t="s">
        <v>483</v>
      </c>
    </row>
    <row r="273" spans="2:3">
      <c r="B273" s="82">
        <v>299</v>
      </c>
      <c r="C273" s="84" t="s">
        <v>484</v>
      </c>
    </row>
    <row r="274" spans="2:3">
      <c r="B274" s="82">
        <v>399</v>
      </c>
      <c r="C274" s="84" t="s">
        <v>485</v>
      </c>
    </row>
    <row r="275" spans="2:3">
      <c r="B275" s="82">
        <v>499</v>
      </c>
      <c r="C275" s="83" t="s">
        <v>486</v>
      </c>
    </row>
    <row r="276" spans="2:3">
      <c r="B276" s="82">
        <v>599</v>
      </c>
      <c r="C276" s="83" t="s">
        <v>487</v>
      </c>
    </row>
    <row r="277" spans="2:3">
      <c r="B277" s="82">
        <v>699</v>
      </c>
      <c r="C277" s="83" t="s">
        <v>488</v>
      </c>
    </row>
    <row r="278" spans="2:3">
      <c r="B278" s="82">
        <v>799</v>
      </c>
      <c r="C278" s="84" t="s">
        <v>489</v>
      </c>
    </row>
    <row r="279" spans="2:3">
      <c r="B279" s="82">
        <v>899</v>
      </c>
      <c r="C279" s="84" t="s">
        <v>490</v>
      </c>
    </row>
    <row r="280" spans="2:3">
      <c r="B280" s="82">
        <v>999</v>
      </c>
      <c r="C280" s="83" t="s">
        <v>491</v>
      </c>
    </row>
    <row r="281" spans="2:3">
      <c r="B281" s="82">
        <v>1299</v>
      </c>
      <c r="C281" s="84" t="s">
        <v>492</v>
      </c>
    </row>
    <row r="282" spans="2:3">
      <c r="B282" s="82">
        <v>1499</v>
      </c>
      <c r="C282" s="84" t="s">
        <v>493</v>
      </c>
    </row>
    <row r="283" spans="2:3">
      <c r="B283" s="82">
        <v>1799</v>
      </c>
      <c r="C283" s="83" t="s">
        <v>494</v>
      </c>
    </row>
    <row r="284" spans="2:3">
      <c r="B284" s="82">
        <v>1999</v>
      </c>
      <c r="C284" s="83" t="s">
        <v>495</v>
      </c>
    </row>
    <row r="285" spans="2:3">
      <c r="B285" s="82">
        <v>2499</v>
      </c>
      <c r="C285" s="83" t="s">
        <v>496</v>
      </c>
    </row>
    <row r="286" spans="2:3">
      <c r="B286" s="82">
        <v>2999</v>
      </c>
      <c r="C286" s="83" t="s">
        <v>497</v>
      </c>
    </row>
    <row r="287" spans="2:3">
      <c r="B287" s="82">
        <v>3499</v>
      </c>
      <c r="C287" s="83" t="s">
        <v>498</v>
      </c>
    </row>
    <row r="288" spans="2:3">
      <c r="B288" s="82">
        <v>3999</v>
      </c>
      <c r="C288" s="83" t="s">
        <v>499</v>
      </c>
    </row>
    <row r="289" spans="2:3">
      <c r="B289" s="82">
        <v>4499</v>
      </c>
      <c r="C289" s="83" t="s">
        <v>500</v>
      </c>
    </row>
    <row r="290" spans="2:3">
      <c r="B290" s="82">
        <v>4999</v>
      </c>
      <c r="C290" s="83" t="s">
        <v>501</v>
      </c>
    </row>
    <row r="291" spans="2:3">
      <c r="B291" s="82">
        <v>5999</v>
      </c>
      <c r="C291" s="83" t="s">
        <v>502</v>
      </c>
    </row>
    <row r="292" spans="2:3">
      <c r="B292" s="82">
        <v>6999</v>
      </c>
      <c r="C292" s="83" t="s">
        <v>503</v>
      </c>
    </row>
    <row r="293" spans="2:3">
      <c r="B293" s="82">
        <v>7999</v>
      </c>
      <c r="C293" s="83" t="s">
        <v>504</v>
      </c>
    </row>
    <row r="294" spans="2:3">
      <c r="B294" s="82">
        <v>8999</v>
      </c>
      <c r="C294" s="83" t="s">
        <v>505</v>
      </c>
    </row>
    <row r="295" spans="2:3">
      <c r="B295" s="82">
        <v>9999</v>
      </c>
      <c r="C295" s="83" t="s">
        <v>506</v>
      </c>
    </row>
    <row r="296" spans="2:3">
      <c r="B296">
        <v>99</v>
      </c>
      <c r="C296" s="85" t="s">
        <v>507</v>
      </c>
    </row>
    <row r="297" spans="2:3">
      <c r="B297">
        <v>199</v>
      </c>
      <c r="C297" s="85" t="s">
        <v>508</v>
      </c>
    </row>
    <row r="298" spans="2:3">
      <c r="B298">
        <v>299</v>
      </c>
      <c r="C298" s="86" t="s">
        <v>509</v>
      </c>
    </row>
    <row r="299" spans="2:3">
      <c r="B299">
        <v>399</v>
      </c>
      <c r="C299" s="86" t="s">
        <v>510</v>
      </c>
    </row>
    <row r="300" spans="2:3">
      <c r="B300">
        <v>499</v>
      </c>
      <c r="C300" s="85" t="s">
        <v>511</v>
      </c>
    </row>
    <row r="301" spans="2:3">
      <c r="B301">
        <v>599</v>
      </c>
      <c r="C301" s="85" t="s">
        <v>512</v>
      </c>
    </row>
    <row r="302" spans="2:3">
      <c r="B302">
        <v>699</v>
      </c>
      <c r="C302" s="85" t="s">
        <v>513</v>
      </c>
    </row>
    <row r="303" spans="2:3">
      <c r="B303">
        <v>799</v>
      </c>
      <c r="C303" s="86" t="s">
        <v>514</v>
      </c>
    </row>
    <row r="304" spans="2:3">
      <c r="B304">
        <v>899</v>
      </c>
      <c r="C304" s="86" t="s">
        <v>515</v>
      </c>
    </row>
    <row r="305" spans="2:3">
      <c r="B305">
        <v>999</v>
      </c>
      <c r="C305" s="85" t="s">
        <v>516</v>
      </c>
    </row>
    <row r="306" spans="2:3">
      <c r="B306">
        <v>1299</v>
      </c>
      <c r="C306" s="86" t="s">
        <v>517</v>
      </c>
    </row>
    <row r="307" spans="2:3">
      <c r="B307">
        <v>1499</v>
      </c>
      <c r="C307" s="86" t="s">
        <v>518</v>
      </c>
    </row>
    <row r="308" spans="2:3">
      <c r="B308">
        <v>1799</v>
      </c>
      <c r="C308" s="85" t="s">
        <v>519</v>
      </c>
    </row>
    <row r="309" spans="2:3">
      <c r="B309">
        <v>1999</v>
      </c>
      <c r="C309" s="85" t="s">
        <v>520</v>
      </c>
    </row>
    <row r="310" spans="2:3">
      <c r="B310">
        <v>2499</v>
      </c>
      <c r="C310" s="85" t="s">
        <v>521</v>
      </c>
    </row>
    <row r="311" spans="2:3">
      <c r="B311">
        <v>2999</v>
      </c>
      <c r="C311" s="85" t="s">
        <v>522</v>
      </c>
    </row>
    <row r="312" spans="2:3">
      <c r="B312">
        <v>3499</v>
      </c>
      <c r="C312" s="85" t="s">
        <v>523</v>
      </c>
    </row>
    <row r="313" spans="2:3">
      <c r="B313">
        <v>3999</v>
      </c>
      <c r="C313" s="85" t="s">
        <v>524</v>
      </c>
    </row>
    <row r="314" spans="2:3">
      <c r="B314">
        <v>4499</v>
      </c>
      <c r="C314" s="85" t="s">
        <v>525</v>
      </c>
    </row>
    <row r="315" spans="2:3">
      <c r="B315">
        <v>4999</v>
      </c>
      <c r="C315" s="85" t="s">
        <v>526</v>
      </c>
    </row>
    <row r="316" spans="2:3">
      <c r="B316">
        <v>5999</v>
      </c>
      <c r="C316" s="85" t="s">
        <v>527</v>
      </c>
    </row>
    <row r="317" spans="2:3">
      <c r="B317">
        <v>6999</v>
      </c>
      <c r="C317" s="85" t="s">
        <v>528</v>
      </c>
    </row>
    <row r="318" spans="2:3">
      <c r="B318">
        <v>7999</v>
      </c>
      <c r="C318" s="85" t="s">
        <v>529</v>
      </c>
    </row>
    <row r="319" spans="2:3">
      <c r="B319">
        <v>8999</v>
      </c>
      <c r="C319" s="85" t="s">
        <v>530</v>
      </c>
    </row>
    <row r="320" spans="2:3">
      <c r="B320">
        <v>9999</v>
      </c>
      <c r="C320" s="85" t="s">
        <v>531</v>
      </c>
    </row>
  </sheetData>
  <conditionalFormatting sqref="C320">
    <cfRule type="duplicateValues" dxfId="1" priority="1"/>
  </conditionalFormatting>
  <conditionalFormatting sqref="C260:C264">
    <cfRule type="duplicateValues" dxfId="0" priority="4"/>
    <cfRule type="duplicateValues" dxfId="1" priority="5"/>
  </conditionalFormatting>
  <conditionalFormatting sqref="C271:C295">
    <cfRule type="duplicateValues" dxfId="1" priority="3"/>
  </conditionalFormatting>
  <conditionalFormatting sqref="C296:C319">
    <cfRule type="duplicateValues" dxfId="1" priority="2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75"/>
  <sheetViews>
    <sheetView workbookViewId="0">
      <selection activeCell="A1" sqref="A1"/>
    </sheetView>
  </sheetViews>
  <sheetFormatPr defaultColWidth="9" defaultRowHeight="13.5"/>
  <cols>
    <col min="1" max="1" width="5.375" style="1" customWidth="1"/>
    <col min="2" max="2" width="5.75833333333333" style="1" customWidth="1"/>
    <col min="3" max="3" width="7.875" style="1" customWidth="1"/>
    <col min="4" max="4" width="11.125" style="1" customWidth="1"/>
    <col min="5" max="5" width="11.125" style="2" customWidth="1"/>
    <col min="6" max="6" width="7.875" style="3" customWidth="1"/>
    <col min="7" max="7" width="7.875" style="1" customWidth="1"/>
    <col min="8" max="8" width="11.2583333333333" style="5" customWidth="1"/>
    <col min="9" max="9" width="14.5166666666667" style="6" customWidth="1"/>
    <col min="10" max="10" width="13.125" style="7" customWidth="1"/>
    <col min="11" max="11" width="11.125" style="1" customWidth="1"/>
    <col min="12" max="12" width="7.875" style="8" customWidth="1"/>
    <col min="13" max="13" width="11.125" style="9" customWidth="1"/>
    <col min="14" max="14" width="7.875" style="10" customWidth="1"/>
    <col min="15" max="15" width="7.69166666666667" style="11" customWidth="1"/>
    <col min="21" max="21" width="10.375" customWidth="1"/>
  </cols>
  <sheetData>
    <row r="1" ht="84" spans="1:21">
      <c r="A1" s="13" t="str">
        <f>'体验表-带进度条'!B1</f>
        <v>序列</v>
      </c>
      <c r="B1" s="14">
        <f>'体验表-带进度条'!E1</f>
        <v>0</v>
      </c>
      <c r="C1" s="14" t="str">
        <f>'体验表-带进度条'!F1</f>
        <v>档位膨胀</v>
      </c>
      <c r="D1" s="15" t="str">
        <f>'体验表-带进度条'!G1</f>
        <v>基础金币</v>
      </c>
      <c r="E1" s="16" t="str">
        <f>'体验表-带进度条'!H1</f>
        <v>合计金币</v>
      </c>
      <c r="F1" s="17" t="str">
        <f>'体验表-带进度条'!I1</f>
        <v>合计美金</v>
      </c>
      <c r="G1" s="14" t="str">
        <f>'体验表-带进度条'!J1</f>
        <v>优惠比例</v>
      </c>
      <c r="H1" s="19" t="str">
        <f>'体验表-带进度条'!K1</f>
        <v>奖励类型</v>
      </c>
      <c r="I1" s="20" t="str">
        <f>'体验表-带进度条'!L1</f>
        <v>奖励类型
1金币
2钻石
3道具
4卡包
9美金(查表)
17美金金币</v>
      </c>
      <c r="J1" s="21" t="str">
        <f>'体验表-带进度条'!M1</f>
        <v>数量</v>
      </c>
      <c r="K1" s="14" t="str">
        <f>'体验表-带进度条'!N1</f>
        <v>档位金币</v>
      </c>
      <c r="L1" s="22" t="str">
        <f>'体验表-带进度条'!O1</f>
        <v>档位美金</v>
      </c>
      <c r="M1" s="16" t="str">
        <f>'体验表-带进度条'!X1</f>
        <v>合计金币</v>
      </c>
      <c r="N1" s="23" t="str">
        <f>'体验表-带进度条'!AA1</f>
        <v>合计美金</v>
      </c>
      <c r="O1" s="72" t="str">
        <f>'体验表-带进度条'!AB1</f>
        <v>折扣</v>
      </c>
      <c r="P1" s="42"/>
      <c r="Q1" s="73" t="s">
        <v>0</v>
      </c>
      <c r="R1" s="15" t="s">
        <v>532</v>
      </c>
      <c r="T1" s="28" t="s">
        <v>533</v>
      </c>
      <c r="U1" s="28" t="s">
        <v>534</v>
      </c>
    </row>
    <row r="2" spans="1:21">
      <c r="A2" s="13">
        <f>'体验表-带进度条'!B2</f>
        <v>1</v>
      </c>
      <c r="B2" s="14">
        <f>'体验表-带进度条'!E2</f>
        <v>0</v>
      </c>
      <c r="C2" s="14" t="str">
        <f>'体验表-带进度条'!F2</f>
        <v/>
      </c>
      <c r="D2" s="14">
        <f>'体验表-带进度条'!G2</f>
        <v>0</v>
      </c>
      <c r="E2" s="16">
        <f>'体验表-带进度条'!H2</f>
        <v>0</v>
      </c>
      <c r="F2" s="17">
        <f>'体验表-带进度条'!I2</f>
        <v>0</v>
      </c>
      <c r="G2" s="14">
        <f>'体验表-带进度条'!J2</f>
        <v>0</v>
      </c>
      <c r="H2" s="14" t="str">
        <f>'体验表-带进度条'!K2</f>
        <v>金币</v>
      </c>
      <c r="I2" s="29">
        <f>'体验表-带进度条'!L2</f>
        <v>1</v>
      </c>
      <c r="J2" s="21">
        <f>'体验表-带进度条'!M2</f>
        <v>5000</v>
      </c>
      <c r="K2" s="14">
        <f>'体验表-带进度条'!N2</f>
        <v>0</v>
      </c>
      <c r="L2" s="22">
        <f>'体验表-带进度条'!O2</f>
        <v>0</v>
      </c>
      <c r="M2" s="30">
        <f>'体验表-带进度条'!X2</f>
        <v>0</v>
      </c>
      <c r="N2" s="23">
        <f>'体验表-带进度条'!AA2</f>
        <v>0</v>
      </c>
      <c r="O2" s="72">
        <f>'体验表-带进度条'!AB2</f>
        <v>0</v>
      </c>
      <c r="P2" s="42"/>
      <c r="Q2" s="73">
        <v>99</v>
      </c>
      <c r="R2" s="15">
        <v>100</v>
      </c>
      <c r="T2" s="32">
        <v>0</v>
      </c>
      <c r="U2" s="33">
        <v>1000000</v>
      </c>
    </row>
    <row r="3" spans="1:21">
      <c r="A3" s="34">
        <f>'体验表-带进度条'!B3</f>
        <v>2</v>
      </c>
      <c r="B3" s="35">
        <f>'体验表-带进度条'!E3</f>
        <v>2.99</v>
      </c>
      <c r="C3" s="14">
        <f>'体验表-带进度条'!F3</f>
        <v>109</v>
      </c>
      <c r="D3" s="36">
        <f>'体验表-带进度条'!G3</f>
        <v>3270000</v>
      </c>
      <c r="E3" s="37">
        <f>'体验表-带进度条'!H3</f>
        <v>3270000</v>
      </c>
      <c r="F3" s="17">
        <f>'体验表-带进度条'!I3</f>
        <v>2.99</v>
      </c>
      <c r="G3" s="14">
        <f>'体验表-带进度条'!J3</f>
        <v>0</v>
      </c>
      <c r="H3" s="14" t="str">
        <f>'体验表-带进度条'!K3</f>
        <v>金币</v>
      </c>
      <c r="I3" s="29">
        <f>'体验表-带进度条'!L3</f>
        <v>9</v>
      </c>
      <c r="J3" s="21">
        <f>'体验表-带进度条'!M3</f>
        <v>3270000</v>
      </c>
      <c r="K3" s="36">
        <f>'体验表-带进度条'!N3</f>
        <v>4168950</v>
      </c>
      <c r="L3" s="22">
        <f>'体验表-带进度条'!O3</f>
        <v>4.16895</v>
      </c>
      <c r="M3" s="37">
        <f>'体验表-带进度条'!X3</f>
        <v>4168950</v>
      </c>
      <c r="N3" s="23">
        <f>'体验表-带进度条'!AA3</f>
        <v>4.16895</v>
      </c>
      <c r="O3" s="72">
        <f>'体验表-带进度条'!AB3</f>
        <v>1.27490825688073</v>
      </c>
      <c r="P3" s="42"/>
      <c r="Q3" s="73">
        <v>199</v>
      </c>
      <c r="R3" s="15">
        <v>100</v>
      </c>
      <c r="T3" s="32">
        <v>1</v>
      </c>
      <c r="U3" s="33">
        <v>1250000</v>
      </c>
    </row>
    <row r="4" spans="1:21">
      <c r="A4" s="13">
        <f>'体验表-带进度条'!B4</f>
        <v>3</v>
      </c>
      <c r="B4" s="14">
        <f>'体验表-带进度条'!E4</f>
        <v>0</v>
      </c>
      <c r="C4" s="14" t="str">
        <f>'体验表-带进度条'!F4</f>
        <v/>
      </c>
      <c r="D4" s="14">
        <f>'体验表-带进度条'!G4</f>
        <v>0</v>
      </c>
      <c r="E4" s="16">
        <f>'体验表-带进度条'!H4</f>
        <v>0</v>
      </c>
      <c r="F4" s="17">
        <f>'体验表-带进度条'!I4</f>
        <v>0</v>
      </c>
      <c r="G4" s="14">
        <f>'体验表-带进度条'!J4</f>
        <v>0</v>
      </c>
      <c r="H4" s="19" t="str">
        <f>'体验表-带进度条'!K4</f>
        <v>记牌器1个</v>
      </c>
      <c r="I4" s="38">
        <f>'体验表-带进度条'!L4</f>
        <v>3</v>
      </c>
      <c r="J4" s="21">
        <f>'体验表-带进度条'!M4</f>
        <v>1</v>
      </c>
      <c r="K4" s="14">
        <f>'体验表-带进度条'!N4</f>
        <v>0</v>
      </c>
      <c r="L4" s="22">
        <f>'体验表-带进度条'!O4</f>
        <v>0</v>
      </c>
      <c r="M4" s="30">
        <f>'体验表-带进度条'!X4</f>
        <v>0</v>
      </c>
      <c r="N4" s="23">
        <f>'体验表-带进度条'!AA4</f>
        <v>0</v>
      </c>
      <c r="O4" s="72">
        <f>'体验表-带进度条'!AB4</f>
        <v>0</v>
      </c>
      <c r="P4" s="42"/>
      <c r="Q4" s="73">
        <v>299</v>
      </c>
      <c r="R4" s="15">
        <v>109</v>
      </c>
      <c r="T4" s="32">
        <v>2</v>
      </c>
      <c r="U4" s="33">
        <v>1500000</v>
      </c>
    </row>
    <row r="5" spans="1:21">
      <c r="A5" s="13">
        <f>'体验表-带进度条'!B5</f>
        <v>4</v>
      </c>
      <c r="B5" s="14">
        <f>'体验表-带进度条'!E5</f>
        <v>0</v>
      </c>
      <c r="C5" s="14" t="str">
        <f>'体验表-带进度条'!F5</f>
        <v/>
      </c>
      <c r="D5" s="14">
        <f>'体验表-带进度条'!G5</f>
        <v>0</v>
      </c>
      <c r="E5" s="16">
        <f>'体验表-带进度条'!H5</f>
        <v>0</v>
      </c>
      <c r="F5" s="17">
        <f>'体验表-带进度条'!I5</f>
        <v>0</v>
      </c>
      <c r="G5" s="14">
        <f>'体验表-带进度条'!J5</f>
        <v>0.1</v>
      </c>
      <c r="H5" s="19" t="str">
        <f>'体验表-带进度条'!K5</f>
        <v>金币</v>
      </c>
      <c r="I5" s="38">
        <f>'体验表-带进度条'!L5</f>
        <v>17</v>
      </c>
      <c r="J5" s="21">
        <f>'体验表-带进度条'!M5</f>
        <v>898949.999999999</v>
      </c>
      <c r="K5" s="14">
        <f>'体验表-带进度条'!N5</f>
        <v>0</v>
      </c>
      <c r="L5" s="22">
        <f>'体验表-带进度条'!O5</f>
        <v>0</v>
      </c>
      <c r="M5" s="30">
        <f>'体验表-带进度条'!X5</f>
        <v>0</v>
      </c>
      <c r="N5" s="23">
        <f>'体验表-带进度条'!AA5</f>
        <v>0</v>
      </c>
      <c r="O5" s="72">
        <f>'体验表-带进度条'!AB5</f>
        <v>0</v>
      </c>
      <c r="P5" s="42"/>
      <c r="Q5" s="73">
        <v>399</v>
      </c>
      <c r="R5" s="15">
        <v>114</v>
      </c>
      <c r="T5" s="32">
        <v>3</v>
      </c>
      <c r="U5" s="33">
        <v>1750000</v>
      </c>
    </row>
    <row r="6" spans="1:21">
      <c r="A6" s="13">
        <f>'体验表-带进度条'!B6</f>
        <v>5</v>
      </c>
      <c r="B6" s="14">
        <f>'体验表-带进度条'!E6</f>
        <v>0</v>
      </c>
      <c r="C6" s="14" t="str">
        <f>'体验表-带进度条'!F6</f>
        <v/>
      </c>
      <c r="D6" s="14">
        <f>'体验表-带进度条'!G6</f>
        <v>0</v>
      </c>
      <c r="E6" s="16">
        <f>'体验表-带进度条'!H6</f>
        <v>0</v>
      </c>
      <c r="F6" s="17">
        <f>'体验表-带进度条'!I6</f>
        <v>0</v>
      </c>
      <c r="G6" s="14">
        <f>'体验表-带进度条'!J6</f>
        <v>0</v>
      </c>
      <c r="H6" s="19" t="str">
        <f>'体验表-带进度条'!K6</f>
        <v>卡包2星</v>
      </c>
      <c r="I6" s="38">
        <f>'体验表-带进度条'!L6</f>
        <v>4</v>
      </c>
      <c r="J6" s="21">
        <f>'体验表-带进度条'!M6</f>
        <v>1</v>
      </c>
      <c r="K6" s="14">
        <f>'体验表-带进度条'!N6</f>
        <v>0</v>
      </c>
      <c r="L6" s="22">
        <f>'体验表-带进度条'!O6</f>
        <v>0</v>
      </c>
      <c r="M6" s="30">
        <f>'体验表-带进度条'!X6</f>
        <v>0</v>
      </c>
      <c r="N6" s="23">
        <f>'体验表-带进度条'!AA6</f>
        <v>0</v>
      </c>
      <c r="O6" s="72">
        <f>'体验表-带进度条'!AB6</f>
        <v>0</v>
      </c>
      <c r="P6" s="42"/>
      <c r="Q6" s="73">
        <v>499</v>
      </c>
      <c r="R6" s="15">
        <v>119</v>
      </c>
      <c r="T6" s="32">
        <v>4</v>
      </c>
      <c r="U6" s="33">
        <v>2000000</v>
      </c>
    </row>
    <row r="7" spans="1:21">
      <c r="A7" s="13">
        <f>'体验表-带进度条'!B7</f>
        <v>6</v>
      </c>
      <c r="B7" s="14">
        <f>'体验表-带进度条'!E7</f>
        <v>0</v>
      </c>
      <c r="C7" s="14" t="str">
        <f>'体验表-带进度条'!F7</f>
        <v/>
      </c>
      <c r="D7" s="14">
        <f>'体验表-带进度条'!G7</f>
        <v>0</v>
      </c>
      <c r="E7" s="16">
        <f>'体验表-带进度条'!H7</f>
        <v>0</v>
      </c>
      <c r="F7" s="17">
        <f>'体验表-带进度条'!I7</f>
        <v>0</v>
      </c>
      <c r="G7" s="14">
        <f>'体验表-带进度条'!J7</f>
        <v>0</v>
      </c>
      <c r="H7" s="19" t="str">
        <f>'体验表-带进度条'!K7</f>
        <v>老虎机抽奖券</v>
      </c>
      <c r="I7" s="38">
        <f>'体验表-带进度条'!L7</f>
        <v>3</v>
      </c>
      <c r="J7" s="21">
        <f>'体验表-带进度条'!M7</f>
        <v>5</v>
      </c>
      <c r="K7" s="14">
        <f>'体验表-带进度条'!N7</f>
        <v>0</v>
      </c>
      <c r="L7" s="22">
        <f>'体验表-带进度条'!O7</f>
        <v>0</v>
      </c>
      <c r="M7" s="30">
        <f>'体验表-带进度条'!X7</f>
        <v>0</v>
      </c>
      <c r="N7" s="23">
        <f>'体验表-带进度条'!AA7</f>
        <v>0</v>
      </c>
      <c r="O7" s="72">
        <f>'体验表-带进度条'!AB7</f>
        <v>0</v>
      </c>
      <c r="P7" s="42"/>
      <c r="Q7" s="73">
        <v>599</v>
      </c>
      <c r="R7" s="15">
        <v>119</v>
      </c>
      <c r="T7" s="32">
        <v>5</v>
      </c>
      <c r="U7" s="33">
        <v>2250000</v>
      </c>
    </row>
    <row r="8" spans="1:21">
      <c r="A8" s="13">
        <f>'体验表-带进度条'!B8</f>
        <v>7</v>
      </c>
      <c r="B8" s="14">
        <f>'体验表-带进度条'!E8</f>
        <v>0</v>
      </c>
      <c r="C8" s="14" t="str">
        <f>'体验表-带进度条'!F8</f>
        <v/>
      </c>
      <c r="D8" s="14">
        <f>'体验表-带进度条'!G8</f>
        <v>0</v>
      </c>
      <c r="E8" s="16">
        <f>'体验表-带进度条'!H8</f>
        <v>0</v>
      </c>
      <c r="F8" s="17">
        <f>'体验表-带进度条'!I8</f>
        <v>0</v>
      </c>
      <c r="G8" s="14">
        <f>'体验表-带进度条'!J8</f>
        <v>0</v>
      </c>
      <c r="H8" s="19" t="str">
        <f>'体验表-带进度条'!K8</f>
        <v>大奖赛复活券</v>
      </c>
      <c r="I8" s="38">
        <f>'体验表-带进度条'!L8</f>
        <v>3</v>
      </c>
      <c r="J8" s="21">
        <f>'体验表-带进度条'!M8</f>
        <v>1</v>
      </c>
      <c r="K8" s="14">
        <f>'体验表-带进度条'!N8</f>
        <v>0</v>
      </c>
      <c r="L8" s="22">
        <f>'体验表-带进度条'!O8</f>
        <v>0</v>
      </c>
      <c r="M8" s="30">
        <f>'体验表-带进度条'!X8</f>
        <v>0</v>
      </c>
      <c r="N8" s="23">
        <f>'体验表-带进度条'!AA8</f>
        <v>0</v>
      </c>
      <c r="O8" s="72">
        <f>'体验表-带进度条'!AB8</f>
        <v>0</v>
      </c>
      <c r="P8" s="42"/>
      <c r="Q8" s="73">
        <v>699</v>
      </c>
      <c r="R8" s="15">
        <v>124</v>
      </c>
      <c r="T8" s="32">
        <v>6</v>
      </c>
      <c r="U8" s="33">
        <v>2500000</v>
      </c>
    </row>
    <row r="9" spans="1:21">
      <c r="A9" s="34">
        <f>'体验表-带进度条'!B9</f>
        <v>8</v>
      </c>
      <c r="B9" s="14">
        <f>'体验表-带进度条'!E9</f>
        <v>3.99</v>
      </c>
      <c r="C9" s="14">
        <f>'体验表-带进度条'!F9</f>
        <v>114</v>
      </c>
      <c r="D9" s="36">
        <f>'体验表-带进度条'!G9</f>
        <v>4560000</v>
      </c>
      <c r="E9" s="37">
        <f>'体验表-带进度条'!H9</f>
        <v>7830000</v>
      </c>
      <c r="F9" s="17">
        <f>'体验表-带进度条'!I9</f>
        <v>6.98</v>
      </c>
      <c r="G9" s="14">
        <f>'体验表-带进度条'!J9</f>
        <v>0.12</v>
      </c>
      <c r="H9" s="14" t="str">
        <f>'体验表-带进度条'!K9</f>
        <v>金币</v>
      </c>
      <c r="I9" s="29">
        <f>'体验表-带进度条'!L9</f>
        <v>9</v>
      </c>
      <c r="J9" s="21">
        <f>'体验表-带进度条'!M9</f>
        <v>4560000</v>
      </c>
      <c r="K9" s="36">
        <f>'体验表-带进度条'!N9</f>
        <v>4739790</v>
      </c>
      <c r="L9" s="22">
        <f>'体验表-带进度条'!O9</f>
        <v>4.73979</v>
      </c>
      <c r="M9" s="37">
        <f>'体验表-带进度条'!X9</f>
        <v>9987480</v>
      </c>
      <c r="N9" s="23">
        <f>'体验表-带进度条'!AA9</f>
        <v>9.98748</v>
      </c>
      <c r="O9" s="72">
        <f>'体验表-带进度条'!AB9</f>
        <v>1.27554022988506</v>
      </c>
      <c r="P9" s="42"/>
      <c r="Q9" s="73">
        <v>799</v>
      </c>
      <c r="R9" s="15">
        <v>129</v>
      </c>
      <c r="T9" s="32">
        <v>7</v>
      </c>
      <c r="U9" s="33">
        <v>2500000</v>
      </c>
    </row>
    <row r="10" spans="1:21">
      <c r="A10" s="13">
        <f>'体验表-带进度条'!B10</f>
        <v>9</v>
      </c>
      <c r="B10" s="14">
        <f>'体验表-带进度条'!E10</f>
        <v>0</v>
      </c>
      <c r="C10" s="14" t="str">
        <f>'体验表-带进度条'!F10</f>
        <v/>
      </c>
      <c r="D10" s="14">
        <f>'体验表-带进度条'!G10</f>
        <v>0</v>
      </c>
      <c r="E10" s="16">
        <f>'体验表-带进度条'!H10</f>
        <v>0</v>
      </c>
      <c r="F10" s="17">
        <f>'体验表-带进度条'!I10</f>
        <v>0</v>
      </c>
      <c r="G10" s="14">
        <f>'体验表-带进度条'!J10</f>
        <v>0</v>
      </c>
      <c r="H10" s="19" t="str">
        <f>'体验表-带进度条'!K10</f>
        <v>记牌器1个</v>
      </c>
      <c r="I10" s="38">
        <f>'体验表-带进度条'!L10</f>
        <v>3</v>
      </c>
      <c r="J10" s="21">
        <f>'体验表-带进度条'!M10</f>
        <v>2</v>
      </c>
      <c r="K10" s="14">
        <f>'体验表-带进度条'!N10</f>
        <v>0</v>
      </c>
      <c r="L10" s="22">
        <f>'体验表-带进度条'!O10</f>
        <v>0</v>
      </c>
      <c r="M10" s="30">
        <f>'体验表-带进度条'!X10</f>
        <v>0</v>
      </c>
      <c r="N10" s="23">
        <f>'体验表-带进度条'!AA10</f>
        <v>0</v>
      </c>
      <c r="O10" s="72">
        <f>'体验表-带进度条'!AB10</f>
        <v>0</v>
      </c>
      <c r="P10" s="42"/>
      <c r="Q10" s="73">
        <v>899</v>
      </c>
      <c r="R10" s="15">
        <v>134</v>
      </c>
      <c r="T10" s="32">
        <v>8</v>
      </c>
      <c r="U10" s="33">
        <v>2500000</v>
      </c>
    </row>
    <row r="11" spans="1:21">
      <c r="A11" s="13">
        <f>'体验表-带进度条'!B11</f>
        <v>10</v>
      </c>
      <c r="B11" s="14">
        <f>'体验表-带进度条'!E11</f>
        <v>0</v>
      </c>
      <c r="C11" s="14" t="str">
        <f>'体验表-带进度条'!F11</f>
        <v/>
      </c>
      <c r="D11" s="14">
        <f>'体验表-带进度条'!G11</f>
        <v>0</v>
      </c>
      <c r="E11" s="16">
        <f>'体验表-带进度条'!H11</f>
        <v>0</v>
      </c>
      <c r="F11" s="17">
        <f>'体验表-带进度条'!I11</f>
        <v>0</v>
      </c>
      <c r="G11" s="14">
        <f>'体验表-带进度条'!J11</f>
        <v>0.02</v>
      </c>
      <c r="H11" s="19" t="str">
        <f>'体验表-带进度条'!K11</f>
        <v>金币</v>
      </c>
      <c r="I11" s="38">
        <f>'体验表-带进度条'!L11</f>
        <v>17</v>
      </c>
      <c r="J11" s="21">
        <f>'体验表-带进度条'!M11</f>
        <v>179790</v>
      </c>
      <c r="K11" s="14">
        <f>'体验表-带进度条'!N11</f>
        <v>0</v>
      </c>
      <c r="L11" s="22">
        <f>'体验表-带进度条'!O11</f>
        <v>0</v>
      </c>
      <c r="M11" s="30">
        <f>'体验表-带进度条'!X11</f>
        <v>0</v>
      </c>
      <c r="N11" s="23">
        <f>'体验表-带进度条'!AA11</f>
        <v>0</v>
      </c>
      <c r="O11" s="72">
        <f>'体验表-带进度条'!AB11</f>
        <v>0</v>
      </c>
      <c r="P11" s="42"/>
      <c r="Q11" s="73">
        <v>999</v>
      </c>
      <c r="R11" s="15">
        <v>139</v>
      </c>
      <c r="T11" s="32">
        <v>9</v>
      </c>
      <c r="U11" s="33">
        <v>2500000</v>
      </c>
    </row>
    <row r="12" spans="1:21">
      <c r="A12" s="13">
        <f>'体验表-带进度条'!B12</f>
        <v>11</v>
      </c>
      <c r="B12" s="14">
        <f>'体验表-带进度条'!E12</f>
        <v>0</v>
      </c>
      <c r="C12" s="14" t="str">
        <f>'体验表-带进度条'!F12</f>
        <v/>
      </c>
      <c r="D12" s="14">
        <f>'体验表-带进度条'!G12</f>
        <v>0</v>
      </c>
      <c r="E12" s="16">
        <f>'体验表-带进度条'!H12</f>
        <v>0</v>
      </c>
      <c r="F12" s="17">
        <f>'体验表-带进度条'!I12</f>
        <v>0</v>
      </c>
      <c r="G12" s="14">
        <f>'体验表-带进度条'!J12</f>
        <v>0</v>
      </c>
      <c r="H12" s="19" t="str">
        <f>'体验表-带进度条'!K12</f>
        <v>卡包3星</v>
      </c>
      <c r="I12" s="38">
        <f>'体验表-带进度条'!L12</f>
        <v>4</v>
      </c>
      <c r="J12" s="21">
        <f>'体验表-带进度条'!M12</f>
        <v>1</v>
      </c>
      <c r="K12" s="14">
        <f>'体验表-带进度条'!N12</f>
        <v>0</v>
      </c>
      <c r="L12" s="22">
        <f>'体验表-带进度条'!O12</f>
        <v>0</v>
      </c>
      <c r="M12" s="30">
        <f>'体验表-带进度条'!X12</f>
        <v>0</v>
      </c>
      <c r="N12" s="23">
        <f>'体验表-带进度条'!AA12</f>
        <v>0</v>
      </c>
      <c r="O12" s="72">
        <f>'体验表-带进度条'!AB12</f>
        <v>0</v>
      </c>
      <c r="P12" s="42"/>
      <c r="Q12" s="73">
        <v>1099</v>
      </c>
      <c r="R12" s="15">
        <v>142</v>
      </c>
      <c r="T12" s="32">
        <v>10</v>
      </c>
      <c r="U12" s="33">
        <v>2500000</v>
      </c>
    </row>
    <row r="13" spans="1:21">
      <c r="A13" s="13">
        <f>'体验表-带进度条'!B13</f>
        <v>12</v>
      </c>
      <c r="B13" s="14">
        <f>'体验表-带进度条'!E13</f>
        <v>0</v>
      </c>
      <c r="C13" s="14" t="str">
        <f>'体验表-带进度条'!F13</f>
        <v/>
      </c>
      <c r="D13" s="14">
        <f>'体验表-带进度条'!G13</f>
        <v>0</v>
      </c>
      <c r="E13" s="16">
        <f>'体验表-带进度条'!H13</f>
        <v>0</v>
      </c>
      <c r="F13" s="17">
        <f>'体验表-带进度条'!I13</f>
        <v>0</v>
      </c>
      <c r="G13" s="14">
        <f>'体验表-带进度条'!J13</f>
        <v>0</v>
      </c>
      <c r="H13" s="19" t="str">
        <f>'体验表-带进度条'!K13</f>
        <v>老虎机抽奖券</v>
      </c>
      <c r="I13" s="38">
        <f>'体验表-带进度条'!L13</f>
        <v>3</v>
      </c>
      <c r="J13" s="21">
        <f>'体验表-带进度条'!M13</f>
        <v>10</v>
      </c>
      <c r="K13" s="14">
        <f>'体验表-带进度条'!N13</f>
        <v>0</v>
      </c>
      <c r="L13" s="22">
        <f>'体验表-带进度条'!O13</f>
        <v>0</v>
      </c>
      <c r="M13" s="30">
        <f>'体验表-带进度条'!X13</f>
        <v>0</v>
      </c>
      <c r="N13" s="23">
        <f>'体验表-带进度条'!AA13</f>
        <v>0</v>
      </c>
      <c r="O13" s="72">
        <f>'体验表-带进度条'!AB13</f>
        <v>0</v>
      </c>
      <c r="P13" s="42"/>
      <c r="Q13" s="73">
        <v>1199</v>
      </c>
      <c r="R13" s="15">
        <v>146</v>
      </c>
      <c r="T13" s="32">
        <v>11</v>
      </c>
      <c r="U13" s="33">
        <v>2500000</v>
      </c>
    </row>
    <row r="14" spans="1:21">
      <c r="A14" s="13">
        <f>'体验表-带进度条'!B14</f>
        <v>13</v>
      </c>
      <c r="B14" s="14">
        <f>'体验表-带进度条'!E14</f>
        <v>0</v>
      </c>
      <c r="C14" s="14" t="str">
        <f>'体验表-带进度条'!F14</f>
        <v/>
      </c>
      <c r="D14" s="14">
        <f>'体验表-带进度条'!G14</f>
        <v>0</v>
      </c>
      <c r="E14" s="16">
        <f>'体验表-带进度条'!H14</f>
        <v>0</v>
      </c>
      <c r="F14" s="17">
        <f>'体验表-带进度条'!I14</f>
        <v>0</v>
      </c>
      <c r="G14" s="14">
        <f>'体验表-带进度条'!J14</f>
        <v>0</v>
      </c>
      <c r="H14" s="19" t="str">
        <f>'体验表-带进度条'!K14</f>
        <v>大奖赛报名券</v>
      </c>
      <c r="I14" s="38">
        <f>'体验表-带进度条'!L14</f>
        <v>3</v>
      </c>
      <c r="J14" s="21">
        <f>'体验表-带进度条'!M14</f>
        <v>1</v>
      </c>
      <c r="K14" s="14">
        <f>'体验表-带进度条'!N14</f>
        <v>0</v>
      </c>
      <c r="L14" s="22">
        <f>'体验表-带进度条'!O14</f>
        <v>0</v>
      </c>
      <c r="M14" s="30">
        <f>'体验表-带进度条'!X14</f>
        <v>0</v>
      </c>
      <c r="N14" s="23">
        <f>'体验表-带进度条'!AA14</f>
        <v>0</v>
      </c>
      <c r="O14" s="72">
        <f>'体验表-带进度条'!AB14</f>
        <v>0</v>
      </c>
      <c r="P14" s="42"/>
      <c r="Q14" s="73">
        <v>1299</v>
      </c>
      <c r="R14" s="15">
        <v>149</v>
      </c>
      <c r="T14" s="32">
        <v>12</v>
      </c>
      <c r="U14" s="33">
        <v>2500000</v>
      </c>
    </row>
    <row r="15" spans="1:21">
      <c r="A15" s="34">
        <f>'体验表-带进度条'!B15</f>
        <v>14</v>
      </c>
      <c r="B15" s="14">
        <f>'体验表-带进度条'!E15</f>
        <v>5.99</v>
      </c>
      <c r="C15" s="14">
        <f>'体验表-带进度条'!F15</f>
        <v>119</v>
      </c>
      <c r="D15" s="36">
        <f>'体验表-带进度条'!G15</f>
        <v>7140000</v>
      </c>
      <c r="E15" s="37">
        <f>'体验表-带进度条'!H15</f>
        <v>14970000</v>
      </c>
      <c r="F15" s="17">
        <f>'体验表-带进度条'!I15</f>
        <v>12.97</v>
      </c>
      <c r="G15" s="14">
        <f>'体验表-带进度条'!J15</f>
        <v>0</v>
      </c>
      <c r="H15" s="14" t="str">
        <f>'体验表-带进度条'!K15</f>
        <v>金币</v>
      </c>
      <c r="I15" s="29">
        <f>'体验表-带进度条'!L15</f>
        <v>9</v>
      </c>
      <c r="J15" s="21">
        <f>'体验表-带进度条'!M15</f>
        <v>7140000</v>
      </c>
      <c r="K15" s="36">
        <f>'体验表-带进度条'!N15</f>
        <v>7589475</v>
      </c>
      <c r="L15" s="22">
        <f>'体验表-带进度条'!O15</f>
        <v>7.589475</v>
      </c>
      <c r="M15" s="37">
        <f>'体验表-带进度条'!X15</f>
        <v>17576955</v>
      </c>
      <c r="N15" s="23">
        <f>'体验表-带进度条'!AA15</f>
        <v>17.576955</v>
      </c>
      <c r="O15" s="72">
        <f>'体验表-带进度条'!AB15</f>
        <v>1.17414529058116</v>
      </c>
      <c r="P15" s="42"/>
      <c r="Q15" s="73">
        <v>1399</v>
      </c>
      <c r="R15" s="15">
        <v>151</v>
      </c>
      <c r="T15" s="32">
        <v>13</v>
      </c>
      <c r="U15" s="33">
        <v>2500000</v>
      </c>
    </row>
    <row r="16" spans="1:21">
      <c r="A16" s="13">
        <f>'体验表-带进度条'!B16</f>
        <v>15</v>
      </c>
      <c r="B16" s="14">
        <f>'体验表-带进度条'!E16</f>
        <v>0</v>
      </c>
      <c r="C16" s="14" t="str">
        <f>'体验表-带进度条'!F16</f>
        <v/>
      </c>
      <c r="D16" s="14">
        <f>'体验表-带进度条'!G16</f>
        <v>0</v>
      </c>
      <c r="E16" s="16">
        <f>'体验表-带进度条'!H16</f>
        <v>0</v>
      </c>
      <c r="F16" s="17">
        <f>'体验表-带进度条'!I16</f>
        <v>0</v>
      </c>
      <c r="G16" s="14">
        <f>'体验表-带进度条'!J16</f>
        <v>0</v>
      </c>
      <c r="H16" s="19" t="str">
        <f>'体验表-带进度条'!K16</f>
        <v>记牌器1个</v>
      </c>
      <c r="I16" s="38">
        <f>'体验表-带进度条'!L16</f>
        <v>3</v>
      </c>
      <c r="J16" s="21">
        <f>'体验表-带进度条'!M16</f>
        <v>3</v>
      </c>
      <c r="K16" s="14">
        <f>'体验表-带进度条'!N16</f>
        <v>0</v>
      </c>
      <c r="L16" s="22">
        <f>'体验表-带进度条'!O16</f>
        <v>0</v>
      </c>
      <c r="M16" s="30">
        <f>'体验表-带进度条'!X16</f>
        <v>0</v>
      </c>
      <c r="N16" s="23">
        <f>'体验表-带进度条'!AA16</f>
        <v>0</v>
      </c>
      <c r="O16" s="72">
        <f>'体验表-带进度条'!AB16</f>
        <v>0</v>
      </c>
      <c r="P16" s="42"/>
      <c r="Q16" s="73">
        <v>1499</v>
      </c>
      <c r="R16" s="15">
        <v>154</v>
      </c>
      <c r="T16" s="32">
        <v>14</v>
      </c>
      <c r="U16" s="33">
        <v>2500000</v>
      </c>
    </row>
    <row r="17" spans="1:21">
      <c r="A17" s="13">
        <f>'体验表-带进度条'!B17</f>
        <v>16</v>
      </c>
      <c r="B17" s="14">
        <f>'体验表-带进度条'!E17</f>
        <v>0</v>
      </c>
      <c r="C17" s="14" t="str">
        <f>'体验表-带进度条'!F17</f>
        <v/>
      </c>
      <c r="D17" s="14">
        <f>'体验表-带进度条'!G17</f>
        <v>0</v>
      </c>
      <c r="E17" s="16">
        <f>'体验表-带进度条'!H17</f>
        <v>0</v>
      </c>
      <c r="F17" s="17">
        <f>'体验表-带进度条'!I17</f>
        <v>0</v>
      </c>
      <c r="G17" s="14">
        <f>'体验表-带进度条'!J17</f>
        <v>0.05</v>
      </c>
      <c r="H17" s="19" t="str">
        <f>'体验表-带进度条'!K17</f>
        <v>金币</v>
      </c>
      <c r="I17" s="38">
        <f>'体验表-带进度条'!L17</f>
        <v>17</v>
      </c>
      <c r="J17" s="21">
        <f>'体验表-带进度条'!M17</f>
        <v>449475</v>
      </c>
      <c r="K17" s="14">
        <f>'体验表-带进度条'!N17</f>
        <v>0</v>
      </c>
      <c r="L17" s="22">
        <f>'体验表-带进度条'!O17</f>
        <v>0</v>
      </c>
      <c r="M17" s="30">
        <f>'体验表-带进度条'!X17</f>
        <v>0</v>
      </c>
      <c r="N17" s="23">
        <f>'体验表-带进度条'!AA17</f>
        <v>0</v>
      </c>
      <c r="O17" s="72">
        <f>'体验表-带进度条'!AB17</f>
        <v>0</v>
      </c>
      <c r="P17" s="42"/>
      <c r="Q17" s="73">
        <v>1799</v>
      </c>
      <c r="R17" s="15">
        <v>158</v>
      </c>
      <c r="T17" s="76">
        <v>15</v>
      </c>
      <c r="U17" s="77">
        <v>2500000</v>
      </c>
    </row>
    <row r="18" spans="1:21">
      <c r="A18" s="13">
        <f>'体验表-带进度条'!B18</f>
        <v>17</v>
      </c>
      <c r="B18" s="14">
        <f>'体验表-带进度条'!E18</f>
        <v>0</v>
      </c>
      <c r="C18" s="14" t="str">
        <f>'体验表-带进度条'!F18</f>
        <v/>
      </c>
      <c r="D18" s="14">
        <f>'体验表-带进度条'!G18</f>
        <v>0</v>
      </c>
      <c r="E18" s="16">
        <f>'体验表-带进度条'!H18</f>
        <v>0</v>
      </c>
      <c r="F18" s="17">
        <f>'体验表-带进度条'!I18</f>
        <v>0</v>
      </c>
      <c r="G18" s="14">
        <f>'体验表-带进度条'!J18</f>
        <v>0</v>
      </c>
      <c r="H18" s="19" t="str">
        <f>'体验表-带进度条'!K18</f>
        <v>卡包4星</v>
      </c>
      <c r="I18" s="38">
        <f>'体验表-带进度条'!L18</f>
        <v>4</v>
      </c>
      <c r="J18" s="21">
        <f>'体验表-带进度条'!M18</f>
        <v>1</v>
      </c>
      <c r="K18" s="14">
        <f>'体验表-带进度条'!N18</f>
        <v>0</v>
      </c>
      <c r="L18" s="22">
        <f>'体验表-带进度条'!O18</f>
        <v>0</v>
      </c>
      <c r="M18" s="30">
        <f>'体验表-带进度条'!X18</f>
        <v>0</v>
      </c>
      <c r="N18" s="23">
        <f>'体验表-带进度条'!AA18</f>
        <v>0</v>
      </c>
      <c r="O18" s="72">
        <f>'体验表-带进度条'!AB18</f>
        <v>0</v>
      </c>
      <c r="P18" s="42"/>
      <c r="Q18" s="73">
        <v>1999</v>
      </c>
      <c r="R18" s="15">
        <v>158</v>
      </c>
      <c r="T18" s="42"/>
      <c r="U18" s="42"/>
    </row>
    <row r="19" spans="1:21">
      <c r="A19" s="13">
        <f>'体验表-带进度条'!B19</f>
        <v>18</v>
      </c>
      <c r="B19" s="14">
        <f>'体验表-带进度条'!E19</f>
        <v>0</v>
      </c>
      <c r="C19" s="14" t="str">
        <f>'体验表-带进度条'!F19</f>
        <v/>
      </c>
      <c r="D19" s="14">
        <f>'体验表-带进度条'!G19</f>
        <v>0</v>
      </c>
      <c r="E19" s="16">
        <f>'体验表-带进度条'!H19</f>
        <v>0</v>
      </c>
      <c r="F19" s="17">
        <f>'体验表-带进度条'!I19</f>
        <v>0</v>
      </c>
      <c r="G19" s="14">
        <f>'体验表-带进度条'!J19</f>
        <v>0</v>
      </c>
      <c r="H19" s="19" t="str">
        <f>'体验表-带进度条'!K19</f>
        <v>老虎机抽奖券</v>
      </c>
      <c r="I19" s="38">
        <f>'体验表-带进度条'!L19</f>
        <v>3</v>
      </c>
      <c r="J19" s="21">
        <f>'体验表-带进度条'!M19</f>
        <v>15</v>
      </c>
      <c r="K19" s="14">
        <f>'体验表-带进度条'!N19</f>
        <v>0</v>
      </c>
      <c r="L19" s="22">
        <f>'体验表-带进度条'!O19</f>
        <v>0</v>
      </c>
      <c r="M19" s="30">
        <f>'体验表-带进度条'!X19</f>
        <v>0</v>
      </c>
      <c r="N19" s="23">
        <f>'体验表-带进度条'!AA19</f>
        <v>0</v>
      </c>
      <c r="O19" s="72">
        <f>'体验表-带进度条'!AB19</f>
        <v>0</v>
      </c>
      <c r="P19" s="42"/>
      <c r="Q19" s="73">
        <v>2499</v>
      </c>
      <c r="R19" s="15">
        <v>163</v>
      </c>
      <c r="T19" s="42"/>
      <c r="U19" s="42"/>
    </row>
    <row r="20" spans="1:21">
      <c r="A20" s="13">
        <f>'体验表-带进度条'!B20</f>
        <v>19</v>
      </c>
      <c r="B20" s="14">
        <f>'体验表-带进度条'!E20</f>
        <v>0</v>
      </c>
      <c r="C20" s="14" t="str">
        <f>'体验表-带进度条'!F20</f>
        <v/>
      </c>
      <c r="D20" s="14">
        <f>'体验表-带进度条'!G20</f>
        <v>0</v>
      </c>
      <c r="E20" s="16">
        <f>'体验表-带进度条'!H20</f>
        <v>0</v>
      </c>
      <c r="F20" s="17">
        <f>'体验表-带进度条'!I20</f>
        <v>0</v>
      </c>
      <c r="G20" s="14">
        <f>'体验表-带进度条'!J20</f>
        <v>0</v>
      </c>
      <c r="H20" s="19" t="str">
        <f>'体验表-带进度条'!K20</f>
        <v>大奖赛复活券</v>
      </c>
      <c r="I20" s="38">
        <f>'体验表-带进度条'!L20</f>
        <v>3</v>
      </c>
      <c r="J20" s="21">
        <f>'体验表-带进度条'!M20</f>
        <v>1</v>
      </c>
      <c r="K20" s="14">
        <f>'体验表-带进度条'!N20</f>
        <v>0</v>
      </c>
      <c r="L20" s="22">
        <f>'体验表-带进度条'!O20</f>
        <v>0</v>
      </c>
      <c r="M20" s="30">
        <f>'体验表-带进度条'!X20</f>
        <v>0</v>
      </c>
      <c r="N20" s="23">
        <f>'体验表-带进度条'!AA20</f>
        <v>0</v>
      </c>
      <c r="O20" s="72">
        <f>'体验表-带进度条'!AB20</f>
        <v>0</v>
      </c>
      <c r="P20" s="42"/>
      <c r="Q20" s="73">
        <v>2999</v>
      </c>
      <c r="R20" s="15">
        <v>163</v>
      </c>
      <c r="T20" s="42"/>
      <c r="U20" s="42"/>
    </row>
    <row r="21" spans="1:21">
      <c r="A21" s="34">
        <f>'体验表-带进度条'!B21</f>
        <v>20</v>
      </c>
      <c r="B21" s="14">
        <f>'体验表-带进度条'!E21</f>
        <v>6.99</v>
      </c>
      <c r="C21" s="14">
        <f>'体验表-带进度条'!F21</f>
        <v>124</v>
      </c>
      <c r="D21" s="36">
        <f>'体验表-带进度条'!G21</f>
        <v>8680000</v>
      </c>
      <c r="E21" s="37">
        <f>'体验表-带进度条'!H21</f>
        <v>23650000</v>
      </c>
      <c r="F21" s="17">
        <f>'体验表-带进度条'!I21</f>
        <v>19.96</v>
      </c>
      <c r="G21" s="14">
        <f>'体验表-带进度条'!J21</f>
        <v>0.24</v>
      </c>
      <c r="H21" s="14" t="str">
        <f>'体验表-带进度条'!K21</f>
        <v>金币</v>
      </c>
      <c r="I21" s="29">
        <f>'体验表-带进度条'!L21</f>
        <v>9</v>
      </c>
      <c r="J21" s="21">
        <f>'体验表-带进度条'!M21</f>
        <v>8680000</v>
      </c>
      <c r="K21" s="36">
        <f>'体验表-带进度条'!N21</f>
        <v>9399160</v>
      </c>
      <c r="L21" s="22">
        <f>'体验表-带进度条'!O21</f>
        <v>9.39916</v>
      </c>
      <c r="M21" s="37">
        <f>'体验表-带进度条'!X21</f>
        <v>29133595</v>
      </c>
      <c r="N21" s="23">
        <f>'体验表-带进度条'!AA21</f>
        <v>29.133595</v>
      </c>
      <c r="O21" s="72">
        <f>'体验表-带进度条'!AB21</f>
        <v>1.2318644820296</v>
      </c>
      <c r="P21" s="42"/>
      <c r="Q21" s="73">
        <v>3499</v>
      </c>
      <c r="R21" s="15">
        <v>168</v>
      </c>
      <c r="T21" s="42"/>
      <c r="U21" s="42"/>
    </row>
    <row r="22" spans="1:21">
      <c r="A22" s="13">
        <f>'体验表-带进度条'!B22</f>
        <v>21</v>
      </c>
      <c r="B22" s="14">
        <f>'体验表-带进度条'!E22</f>
        <v>0</v>
      </c>
      <c r="C22" s="14" t="str">
        <f>'体验表-带进度条'!F22</f>
        <v/>
      </c>
      <c r="D22" s="14">
        <f>'体验表-带进度条'!G22</f>
        <v>0</v>
      </c>
      <c r="E22" s="16">
        <f>'体验表-带进度条'!H22</f>
        <v>0</v>
      </c>
      <c r="F22" s="17">
        <f>'体验表-带进度条'!I22</f>
        <v>0</v>
      </c>
      <c r="G22" s="14">
        <f>'体验表-带进度条'!J22</f>
        <v>0</v>
      </c>
      <c r="H22" s="19" t="str">
        <f>'体验表-带进度条'!K22</f>
        <v>记牌器1个</v>
      </c>
      <c r="I22" s="38">
        <f>'体验表-带进度条'!L22</f>
        <v>3</v>
      </c>
      <c r="J22" s="21">
        <f>'体验表-带进度条'!M22</f>
        <v>4</v>
      </c>
      <c r="K22" s="14">
        <f>'体验表-带进度条'!N22</f>
        <v>0</v>
      </c>
      <c r="L22" s="22">
        <f>'体验表-带进度条'!O22</f>
        <v>0</v>
      </c>
      <c r="M22" s="30">
        <f>'体验表-带进度条'!X22</f>
        <v>0</v>
      </c>
      <c r="N22" s="23">
        <f>'体验表-带进度条'!AA22</f>
        <v>0</v>
      </c>
      <c r="O22" s="72">
        <f>'体验表-带进度条'!AB22</f>
        <v>0</v>
      </c>
      <c r="P22" s="42"/>
      <c r="Q22" s="73">
        <v>3999</v>
      </c>
      <c r="R22" s="15">
        <v>173</v>
      </c>
      <c r="T22" s="42"/>
      <c r="U22" s="42"/>
    </row>
    <row r="23" spans="1:21">
      <c r="A23" s="13">
        <f>'体验表-带进度条'!B23</f>
        <v>22</v>
      </c>
      <c r="B23" s="14">
        <f>'体验表-带进度条'!E23</f>
        <v>0</v>
      </c>
      <c r="C23" s="14" t="str">
        <f>'体验表-带进度条'!F23</f>
        <v/>
      </c>
      <c r="D23" s="14">
        <f>'体验表-带进度条'!G23</f>
        <v>0</v>
      </c>
      <c r="E23" s="16">
        <f>'体验表-带进度条'!H23</f>
        <v>0</v>
      </c>
      <c r="F23" s="17">
        <f>'体验表-带进度条'!I23</f>
        <v>0</v>
      </c>
      <c r="G23" s="14">
        <f>'体验表-带进度条'!J23</f>
        <v>0.08</v>
      </c>
      <c r="H23" s="19" t="str">
        <f>'体验表-带进度条'!K23</f>
        <v>金币</v>
      </c>
      <c r="I23" s="38">
        <f>'体验表-带进度条'!L23</f>
        <v>17</v>
      </c>
      <c r="J23" s="21">
        <f>'体验表-带进度条'!M23</f>
        <v>719160</v>
      </c>
      <c r="K23" s="14">
        <f>'体验表-带进度条'!N23</f>
        <v>0</v>
      </c>
      <c r="L23" s="22">
        <f>'体验表-带进度条'!O23</f>
        <v>0</v>
      </c>
      <c r="M23" s="30">
        <f>'体验表-带进度条'!X23</f>
        <v>0</v>
      </c>
      <c r="N23" s="23">
        <f>'体验表-带进度条'!AA23</f>
        <v>0</v>
      </c>
      <c r="O23" s="72">
        <f>'体验表-带进度条'!AB23</f>
        <v>0</v>
      </c>
      <c r="P23" s="42"/>
      <c r="Q23" s="73">
        <v>4499</v>
      </c>
      <c r="R23" s="15">
        <v>178</v>
      </c>
      <c r="T23" s="42"/>
      <c r="U23" s="42"/>
    </row>
    <row r="24" spans="1:21">
      <c r="A24" s="13">
        <f>'体验表-带进度条'!B24</f>
        <v>23</v>
      </c>
      <c r="B24" s="14">
        <f>'体验表-带进度条'!E24</f>
        <v>0</v>
      </c>
      <c r="C24" s="14" t="str">
        <f>'体验表-带进度条'!F24</f>
        <v/>
      </c>
      <c r="D24" s="14">
        <f>'体验表-带进度条'!G24</f>
        <v>0</v>
      </c>
      <c r="E24" s="16">
        <f>'体验表-带进度条'!H24</f>
        <v>0</v>
      </c>
      <c r="F24" s="17">
        <f>'体验表-带进度条'!I24</f>
        <v>0</v>
      </c>
      <c r="G24" s="14">
        <f>'体验表-带进度条'!J24</f>
        <v>0</v>
      </c>
      <c r="H24" s="19" t="str">
        <f>'体验表-带进度条'!K24</f>
        <v>卡包4星</v>
      </c>
      <c r="I24" s="38">
        <f>'体验表-带进度条'!L24</f>
        <v>4</v>
      </c>
      <c r="J24" s="21">
        <f>'体验表-带进度条'!M24</f>
        <v>1</v>
      </c>
      <c r="K24" s="14">
        <f>'体验表-带进度条'!N24</f>
        <v>0</v>
      </c>
      <c r="L24" s="22">
        <f>'体验表-带进度条'!O24</f>
        <v>0</v>
      </c>
      <c r="M24" s="30">
        <f>'体验表-带进度条'!X24</f>
        <v>0</v>
      </c>
      <c r="N24" s="23">
        <f>'体验表-带进度条'!AA24</f>
        <v>0</v>
      </c>
      <c r="O24" s="72">
        <f>'体验表-带进度条'!AB24</f>
        <v>0</v>
      </c>
      <c r="P24" s="42"/>
      <c r="Q24" s="73">
        <v>4999</v>
      </c>
      <c r="R24" s="15">
        <v>178</v>
      </c>
      <c r="T24" s="42"/>
      <c r="U24" s="42"/>
    </row>
    <row r="25" spans="1:21">
      <c r="A25" s="13">
        <f>'体验表-带进度条'!B25</f>
        <v>24</v>
      </c>
      <c r="B25" s="14">
        <f>'体验表-带进度条'!E25</f>
        <v>0</v>
      </c>
      <c r="C25" s="14" t="str">
        <f>'体验表-带进度条'!F25</f>
        <v/>
      </c>
      <c r="D25" s="14">
        <f>'体验表-带进度条'!G25</f>
        <v>0</v>
      </c>
      <c r="E25" s="16">
        <f>'体验表-带进度条'!H25</f>
        <v>0</v>
      </c>
      <c r="F25" s="17">
        <f>'体验表-带进度条'!I25</f>
        <v>0</v>
      </c>
      <c r="G25" s="14">
        <f>'体验表-带进度条'!J25</f>
        <v>0</v>
      </c>
      <c r="H25" s="19" t="str">
        <f>'体验表-带进度条'!K25</f>
        <v>老虎机抽奖券</v>
      </c>
      <c r="I25" s="38">
        <f>'体验表-带进度条'!L25</f>
        <v>3</v>
      </c>
      <c r="J25" s="21">
        <f>'体验表-带进度条'!M25</f>
        <v>20</v>
      </c>
      <c r="K25" s="14">
        <f>'体验表-带进度条'!N25</f>
        <v>0</v>
      </c>
      <c r="L25" s="22">
        <f>'体验表-带进度条'!O25</f>
        <v>0</v>
      </c>
      <c r="M25" s="30">
        <f>'体验表-带进度条'!X25</f>
        <v>0</v>
      </c>
      <c r="N25" s="23">
        <f>'体验表-带进度条'!AA25</f>
        <v>0</v>
      </c>
      <c r="O25" s="72">
        <f>'体验表-带进度条'!AB25</f>
        <v>0</v>
      </c>
      <c r="P25" s="42"/>
      <c r="Q25" s="73">
        <v>5499</v>
      </c>
      <c r="R25" s="15">
        <v>178</v>
      </c>
      <c r="T25" s="42"/>
      <c r="U25" s="42"/>
    </row>
    <row r="26" spans="1:21">
      <c r="A26" s="13">
        <f>'体验表-带进度条'!B26</f>
        <v>25</v>
      </c>
      <c r="B26" s="14">
        <f>'体验表-带进度条'!E26</f>
        <v>0</v>
      </c>
      <c r="C26" s="14" t="str">
        <f>'体验表-带进度条'!F26</f>
        <v/>
      </c>
      <c r="D26" s="14">
        <f>'体验表-带进度条'!G26</f>
        <v>0</v>
      </c>
      <c r="E26" s="16">
        <f>'体验表-带进度条'!H26</f>
        <v>0</v>
      </c>
      <c r="F26" s="17">
        <f>'体验表-带进度条'!I26</f>
        <v>0</v>
      </c>
      <c r="G26" s="14">
        <f>'体验表-带进度条'!J26</f>
        <v>0</v>
      </c>
      <c r="H26" s="19" t="str">
        <f>'体验表-带进度条'!K26</f>
        <v>大奖赛报名券</v>
      </c>
      <c r="I26" s="38">
        <f>'体验表-带进度条'!L26</f>
        <v>3</v>
      </c>
      <c r="J26" s="21">
        <f>'体验表-带进度条'!M26</f>
        <v>1</v>
      </c>
      <c r="K26" s="14">
        <f>'体验表-带进度条'!N26</f>
        <v>0</v>
      </c>
      <c r="L26" s="22">
        <f>'体验表-带进度条'!O26</f>
        <v>0</v>
      </c>
      <c r="M26" s="30">
        <f>'体验表-带进度条'!X26</f>
        <v>0</v>
      </c>
      <c r="N26" s="23">
        <f>'体验表-带进度条'!AA26</f>
        <v>0</v>
      </c>
      <c r="O26" s="72">
        <f>'体验表-带进度条'!AB26</f>
        <v>0</v>
      </c>
      <c r="P26" s="42"/>
      <c r="Q26" s="73">
        <v>5999</v>
      </c>
      <c r="R26" s="15">
        <v>183</v>
      </c>
      <c r="T26" s="42"/>
      <c r="U26" s="42"/>
    </row>
    <row r="27" spans="1:21">
      <c r="A27" s="34">
        <f>'体验表-带进度条'!B27</f>
        <v>26</v>
      </c>
      <c r="B27" s="14">
        <f>'体验表-带进度条'!E27</f>
        <v>7.99</v>
      </c>
      <c r="C27" s="14">
        <f>'体验表-带进度条'!F27</f>
        <v>129</v>
      </c>
      <c r="D27" s="36">
        <f>'体验表-带进度条'!G27</f>
        <v>10320000</v>
      </c>
      <c r="E27" s="37">
        <f>'体验表-带进度条'!H27</f>
        <v>33970000</v>
      </c>
      <c r="F27" s="17">
        <f>'体验表-带进度条'!I27</f>
        <v>27.95</v>
      </c>
      <c r="G27" s="14">
        <f>'体验表-带进度条'!J27</f>
        <v>0</v>
      </c>
      <c r="H27" s="14" t="str">
        <f>'体验表-带进度条'!K27</f>
        <v>金币</v>
      </c>
      <c r="I27" s="29">
        <f>'体验表-带进度条'!L27</f>
        <v>9</v>
      </c>
      <c r="J27" s="21">
        <f>'体验表-带进度条'!M27</f>
        <v>10320000</v>
      </c>
      <c r="K27" s="36">
        <f>'体验表-带进度条'!N27</f>
        <v>10679580</v>
      </c>
      <c r="L27" s="22">
        <f>'体验表-带进度条'!O27</f>
        <v>10.67958</v>
      </c>
      <c r="M27" s="37">
        <f>'体验表-带进度条'!X27</f>
        <v>39813175</v>
      </c>
      <c r="N27" s="23">
        <f>'体验表-带进度条'!AA27</f>
        <v>39.813175</v>
      </c>
      <c r="O27" s="72">
        <f>'体验表-带进度条'!AB27</f>
        <v>1.17200986164263</v>
      </c>
      <c r="P27" s="42"/>
      <c r="Q27" s="73">
        <v>6999</v>
      </c>
      <c r="R27" s="15">
        <v>183</v>
      </c>
      <c r="T27" s="42"/>
      <c r="U27" s="42"/>
    </row>
    <row r="28" spans="1:21">
      <c r="A28" s="13">
        <f>'体验表-带进度条'!B28</f>
        <v>27</v>
      </c>
      <c r="B28" s="14">
        <f>'体验表-带进度条'!E28</f>
        <v>0</v>
      </c>
      <c r="C28" s="14" t="str">
        <f>'体验表-带进度条'!F28</f>
        <v/>
      </c>
      <c r="D28" s="14">
        <f>'体验表-带进度条'!G28</f>
        <v>0</v>
      </c>
      <c r="E28" s="16">
        <f>'体验表-带进度条'!H28</f>
        <v>0</v>
      </c>
      <c r="F28" s="17">
        <f>'体验表-带进度条'!I28</f>
        <v>0</v>
      </c>
      <c r="G28" s="14">
        <f>'体验表-带进度条'!J28</f>
        <v>0</v>
      </c>
      <c r="H28" s="19" t="str">
        <f>'体验表-带进度条'!K28</f>
        <v>记牌器1个</v>
      </c>
      <c r="I28" s="38">
        <f>'体验表-带进度条'!L28</f>
        <v>3</v>
      </c>
      <c r="J28" s="21">
        <f>'体验表-带进度条'!M28</f>
        <v>5</v>
      </c>
      <c r="K28" s="14">
        <f>'体验表-带进度条'!N28</f>
        <v>0</v>
      </c>
      <c r="L28" s="22">
        <f>'体验表-带进度条'!O28</f>
        <v>0</v>
      </c>
      <c r="M28" s="30">
        <f>'体验表-带进度条'!X28</f>
        <v>0</v>
      </c>
      <c r="N28" s="23">
        <f>'体验表-带进度条'!AA28</f>
        <v>0</v>
      </c>
      <c r="O28" s="72">
        <f>'体验表-带进度条'!AB28</f>
        <v>0</v>
      </c>
      <c r="P28" s="42"/>
      <c r="Q28" s="73">
        <v>7499</v>
      </c>
      <c r="R28" s="15">
        <v>188</v>
      </c>
      <c r="T28" s="42"/>
      <c r="U28" s="42"/>
    </row>
    <row r="29" spans="1:21">
      <c r="A29" s="13">
        <f>'体验表-带进度条'!B29</f>
        <v>28</v>
      </c>
      <c r="B29" s="14">
        <f>'体验表-带进度条'!E29</f>
        <v>0</v>
      </c>
      <c r="C29" s="14" t="str">
        <f>'体验表-带进度条'!F29</f>
        <v/>
      </c>
      <c r="D29" s="14">
        <f>'体验表-带进度条'!G29</f>
        <v>0</v>
      </c>
      <c r="E29" s="16">
        <f>'体验表-带进度条'!H29</f>
        <v>0</v>
      </c>
      <c r="F29" s="17">
        <f>'体验表-带进度条'!I29</f>
        <v>0</v>
      </c>
      <c r="G29" s="14">
        <f>'体验表-带进度条'!J29</f>
        <v>0.04</v>
      </c>
      <c r="H29" s="19" t="str">
        <f>'体验表-带进度条'!K29</f>
        <v>金币</v>
      </c>
      <c r="I29" s="38">
        <f>'体验表-带进度条'!L29</f>
        <v>17</v>
      </c>
      <c r="J29" s="21">
        <f>'体验表-带进度条'!M29</f>
        <v>359580</v>
      </c>
      <c r="K29" s="14">
        <f>'体验表-带进度条'!N29</f>
        <v>0</v>
      </c>
      <c r="L29" s="22">
        <f>'体验表-带进度条'!O29</f>
        <v>0</v>
      </c>
      <c r="M29" s="30">
        <f>'体验表-带进度条'!X29</f>
        <v>0</v>
      </c>
      <c r="N29" s="23">
        <f>'体验表-带进度条'!AA29</f>
        <v>0</v>
      </c>
      <c r="O29" s="72">
        <f>'体验表-带进度条'!AB29</f>
        <v>0</v>
      </c>
      <c r="P29" s="42"/>
      <c r="Q29" s="73">
        <v>7999</v>
      </c>
      <c r="R29" s="15">
        <v>188</v>
      </c>
      <c r="T29" s="42"/>
      <c r="U29" s="42"/>
    </row>
    <row r="30" spans="1:21">
      <c r="A30" s="13">
        <f>'体验表-带进度条'!B30</f>
        <v>29</v>
      </c>
      <c r="B30" s="14">
        <f>'体验表-带进度条'!E30</f>
        <v>0</v>
      </c>
      <c r="C30" s="14" t="str">
        <f>'体验表-带进度条'!F30</f>
        <v/>
      </c>
      <c r="D30" s="14">
        <f>'体验表-带进度条'!G30</f>
        <v>0</v>
      </c>
      <c r="E30" s="16">
        <f>'体验表-带进度条'!H30</f>
        <v>0</v>
      </c>
      <c r="F30" s="17">
        <f>'体验表-带进度条'!I30</f>
        <v>0</v>
      </c>
      <c r="G30" s="14">
        <f>'体验表-带进度条'!J30</f>
        <v>0</v>
      </c>
      <c r="H30" s="19" t="str">
        <f>'体验表-带进度条'!K30</f>
        <v>卡包5星</v>
      </c>
      <c r="I30" s="38">
        <f>'体验表-带进度条'!L30</f>
        <v>4</v>
      </c>
      <c r="J30" s="21">
        <f>'体验表-带进度条'!M30</f>
        <v>1</v>
      </c>
      <c r="K30" s="14">
        <f>'体验表-带进度条'!N30</f>
        <v>0</v>
      </c>
      <c r="L30" s="22">
        <f>'体验表-带进度条'!O30</f>
        <v>0</v>
      </c>
      <c r="M30" s="30">
        <f>'体验表-带进度条'!X30</f>
        <v>0</v>
      </c>
      <c r="N30" s="23">
        <f>'体验表-带进度条'!AA30</f>
        <v>0</v>
      </c>
      <c r="O30" s="72">
        <f>'体验表-带进度条'!AB30</f>
        <v>0</v>
      </c>
      <c r="P30" s="42"/>
      <c r="Q30" s="73">
        <v>8999</v>
      </c>
      <c r="R30" s="15">
        <v>193</v>
      </c>
      <c r="T30" s="42"/>
      <c r="U30" s="42"/>
    </row>
    <row r="31" spans="1:21">
      <c r="A31" s="13">
        <f>'体验表-带进度条'!B31</f>
        <v>30</v>
      </c>
      <c r="B31" s="14">
        <f>'体验表-带进度条'!E31</f>
        <v>0</v>
      </c>
      <c r="C31" s="14" t="str">
        <f>'体验表-带进度条'!F31</f>
        <v/>
      </c>
      <c r="D31" s="14">
        <f>'体验表-带进度条'!G31</f>
        <v>0</v>
      </c>
      <c r="E31" s="16">
        <f>'体验表-带进度条'!H31</f>
        <v>0</v>
      </c>
      <c r="F31" s="17">
        <f>'体验表-带进度条'!I31</f>
        <v>0</v>
      </c>
      <c r="G31" s="14">
        <f>'体验表-带进度条'!J31</f>
        <v>0</v>
      </c>
      <c r="H31" s="19" t="str">
        <f>'体验表-带进度条'!K31</f>
        <v>老虎机抽奖券</v>
      </c>
      <c r="I31" s="38">
        <f>'体验表-带进度条'!L31</f>
        <v>3</v>
      </c>
      <c r="J31" s="21">
        <f>'体验表-带进度条'!M31</f>
        <v>25</v>
      </c>
      <c r="K31" s="14">
        <f>'体验表-带进度条'!N31</f>
        <v>0</v>
      </c>
      <c r="L31" s="22">
        <f>'体验表-带进度条'!O31</f>
        <v>0</v>
      </c>
      <c r="M31" s="30">
        <f>'体验表-带进度条'!X31</f>
        <v>0</v>
      </c>
      <c r="N31" s="23">
        <f>'体验表-带进度条'!AA31</f>
        <v>0</v>
      </c>
      <c r="O31" s="72">
        <f>'体验表-带进度条'!AB31</f>
        <v>0</v>
      </c>
      <c r="P31" s="42"/>
      <c r="Q31" s="73">
        <v>9999</v>
      </c>
      <c r="R31" s="15">
        <v>200</v>
      </c>
      <c r="T31" s="42"/>
      <c r="U31" s="42"/>
    </row>
    <row r="32" spans="1:21">
      <c r="A32" s="13">
        <f>'体验表-带进度条'!B32</f>
        <v>31</v>
      </c>
      <c r="B32" s="14">
        <f>'体验表-带进度条'!E32</f>
        <v>0</v>
      </c>
      <c r="C32" s="14" t="str">
        <f>'体验表-带进度条'!F32</f>
        <v/>
      </c>
      <c r="D32" s="14">
        <f>'体验表-带进度条'!G32</f>
        <v>0</v>
      </c>
      <c r="E32" s="16">
        <f>'体验表-带进度条'!H32</f>
        <v>0</v>
      </c>
      <c r="F32" s="17">
        <f>'体验表-带进度条'!I32</f>
        <v>0</v>
      </c>
      <c r="G32" s="14">
        <f>'体验表-带进度条'!J32</f>
        <v>0</v>
      </c>
      <c r="H32" s="19" t="str">
        <f>'体验表-带进度条'!K32</f>
        <v>大奖赛复活券</v>
      </c>
      <c r="I32" s="38">
        <f>'体验表-带进度条'!L32</f>
        <v>3</v>
      </c>
      <c r="J32" s="21">
        <f>'体验表-带进度条'!M32</f>
        <v>1</v>
      </c>
      <c r="K32" s="14">
        <f>'体验表-带进度条'!N32</f>
        <v>0</v>
      </c>
      <c r="L32" s="22">
        <f>'体验表-带进度条'!O32</f>
        <v>0</v>
      </c>
      <c r="M32" s="30">
        <f>'体验表-带进度条'!X32</f>
        <v>0</v>
      </c>
      <c r="N32" s="23">
        <f>'体验表-带进度条'!AA32</f>
        <v>0</v>
      </c>
      <c r="O32" s="72">
        <f>'体验表-带进度条'!AB32</f>
        <v>0</v>
      </c>
      <c r="P32" s="42"/>
      <c r="T32" s="42"/>
      <c r="U32" s="42"/>
    </row>
    <row r="33" spans="1:21">
      <c r="A33" s="34">
        <f>'体验表-带进度条'!B33</f>
        <v>32</v>
      </c>
      <c r="B33" s="14">
        <f>'体验表-带进度条'!E33</f>
        <v>8.99</v>
      </c>
      <c r="C33" s="14">
        <f>'体验表-带进度条'!F33</f>
        <v>134</v>
      </c>
      <c r="D33" s="36">
        <f>'体验表-带进度条'!G33</f>
        <v>12060000</v>
      </c>
      <c r="E33" s="37">
        <f>'体验表-带进度条'!H33</f>
        <v>46030000</v>
      </c>
      <c r="F33" s="17">
        <f>'体验表-带进度条'!I33</f>
        <v>36.94</v>
      </c>
      <c r="G33" s="14">
        <f>'体验表-带进度条'!J33</f>
        <v>0</v>
      </c>
      <c r="H33" s="14" t="str">
        <f>'体验表-带进度条'!K33</f>
        <v>金币</v>
      </c>
      <c r="I33" s="29">
        <f>'体验表-带进度条'!L33</f>
        <v>9</v>
      </c>
      <c r="J33" s="21">
        <f>'体验表-带进度条'!M33</f>
        <v>12060000</v>
      </c>
      <c r="K33" s="36">
        <f>'体验表-带进度条'!N33</f>
        <v>13138740</v>
      </c>
      <c r="L33" s="22">
        <f>'体验表-带进度条'!O33</f>
        <v>13.13874</v>
      </c>
      <c r="M33" s="37">
        <f>'体验表-带进度条'!X33</f>
        <v>52951915</v>
      </c>
      <c r="N33" s="23">
        <f>'体验表-带进度条'!AA33</f>
        <v>52.951915</v>
      </c>
      <c r="O33" s="72">
        <f>'体验表-带进度条'!AB33</f>
        <v>1.1503783402129</v>
      </c>
      <c r="P33" s="42"/>
      <c r="T33" s="42"/>
      <c r="U33" s="42"/>
    </row>
    <row r="34" spans="1:21">
      <c r="A34" s="13">
        <f>'体验表-带进度条'!B34</f>
        <v>33</v>
      </c>
      <c r="B34" s="14">
        <f>'体验表-带进度条'!E34</f>
        <v>0</v>
      </c>
      <c r="C34" s="14" t="str">
        <f>'体验表-带进度条'!F34</f>
        <v/>
      </c>
      <c r="D34" s="14">
        <f>'体验表-带进度条'!G34</f>
        <v>0</v>
      </c>
      <c r="E34" s="16">
        <f>'体验表-带进度条'!H34</f>
        <v>0</v>
      </c>
      <c r="F34" s="17">
        <f>'体验表-带进度条'!I34</f>
        <v>0</v>
      </c>
      <c r="G34" s="14">
        <f>'体验表-带进度条'!J34</f>
        <v>0</v>
      </c>
      <c r="H34" s="19" t="str">
        <f>'体验表-带进度条'!K34</f>
        <v>记牌器1个</v>
      </c>
      <c r="I34" s="38">
        <f>'体验表-带进度条'!L34</f>
        <v>3</v>
      </c>
      <c r="J34" s="21">
        <f>'体验表-带进度条'!M34</f>
        <v>6</v>
      </c>
      <c r="K34" s="14">
        <f>'体验表-带进度条'!N34</f>
        <v>0</v>
      </c>
      <c r="L34" s="22">
        <f>'体验表-带进度条'!O34</f>
        <v>0</v>
      </c>
      <c r="M34" s="30">
        <f>'体验表-带进度条'!X34</f>
        <v>0</v>
      </c>
      <c r="N34" s="23">
        <f>'体验表-带进度条'!AA34</f>
        <v>0</v>
      </c>
      <c r="O34" s="72">
        <f>'体验表-带进度条'!AB34</f>
        <v>0</v>
      </c>
      <c r="P34" s="42"/>
      <c r="T34" s="42"/>
      <c r="U34" s="42"/>
    </row>
    <row r="35" spans="1:21">
      <c r="A35" s="13">
        <f>'体验表-带进度条'!B35</f>
        <v>34</v>
      </c>
      <c r="B35" s="14">
        <f>'体验表-带进度条'!E35</f>
        <v>0</v>
      </c>
      <c r="C35" s="14" t="str">
        <f>'体验表-带进度条'!F35</f>
        <v/>
      </c>
      <c r="D35" s="14">
        <f>'体验表-带进度条'!G35</f>
        <v>0</v>
      </c>
      <c r="E35" s="16">
        <f>'体验表-带进度条'!H35</f>
        <v>0</v>
      </c>
      <c r="F35" s="17">
        <f>'体验表-带进度条'!I35</f>
        <v>0</v>
      </c>
      <c r="G35" s="14">
        <f>'体验表-带进度条'!J35</f>
        <v>0.12</v>
      </c>
      <c r="H35" s="19" t="str">
        <f>'体验表-带进度条'!K35</f>
        <v>金币</v>
      </c>
      <c r="I35" s="38">
        <f>'体验表-带进度条'!L35</f>
        <v>17</v>
      </c>
      <c r="J35" s="21">
        <f>'体验表-带进度条'!M35</f>
        <v>1078740</v>
      </c>
      <c r="K35" s="14">
        <f>'体验表-带进度条'!N35</f>
        <v>0</v>
      </c>
      <c r="L35" s="22">
        <f>'体验表-带进度条'!O35</f>
        <v>0</v>
      </c>
      <c r="M35" s="30">
        <f>'体验表-带进度条'!X35</f>
        <v>0</v>
      </c>
      <c r="N35" s="23">
        <f>'体验表-带进度条'!AA35</f>
        <v>0</v>
      </c>
      <c r="O35" s="72">
        <f>'体验表-带进度条'!AB35</f>
        <v>0</v>
      </c>
      <c r="P35" s="42"/>
      <c r="T35" s="42"/>
      <c r="U35" s="42"/>
    </row>
    <row r="36" spans="1:21">
      <c r="A36" s="13">
        <f>'体验表-带进度条'!B36</f>
        <v>35</v>
      </c>
      <c r="B36" s="14">
        <f>'体验表-带进度条'!E36</f>
        <v>0</v>
      </c>
      <c r="C36" s="14" t="str">
        <f>'体验表-带进度条'!F36</f>
        <v/>
      </c>
      <c r="D36" s="14">
        <f>'体验表-带进度条'!G36</f>
        <v>0</v>
      </c>
      <c r="E36" s="16">
        <f>'体验表-带进度条'!H36</f>
        <v>0</v>
      </c>
      <c r="F36" s="17">
        <f>'体验表-带进度条'!I36</f>
        <v>0</v>
      </c>
      <c r="G36" s="14">
        <f>'体验表-带进度条'!J36</f>
        <v>0</v>
      </c>
      <c r="H36" s="19" t="str">
        <f>'体验表-带进度条'!K36</f>
        <v>卡包5星</v>
      </c>
      <c r="I36" s="38">
        <f>'体验表-带进度条'!L36</f>
        <v>4</v>
      </c>
      <c r="J36" s="21">
        <f>'体验表-带进度条'!M36</f>
        <v>1</v>
      </c>
      <c r="K36" s="14">
        <f>'体验表-带进度条'!N36</f>
        <v>0</v>
      </c>
      <c r="L36" s="22">
        <f>'体验表-带进度条'!O36</f>
        <v>0</v>
      </c>
      <c r="M36" s="30">
        <f>'体验表-带进度条'!X36</f>
        <v>0</v>
      </c>
      <c r="N36" s="23">
        <f>'体验表-带进度条'!AA36</f>
        <v>0</v>
      </c>
      <c r="O36" s="72">
        <f>'体验表-带进度条'!AB36</f>
        <v>0</v>
      </c>
      <c r="P36" s="42"/>
      <c r="T36" s="42"/>
      <c r="U36" s="42"/>
    </row>
    <row r="37" spans="1:21">
      <c r="A37" s="13">
        <f>'体验表-带进度条'!B37</f>
        <v>36</v>
      </c>
      <c r="B37" s="14">
        <f>'体验表-带进度条'!E37</f>
        <v>0</v>
      </c>
      <c r="C37" s="14" t="str">
        <f>'体验表-带进度条'!F37</f>
        <v/>
      </c>
      <c r="D37" s="14">
        <f>'体验表-带进度条'!G37</f>
        <v>0</v>
      </c>
      <c r="E37" s="16">
        <f>'体验表-带进度条'!H37</f>
        <v>0</v>
      </c>
      <c r="F37" s="17">
        <f>'体验表-带进度条'!I37</f>
        <v>0</v>
      </c>
      <c r="G37" s="14">
        <f>'体验表-带进度条'!J37</f>
        <v>0</v>
      </c>
      <c r="H37" s="19" t="str">
        <f>'体验表-带进度条'!K37</f>
        <v>老虎机抽奖券</v>
      </c>
      <c r="I37" s="38">
        <f>'体验表-带进度条'!L37</f>
        <v>3</v>
      </c>
      <c r="J37" s="21">
        <f>'体验表-带进度条'!M37</f>
        <v>30</v>
      </c>
      <c r="K37" s="14">
        <f>'体验表-带进度条'!N37</f>
        <v>0</v>
      </c>
      <c r="L37" s="22">
        <f>'体验表-带进度条'!O37</f>
        <v>0</v>
      </c>
      <c r="M37" s="30">
        <f>'体验表-带进度条'!X37</f>
        <v>0</v>
      </c>
      <c r="N37" s="23">
        <f>'体验表-带进度条'!AA37</f>
        <v>0</v>
      </c>
      <c r="O37" s="72">
        <f>'体验表-带进度条'!AB37</f>
        <v>0</v>
      </c>
      <c r="P37" s="42"/>
      <c r="T37" s="42"/>
      <c r="U37" s="42"/>
    </row>
    <row r="38" spans="1:21">
      <c r="A38" s="13">
        <f>'体验表-带进度条'!B38</f>
        <v>37</v>
      </c>
      <c r="B38" s="14">
        <f>'体验表-带进度条'!E38</f>
        <v>0</v>
      </c>
      <c r="C38" s="14" t="str">
        <f>'体验表-带进度条'!F38</f>
        <v/>
      </c>
      <c r="D38" s="14">
        <f>'体验表-带进度条'!G38</f>
        <v>0</v>
      </c>
      <c r="E38" s="16">
        <f>'体验表-带进度条'!H38</f>
        <v>0</v>
      </c>
      <c r="F38" s="17">
        <f>'体验表-带进度条'!I38</f>
        <v>0</v>
      </c>
      <c r="G38" s="14">
        <f>'体验表-带进度条'!J38</f>
        <v>0</v>
      </c>
      <c r="H38" s="19" t="str">
        <f>'体验表-带进度条'!K38</f>
        <v>大奖赛报名券</v>
      </c>
      <c r="I38" s="38">
        <f>'体验表-带进度条'!L38</f>
        <v>3</v>
      </c>
      <c r="J38" s="21">
        <f>'体验表-带进度条'!M38</f>
        <v>1</v>
      </c>
      <c r="K38" s="14">
        <f>'体验表-带进度条'!N38</f>
        <v>0</v>
      </c>
      <c r="L38" s="22">
        <f>'体验表-带进度条'!O38</f>
        <v>0</v>
      </c>
      <c r="M38" s="30">
        <f>'体验表-带进度条'!X38</f>
        <v>0</v>
      </c>
      <c r="N38" s="23">
        <f>'体验表-带进度条'!AA38</f>
        <v>0</v>
      </c>
      <c r="O38" s="72">
        <f>'体验表-带进度条'!AB38</f>
        <v>0</v>
      </c>
      <c r="P38" s="42"/>
      <c r="T38" s="42"/>
      <c r="U38" s="42"/>
    </row>
    <row r="39" spans="1:21">
      <c r="A39" s="34">
        <f>'体验表-带进度条'!B39</f>
        <v>38</v>
      </c>
      <c r="B39" s="14">
        <f>'体验表-带进度条'!E39</f>
        <v>9.99</v>
      </c>
      <c r="C39" s="14">
        <f>'体验表-带进度条'!F39</f>
        <v>139</v>
      </c>
      <c r="D39" s="36">
        <f>'体验表-带进度条'!G39</f>
        <v>13900000</v>
      </c>
      <c r="E39" s="37">
        <f>'体验表-带进度条'!H39</f>
        <v>59930000</v>
      </c>
      <c r="F39" s="17">
        <f>'体验表-带进度条'!I39</f>
        <v>46.93</v>
      </c>
      <c r="G39" s="14">
        <f>'体验表-带进度条'!J39</f>
        <v>0.45</v>
      </c>
      <c r="H39" s="14" t="str">
        <f>'体验表-带进度条'!K39</f>
        <v>金币</v>
      </c>
      <c r="I39" s="29">
        <f>'体验表-带进度条'!L39</f>
        <v>9</v>
      </c>
      <c r="J39" s="21">
        <f>'体验表-带进度条'!M39</f>
        <v>13900000</v>
      </c>
      <c r="K39" s="36">
        <f>'体验表-带进度条'!N39</f>
        <v>14978740</v>
      </c>
      <c r="L39" s="22">
        <f>'体验表-带进度条'!O39</f>
        <v>14.97874</v>
      </c>
      <c r="M39" s="37">
        <f>'体验表-带进度条'!X39</f>
        <v>71975930</v>
      </c>
      <c r="N39" s="23">
        <f>'体验表-带进度条'!AA39</f>
        <v>71.97593</v>
      </c>
      <c r="O39" s="72">
        <f>'体验表-带进度条'!AB39</f>
        <v>1.201</v>
      </c>
      <c r="P39" s="42"/>
      <c r="T39" s="42"/>
      <c r="U39" s="42"/>
    </row>
    <row r="40" spans="1:21">
      <c r="A40" s="13">
        <f>'体验表-带进度条'!B40</f>
        <v>39</v>
      </c>
      <c r="B40" s="14">
        <f>'体验表-带进度条'!E40</f>
        <v>0</v>
      </c>
      <c r="C40" s="14" t="str">
        <f>'体验表-带进度条'!F40</f>
        <v/>
      </c>
      <c r="D40" s="14">
        <f>'体验表-带进度条'!G40</f>
        <v>0</v>
      </c>
      <c r="E40" s="16">
        <f>'体验表-带进度条'!H40</f>
        <v>0</v>
      </c>
      <c r="F40" s="17">
        <f>'体验表-带进度条'!I40</f>
        <v>0</v>
      </c>
      <c r="G40" s="14">
        <f>'体验表-带进度条'!J40</f>
        <v>0</v>
      </c>
      <c r="H40" s="19" t="str">
        <f>'体验表-带进度条'!K40</f>
        <v>记牌器1个</v>
      </c>
      <c r="I40" s="38">
        <f>'体验表-带进度条'!L40</f>
        <v>3</v>
      </c>
      <c r="J40" s="21">
        <f>'体验表-带进度条'!M40</f>
        <v>7</v>
      </c>
      <c r="K40" s="14">
        <f>'体验表-带进度条'!N40</f>
        <v>0</v>
      </c>
      <c r="L40" s="22">
        <f>'体验表-带进度条'!O40</f>
        <v>0</v>
      </c>
      <c r="M40" s="30">
        <f>'体验表-带进度条'!X40</f>
        <v>0</v>
      </c>
      <c r="N40" s="23">
        <f>'体验表-带进度条'!AA40</f>
        <v>0</v>
      </c>
      <c r="O40" s="72">
        <f>'体验表-带进度条'!AB40</f>
        <v>0</v>
      </c>
      <c r="P40" s="42"/>
      <c r="T40" s="42"/>
      <c r="U40" s="42"/>
    </row>
    <row r="41" spans="1:21">
      <c r="A41" s="13">
        <f>'体验表-带进度条'!B41</f>
        <v>40</v>
      </c>
      <c r="B41" s="14">
        <f>'体验表-带进度条'!E41</f>
        <v>0</v>
      </c>
      <c r="C41" s="14" t="str">
        <f>'体验表-带进度条'!F41</f>
        <v/>
      </c>
      <c r="D41" s="14">
        <f>'体验表-带进度条'!G41</f>
        <v>0</v>
      </c>
      <c r="E41" s="16">
        <f>'体验表-带进度条'!H41</f>
        <v>0</v>
      </c>
      <c r="F41" s="17">
        <f>'体验表-带进度条'!I41</f>
        <v>0</v>
      </c>
      <c r="G41" s="14">
        <f>'体验表-带进度条'!J41</f>
        <v>0.12</v>
      </c>
      <c r="H41" s="19" t="str">
        <f>'体验表-带进度条'!K41</f>
        <v>金币</v>
      </c>
      <c r="I41" s="38">
        <f>'体验表-带进度条'!L41</f>
        <v>17</v>
      </c>
      <c r="J41" s="21">
        <f>'体验表-带进度条'!M41</f>
        <v>1078740</v>
      </c>
      <c r="K41" s="14">
        <f>'体验表-带进度条'!N41</f>
        <v>0</v>
      </c>
      <c r="L41" s="22">
        <f>'体验表-带进度条'!O41</f>
        <v>0</v>
      </c>
      <c r="M41" s="30">
        <f>'体验表-带进度条'!X41</f>
        <v>0</v>
      </c>
      <c r="N41" s="23">
        <f>'体验表-带进度条'!AA41</f>
        <v>0</v>
      </c>
      <c r="O41" s="72">
        <f>'体验表-带进度条'!AB41</f>
        <v>0</v>
      </c>
      <c r="P41" s="42"/>
      <c r="T41" s="42"/>
      <c r="U41" s="42"/>
    </row>
    <row r="42" spans="1:21">
      <c r="A42" s="13">
        <f>'体验表-带进度条'!B42</f>
        <v>41</v>
      </c>
      <c r="B42" s="14">
        <f>'体验表-带进度条'!E42</f>
        <v>0</v>
      </c>
      <c r="C42" s="14" t="str">
        <f>'体验表-带进度条'!F42</f>
        <v/>
      </c>
      <c r="D42" s="14">
        <f>'体验表-带进度条'!G42</f>
        <v>0</v>
      </c>
      <c r="E42" s="16">
        <f>'体验表-带进度条'!H42</f>
        <v>0</v>
      </c>
      <c r="F42" s="17">
        <f>'体验表-带进度条'!I42</f>
        <v>0</v>
      </c>
      <c r="G42" s="14">
        <f>'体验表-带进度条'!J42</f>
        <v>0</v>
      </c>
      <c r="H42" s="19" t="str">
        <f>'体验表-带进度条'!K42</f>
        <v>卡包fun卡</v>
      </c>
      <c r="I42" s="38">
        <f>'体验表-带进度条'!L42</f>
        <v>4</v>
      </c>
      <c r="J42" s="21">
        <f>'体验表-带进度条'!M42</f>
        <v>1</v>
      </c>
      <c r="K42" s="14">
        <f>'体验表-带进度条'!N42</f>
        <v>0</v>
      </c>
      <c r="L42" s="22">
        <f>'体验表-带进度条'!O42</f>
        <v>0</v>
      </c>
      <c r="M42" s="30">
        <f>'体验表-带进度条'!X42</f>
        <v>0</v>
      </c>
      <c r="N42" s="23">
        <f>'体验表-带进度条'!AA42</f>
        <v>0</v>
      </c>
      <c r="O42" s="72">
        <f>'体验表-带进度条'!AB42</f>
        <v>0</v>
      </c>
      <c r="P42" s="42"/>
      <c r="T42" s="42"/>
      <c r="U42" s="42"/>
    </row>
    <row r="43" spans="1:21">
      <c r="A43" s="13">
        <f>'体验表-带进度条'!B43</f>
        <v>42</v>
      </c>
      <c r="B43" s="14">
        <f>'体验表-带进度条'!E43</f>
        <v>0</v>
      </c>
      <c r="C43" s="14" t="str">
        <f>'体验表-带进度条'!F43</f>
        <v/>
      </c>
      <c r="D43" s="14">
        <f>'体验表-带进度条'!G43</f>
        <v>0</v>
      </c>
      <c r="E43" s="16">
        <f>'体验表-带进度条'!H43</f>
        <v>0</v>
      </c>
      <c r="F43" s="17">
        <f>'体验表-带进度条'!I43</f>
        <v>0</v>
      </c>
      <c r="G43" s="14">
        <f>'体验表-带进度条'!J43</f>
        <v>0</v>
      </c>
      <c r="H43" s="19" t="str">
        <f>'体验表-带进度条'!K43</f>
        <v>老虎机抽奖券</v>
      </c>
      <c r="I43" s="38">
        <f>'体验表-带进度条'!L43</f>
        <v>3</v>
      </c>
      <c r="J43" s="21">
        <f>'体验表-带进度条'!M43</f>
        <v>35</v>
      </c>
      <c r="K43" s="14">
        <f>'体验表-带进度条'!N43</f>
        <v>0</v>
      </c>
      <c r="L43" s="22">
        <f>'体验表-带进度条'!O43</f>
        <v>0</v>
      </c>
      <c r="M43" s="30">
        <f>'体验表-带进度条'!X43</f>
        <v>0</v>
      </c>
      <c r="N43" s="23">
        <f>'体验表-带进度条'!AA43</f>
        <v>0</v>
      </c>
      <c r="O43" s="72">
        <f>'体验表-带进度条'!AB43</f>
        <v>0</v>
      </c>
      <c r="P43" s="42"/>
      <c r="T43" s="42"/>
      <c r="U43" s="42"/>
    </row>
    <row r="44" spans="1:21">
      <c r="A44" s="13">
        <f>'体验表-带进度条'!B44</f>
        <v>43</v>
      </c>
      <c r="B44" s="14">
        <f>'体验表-带进度条'!E44</f>
        <v>0</v>
      </c>
      <c r="C44" s="14" t="str">
        <f>'体验表-带进度条'!F44</f>
        <v/>
      </c>
      <c r="D44" s="14">
        <f>'体验表-带进度条'!G44</f>
        <v>0</v>
      </c>
      <c r="E44" s="16">
        <f>'体验表-带进度条'!H44</f>
        <v>0</v>
      </c>
      <c r="F44" s="17">
        <f>'体验表-带进度条'!I44</f>
        <v>0</v>
      </c>
      <c r="G44" s="14">
        <f>'体验表-带进度条'!J44</f>
        <v>0</v>
      </c>
      <c r="H44" s="19" t="str">
        <f>'体验表-带进度条'!K44</f>
        <v>大奖赛复活券</v>
      </c>
      <c r="I44" s="38">
        <f>'体验表-带进度条'!L44</f>
        <v>3</v>
      </c>
      <c r="J44" s="21">
        <f>'体验表-带进度条'!M44</f>
        <v>1</v>
      </c>
      <c r="K44" s="14">
        <f>'体验表-带进度条'!N44</f>
        <v>0</v>
      </c>
      <c r="L44" s="22">
        <f>'体验表-带进度条'!O44</f>
        <v>0</v>
      </c>
      <c r="M44" s="30">
        <f>'体验表-带进度条'!X44</f>
        <v>0</v>
      </c>
      <c r="N44" s="23">
        <f>'体验表-带进度条'!AA44</f>
        <v>0</v>
      </c>
      <c r="O44" s="72">
        <f>'体验表-带进度条'!AB44</f>
        <v>0</v>
      </c>
      <c r="P44" s="42"/>
      <c r="T44" s="42"/>
      <c r="U44" s="42"/>
    </row>
    <row r="45" spans="1:21">
      <c r="A45" s="13">
        <f>'体验表-带进度条'!B45</f>
        <v>1</v>
      </c>
      <c r="B45" s="14">
        <f>'体验表-带进度条'!E45</f>
        <v>0</v>
      </c>
      <c r="C45" s="14" t="str">
        <f>'体验表-带进度条'!F45</f>
        <v/>
      </c>
      <c r="D45" s="14">
        <f>'体验表-带进度条'!G45</f>
        <v>0</v>
      </c>
      <c r="E45" s="16">
        <f>'体验表-带进度条'!H45</f>
        <v>0</v>
      </c>
      <c r="F45" s="17">
        <f>'体验表-带进度条'!I45</f>
        <v>0</v>
      </c>
      <c r="G45" s="14">
        <f>'体验表-带进度条'!J45</f>
        <v>0</v>
      </c>
      <c r="H45" s="19" t="str">
        <f>'体验表-带进度条'!K45</f>
        <v>金币</v>
      </c>
      <c r="I45" s="38">
        <f>'体验表-带进度条'!L45</f>
        <v>1</v>
      </c>
      <c r="J45" s="21">
        <f>'体验表-带进度条'!M45</f>
        <v>5000</v>
      </c>
      <c r="K45" s="14">
        <f>'体验表-带进度条'!N45</f>
        <v>0</v>
      </c>
      <c r="L45" s="22">
        <f>'体验表-带进度条'!O45</f>
        <v>0</v>
      </c>
      <c r="M45" s="30">
        <f>'体验表-带进度条'!X45</f>
        <v>0</v>
      </c>
      <c r="N45" s="23">
        <f>'体验表-带进度条'!AA45</f>
        <v>0</v>
      </c>
      <c r="O45" s="72">
        <f>'体验表-带进度条'!AB45</f>
        <v>0</v>
      </c>
      <c r="T45" s="42"/>
      <c r="U45" s="42"/>
    </row>
    <row r="46" spans="1:21">
      <c r="A46" s="13">
        <f>'体验表-带进度条'!B46</f>
        <v>2</v>
      </c>
      <c r="B46" s="14">
        <f>'体验表-带进度条'!E46</f>
        <v>5.99</v>
      </c>
      <c r="C46" s="14">
        <f>'体验表-带进度条'!F46</f>
        <v>119</v>
      </c>
      <c r="D46" s="14">
        <f>'体验表-带进度条'!G46</f>
        <v>7140000</v>
      </c>
      <c r="E46" s="16">
        <f>'体验表-带进度条'!H46</f>
        <v>7140000</v>
      </c>
      <c r="F46" s="17">
        <f>'体验表-带进度条'!I46</f>
        <v>5.99</v>
      </c>
      <c r="G46" s="14">
        <f>'体验表-带进度条'!J46</f>
        <v>0</v>
      </c>
      <c r="H46" s="19" t="str">
        <f>'体验表-带进度条'!K46</f>
        <v>金币</v>
      </c>
      <c r="I46" s="38">
        <f>'体验表-带进度条'!L46</f>
        <v>9</v>
      </c>
      <c r="J46" s="21">
        <f>'体验表-带进度条'!M46</f>
        <v>7140000</v>
      </c>
      <c r="K46" s="14">
        <f>'体验表-带进度条'!N46</f>
        <v>9148050</v>
      </c>
      <c r="L46" s="22">
        <f>'体验表-带进度条'!O46</f>
        <v>9.14805</v>
      </c>
      <c r="M46" s="30">
        <f>'体验表-带进度条'!X46</f>
        <v>9148050</v>
      </c>
      <c r="N46" s="23">
        <f>'体验表-带进度条'!AA46</f>
        <v>9.14805</v>
      </c>
      <c r="O46" s="72">
        <f>'体验表-带进度条'!AB46</f>
        <v>1.28123949579832</v>
      </c>
      <c r="T46" s="42"/>
      <c r="U46" s="42"/>
    </row>
    <row r="47" spans="1:21">
      <c r="A47" s="13">
        <f>'体验表-带进度条'!B47</f>
        <v>3</v>
      </c>
      <c r="B47" s="14">
        <f>'体验表-带进度条'!E47</f>
        <v>0</v>
      </c>
      <c r="C47" s="14" t="str">
        <f>'体验表-带进度条'!F47</f>
        <v/>
      </c>
      <c r="D47" s="14">
        <f>'体验表-带进度条'!G47</f>
        <v>0</v>
      </c>
      <c r="E47" s="16">
        <f>'体验表-带进度条'!H47</f>
        <v>0</v>
      </c>
      <c r="F47" s="17">
        <f>'体验表-带进度条'!I47</f>
        <v>0</v>
      </c>
      <c r="G47" s="14">
        <f>'体验表-带进度条'!J47</f>
        <v>0</v>
      </c>
      <c r="H47" s="19" t="str">
        <f>'体验表-带进度条'!K47</f>
        <v>记牌器1个</v>
      </c>
      <c r="I47" s="38">
        <f>'体验表-带进度条'!L47</f>
        <v>3</v>
      </c>
      <c r="J47" s="21">
        <f>'体验表-带进度条'!M47</f>
        <v>1</v>
      </c>
      <c r="K47" s="14">
        <f>'体验表-带进度条'!N47</f>
        <v>0</v>
      </c>
      <c r="L47" s="22">
        <f>'体验表-带进度条'!O47</f>
        <v>0</v>
      </c>
      <c r="M47" s="30">
        <f>'体验表-带进度条'!X47</f>
        <v>0</v>
      </c>
      <c r="N47" s="23">
        <f>'体验表-带进度条'!AA47</f>
        <v>0</v>
      </c>
      <c r="O47" s="72">
        <f>'体验表-带进度条'!AB47</f>
        <v>0</v>
      </c>
      <c r="T47" s="42"/>
      <c r="U47" s="42"/>
    </row>
    <row r="48" spans="1:21">
      <c r="A48" s="13">
        <f>'体验表-带进度条'!B48</f>
        <v>4</v>
      </c>
      <c r="B48" s="14">
        <f>'体验表-带进度条'!E48</f>
        <v>0</v>
      </c>
      <c r="C48" s="14" t="str">
        <f>'体验表-带进度条'!F48</f>
        <v/>
      </c>
      <c r="D48" s="14">
        <f>'体验表-带进度条'!G48</f>
        <v>0</v>
      </c>
      <c r="E48" s="16">
        <f>'体验表-带进度条'!H48</f>
        <v>0</v>
      </c>
      <c r="F48" s="17">
        <f>'体验表-带进度条'!I48</f>
        <v>0</v>
      </c>
      <c r="G48" s="14">
        <f>'体验表-带进度条'!J48</f>
        <v>0.1</v>
      </c>
      <c r="H48" s="19" t="str">
        <f>'体验表-带进度条'!K48</f>
        <v>金币</v>
      </c>
      <c r="I48" s="38">
        <f>'体验表-带进度条'!L48</f>
        <v>17</v>
      </c>
      <c r="J48" s="21">
        <f>'体验表-带进度条'!M48</f>
        <v>2008050</v>
      </c>
      <c r="K48" s="14">
        <f>'体验表-带进度条'!N48</f>
        <v>0</v>
      </c>
      <c r="L48" s="22">
        <f>'体验表-带进度条'!O48</f>
        <v>0</v>
      </c>
      <c r="M48" s="30">
        <f>'体验表-带进度条'!X48</f>
        <v>0</v>
      </c>
      <c r="N48" s="23">
        <f>'体验表-带进度条'!AA48</f>
        <v>0</v>
      </c>
      <c r="O48" s="72">
        <f>'体验表-带进度条'!AB48</f>
        <v>0</v>
      </c>
      <c r="T48" s="42"/>
      <c r="U48" s="42"/>
    </row>
    <row r="49" spans="1:21">
      <c r="A49" s="13">
        <f>'体验表-带进度条'!B49</f>
        <v>5</v>
      </c>
      <c r="B49" s="14">
        <f>'体验表-带进度条'!E49</f>
        <v>0</v>
      </c>
      <c r="C49" s="14" t="str">
        <f>'体验表-带进度条'!F49</f>
        <v/>
      </c>
      <c r="D49" s="14">
        <f>'体验表-带进度条'!G49</f>
        <v>0</v>
      </c>
      <c r="E49" s="16">
        <f>'体验表-带进度条'!H49</f>
        <v>0</v>
      </c>
      <c r="F49" s="17">
        <f>'体验表-带进度条'!I49</f>
        <v>0</v>
      </c>
      <c r="G49" s="14">
        <f>'体验表-带进度条'!J49</f>
        <v>0</v>
      </c>
      <c r="H49" s="19" t="str">
        <f>'体验表-带进度条'!K49</f>
        <v>卡包2星</v>
      </c>
      <c r="I49" s="38">
        <f>'体验表-带进度条'!L49</f>
        <v>4</v>
      </c>
      <c r="J49" s="21">
        <f>'体验表-带进度条'!M49</f>
        <v>1</v>
      </c>
      <c r="K49" s="14">
        <f>'体验表-带进度条'!N49</f>
        <v>0</v>
      </c>
      <c r="L49" s="22">
        <f>'体验表-带进度条'!O49</f>
        <v>0</v>
      </c>
      <c r="M49" s="30">
        <f>'体验表-带进度条'!X49</f>
        <v>0</v>
      </c>
      <c r="N49" s="23">
        <f>'体验表-带进度条'!AA49</f>
        <v>0</v>
      </c>
      <c r="O49" s="72">
        <f>'体验表-带进度条'!AB49</f>
        <v>0</v>
      </c>
      <c r="T49" s="42"/>
      <c r="U49" s="42"/>
    </row>
    <row r="50" spans="1:21">
      <c r="A50" s="13">
        <f>'体验表-带进度条'!B50</f>
        <v>6</v>
      </c>
      <c r="B50" s="14">
        <f>'体验表-带进度条'!E50</f>
        <v>0</v>
      </c>
      <c r="C50" s="14" t="str">
        <f>'体验表-带进度条'!F50</f>
        <v/>
      </c>
      <c r="D50" s="14">
        <f>'体验表-带进度条'!G50</f>
        <v>0</v>
      </c>
      <c r="E50" s="16">
        <f>'体验表-带进度条'!H50</f>
        <v>0</v>
      </c>
      <c r="F50" s="17">
        <f>'体验表-带进度条'!I50</f>
        <v>0</v>
      </c>
      <c r="G50" s="14">
        <f>'体验表-带进度条'!J50</f>
        <v>0</v>
      </c>
      <c r="H50" s="19" t="str">
        <f>'体验表-带进度条'!K50</f>
        <v>老虎机抽奖券</v>
      </c>
      <c r="I50" s="38">
        <f>'体验表-带进度条'!L50</f>
        <v>3</v>
      </c>
      <c r="J50" s="21">
        <f>'体验表-带进度条'!M50</f>
        <v>5</v>
      </c>
      <c r="K50" s="14">
        <f>'体验表-带进度条'!N50</f>
        <v>0</v>
      </c>
      <c r="L50" s="22">
        <f>'体验表-带进度条'!O50</f>
        <v>0</v>
      </c>
      <c r="M50" s="30">
        <f>'体验表-带进度条'!X50</f>
        <v>0</v>
      </c>
      <c r="N50" s="23">
        <f>'体验表-带进度条'!AA50</f>
        <v>0</v>
      </c>
      <c r="O50" s="72">
        <f>'体验表-带进度条'!AB50</f>
        <v>0</v>
      </c>
      <c r="T50" s="42"/>
      <c r="U50" s="42"/>
    </row>
    <row r="51" spans="1:21">
      <c r="A51" s="13">
        <f>'体验表-带进度条'!B51</f>
        <v>7</v>
      </c>
      <c r="B51" s="14">
        <f>'体验表-带进度条'!E51</f>
        <v>0</v>
      </c>
      <c r="C51" s="14" t="str">
        <f>'体验表-带进度条'!F51</f>
        <v/>
      </c>
      <c r="D51" s="14">
        <f>'体验表-带进度条'!G51</f>
        <v>0</v>
      </c>
      <c r="E51" s="16">
        <f>'体验表-带进度条'!H51</f>
        <v>0</v>
      </c>
      <c r="F51" s="17">
        <f>'体验表-带进度条'!I51</f>
        <v>0</v>
      </c>
      <c r="G51" s="14">
        <f>'体验表-带进度条'!J51</f>
        <v>0</v>
      </c>
      <c r="H51" s="19" t="str">
        <f>'体验表-带进度条'!K51</f>
        <v>大奖赛复活券</v>
      </c>
      <c r="I51" s="38">
        <f>'体验表-带进度条'!L51</f>
        <v>3</v>
      </c>
      <c r="J51" s="21">
        <f>'体验表-带进度条'!M51</f>
        <v>1</v>
      </c>
      <c r="K51" s="14">
        <f>'体验表-带进度条'!N51</f>
        <v>0</v>
      </c>
      <c r="L51" s="22">
        <f>'体验表-带进度条'!O51</f>
        <v>0</v>
      </c>
      <c r="M51" s="30">
        <f>'体验表-带进度条'!X51</f>
        <v>0</v>
      </c>
      <c r="N51" s="23">
        <f>'体验表-带进度条'!AA51</f>
        <v>0</v>
      </c>
      <c r="O51" s="72">
        <f>'体验表-带进度条'!AB51</f>
        <v>0</v>
      </c>
      <c r="T51" s="42"/>
      <c r="U51" s="42"/>
    </row>
    <row r="52" spans="1:21">
      <c r="A52" s="13">
        <f>'体验表-带进度条'!B52</f>
        <v>8</v>
      </c>
      <c r="B52" s="14">
        <f>'体验表-带进度条'!E52</f>
        <v>7.99</v>
      </c>
      <c r="C52" s="14">
        <f>'体验表-带进度条'!F52</f>
        <v>129</v>
      </c>
      <c r="D52" s="14">
        <f>'体验表-带进度条'!G52</f>
        <v>10320000</v>
      </c>
      <c r="E52" s="16">
        <f>'体验表-带进度条'!H52</f>
        <v>17460000</v>
      </c>
      <c r="F52" s="17">
        <f>'体验表-带进度条'!I52</f>
        <v>13.98</v>
      </c>
      <c r="G52" s="14">
        <f>'体验表-带进度条'!J52</f>
        <v>0.12</v>
      </c>
      <c r="H52" s="19" t="str">
        <f>'体验表-带进度条'!K52</f>
        <v>金币</v>
      </c>
      <c r="I52" s="38">
        <f>'体验表-带进度条'!L52</f>
        <v>9</v>
      </c>
      <c r="J52" s="21">
        <f>'体验表-带进度条'!M52</f>
        <v>10320000</v>
      </c>
      <c r="K52" s="14">
        <f>'体验表-带进度条'!N52</f>
        <v>10721610</v>
      </c>
      <c r="L52" s="22">
        <f>'体验表-带进度条'!O52</f>
        <v>10.72161</v>
      </c>
      <c r="M52" s="30">
        <f>'体验表-带进度条'!X52</f>
        <v>20948400</v>
      </c>
      <c r="N52" s="23">
        <f>'体验表-带进度条'!AA52</f>
        <v>20.9484</v>
      </c>
      <c r="O52" s="72">
        <f>'体验表-带进度条'!AB52</f>
        <v>1.19979381443299</v>
      </c>
      <c r="T52" s="42"/>
      <c r="U52" s="42"/>
    </row>
    <row r="53" spans="1:21">
      <c r="A53" s="13">
        <f>'体验表-带进度条'!B53</f>
        <v>9</v>
      </c>
      <c r="B53" s="14">
        <f>'体验表-带进度条'!E53</f>
        <v>0</v>
      </c>
      <c r="C53" s="14" t="str">
        <f>'体验表-带进度条'!F53</f>
        <v/>
      </c>
      <c r="D53" s="14">
        <f>'体验表-带进度条'!G53</f>
        <v>0</v>
      </c>
      <c r="E53" s="16">
        <f>'体验表-带进度条'!H53</f>
        <v>0</v>
      </c>
      <c r="F53" s="17">
        <f>'体验表-带进度条'!I53</f>
        <v>0</v>
      </c>
      <c r="G53" s="14">
        <f>'体验表-带进度条'!J53</f>
        <v>0</v>
      </c>
      <c r="H53" s="19" t="str">
        <f>'体验表-带进度条'!K53</f>
        <v>记牌器1个</v>
      </c>
      <c r="I53" s="38">
        <f>'体验表-带进度条'!L53</f>
        <v>3</v>
      </c>
      <c r="J53" s="21">
        <f>'体验表-带进度条'!M53</f>
        <v>2</v>
      </c>
      <c r="K53" s="14">
        <f>'体验表-带进度条'!N53</f>
        <v>0</v>
      </c>
      <c r="L53" s="22">
        <f>'体验表-带进度条'!O53</f>
        <v>0</v>
      </c>
      <c r="M53" s="30">
        <f>'体验表-带进度条'!X53</f>
        <v>0</v>
      </c>
      <c r="N53" s="23">
        <f>'体验表-带进度条'!AA53</f>
        <v>0</v>
      </c>
      <c r="O53" s="72">
        <f>'体验表-带进度条'!AB53</f>
        <v>0</v>
      </c>
      <c r="T53" s="42"/>
      <c r="U53" s="42"/>
    </row>
    <row r="54" spans="1:21">
      <c r="A54" s="13">
        <f>'体验表-带进度条'!B54</f>
        <v>10</v>
      </c>
      <c r="B54" s="14">
        <f>'体验表-带进度条'!E54</f>
        <v>0</v>
      </c>
      <c r="C54" s="14" t="str">
        <f>'体验表-带进度条'!F54</f>
        <v/>
      </c>
      <c r="D54" s="14">
        <f>'体验表-带进度条'!G54</f>
        <v>0</v>
      </c>
      <c r="E54" s="16">
        <f>'体验表-带进度条'!H54</f>
        <v>0</v>
      </c>
      <c r="F54" s="17">
        <f>'体验表-带进度条'!I54</f>
        <v>0</v>
      </c>
      <c r="G54" s="14">
        <f>'体验表-带进度条'!J54</f>
        <v>0.02</v>
      </c>
      <c r="H54" s="19" t="str">
        <f>'体验表-带进度条'!K54</f>
        <v>金币</v>
      </c>
      <c r="I54" s="38">
        <f>'体验表-带进度条'!L54</f>
        <v>17</v>
      </c>
      <c r="J54" s="21">
        <f>'体验表-带进度条'!M54</f>
        <v>401610</v>
      </c>
      <c r="K54" s="14">
        <f>'体验表-带进度条'!N54</f>
        <v>0</v>
      </c>
      <c r="L54" s="22">
        <f>'体验表-带进度条'!O54</f>
        <v>0</v>
      </c>
      <c r="M54" s="30">
        <f>'体验表-带进度条'!X54</f>
        <v>0</v>
      </c>
      <c r="N54" s="23">
        <f>'体验表-带进度条'!AA54</f>
        <v>0</v>
      </c>
      <c r="O54" s="72">
        <f>'体验表-带进度条'!AB54</f>
        <v>0</v>
      </c>
      <c r="T54" s="42"/>
      <c r="U54" s="42"/>
    </row>
    <row r="55" spans="1:21">
      <c r="A55" s="13">
        <f>'体验表-带进度条'!B55</f>
        <v>11</v>
      </c>
      <c r="B55" s="14">
        <f>'体验表-带进度条'!E55</f>
        <v>0</v>
      </c>
      <c r="C55" s="14" t="str">
        <f>'体验表-带进度条'!F55</f>
        <v/>
      </c>
      <c r="D55" s="14">
        <f>'体验表-带进度条'!G55</f>
        <v>0</v>
      </c>
      <c r="E55" s="16">
        <f>'体验表-带进度条'!H55</f>
        <v>0</v>
      </c>
      <c r="F55" s="17">
        <f>'体验表-带进度条'!I55</f>
        <v>0</v>
      </c>
      <c r="G55" s="14">
        <f>'体验表-带进度条'!J55</f>
        <v>0</v>
      </c>
      <c r="H55" s="19" t="str">
        <f>'体验表-带进度条'!K55</f>
        <v>卡包3星</v>
      </c>
      <c r="I55" s="38">
        <f>'体验表-带进度条'!L55</f>
        <v>4</v>
      </c>
      <c r="J55" s="21">
        <f>'体验表-带进度条'!M55</f>
        <v>1</v>
      </c>
      <c r="K55" s="14">
        <f>'体验表-带进度条'!N55</f>
        <v>0</v>
      </c>
      <c r="L55" s="22">
        <f>'体验表-带进度条'!O55</f>
        <v>0</v>
      </c>
      <c r="M55" s="30">
        <f>'体验表-带进度条'!X55</f>
        <v>0</v>
      </c>
      <c r="N55" s="23">
        <f>'体验表-带进度条'!AA55</f>
        <v>0</v>
      </c>
      <c r="O55" s="72">
        <f>'体验表-带进度条'!AB55</f>
        <v>0</v>
      </c>
      <c r="T55" s="42"/>
      <c r="U55" s="42"/>
    </row>
    <row r="56" spans="1:21">
      <c r="A56" s="13">
        <f>'体验表-带进度条'!B56</f>
        <v>12</v>
      </c>
      <c r="B56" s="14">
        <f>'体验表-带进度条'!E56</f>
        <v>0</v>
      </c>
      <c r="C56" s="14" t="str">
        <f>'体验表-带进度条'!F56</f>
        <v/>
      </c>
      <c r="D56" s="14">
        <f>'体验表-带进度条'!G56</f>
        <v>0</v>
      </c>
      <c r="E56" s="16">
        <f>'体验表-带进度条'!H56</f>
        <v>0</v>
      </c>
      <c r="F56" s="17">
        <f>'体验表-带进度条'!I56</f>
        <v>0</v>
      </c>
      <c r="G56" s="14">
        <f>'体验表-带进度条'!J56</f>
        <v>0</v>
      </c>
      <c r="H56" s="19" t="str">
        <f>'体验表-带进度条'!K56</f>
        <v>老虎机抽奖券</v>
      </c>
      <c r="I56" s="38">
        <f>'体验表-带进度条'!L56</f>
        <v>3</v>
      </c>
      <c r="J56" s="21">
        <f>'体验表-带进度条'!M56</f>
        <v>10</v>
      </c>
      <c r="K56" s="14">
        <f>'体验表-带进度条'!N56</f>
        <v>0</v>
      </c>
      <c r="L56" s="22">
        <f>'体验表-带进度条'!O56</f>
        <v>0</v>
      </c>
      <c r="M56" s="30">
        <f>'体验表-带进度条'!X56</f>
        <v>0</v>
      </c>
      <c r="N56" s="23">
        <f>'体验表-带进度条'!AA56</f>
        <v>0</v>
      </c>
      <c r="O56" s="72">
        <f>'体验表-带进度条'!AB56</f>
        <v>0</v>
      </c>
      <c r="T56" s="42"/>
      <c r="U56" s="42"/>
    </row>
    <row r="57" spans="1:21">
      <c r="A57" s="13">
        <f>'体验表-带进度条'!B57</f>
        <v>13</v>
      </c>
      <c r="B57" s="14">
        <f>'体验表-带进度条'!E57</f>
        <v>0</v>
      </c>
      <c r="C57" s="14" t="str">
        <f>'体验表-带进度条'!F57</f>
        <v/>
      </c>
      <c r="D57" s="14">
        <f>'体验表-带进度条'!G57</f>
        <v>0</v>
      </c>
      <c r="E57" s="16">
        <f>'体验表-带进度条'!H57</f>
        <v>0</v>
      </c>
      <c r="F57" s="17">
        <f>'体验表-带进度条'!I57</f>
        <v>0</v>
      </c>
      <c r="G57" s="14">
        <f>'体验表-带进度条'!J57</f>
        <v>0</v>
      </c>
      <c r="H57" s="19" t="str">
        <f>'体验表-带进度条'!K57</f>
        <v>大奖赛报名券</v>
      </c>
      <c r="I57" s="38">
        <f>'体验表-带进度条'!L57</f>
        <v>3</v>
      </c>
      <c r="J57" s="21">
        <f>'体验表-带进度条'!M57</f>
        <v>1</v>
      </c>
      <c r="K57" s="14">
        <f>'体验表-带进度条'!N57</f>
        <v>0</v>
      </c>
      <c r="L57" s="22">
        <f>'体验表-带进度条'!O57</f>
        <v>0</v>
      </c>
      <c r="M57" s="30">
        <f>'体验表-带进度条'!X57</f>
        <v>0</v>
      </c>
      <c r="N57" s="23">
        <f>'体验表-带进度条'!AA57</f>
        <v>0</v>
      </c>
      <c r="O57" s="72">
        <f>'体验表-带进度条'!AB57</f>
        <v>0</v>
      </c>
      <c r="T57" s="42"/>
      <c r="U57" s="42"/>
    </row>
    <row r="58" spans="1:21">
      <c r="A58" s="13">
        <f>'体验表-带进度条'!B58</f>
        <v>14</v>
      </c>
      <c r="B58" s="14">
        <f>'体验表-带进度条'!E58</f>
        <v>9.99</v>
      </c>
      <c r="C58" s="14">
        <f>'体验表-带进度条'!F58</f>
        <v>139</v>
      </c>
      <c r="D58" s="14">
        <f>'体验表-带进度条'!G58</f>
        <v>13900000</v>
      </c>
      <c r="E58" s="16">
        <f>'体验表-带进度条'!H58</f>
        <v>31360000</v>
      </c>
      <c r="F58" s="17">
        <f>'体验表-带进度条'!I58</f>
        <v>23.97</v>
      </c>
      <c r="G58" s="14">
        <f>'体验表-带进度条'!J58</f>
        <v>0</v>
      </c>
      <c r="H58" s="19" t="str">
        <f>'体验表-带进度条'!K58</f>
        <v>金币</v>
      </c>
      <c r="I58" s="38">
        <f>'体验表-带进度条'!L58</f>
        <v>9</v>
      </c>
      <c r="J58" s="21">
        <f>'体验表-带进度条'!M58</f>
        <v>13900000</v>
      </c>
      <c r="K58" s="14">
        <f>'体验表-带进度条'!N58</f>
        <v>15908050</v>
      </c>
      <c r="L58" s="22">
        <f>'体验表-带进度条'!O58</f>
        <v>15.90805</v>
      </c>
      <c r="M58" s="30">
        <f>'体验表-带进度条'!X58</f>
        <v>36856450</v>
      </c>
      <c r="N58" s="23">
        <f>'体验表-带进度条'!AA58</f>
        <v>36.85645</v>
      </c>
      <c r="O58" s="72">
        <f>'体验表-带进度条'!AB58</f>
        <v>1.17526945153061</v>
      </c>
      <c r="T58" s="42"/>
      <c r="U58" s="42"/>
    </row>
    <row r="59" spans="1:21">
      <c r="A59" s="13">
        <f>'体验表-带进度条'!B59</f>
        <v>15</v>
      </c>
      <c r="B59" s="14">
        <f>'体验表-带进度条'!E59</f>
        <v>0</v>
      </c>
      <c r="C59" s="14" t="str">
        <f>'体验表-带进度条'!F59</f>
        <v/>
      </c>
      <c r="D59" s="14">
        <f>'体验表-带进度条'!G59</f>
        <v>0</v>
      </c>
      <c r="E59" s="16">
        <f>'体验表-带进度条'!H59</f>
        <v>0</v>
      </c>
      <c r="F59" s="17">
        <f>'体验表-带进度条'!I59</f>
        <v>0</v>
      </c>
      <c r="G59" s="14">
        <f>'体验表-带进度条'!J59</f>
        <v>0</v>
      </c>
      <c r="H59" s="19" t="str">
        <f>'体验表-带进度条'!K59</f>
        <v>记牌器1个</v>
      </c>
      <c r="I59" s="38">
        <f>'体验表-带进度条'!L59</f>
        <v>3</v>
      </c>
      <c r="J59" s="21">
        <f>'体验表-带进度条'!M59</f>
        <v>3</v>
      </c>
      <c r="K59" s="14">
        <f>'体验表-带进度条'!N59</f>
        <v>0</v>
      </c>
      <c r="L59" s="22">
        <f>'体验表-带进度条'!O59</f>
        <v>0</v>
      </c>
      <c r="M59" s="30">
        <f>'体验表-带进度条'!X59</f>
        <v>0</v>
      </c>
      <c r="N59" s="23">
        <f>'体验表-带进度条'!AA59</f>
        <v>0</v>
      </c>
      <c r="O59" s="72">
        <f>'体验表-带进度条'!AB59</f>
        <v>0</v>
      </c>
      <c r="T59" s="42"/>
      <c r="U59" s="42"/>
    </row>
    <row r="60" spans="1:21">
      <c r="A60" s="13">
        <f>'体验表-带进度条'!B60</f>
        <v>16</v>
      </c>
      <c r="B60" s="14">
        <f>'体验表-带进度条'!E60</f>
        <v>0</v>
      </c>
      <c r="C60" s="14" t="str">
        <f>'体验表-带进度条'!F60</f>
        <v/>
      </c>
      <c r="D60" s="14">
        <f>'体验表-带进度条'!G60</f>
        <v>0</v>
      </c>
      <c r="E60" s="16">
        <f>'体验表-带进度条'!H60</f>
        <v>0</v>
      </c>
      <c r="F60" s="17">
        <f>'体验表-带进度条'!I60</f>
        <v>0</v>
      </c>
      <c r="G60" s="14">
        <f>'体验表-带进度条'!J60</f>
        <v>0.1</v>
      </c>
      <c r="H60" s="19" t="str">
        <f>'体验表-带进度条'!K60</f>
        <v>金币</v>
      </c>
      <c r="I60" s="38">
        <f>'体验表-带进度条'!L60</f>
        <v>17</v>
      </c>
      <c r="J60" s="21">
        <f>'体验表-带进度条'!M60</f>
        <v>2008050</v>
      </c>
      <c r="K60" s="14">
        <f>'体验表-带进度条'!N60</f>
        <v>0</v>
      </c>
      <c r="L60" s="22">
        <f>'体验表-带进度条'!O60</f>
        <v>0</v>
      </c>
      <c r="M60" s="30">
        <f>'体验表-带进度条'!X60</f>
        <v>0</v>
      </c>
      <c r="N60" s="23">
        <f>'体验表-带进度条'!AA60</f>
        <v>0</v>
      </c>
      <c r="O60" s="72">
        <f>'体验表-带进度条'!AB60</f>
        <v>0</v>
      </c>
      <c r="T60" s="42"/>
      <c r="U60" s="42"/>
    </row>
    <row r="61" spans="1:21">
      <c r="A61" s="13">
        <f>'体验表-带进度条'!B61</f>
        <v>17</v>
      </c>
      <c r="B61" s="14">
        <f>'体验表-带进度条'!E61</f>
        <v>0</v>
      </c>
      <c r="C61" s="14" t="str">
        <f>'体验表-带进度条'!F61</f>
        <v/>
      </c>
      <c r="D61" s="14">
        <f>'体验表-带进度条'!G61</f>
        <v>0</v>
      </c>
      <c r="E61" s="16">
        <f>'体验表-带进度条'!H61</f>
        <v>0</v>
      </c>
      <c r="F61" s="17">
        <f>'体验表-带进度条'!I61</f>
        <v>0</v>
      </c>
      <c r="G61" s="14">
        <f>'体验表-带进度条'!J61</f>
        <v>0</v>
      </c>
      <c r="H61" s="19" t="str">
        <f>'体验表-带进度条'!K61</f>
        <v>卡包4星</v>
      </c>
      <c r="I61" s="38">
        <f>'体验表-带进度条'!L61</f>
        <v>4</v>
      </c>
      <c r="J61" s="21">
        <f>'体验表-带进度条'!M61</f>
        <v>1</v>
      </c>
      <c r="K61" s="14">
        <f>'体验表-带进度条'!N61</f>
        <v>0</v>
      </c>
      <c r="L61" s="22">
        <f>'体验表-带进度条'!O61</f>
        <v>0</v>
      </c>
      <c r="M61" s="30">
        <f>'体验表-带进度条'!X61</f>
        <v>0</v>
      </c>
      <c r="N61" s="23">
        <f>'体验表-带进度条'!AA61</f>
        <v>0</v>
      </c>
      <c r="O61" s="72">
        <f>'体验表-带进度条'!AB61</f>
        <v>0</v>
      </c>
      <c r="T61" s="42"/>
      <c r="U61" s="42"/>
    </row>
    <row r="62" spans="1:21">
      <c r="A62" s="13">
        <f>'体验表-带进度条'!B62</f>
        <v>18</v>
      </c>
      <c r="B62" s="14">
        <f>'体验表-带进度条'!E62</f>
        <v>0</v>
      </c>
      <c r="C62" s="14" t="str">
        <f>'体验表-带进度条'!F62</f>
        <v/>
      </c>
      <c r="D62" s="14">
        <f>'体验表-带进度条'!G62</f>
        <v>0</v>
      </c>
      <c r="E62" s="16">
        <f>'体验表-带进度条'!H62</f>
        <v>0</v>
      </c>
      <c r="F62" s="17">
        <f>'体验表-带进度条'!I62</f>
        <v>0</v>
      </c>
      <c r="G62" s="14">
        <f>'体验表-带进度条'!J62</f>
        <v>0</v>
      </c>
      <c r="H62" s="19" t="str">
        <f>'体验表-带进度条'!K62</f>
        <v>老虎机抽奖券</v>
      </c>
      <c r="I62" s="38">
        <f>'体验表-带进度条'!L62</f>
        <v>3</v>
      </c>
      <c r="J62" s="21">
        <f>'体验表-带进度条'!M62</f>
        <v>15</v>
      </c>
      <c r="K62" s="14">
        <f>'体验表-带进度条'!N62</f>
        <v>0</v>
      </c>
      <c r="L62" s="22">
        <f>'体验表-带进度条'!O62</f>
        <v>0</v>
      </c>
      <c r="M62" s="30">
        <f>'体验表-带进度条'!X62</f>
        <v>0</v>
      </c>
      <c r="N62" s="23">
        <f>'体验表-带进度条'!AA62</f>
        <v>0</v>
      </c>
      <c r="O62" s="72">
        <f>'体验表-带进度条'!AB62</f>
        <v>0</v>
      </c>
      <c r="T62" s="42"/>
      <c r="U62" s="42"/>
    </row>
    <row r="63" spans="1:21">
      <c r="A63" s="13">
        <f>'体验表-带进度条'!B63</f>
        <v>19</v>
      </c>
      <c r="B63" s="14">
        <f>'体验表-带进度条'!E63</f>
        <v>0</v>
      </c>
      <c r="C63" s="14" t="str">
        <f>'体验表-带进度条'!F63</f>
        <v/>
      </c>
      <c r="D63" s="14">
        <f>'体验表-带进度条'!G63</f>
        <v>0</v>
      </c>
      <c r="E63" s="16">
        <f>'体验表-带进度条'!H63</f>
        <v>0</v>
      </c>
      <c r="F63" s="17">
        <f>'体验表-带进度条'!I63</f>
        <v>0</v>
      </c>
      <c r="G63" s="14">
        <f>'体验表-带进度条'!J63</f>
        <v>0</v>
      </c>
      <c r="H63" s="19" t="str">
        <f>'体验表-带进度条'!K63</f>
        <v>大奖赛复活券</v>
      </c>
      <c r="I63" s="38">
        <f>'体验表-带进度条'!L63</f>
        <v>3</v>
      </c>
      <c r="J63" s="21">
        <f>'体验表-带进度条'!M63</f>
        <v>1</v>
      </c>
      <c r="K63" s="14">
        <f>'体验表-带进度条'!N63</f>
        <v>0</v>
      </c>
      <c r="L63" s="22">
        <f>'体验表-带进度条'!O63</f>
        <v>0</v>
      </c>
      <c r="M63" s="30">
        <f>'体验表-带进度条'!X63</f>
        <v>0</v>
      </c>
      <c r="N63" s="23">
        <f>'体验表-带进度条'!AA63</f>
        <v>0</v>
      </c>
      <c r="O63" s="72">
        <f>'体验表-带进度条'!AB63</f>
        <v>0</v>
      </c>
      <c r="T63" s="42"/>
      <c r="U63" s="42"/>
    </row>
    <row r="64" spans="1:21">
      <c r="A64" s="13">
        <f>'体验表-带进度条'!B64</f>
        <v>20</v>
      </c>
      <c r="B64" s="14">
        <f>'体验表-带进度条'!E64</f>
        <v>12.99</v>
      </c>
      <c r="C64" s="14">
        <f>'体验表-带进度条'!F64</f>
        <v>149</v>
      </c>
      <c r="D64" s="14">
        <f>'体验表-带进度条'!G64</f>
        <v>19370000</v>
      </c>
      <c r="E64" s="16">
        <f>'体验表-带进度条'!H64</f>
        <v>50730000</v>
      </c>
      <c r="F64" s="17">
        <f>'体验表-带进度条'!I64</f>
        <v>36.96</v>
      </c>
      <c r="G64" s="14">
        <f>'体验表-带进度条'!J64</f>
        <v>0.24</v>
      </c>
      <c r="H64" s="19" t="str">
        <f>'体验表-带进度条'!K64</f>
        <v>金币</v>
      </c>
      <c r="I64" s="38">
        <f>'体验表-带进度条'!L64</f>
        <v>9</v>
      </c>
      <c r="J64" s="21">
        <f>'体验表-带进度条'!M64</f>
        <v>19370000</v>
      </c>
      <c r="K64" s="14">
        <f>'体验表-带进度条'!N64</f>
        <v>20976440</v>
      </c>
      <c r="L64" s="22">
        <f>'体验表-带进度条'!O64</f>
        <v>20.97644</v>
      </c>
      <c r="M64" s="30">
        <f>'体验表-带进度条'!X64</f>
        <v>59990370</v>
      </c>
      <c r="N64" s="23">
        <f>'体验表-带进度条'!AA64</f>
        <v>59.99037</v>
      </c>
      <c r="O64" s="72">
        <f>'体验表-带进度条'!AB64</f>
        <v>1.18254228267297</v>
      </c>
      <c r="T64" s="42"/>
      <c r="U64" s="42"/>
    </row>
    <row r="65" spans="1:21">
      <c r="A65" s="13">
        <f>'体验表-带进度条'!B65</f>
        <v>21</v>
      </c>
      <c r="B65" s="14">
        <f>'体验表-带进度条'!E65</f>
        <v>0</v>
      </c>
      <c r="C65" s="14" t="str">
        <f>'体验表-带进度条'!F65</f>
        <v/>
      </c>
      <c r="D65" s="14">
        <f>'体验表-带进度条'!G65</f>
        <v>0</v>
      </c>
      <c r="E65" s="16">
        <f>'体验表-带进度条'!H65</f>
        <v>0</v>
      </c>
      <c r="F65" s="17">
        <f>'体验表-带进度条'!I65</f>
        <v>0</v>
      </c>
      <c r="G65" s="14">
        <f>'体验表-带进度条'!J65</f>
        <v>0</v>
      </c>
      <c r="H65" s="19" t="str">
        <f>'体验表-带进度条'!K65</f>
        <v>记牌器1个</v>
      </c>
      <c r="I65" s="38">
        <f>'体验表-带进度条'!L65</f>
        <v>3</v>
      </c>
      <c r="J65" s="21">
        <f>'体验表-带进度条'!M65</f>
        <v>4</v>
      </c>
      <c r="K65" s="14">
        <f>'体验表-带进度条'!N65</f>
        <v>0</v>
      </c>
      <c r="L65" s="22">
        <f>'体验表-带进度条'!O65</f>
        <v>0</v>
      </c>
      <c r="M65" s="30">
        <f>'体验表-带进度条'!X65</f>
        <v>0</v>
      </c>
      <c r="N65" s="23">
        <f>'体验表-带进度条'!AA65</f>
        <v>0</v>
      </c>
      <c r="O65" s="72">
        <f>'体验表-带进度条'!AB65</f>
        <v>0</v>
      </c>
      <c r="T65" s="42"/>
      <c r="U65" s="42"/>
    </row>
    <row r="66" spans="1:21">
      <c r="A66" s="13">
        <f>'体验表-带进度条'!B66</f>
        <v>22</v>
      </c>
      <c r="B66" s="14">
        <f>'体验表-带进度条'!E66</f>
        <v>0</v>
      </c>
      <c r="C66" s="14" t="str">
        <f>'体验表-带进度条'!F66</f>
        <v/>
      </c>
      <c r="D66" s="14">
        <f>'体验表-带进度条'!G66</f>
        <v>0</v>
      </c>
      <c r="E66" s="16">
        <f>'体验表-带进度条'!H66</f>
        <v>0</v>
      </c>
      <c r="F66" s="17">
        <f>'体验表-带进度条'!I66</f>
        <v>0</v>
      </c>
      <c r="G66" s="14">
        <f>'体验表-带进度条'!J66</f>
        <v>0.08</v>
      </c>
      <c r="H66" s="19" t="str">
        <f>'体验表-带进度条'!K66</f>
        <v>金币</v>
      </c>
      <c r="I66" s="38">
        <f>'体验表-带进度条'!L66</f>
        <v>17</v>
      </c>
      <c r="J66" s="21">
        <f>'体验表-带进度条'!M66</f>
        <v>1606440</v>
      </c>
      <c r="K66" s="14">
        <f>'体验表-带进度条'!N66</f>
        <v>0</v>
      </c>
      <c r="L66" s="22">
        <f>'体验表-带进度条'!O66</f>
        <v>0</v>
      </c>
      <c r="M66" s="30">
        <f>'体验表-带进度条'!X66</f>
        <v>0</v>
      </c>
      <c r="N66" s="23">
        <f>'体验表-带进度条'!AA66</f>
        <v>0</v>
      </c>
      <c r="O66" s="72">
        <f>'体验表-带进度条'!AB66</f>
        <v>0</v>
      </c>
      <c r="T66" s="42"/>
      <c r="U66" s="42"/>
    </row>
    <row r="67" spans="1:21">
      <c r="A67" s="13">
        <f>'体验表-带进度条'!B67</f>
        <v>23</v>
      </c>
      <c r="B67" s="14">
        <f>'体验表-带进度条'!E67</f>
        <v>0</v>
      </c>
      <c r="C67" s="14" t="str">
        <f>'体验表-带进度条'!F67</f>
        <v/>
      </c>
      <c r="D67" s="14">
        <f>'体验表-带进度条'!G67</f>
        <v>0</v>
      </c>
      <c r="E67" s="16">
        <f>'体验表-带进度条'!H67</f>
        <v>0</v>
      </c>
      <c r="F67" s="17">
        <f>'体验表-带进度条'!I67</f>
        <v>0</v>
      </c>
      <c r="G67" s="14">
        <f>'体验表-带进度条'!J67</f>
        <v>0</v>
      </c>
      <c r="H67" s="19" t="str">
        <f>'体验表-带进度条'!K67</f>
        <v>卡包4星</v>
      </c>
      <c r="I67" s="38">
        <f>'体验表-带进度条'!L67</f>
        <v>4</v>
      </c>
      <c r="J67" s="21">
        <f>'体验表-带进度条'!M67</f>
        <v>1</v>
      </c>
      <c r="K67" s="14">
        <f>'体验表-带进度条'!N67</f>
        <v>0</v>
      </c>
      <c r="L67" s="22">
        <f>'体验表-带进度条'!O67</f>
        <v>0</v>
      </c>
      <c r="M67" s="30">
        <f>'体验表-带进度条'!X67</f>
        <v>0</v>
      </c>
      <c r="N67" s="23">
        <f>'体验表-带进度条'!AA67</f>
        <v>0</v>
      </c>
      <c r="O67" s="72">
        <f>'体验表-带进度条'!AB67</f>
        <v>0</v>
      </c>
      <c r="T67" s="42"/>
      <c r="U67" s="42"/>
    </row>
    <row r="68" spans="1:21">
      <c r="A68" s="13">
        <f>'体验表-带进度条'!B68</f>
        <v>24</v>
      </c>
      <c r="B68" s="14">
        <f>'体验表-带进度条'!E68</f>
        <v>0</v>
      </c>
      <c r="C68" s="14" t="str">
        <f>'体验表-带进度条'!F68</f>
        <v/>
      </c>
      <c r="D68" s="14">
        <f>'体验表-带进度条'!G68</f>
        <v>0</v>
      </c>
      <c r="E68" s="16">
        <f>'体验表-带进度条'!H68</f>
        <v>0</v>
      </c>
      <c r="F68" s="17">
        <f>'体验表-带进度条'!I68</f>
        <v>0</v>
      </c>
      <c r="G68" s="14">
        <f>'体验表-带进度条'!J68</f>
        <v>0</v>
      </c>
      <c r="H68" s="19" t="str">
        <f>'体验表-带进度条'!K68</f>
        <v>老虎机抽奖券</v>
      </c>
      <c r="I68" s="38">
        <f>'体验表-带进度条'!L68</f>
        <v>3</v>
      </c>
      <c r="J68" s="21">
        <f>'体验表-带进度条'!M68</f>
        <v>20</v>
      </c>
      <c r="K68" s="14">
        <f>'体验表-带进度条'!N68</f>
        <v>0</v>
      </c>
      <c r="L68" s="22">
        <f>'体验表-带进度条'!O68</f>
        <v>0</v>
      </c>
      <c r="M68" s="30">
        <f>'体验表-带进度条'!X68</f>
        <v>0</v>
      </c>
      <c r="N68" s="23">
        <f>'体验表-带进度条'!AA68</f>
        <v>0</v>
      </c>
      <c r="O68" s="72">
        <f>'体验表-带进度条'!AB68</f>
        <v>0</v>
      </c>
      <c r="T68" s="42"/>
      <c r="U68" s="42"/>
    </row>
    <row r="69" spans="1:21">
      <c r="A69" s="13">
        <f>'体验表-带进度条'!B69</f>
        <v>25</v>
      </c>
      <c r="B69" s="14">
        <f>'体验表-带进度条'!E69</f>
        <v>0</v>
      </c>
      <c r="C69" s="14" t="str">
        <f>'体验表-带进度条'!F69</f>
        <v/>
      </c>
      <c r="D69" s="14">
        <f>'体验表-带进度条'!G69</f>
        <v>0</v>
      </c>
      <c r="E69" s="16">
        <f>'体验表-带进度条'!H69</f>
        <v>0</v>
      </c>
      <c r="F69" s="17">
        <f>'体验表-带进度条'!I69</f>
        <v>0</v>
      </c>
      <c r="G69" s="14">
        <f>'体验表-带进度条'!J69</f>
        <v>0</v>
      </c>
      <c r="H69" s="19" t="str">
        <f>'体验表-带进度条'!K69</f>
        <v>大奖赛报名券</v>
      </c>
      <c r="I69" s="38">
        <f>'体验表-带进度条'!L69</f>
        <v>3</v>
      </c>
      <c r="J69" s="21">
        <f>'体验表-带进度条'!M69</f>
        <v>1</v>
      </c>
      <c r="K69" s="14">
        <f>'体验表-带进度条'!N69</f>
        <v>0</v>
      </c>
      <c r="L69" s="22">
        <f>'体验表-带进度条'!O69</f>
        <v>0</v>
      </c>
      <c r="M69" s="30">
        <f>'体验表-带进度条'!X69</f>
        <v>0</v>
      </c>
      <c r="N69" s="23">
        <f>'体验表-带进度条'!AA69</f>
        <v>0</v>
      </c>
      <c r="O69" s="72">
        <f>'体验表-带进度条'!AB69</f>
        <v>0</v>
      </c>
      <c r="T69" s="42"/>
      <c r="U69" s="42"/>
    </row>
    <row r="70" spans="1:21">
      <c r="A70" s="13">
        <f>'体验表-带进度条'!B70</f>
        <v>26</v>
      </c>
      <c r="B70" s="14">
        <f>'体验表-带进度条'!E70</f>
        <v>14.99</v>
      </c>
      <c r="C70" s="14">
        <f>'体验表-带进度条'!F70</f>
        <v>154</v>
      </c>
      <c r="D70" s="14">
        <f>'体验表-带进度条'!G70</f>
        <v>23100000</v>
      </c>
      <c r="E70" s="16">
        <f>'体验表-带进度条'!H70</f>
        <v>73830000</v>
      </c>
      <c r="F70" s="17">
        <f>'体验表-带进度条'!I70</f>
        <v>51.95</v>
      </c>
      <c r="G70" s="14">
        <f>'体验表-带进度条'!J70</f>
        <v>0</v>
      </c>
      <c r="H70" s="19" t="str">
        <f>'体验表-带进度条'!K70</f>
        <v>金币</v>
      </c>
      <c r="I70" s="38">
        <f>'体验表-带进度条'!L70</f>
        <v>9</v>
      </c>
      <c r="J70" s="21">
        <f>'体验表-带进度条'!M70</f>
        <v>23100000</v>
      </c>
      <c r="K70" s="14">
        <f>'体验表-带进度条'!N70</f>
        <v>24104025</v>
      </c>
      <c r="L70" s="22">
        <f>'体验表-带进度条'!O70</f>
        <v>24.104025</v>
      </c>
      <c r="M70" s="30">
        <f>'体验表-带进度条'!X70</f>
        <v>84094395</v>
      </c>
      <c r="N70" s="23">
        <f>'体验表-带进度条'!AA70</f>
        <v>84.094395</v>
      </c>
      <c r="O70" s="72">
        <f>'体验表-带进度条'!AB70</f>
        <v>1.13902742787485</v>
      </c>
      <c r="T70" s="42"/>
      <c r="U70" s="42"/>
    </row>
    <row r="71" spans="1:21">
      <c r="A71" s="13">
        <f>'体验表-带进度条'!B71</f>
        <v>27</v>
      </c>
      <c r="B71" s="14">
        <f>'体验表-带进度条'!E71</f>
        <v>0</v>
      </c>
      <c r="C71" s="14" t="str">
        <f>'体验表-带进度条'!F71</f>
        <v/>
      </c>
      <c r="D71" s="14">
        <f>'体验表-带进度条'!G71</f>
        <v>0</v>
      </c>
      <c r="E71" s="16">
        <f>'体验表-带进度条'!H71</f>
        <v>0</v>
      </c>
      <c r="F71" s="17">
        <f>'体验表-带进度条'!I71</f>
        <v>0</v>
      </c>
      <c r="G71" s="14">
        <f>'体验表-带进度条'!J71</f>
        <v>0</v>
      </c>
      <c r="H71" s="19" t="str">
        <f>'体验表-带进度条'!K71</f>
        <v>记牌器1个</v>
      </c>
      <c r="I71" s="38">
        <f>'体验表-带进度条'!L71</f>
        <v>3</v>
      </c>
      <c r="J71" s="21">
        <f>'体验表-带进度条'!M71</f>
        <v>5</v>
      </c>
      <c r="K71" s="14">
        <f>'体验表-带进度条'!N71</f>
        <v>0</v>
      </c>
      <c r="L71" s="22">
        <f>'体验表-带进度条'!O71</f>
        <v>0</v>
      </c>
      <c r="M71" s="30">
        <f>'体验表-带进度条'!X71</f>
        <v>0</v>
      </c>
      <c r="N71" s="23">
        <f>'体验表-带进度条'!AA71</f>
        <v>0</v>
      </c>
      <c r="O71" s="72">
        <f>'体验表-带进度条'!AB71</f>
        <v>0</v>
      </c>
      <c r="T71" s="42"/>
      <c r="U71" s="42"/>
    </row>
    <row r="72" spans="1:21">
      <c r="A72" s="13">
        <f>'体验表-带进度条'!B72</f>
        <v>28</v>
      </c>
      <c r="B72" s="14">
        <f>'体验表-带进度条'!E72</f>
        <v>0</v>
      </c>
      <c r="C72" s="14" t="str">
        <f>'体验表-带进度条'!F72</f>
        <v/>
      </c>
      <c r="D72" s="14">
        <f>'体验表-带进度条'!G72</f>
        <v>0</v>
      </c>
      <c r="E72" s="16">
        <f>'体验表-带进度条'!H72</f>
        <v>0</v>
      </c>
      <c r="F72" s="17">
        <f>'体验表-带进度条'!I72</f>
        <v>0</v>
      </c>
      <c r="G72" s="14">
        <f>'体验表-带进度条'!J72</f>
        <v>0.05</v>
      </c>
      <c r="H72" s="19" t="str">
        <f>'体验表-带进度条'!K72</f>
        <v>金币</v>
      </c>
      <c r="I72" s="38">
        <f>'体验表-带进度条'!L72</f>
        <v>17</v>
      </c>
      <c r="J72" s="21">
        <f>'体验表-带进度条'!M72</f>
        <v>1004025</v>
      </c>
      <c r="K72" s="14">
        <f>'体验表-带进度条'!N72</f>
        <v>0</v>
      </c>
      <c r="L72" s="22">
        <f>'体验表-带进度条'!O72</f>
        <v>0</v>
      </c>
      <c r="M72" s="30">
        <f>'体验表-带进度条'!X72</f>
        <v>0</v>
      </c>
      <c r="N72" s="23">
        <f>'体验表-带进度条'!AA72</f>
        <v>0</v>
      </c>
      <c r="O72" s="72">
        <f>'体验表-带进度条'!AB72</f>
        <v>0</v>
      </c>
      <c r="T72" s="42"/>
      <c r="U72" s="42"/>
    </row>
    <row r="73" spans="1:21">
      <c r="A73" s="13">
        <f>'体验表-带进度条'!B73</f>
        <v>29</v>
      </c>
      <c r="B73" s="14">
        <f>'体验表-带进度条'!E73</f>
        <v>0</v>
      </c>
      <c r="C73" s="14" t="str">
        <f>'体验表-带进度条'!F73</f>
        <v/>
      </c>
      <c r="D73" s="14">
        <f>'体验表-带进度条'!G73</f>
        <v>0</v>
      </c>
      <c r="E73" s="16">
        <f>'体验表-带进度条'!H73</f>
        <v>0</v>
      </c>
      <c r="F73" s="17">
        <f>'体验表-带进度条'!I73</f>
        <v>0</v>
      </c>
      <c r="G73" s="14">
        <f>'体验表-带进度条'!J73</f>
        <v>0</v>
      </c>
      <c r="H73" s="19" t="str">
        <f>'体验表-带进度条'!K73</f>
        <v>卡包5星</v>
      </c>
      <c r="I73" s="38">
        <f>'体验表-带进度条'!L73</f>
        <v>4</v>
      </c>
      <c r="J73" s="21">
        <f>'体验表-带进度条'!M73</f>
        <v>1</v>
      </c>
      <c r="K73" s="14">
        <f>'体验表-带进度条'!N73</f>
        <v>0</v>
      </c>
      <c r="L73" s="22">
        <f>'体验表-带进度条'!O73</f>
        <v>0</v>
      </c>
      <c r="M73" s="30">
        <f>'体验表-带进度条'!X73</f>
        <v>0</v>
      </c>
      <c r="N73" s="23">
        <f>'体验表-带进度条'!AA73</f>
        <v>0</v>
      </c>
      <c r="O73" s="72">
        <f>'体验表-带进度条'!AB73</f>
        <v>0</v>
      </c>
      <c r="T73" s="42"/>
      <c r="U73" s="42"/>
    </row>
    <row r="74" spans="1:21">
      <c r="A74" s="13">
        <f>'体验表-带进度条'!B74</f>
        <v>30</v>
      </c>
      <c r="B74" s="14">
        <f>'体验表-带进度条'!E74</f>
        <v>0</v>
      </c>
      <c r="C74" s="14" t="str">
        <f>'体验表-带进度条'!F74</f>
        <v/>
      </c>
      <c r="D74" s="14">
        <f>'体验表-带进度条'!G74</f>
        <v>0</v>
      </c>
      <c r="E74" s="16">
        <f>'体验表-带进度条'!H74</f>
        <v>0</v>
      </c>
      <c r="F74" s="17">
        <f>'体验表-带进度条'!I74</f>
        <v>0</v>
      </c>
      <c r="G74" s="14">
        <f>'体验表-带进度条'!J74</f>
        <v>0</v>
      </c>
      <c r="H74" s="19" t="str">
        <f>'体验表-带进度条'!K74</f>
        <v>老虎机抽奖券</v>
      </c>
      <c r="I74" s="38">
        <f>'体验表-带进度条'!L74</f>
        <v>3</v>
      </c>
      <c r="J74" s="21">
        <f>'体验表-带进度条'!M74</f>
        <v>25</v>
      </c>
      <c r="K74" s="14">
        <f>'体验表-带进度条'!N74</f>
        <v>0</v>
      </c>
      <c r="L74" s="22">
        <f>'体验表-带进度条'!O74</f>
        <v>0</v>
      </c>
      <c r="M74" s="30">
        <f>'体验表-带进度条'!X74</f>
        <v>0</v>
      </c>
      <c r="N74" s="23">
        <f>'体验表-带进度条'!AA74</f>
        <v>0</v>
      </c>
      <c r="O74" s="72">
        <f>'体验表-带进度条'!AB74</f>
        <v>0</v>
      </c>
      <c r="T74" s="42"/>
      <c r="U74" s="42"/>
    </row>
    <row r="75" spans="1:21">
      <c r="A75" s="13">
        <f>'体验表-带进度条'!B75</f>
        <v>31</v>
      </c>
      <c r="B75" s="14">
        <f>'体验表-带进度条'!E75</f>
        <v>0</v>
      </c>
      <c r="C75" s="14" t="str">
        <f>'体验表-带进度条'!F75</f>
        <v/>
      </c>
      <c r="D75" s="14">
        <f>'体验表-带进度条'!G75</f>
        <v>0</v>
      </c>
      <c r="E75" s="16">
        <f>'体验表-带进度条'!H75</f>
        <v>0</v>
      </c>
      <c r="F75" s="17">
        <f>'体验表-带进度条'!I75</f>
        <v>0</v>
      </c>
      <c r="G75" s="14">
        <f>'体验表-带进度条'!J75</f>
        <v>0</v>
      </c>
      <c r="H75" s="19" t="str">
        <f>'体验表-带进度条'!K75</f>
        <v>大奖赛复活券</v>
      </c>
      <c r="I75" s="38">
        <f>'体验表-带进度条'!L75</f>
        <v>3</v>
      </c>
      <c r="J75" s="21">
        <f>'体验表-带进度条'!M75</f>
        <v>1</v>
      </c>
      <c r="K75" s="14">
        <f>'体验表-带进度条'!N75</f>
        <v>0</v>
      </c>
      <c r="L75" s="22">
        <f>'体验表-带进度条'!O75</f>
        <v>0</v>
      </c>
      <c r="M75" s="30">
        <f>'体验表-带进度条'!X75</f>
        <v>0</v>
      </c>
      <c r="N75" s="23">
        <f>'体验表-带进度条'!AA75</f>
        <v>0</v>
      </c>
      <c r="O75" s="72">
        <f>'体验表-带进度条'!AB75</f>
        <v>0</v>
      </c>
      <c r="T75" s="42"/>
      <c r="U75" s="42"/>
    </row>
    <row r="76" spans="1:21">
      <c r="A76" s="13">
        <f>'体验表-带进度条'!B76</f>
        <v>32</v>
      </c>
      <c r="B76" s="14">
        <f>'体验表-带进度条'!E76</f>
        <v>17.99</v>
      </c>
      <c r="C76" s="14">
        <f>'体验表-带进度条'!F76</f>
        <v>158</v>
      </c>
      <c r="D76" s="14">
        <f>'体验表-带进度条'!G76</f>
        <v>28440000</v>
      </c>
      <c r="E76" s="16">
        <f>'体验表-带进度条'!H76</f>
        <v>102270000</v>
      </c>
      <c r="F76" s="17">
        <f>'体验表-带进度条'!I76</f>
        <v>69.94</v>
      </c>
      <c r="G76" s="14">
        <f>'体验表-带进度条'!J76</f>
        <v>0</v>
      </c>
      <c r="H76" s="19" t="str">
        <f>'体验表-带进度条'!K76</f>
        <v>金币</v>
      </c>
      <c r="I76" s="38">
        <f>'体验表-带进度条'!L76</f>
        <v>9</v>
      </c>
      <c r="J76" s="21">
        <f>'体验表-带进度条'!M76</f>
        <v>28440000</v>
      </c>
      <c r="K76" s="14">
        <f>'体验表-带进度条'!N76</f>
        <v>30849660</v>
      </c>
      <c r="L76" s="22">
        <f>'体验表-带进度条'!O76</f>
        <v>30.84966</v>
      </c>
      <c r="M76" s="30">
        <f>'体验表-带进度条'!X76</f>
        <v>114944055</v>
      </c>
      <c r="N76" s="23">
        <f>'体验表-带进度条'!AA76</f>
        <v>114.944055</v>
      </c>
      <c r="O76" s="72">
        <f>'体验表-带进度条'!AB76</f>
        <v>1.12392739806395</v>
      </c>
      <c r="T76" s="42"/>
      <c r="U76" s="42"/>
    </row>
    <row r="77" spans="1:21">
      <c r="A77" s="13">
        <f>'体验表-带进度条'!B77</f>
        <v>33</v>
      </c>
      <c r="B77" s="14">
        <f>'体验表-带进度条'!E77</f>
        <v>0</v>
      </c>
      <c r="C77" s="14" t="str">
        <f>'体验表-带进度条'!F77</f>
        <v/>
      </c>
      <c r="D77" s="14">
        <f>'体验表-带进度条'!G77</f>
        <v>0</v>
      </c>
      <c r="E77" s="16">
        <f>'体验表-带进度条'!H77</f>
        <v>0</v>
      </c>
      <c r="F77" s="17">
        <f>'体验表-带进度条'!I77</f>
        <v>0</v>
      </c>
      <c r="G77" s="14">
        <f>'体验表-带进度条'!J77</f>
        <v>0</v>
      </c>
      <c r="H77" s="19" t="str">
        <f>'体验表-带进度条'!K77</f>
        <v>记牌器1个</v>
      </c>
      <c r="I77" s="38">
        <f>'体验表-带进度条'!L77</f>
        <v>3</v>
      </c>
      <c r="J77" s="21">
        <f>'体验表-带进度条'!M77</f>
        <v>6</v>
      </c>
      <c r="K77" s="14">
        <f>'体验表-带进度条'!N77</f>
        <v>0</v>
      </c>
      <c r="L77" s="22">
        <f>'体验表-带进度条'!O77</f>
        <v>0</v>
      </c>
      <c r="M77" s="30">
        <f>'体验表-带进度条'!X77</f>
        <v>0</v>
      </c>
      <c r="N77" s="23">
        <f>'体验表-带进度条'!AA77</f>
        <v>0</v>
      </c>
      <c r="O77" s="72">
        <f>'体验表-带进度条'!AB77</f>
        <v>0</v>
      </c>
      <c r="T77" s="42"/>
      <c r="U77" s="42"/>
    </row>
    <row r="78" spans="1:21">
      <c r="A78" s="13">
        <f>'体验表-带进度条'!B78</f>
        <v>34</v>
      </c>
      <c r="B78" s="14">
        <f>'体验表-带进度条'!E78</f>
        <v>0</v>
      </c>
      <c r="C78" s="14" t="str">
        <f>'体验表-带进度条'!F78</f>
        <v/>
      </c>
      <c r="D78" s="14">
        <f>'体验表-带进度条'!G78</f>
        <v>0</v>
      </c>
      <c r="E78" s="16">
        <f>'体验表-带进度条'!H78</f>
        <v>0</v>
      </c>
      <c r="F78" s="17">
        <f>'体验表-带进度条'!I78</f>
        <v>0</v>
      </c>
      <c r="G78" s="14">
        <f>'体验表-带进度条'!J78</f>
        <v>0.12</v>
      </c>
      <c r="H78" s="19" t="str">
        <f>'体验表-带进度条'!K78</f>
        <v>金币</v>
      </c>
      <c r="I78" s="38">
        <f>'体验表-带进度条'!L78</f>
        <v>17</v>
      </c>
      <c r="J78" s="21">
        <f>'体验表-带进度条'!M78</f>
        <v>2409660</v>
      </c>
      <c r="K78" s="14">
        <f>'体验表-带进度条'!N78</f>
        <v>0</v>
      </c>
      <c r="L78" s="22">
        <f>'体验表-带进度条'!O78</f>
        <v>0</v>
      </c>
      <c r="M78" s="30">
        <f>'体验表-带进度条'!X78</f>
        <v>0</v>
      </c>
      <c r="N78" s="23">
        <f>'体验表-带进度条'!AA78</f>
        <v>0</v>
      </c>
      <c r="O78" s="72">
        <f>'体验表-带进度条'!AB78</f>
        <v>0</v>
      </c>
      <c r="T78" s="42"/>
      <c r="U78" s="42"/>
    </row>
    <row r="79" spans="1:21">
      <c r="A79" s="13">
        <f>'体验表-带进度条'!B79</f>
        <v>35</v>
      </c>
      <c r="B79" s="14">
        <f>'体验表-带进度条'!E79</f>
        <v>0</v>
      </c>
      <c r="C79" s="14" t="str">
        <f>'体验表-带进度条'!F79</f>
        <v/>
      </c>
      <c r="D79" s="14">
        <f>'体验表-带进度条'!G79</f>
        <v>0</v>
      </c>
      <c r="E79" s="16">
        <f>'体验表-带进度条'!H79</f>
        <v>0</v>
      </c>
      <c r="F79" s="17">
        <f>'体验表-带进度条'!I79</f>
        <v>0</v>
      </c>
      <c r="G79" s="14">
        <f>'体验表-带进度条'!J79</f>
        <v>0</v>
      </c>
      <c r="H79" s="19" t="str">
        <f>'体验表-带进度条'!K79</f>
        <v>卡包5星</v>
      </c>
      <c r="I79" s="38">
        <f>'体验表-带进度条'!L79</f>
        <v>4</v>
      </c>
      <c r="J79" s="21">
        <f>'体验表-带进度条'!M79</f>
        <v>1</v>
      </c>
      <c r="K79" s="14">
        <f>'体验表-带进度条'!N79</f>
        <v>0</v>
      </c>
      <c r="L79" s="22">
        <f>'体验表-带进度条'!O79</f>
        <v>0</v>
      </c>
      <c r="M79" s="30">
        <f>'体验表-带进度条'!X79</f>
        <v>0</v>
      </c>
      <c r="N79" s="23">
        <f>'体验表-带进度条'!AA79</f>
        <v>0</v>
      </c>
      <c r="O79" s="72">
        <f>'体验表-带进度条'!AB79</f>
        <v>0</v>
      </c>
      <c r="T79" s="42"/>
      <c r="U79" s="42"/>
    </row>
    <row r="80" spans="1:21">
      <c r="A80" s="13">
        <f>'体验表-带进度条'!B80</f>
        <v>36</v>
      </c>
      <c r="B80" s="14">
        <f>'体验表-带进度条'!E80</f>
        <v>0</v>
      </c>
      <c r="C80" s="14" t="str">
        <f>'体验表-带进度条'!F80</f>
        <v/>
      </c>
      <c r="D80" s="14">
        <f>'体验表-带进度条'!G80</f>
        <v>0</v>
      </c>
      <c r="E80" s="16">
        <f>'体验表-带进度条'!H80</f>
        <v>0</v>
      </c>
      <c r="F80" s="17">
        <f>'体验表-带进度条'!I80</f>
        <v>0</v>
      </c>
      <c r="G80" s="14">
        <f>'体验表-带进度条'!J80</f>
        <v>0</v>
      </c>
      <c r="H80" s="19" t="str">
        <f>'体验表-带进度条'!K80</f>
        <v>老虎机抽奖券</v>
      </c>
      <c r="I80" s="38">
        <f>'体验表-带进度条'!L80</f>
        <v>3</v>
      </c>
      <c r="J80" s="21">
        <f>'体验表-带进度条'!M80</f>
        <v>30</v>
      </c>
      <c r="K80" s="14">
        <f>'体验表-带进度条'!N80</f>
        <v>0</v>
      </c>
      <c r="L80" s="22">
        <f>'体验表-带进度条'!O80</f>
        <v>0</v>
      </c>
      <c r="M80" s="30">
        <f>'体验表-带进度条'!X80</f>
        <v>0</v>
      </c>
      <c r="N80" s="23">
        <f>'体验表-带进度条'!AA80</f>
        <v>0</v>
      </c>
      <c r="O80" s="72">
        <f>'体验表-带进度条'!AB80</f>
        <v>0</v>
      </c>
      <c r="T80" s="42"/>
      <c r="U80" s="42"/>
    </row>
    <row r="81" spans="1:21">
      <c r="A81" s="13">
        <f>'体验表-带进度条'!B81</f>
        <v>37</v>
      </c>
      <c r="B81" s="14">
        <f>'体验表-带进度条'!E81</f>
        <v>0</v>
      </c>
      <c r="C81" s="14" t="str">
        <f>'体验表-带进度条'!F81</f>
        <v/>
      </c>
      <c r="D81" s="14">
        <f>'体验表-带进度条'!G81</f>
        <v>0</v>
      </c>
      <c r="E81" s="16">
        <f>'体验表-带进度条'!H81</f>
        <v>0</v>
      </c>
      <c r="F81" s="17">
        <f>'体验表-带进度条'!I81</f>
        <v>0</v>
      </c>
      <c r="G81" s="14">
        <f>'体验表-带进度条'!J81</f>
        <v>0</v>
      </c>
      <c r="H81" s="19" t="str">
        <f>'体验表-带进度条'!K81</f>
        <v>大奖赛报名券</v>
      </c>
      <c r="I81" s="38">
        <f>'体验表-带进度条'!L81</f>
        <v>3</v>
      </c>
      <c r="J81" s="21">
        <f>'体验表-带进度条'!M81</f>
        <v>1</v>
      </c>
      <c r="K81" s="14">
        <f>'体验表-带进度条'!N81</f>
        <v>0</v>
      </c>
      <c r="L81" s="22">
        <f>'体验表-带进度条'!O81</f>
        <v>0</v>
      </c>
      <c r="M81" s="30">
        <f>'体验表-带进度条'!X81</f>
        <v>0</v>
      </c>
      <c r="N81" s="23">
        <f>'体验表-带进度条'!AA81</f>
        <v>0</v>
      </c>
      <c r="O81" s="72">
        <f>'体验表-带进度条'!AB81</f>
        <v>0</v>
      </c>
      <c r="T81" s="42"/>
      <c r="U81" s="42"/>
    </row>
    <row r="82" spans="1:21">
      <c r="A82" s="13">
        <f>'体验表-带进度条'!B82</f>
        <v>38</v>
      </c>
      <c r="B82" s="14">
        <f>'体验表-带进度条'!E82</f>
        <v>19.99</v>
      </c>
      <c r="C82" s="14">
        <f>'体验表-带进度条'!F82</f>
        <v>158</v>
      </c>
      <c r="D82" s="14">
        <f>'体验表-带进度条'!G82</f>
        <v>31600000</v>
      </c>
      <c r="E82" s="16">
        <f>'体验表-带进度条'!H82</f>
        <v>133870000</v>
      </c>
      <c r="F82" s="17">
        <f>'体验表-带进度条'!I82</f>
        <v>89.93</v>
      </c>
      <c r="G82" s="14">
        <f>'体验表-带进度条'!J82</f>
        <v>0.45</v>
      </c>
      <c r="H82" s="19" t="str">
        <f>'体验表-带进度条'!K82</f>
        <v>金币</v>
      </c>
      <c r="I82" s="38">
        <f>'体验表-带进度条'!L82</f>
        <v>9</v>
      </c>
      <c r="J82" s="21">
        <f>'体验表-带进度条'!M82</f>
        <v>31600000</v>
      </c>
      <c r="K82" s="14">
        <f>'体验表-带进度条'!N82</f>
        <v>34009660</v>
      </c>
      <c r="L82" s="22">
        <f>'体验表-带进度条'!O82</f>
        <v>34.00966</v>
      </c>
      <c r="M82" s="30">
        <f>'体验表-带进度条'!X82</f>
        <v>152998990</v>
      </c>
      <c r="N82" s="23">
        <f>'体验表-带进度条'!AA82</f>
        <v>152.99899</v>
      </c>
      <c r="O82" s="72">
        <f>'体验表-带进度条'!AB82</f>
        <v>1.14289228355868</v>
      </c>
      <c r="T82" s="42"/>
      <c r="U82" s="42"/>
    </row>
    <row r="83" spans="1:21">
      <c r="A83" s="13">
        <f>'体验表-带进度条'!B83</f>
        <v>39</v>
      </c>
      <c r="B83" s="14">
        <f>'体验表-带进度条'!E83</f>
        <v>0</v>
      </c>
      <c r="C83" s="14" t="str">
        <f>'体验表-带进度条'!F83</f>
        <v/>
      </c>
      <c r="D83" s="14">
        <f>'体验表-带进度条'!G83</f>
        <v>0</v>
      </c>
      <c r="E83" s="16">
        <f>'体验表-带进度条'!H83</f>
        <v>0</v>
      </c>
      <c r="F83" s="17">
        <f>'体验表-带进度条'!I83</f>
        <v>0</v>
      </c>
      <c r="G83" s="14">
        <f>'体验表-带进度条'!J83</f>
        <v>0</v>
      </c>
      <c r="H83" s="19" t="str">
        <f>'体验表-带进度条'!K83</f>
        <v>记牌器1个</v>
      </c>
      <c r="I83" s="38">
        <f>'体验表-带进度条'!L83</f>
        <v>3</v>
      </c>
      <c r="J83" s="21">
        <f>'体验表-带进度条'!M83</f>
        <v>7</v>
      </c>
      <c r="K83" s="14">
        <f>'体验表-带进度条'!N83</f>
        <v>0</v>
      </c>
      <c r="L83" s="22">
        <f>'体验表-带进度条'!O83</f>
        <v>0</v>
      </c>
      <c r="M83" s="30">
        <f>'体验表-带进度条'!X83</f>
        <v>0</v>
      </c>
      <c r="N83" s="23">
        <f>'体验表-带进度条'!AA83</f>
        <v>0</v>
      </c>
      <c r="O83" s="72">
        <f>'体验表-带进度条'!AB83</f>
        <v>0</v>
      </c>
      <c r="T83" s="42"/>
      <c r="U83" s="42"/>
    </row>
    <row r="84" spans="1:21">
      <c r="A84" s="13">
        <f>'体验表-带进度条'!B84</f>
        <v>40</v>
      </c>
      <c r="B84" s="14">
        <f>'体验表-带进度条'!E84</f>
        <v>0</v>
      </c>
      <c r="C84" s="14" t="str">
        <f>'体验表-带进度条'!F84</f>
        <v/>
      </c>
      <c r="D84" s="14">
        <f>'体验表-带进度条'!G84</f>
        <v>0</v>
      </c>
      <c r="E84" s="16">
        <f>'体验表-带进度条'!H84</f>
        <v>0</v>
      </c>
      <c r="F84" s="17">
        <f>'体验表-带进度条'!I84</f>
        <v>0</v>
      </c>
      <c r="G84" s="14">
        <f>'体验表-带进度条'!J84</f>
        <v>0.12</v>
      </c>
      <c r="H84" s="19" t="str">
        <f>'体验表-带进度条'!K84</f>
        <v>金币</v>
      </c>
      <c r="I84" s="38">
        <f>'体验表-带进度条'!L84</f>
        <v>17</v>
      </c>
      <c r="J84" s="21">
        <f>'体验表-带进度条'!M84</f>
        <v>2409660</v>
      </c>
      <c r="K84" s="14">
        <f>'体验表-带进度条'!N84</f>
        <v>0</v>
      </c>
      <c r="L84" s="22">
        <f>'体验表-带进度条'!O84</f>
        <v>0</v>
      </c>
      <c r="M84" s="30">
        <f>'体验表-带进度条'!X84</f>
        <v>0</v>
      </c>
      <c r="N84" s="23">
        <f>'体验表-带进度条'!AA84</f>
        <v>0</v>
      </c>
      <c r="O84" s="72">
        <f>'体验表-带进度条'!AB84</f>
        <v>0</v>
      </c>
      <c r="T84" s="42"/>
      <c r="U84" s="42"/>
    </row>
    <row r="85" spans="1:21">
      <c r="A85" s="13">
        <f>'体验表-带进度条'!B85</f>
        <v>41</v>
      </c>
      <c r="B85" s="14">
        <f>'体验表-带进度条'!E85</f>
        <v>0</v>
      </c>
      <c r="C85" s="14" t="str">
        <f>'体验表-带进度条'!F85</f>
        <v/>
      </c>
      <c r="D85" s="14">
        <f>'体验表-带进度条'!G85</f>
        <v>0</v>
      </c>
      <c r="E85" s="16">
        <f>'体验表-带进度条'!H85</f>
        <v>0</v>
      </c>
      <c r="F85" s="17">
        <f>'体验表-带进度条'!I85</f>
        <v>0</v>
      </c>
      <c r="G85" s="14">
        <f>'体验表-带进度条'!J85</f>
        <v>0</v>
      </c>
      <c r="H85" s="19" t="str">
        <f>'体验表-带进度条'!K85</f>
        <v>卡包fun卡</v>
      </c>
      <c r="I85" s="38">
        <f>'体验表-带进度条'!L85</f>
        <v>4</v>
      </c>
      <c r="J85" s="21">
        <f>'体验表-带进度条'!M85</f>
        <v>1</v>
      </c>
      <c r="K85" s="14">
        <f>'体验表-带进度条'!N85</f>
        <v>0</v>
      </c>
      <c r="L85" s="22">
        <f>'体验表-带进度条'!O85</f>
        <v>0</v>
      </c>
      <c r="M85" s="30">
        <f>'体验表-带进度条'!X85</f>
        <v>0</v>
      </c>
      <c r="N85" s="23">
        <f>'体验表-带进度条'!AA85</f>
        <v>0</v>
      </c>
      <c r="O85" s="72">
        <f>'体验表-带进度条'!AB85</f>
        <v>0</v>
      </c>
      <c r="T85" s="42"/>
      <c r="U85" s="42"/>
    </row>
    <row r="86" spans="1:21">
      <c r="A86" s="13">
        <f>'体验表-带进度条'!B86</f>
        <v>42</v>
      </c>
      <c r="B86" s="14">
        <f>'体验表-带进度条'!E86</f>
        <v>0</v>
      </c>
      <c r="C86" s="14" t="str">
        <f>'体验表-带进度条'!F86</f>
        <v/>
      </c>
      <c r="D86" s="14">
        <f>'体验表-带进度条'!G86</f>
        <v>0</v>
      </c>
      <c r="E86" s="16">
        <f>'体验表-带进度条'!H86</f>
        <v>0</v>
      </c>
      <c r="F86" s="17">
        <f>'体验表-带进度条'!I86</f>
        <v>0</v>
      </c>
      <c r="G86" s="14">
        <f>'体验表-带进度条'!J86</f>
        <v>0</v>
      </c>
      <c r="H86" s="19" t="str">
        <f>'体验表-带进度条'!K86</f>
        <v>老虎机抽奖券</v>
      </c>
      <c r="I86" s="38">
        <f>'体验表-带进度条'!L86</f>
        <v>3</v>
      </c>
      <c r="J86" s="21">
        <f>'体验表-带进度条'!M86</f>
        <v>35</v>
      </c>
      <c r="K86" s="14">
        <f>'体验表-带进度条'!N86</f>
        <v>0</v>
      </c>
      <c r="L86" s="22">
        <f>'体验表-带进度条'!O86</f>
        <v>0</v>
      </c>
      <c r="M86" s="30">
        <f>'体验表-带进度条'!X86</f>
        <v>0</v>
      </c>
      <c r="N86" s="23">
        <f>'体验表-带进度条'!AA86</f>
        <v>0</v>
      </c>
      <c r="O86" s="72">
        <f>'体验表-带进度条'!AB86</f>
        <v>0</v>
      </c>
      <c r="T86" s="42"/>
      <c r="U86" s="42"/>
    </row>
    <row r="87" spans="1:21">
      <c r="A87" s="13">
        <f>'体验表-带进度条'!B87</f>
        <v>43</v>
      </c>
      <c r="B87" s="14">
        <f>'体验表-带进度条'!E87</f>
        <v>0</v>
      </c>
      <c r="C87" s="14" t="str">
        <f>'体验表-带进度条'!F87</f>
        <v/>
      </c>
      <c r="D87" s="14">
        <f>'体验表-带进度条'!G87</f>
        <v>0</v>
      </c>
      <c r="E87" s="16">
        <f>'体验表-带进度条'!H87</f>
        <v>0</v>
      </c>
      <c r="F87" s="17">
        <f>'体验表-带进度条'!I87</f>
        <v>0</v>
      </c>
      <c r="G87" s="14">
        <f>'体验表-带进度条'!J87</f>
        <v>0</v>
      </c>
      <c r="H87" s="19" t="str">
        <f>'体验表-带进度条'!K87</f>
        <v>大奖赛复活券</v>
      </c>
      <c r="I87" s="38">
        <f>'体验表-带进度条'!L87</f>
        <v>3</v>
      </c>
      <c r="J87" s="21">
        <f>'体验表-带进度条'!M87</f>
        <v>1</v>
      </c>
      <c r="K87" s="14">
        <f>'体验表-带进度条'!N87</f>
        <v>0</v>
      </c>
      <c r="L87" s="22">
        <f>'体验表-带进度条'!O87</f>
        <v>0</v>
      </c>
      <c r="M87" s="30">
        <f>'体验表-带进度条'!X87</f>
        <v>0</v>
      </c>
      <c r="N87" s="23">
        <f>'体验表-带进度条'!AA87</f>
        <v>0</v>
      </c>
      <c r="O87" s="72">
        <f>'体验表-带进度条'!AB87</f>
        <v>0</v>
      </c>
      <c r="T87" s="42"/>
      <c r="U87" s="42"/>
    </row>
    <row r="88" spans="1:21">
      <c r="A88" s="13">
        <f>'体验表-带进度条'!B88</f>
        <v>1</v>
      </c>
      <c r="B88" s="14">
        <f>'体验表-带进度条'!E88</f>
        <v>0</v>
      </c>
      <c r="C88" s="14" t="str">
        <f>'体验表-带进度条'!F88</f>
        <v/>
      </c>
      <c r="D88" s="14">
        <f>'体验表-带进度条'!G88</f>
        <v>0</v>
      </c>
      <c r="E88" s="16">
        <f>'体验表-带进度条'!H88</f>
        <v>0</v>
      </c>
      <c r="F88" s="17">
        <f>'体验表-带进度条'!I88</f>
        <v>0</v>
      </c>
      <c r="G88" s="14">
        <f>'体验表-带进度条'!J88</f>
        <v>0</v>
      </c>
      <c r="H88" s="19" t="str">
        <f>'体验表-带进度条'!K88</f>
        <v>金币</v>
      </c>
      <c r="I88" s="38">
        <f>'体验表-带进度条'!L88</f>
        <v>1</v>
      </c>
      <c r="J88" s="21">
        <f>'体验表-带进度条'!M88</f>
        <v>5000</v>
      </c>
      <c r="K88" s="14">
        <f>'体验表-带进度条'!N88</f>
        <v>0</v>
      </c>
      <c r="L88" s="22">
        <f>'体验表-带进度条'!O88</f>
        <v>0</v>
      </c>
      <c r="M88" s="30">
        <f>'体验表-带进度条'!X88</f>
        <v>0</v>
      </c>
      <c r="N88" s="23">
        <f>'体验表-带进度条'!AA88</f>
        <v>0</v>
      </c>
      <c r="O88" s="72">
        <f>'体验表-带进度条'!AB88</f>
        <v>0</v>
      </c>
      <c r="T88" s="42"/>
      <c r="U88" s="42"/>
    </row>
    <row r="89" spans="1:21">
      <c r="A89" s="13">
        <f>'体验表-带进度条'!B89</f>
        <v>2</v>
      </c>
      <c r="B89" s="14">
        <f>'体验表-带进度条'!E89</f>
        <v>5.99</v>
      </c>
      <c r="C89" s="14">
        <f>'体验表-带进度条'!F89</f>
        <v>119</v>
      </c>
      <c r="D89" s="14">
        <f>'体验表-带进度条'!G89</f>
        <v>7140000</v>
      </c>
      <c r="E89" s="16">
        <f>'体验表-带进度条'!H89</f>
        <v>7140000</v>
      </c>
      <c r="F89" s="17">
        <f>'体验表-带进度条'!I89</f>
        <v>5.99</v>
      </c>
      <c r="G89" s="14">
        <f>'体验表-带进度条'!J89</f>
        <v>0</v>
      </c>
      <c r="H89" s="19" t="str">
        <f>'体验表-带进度条'!K89</f>
        <v>金币</v>
      </c>
      <c r="I89" s="38">
        <f>'体验表-带进度条'!L89</f>
        <v>9</v>
      </c>
      <c r="J89" s="21">
        <f>'体验表-带进度条'!M89</f>
        <v>7140000</v>
      </c>
      <c r="K89" s="14">
        <f>'体验表-带进度条'!N89</f>
        <v>9148050</v>
      </c>
      <c r="L89" s="22">
        <f>'体验表-带进度条'!O89</f>
        <v>9.14805</v>
      </c>
      <c r="M89" s="30">
        <f>'体验表-带进度条'!X89</f>
        <v>9148050</v>
      </c>
      <c r="N89" s="23">
        <f>'体验表-带进度条'!AA89</f>
        <v>9.14805</v>
      </c>
      <c r="O89" s="72">
        <f>'体验表-带进度条'!AB89</f>
        <v>1.28123949579832</v>
      </c>
      <c r="T89" s="42"/>
      <c r="U89" s="42"/>
    </row>
    <row r="90" spans="1:21">
      <c r="A90" s="13">
        <f>'体验表-带进度条'!B90</f>
        <v>3</v>
      </c>
      <c r="B90" s="14">
        <f>'体验表-带进度条'!E90</f>
        <v>0</v>
      </c>
      <c r="C90" s="14" t="str">
        <f>'体验表-带进度条'!F90</f>
        <v/>
      </c>
      <c r="D90" s="14">
        <f>'体验表-带进度条'!G90</f>
        <v>0</v>
      </c>
      <c r="E90" s="16">
        <f>'体验表-带进度条'!H90</f>
        <v>0</v>
      </c>
      <c r="F90" s="17">
        <f>'体验表-带进度条'!I90</f>
        <v>0</v>
      </c>
      <c r="G90" s="14">
        <f>'体验表-带进度条'!J90</f>
        <v>0</v>
      </c>
      <c r="H90" s="19" t="str">
        <f>'体验表-带进度条'!K90</f>
        <v>记牌器1个</v>
      </c>
      <c r="I90" s="38">
        <f>'体验表-带进度条'!L90</f>
        <v>3</v>
      </c>
      <c r="J90" s="21">
        <f>'体验表-带进度条'!M90</f>
        <v>1</v>
      </c>
      <c r="K90" s="14">
        <f>'体验表-带进度条'!N90</f>
        <v>0</v>
      </c>
      <c r="L90" s="22">
        <f>'体验表-带进度条'!O90</f>
        <v>0</v>
      </c>
      <c r="M90" s="30">
        <f>'体验表-带进度条'!X90</f>
        <v>0</v>
      </c>
      <c r="N90" s="23">
        <f>'体验表-带进度条'!AA90</f>
        <v>0</v>
      </c>
      <c r="O90" s="72">
        <f>'体验表-带进度条'!AB90</f>
        <v>0</v>
      </c>
      <c r="T90" s="42"/>
      <c r="U90" s="42"/>
    </row>
    <row r="91" spans="1:21">
      <c r="A91" s="13">
        <f>'体验表-带进度条'!B91</f>
        <v>4</v>
      </c>
      <c r="B91" s="14">
        <f>'体验表-带进度条'!E91</f>
        <v>0</v>
      </c>
      <c r="C91" s="14" t="str">
        <f>'体验表-带进度条'!F91</f>
        <v/>
      </c>
      <c r="D91" s="14">
        <f>'体验表-带进度条'!G91</f>
        <v>0</v>
      </c>
      <c r="E91" s="16">
        <f>'体验表-带进度条'!H91</f>
        <v>0</v>
      </c>
      <c r="F91" s="17">
        <f>'体验表-带进度条'!I91</f>
        <v>0</v>
      </c>
      <c r="G91" s="14">
        <f>'体验表-带进度条'!J91</f>
        <v>0.1</v>
      </c>
      <c r="H91" s="19" t="str">
        <f>'体验表-带进度条'!K91</f>
        <v>金币</v>
      </c>
      <c r="I91" s="38">
        <f>'体验表-带进度条'!L91</f>
        <v>17</v>
      </c>
      <c r="J91" s="21">
        <f>'体验表-带进度条'!M91</f>
        <v>2008050</v>
      </c>
      <c r="K91" s="14">
        <f>'体验表-带进度条'!N91</f>
        <v>0</v>
      </c>
      <c r="L91" s="22">
        <f>'体验表-带进度条'!O91</f>
        <v>0</v>
      </c>
      <c r="M91" s="30">
        <f>'体验表-带进度条'!X91</f>
        <v>0</v>
      </c>
      <c r="N91" s="23">
        <f>'体验表-带进度条'!AA91</f>
        <v>0</v>
      </c>
      <c r="O91" s="72">
        <f>'体验表-带进度条'!AB91</f>
        <v>0</v>
      </c>
      <c r="T91" s="42"/>
      <c r="U91" s="42"/>
    </row>
    <row r="92" spans="1:21">
      <c r="A92" s="13">
        <f>'体验表-带进度条'!B92</f>
        <v>5</v>
      </c>
      <c r="B92" s="14">
        <f>'体验表-带进度条'!E92</f>
        <v>0</v>
      </c>
      <c r="C92" s="14" t="str">
        <f>'体验表-带进度条'!F92</f>
        <v/>
      </c>
      <c r="D92" s="14">
        <f>'体验表-带进度条'!G92</f>
        <v>0</v>
      </c>
      <c r="E92" s="16">
        <f>'体验表-带进度条'!H92</f>
        <v>0</v>
      </c>
      <c r="F92" s="17">
        <f>'体验表-带进度条'!I92</f>
        <v>0</v>
      </c>
      <c r="G92" s="14">
        <f>'体验表-带进度条'!J92</f>
        <v>0</v>
      </c>
      <c r="H92" s="19" t="str">
        <f>'体验表-带进度条'!K92</f>
        <v>卡包2星</v>
      </c>
      <c r="I92" s="38">
        <f>'体验表-带进度条'!L92</f>
        <v>4</v>
      </c>
      <c r="J92" s="21">
        <f>'体验表-带进度条'!M92</f>
        <v>1</v>
      </c>
      <c r="K92" s="14">
        <f>'体验表-带进度条'!N92</f>
        <v>0</v>
      </c>
      <c r="L92" s="22">
        <f>'体验表-带进度条'!O92</f>
        <v>0</v>
      </c>
      <c r="M92" s="30">
        <f>'体验表-带进度条'!X92</f>
        <v>0</v>
      </c>
      <c r="N92" s="23">
        <f>'体验表-带进度条'!AA92</f>
        <v>0</v>
      </c>
      <c r="O92" s="72">
        <f>'体验表-带进度条'!AB92</f>
        <v>0</v>
      </c>
      <c r="T92" s="42"/>
      <c r="U92" s="42"/>
    </row>
    <row r="93" spans="1:21">
      <c r="A93" s="13">
        <f>'体验表-带进度条'!B93</f>
        <v>6</v>
      </c>
      <c r="B93" s="14">
        <f>'体验表-带进度条'!E93</f>
        <v>0</v>
      </c>
      <c r="C93" s="14" t="str">
        <f>'体验表-带进度条'!F93</f>
        <v/>
      </c>
      <c r="D93" s="14">
        <f>'体验表-带进度条'!G93</f>
        <v>0</v>
      </c>
      <c r="E93" s="16">
        <f>'体验表-带进度条'!H93</f>
        <v>0</v>
      </c>
      <c r="F93" s="17">
        <f>'体验表-带进度条'!I93</f>
        <v>0</v>
      </c>
      <c r="G93" s="14">
        <f>'体验表-带进度条'!J93</f>
        <v>0</v>
      </c>
      <c r="H93" s="19" t="str">
        <f>'体验表-带进度条'!K93</f>
        <v>老虎机抽奖券</v>
      </c>
      <c r="I93" s="38">
        <f>'体验表-带进度条'!L93</f>
        <v>3</v>
      </c>
      <c r="J93" s="21">
        <f>'体验表-带进度条'!M93</f>
        <v>5</v>
      </c>
      <c r="K93" s="14">
        <f>'体验表-带进度条'!N93</f>
        <v>0</v>
      </c>
      <c r="L93" s="22">
        <f>'体验表-带进度条'!O93</f>
        <v>0</v>
      </c>
      <c r="M93" s="30">
        <f>'体验表-带进度条'!X93</f>
        <v>0</v>
      </c>
      <c r="N93" s="23">
        <f>'体验表-带进度条'!AA93</f>
        <v>0</v>
      </c>
      <c r="O93" s="72">
        <f>'体验表-带进度条'!AB93</f>
        <v>0</v>
      </c>
      <c r="T93" s="42"/>
      <c r="U93" s="42"/>
    </row>
    <row r="94" spans="1:21">
      <c r="A94" s="13">
        <f>'体验表-带进度条'!B94</f>
        <v>7</v>
      </c>
      <c r="B94" s="14">
        <f>'体验表-带进度条'!E94</f>
        <v>0</v>
      </c>
      <c r="C94" s="14" t="str">
        <f>'体验表-带进度条'!F94</f>
        <v/>
      </c>
      <c r="D94" s="14">
        <f>'体验表-带进度条'!G94</f>
        <v>0</v>
      </c>
      <c r="E94" s="16">
        <f>'体验表-带进度条'!H94</f>
        <v>0</v>
      </c>
      <c r="F94" s="17">
        <f>'体验表-带进度条'!I94</f>
        <v>0</v>
      </c>
      <c r="G94" s="14">
        <f>'体验表-带进度条'!J94</f>
        <v>0</v>
      </c>
      <c r="H94" s="19" t="str">
        <f>'体验表-带进度条'!K94</f>
        <v>大奖赛复活券</v>
      </c>
      <c r="I94" s="38">
        <f>'体验表-带进度条'!L94</f>
        <v>3</v>
      </c>
      <c r="J94" s="21">
        <f>'体验表-带进度条'!M94</f>
        <v>1</v>
      </c>
      <c r="K94" s="14">
        <f>'体验表-带进度条'!N94</f>
        <v>0</v>
      </c>
      <c r="L94" s="22">
        <f>'体验表-带进度条'!O94</f>
        <v>0</v>
      </c>
      <c r="M94" s="30">
        <f>'体验表-带进度条'!X94</f>
        <v>0</v>
      </c>
      <c r="N94" s="23">
        <f>'体验表-带进度条'!AA94</f>
        <v>0</v>
      </c>
      <c r="O94" s="72">
        <f>'体验表-带进度条'!AB94</f>
        <v>0</v>
      </c>
      <c r="T94" s="42"/>
      <c r="U94" s="42"/>
    </row>
    <row r="95" spans="1:21">
      <c r="A95" s="13">
        <f>'体验表-带进度条'!B95</f>
        <v>8</v>
      </c>
      <c r="B95" s="14">
        <f>'体验表-带进度条'!E95</f>
        <v>7.99</v>
      </c>
      <c r="C95" s="14">
        <f>'体验表-带进度条'!F95</f>
        <v>129</v>
      </c>
      <c r="D95" s="14">
        <f>'体验表-带进度条'!G95</f>
        <v>10320000</v>
      </c>
      <c r="E95" s="16">
        <f>'体验表-带进度条'!H95</f>
        <v>17460000</v>
      </c>
      <c r="F95" s="17">
        <f>'体验表-带进度条'!I95</f>
        <v>13.98</v>
      </c>
      <c r="G95" s="14">
        <f>'体验表-带进度条'!J95</f>
        <v>0.12</v>
      </c>
      <c r="H95" s="19" t="str">
        <f>'体验表-带进度条'!K95</f>
        <v>金币</v>
      </c>
      <c r="I95" s="38">
        <f>'体验表-带进度条'!L95</f>
        <v>9</v>
      </c>
      <c r="J95" s="21">
        <f>'体验表-带进度条'!M95</f>
        <v>10320000</v>
      </c>
      <c r="K95" s="14">
        <f>'体验表-带进度条'!N95</f>
        <v>10721610</v>
      </c>
      <c r="L95" s="22">
        <f>'体验表-带进度条'!O95</f>
        <v>10.72161</v>
      </c>
      <c r="M95" s="30">
        <f>'体验表-带进度条'!X95</f>
        <v>20948400</v>
      </c>
      <c r="N95" s="23">
        <f>'体验表-带进度条'!AA95</f>
        <v>20.9484</v>
      </c>
      <c r="O95" s="72">
        <f>'体验表-带进度条'!AB95</f>
        <v>1.19979381443299</v>
      </c>
      <c r="T95" s="42"/>
      <c r="U95" s="42"/>
    </row>
    <row r="96" spans="1:21">
      <c r="A96" s="13">
        <f>'体验表-带进度条'!B96</f>
        <v>9</v>
      </c>
      <c r="B96" s="14">
        <f>'体验表-带进度条'!E96</f>
        <v>0</v>
      </c>
      <c r="C96" s="14" t="str">
        <f>'体验表-带进度条'!F96</f>
        <v/>
      </c>
      <c r="D96" s="14">
        <f>'体验表-带进度条'!G96</f>
        <v>0</v>
      </c>
      <c r="E96" s="16">
        <f>'体验表-带进度条'!H96</f>
        <v>0</v>
      </c>
      <c r="F96" s="17">
        <f>'体验表-带进度条'!I96</f>
        <v>0</v>
      </c>
      <c r="G96" s="14">
        <f>'体验表-带进度条'!J96</f>
        <v>0</v>
      </c>
      <c r="H96" s="19" t="str">
        <f>'体验表-带进度条'!K96</f>
        <v>记牌器1个</v>
      </c>
      <c r="I96" s="38">
        <f>'体验表-带进度条'!L96</f>
        <v>3</v>
      </c>
      <c r="J96" s="21">
        <f>'体验表-带进度条'!M96</f>
        <v>2</v>
      </c>
      <c r="K96" s="14">
        <f>'体验表-带进度条'!N96</f>
        <v>0</v>
      </c>
      <c r="L96" s="22">
        <f>'体验表-带进度条'!O96</f>
        <v>0</v>
      </c>
      <c r="M96" s="30">
        <f>'体验表-带进度条'!X96</f>
        <v>0</v>
      </c>
      <c r="N96" s="23">
        <f>'体验表-带进度条'!AA96</f>
        <v>0</v>
      </c>
      <c r="O96" s="72">
        <f>'体验表-带进度条'!AB96</f>
        <v>0</v>
      </c>
      <c r="T96" s="42"/>
      <c r="U96" s="42"/>
    </row>
    <row r="97" spans="1:21">
      <c r="A97" s="13">
        <f>'体验表-带进度条'!B97</f>
        <v>10</v>
      </c>
      <c r="B97" s="14">
        <f>'体验表-带进度条'!E97</f>
        <v>0</v>
      </c>
      <c r="C97" s="14" t="str">
        <f>'体验表-带进度条'!F97</f>
        <v/>
      </c>
      <c r="D97" s="14">
        <f>'体验表-带进度条'!G97</f>
        <v>0</v>
      </c>
      <c r="E97" s="16">
        <f>'体验表-带进度条'!H97</f>
        <v>0</v>
      </c>
      <c r="F97" s="17">
        <f>'体验表-带进度条'!I97</f>
        <v>0</v>
      </c>
      <c r="G97" s="14">
        <f>'体验表-带进度条'!J97</f>
        <v>0.02</v>
      </c>
      <c r="H97" s="19" t="str">
        <f>'体验表-带进度条'!K97</f>
        <v>金币</v>
      </c>
      <c r="I97" s="38">
        <f>'体验表-带进度条'!L97</f>
        <v>17</v>
      </c>
      <c r="J97" s="21">
        <f>'体验表-带进度条'!M97</f>
        <v>401610</v>
      </c>
      <c r="K97" s="14">
        <f>'体验表-带进度条'!N97</f>
        <v>0</v>
      </c>
      <c r="L97" s="22">
        <f>'体验表-带进度条'!O97</f>
        <v>0</v>
      </c>
      <c r="M97" s="30">
        <f>'体验表-带进度条'!X97</f>
        <v>0</v>
      </c>
      <c r="N97" s="23">
        <f>'体验表-带进度条'!AA97</f>
        <v>0</v>
      </c>
      <c r="O97" s="72">
        <f>'体验表-带进度条'!AB97</f>
        <v>0</v>
      </c>
      <c r="T97" s="42"/>
      <c r="U97" s="42"/>
    </row>
    <row r="98" spans="1:21">
      <c r="A98" s="13">
        <f>'体验表-带进度条'!B98</f>
        <v>11</v>
      </c>
      <c r="B98" s="14">
        <f>'体验表-带进度条'!E98</f>
        <v>0</v>
      </c>
      <c r="C98" s="14" t="str">
        <f>'体验表-带进度条'!F98</f>
        <v/>
      </c>
      <c r="D98" s="14">
        <f>'体验表-带进度条'!G98</f>
        <v>0</v>
      </c>
      <c r="E98" s="16">
        <f>'体验表-带进度条'!H98</f>
        <v>0</v>
      </c>
      <c r="F98" s="17">
        <f>'体验表-带进度条'!I98</f>
        <v>0</v>
      </c>
      <c r="G98" s="14">
        <f>'体验表-带进度条'!J98</f>
        <v>0</v>
      </c>
      <c r="H98" s="19" t="str">
        <f>'体验表-带进度条'!K98</f>
        <v>卡包3星</v>
      </c>
      <c r="I98" s="38">
        <f>'体验表-带进度条'!L98</f>
        <v>4</v>
      </c>
      <c r="J98" s="21">
        <f>'体验表-带进度条'!M98</f>
        <v>1</v>
      </c>
      <c r="K98" s="14">
        <f>'体验表-带进度条'!N98</f>
        <v>0</v>
      </c>
      <c r="L98" s="22">
        <f>'体验表-带进度条'!O98</f>
        <v>0</v>
      </c>
      <c r="M98" s="30">
        <f>'体验表-带进度条'!X98</f>
        <v>0</v>
      </c>
      <c r="N98" s="23">
        <f>'体验表-带进度条'!AA98</f>
        <v>0</v>
      </c>
      <c r="O98" s="72">
        <f>'体验表-带进度条'!AB98</f>
        <v>0</v>
      </c>
      <c r="T98" s="42"/>
      <c r="U98" s="42"/>
    </row>
    <row r="99" spans="1:21">
      <c r="A99" s="13">
        <f>'体验表-带进度条'!B99</f>
        <v>12</v>
      </c>
      <c r="B99" s="14">
        <f>'体验表-带进度条'!E99</f>
        <v>0</v>
      </c>
      <c r="C99" s="14" t="str">
        <f>'体验表-带进度条'!F99</f>
        <v/>
      </c>
      <c r="D99" s="14">
        <f>'体验表-带进度条'!G99</f>
        <v>0</v>
      </c>
      <c r="E99" s="16">
        <f>'体验表-带进度条'!H99</f>
        <v>0</v>
      </c>
      <c r="F99" s="17">
        <f>'体验表-带进度条'!I99</f>
        <v>0</v>
      </c>
      <c r="G99" s="14">
        <f>'体验表-带进度条'!J99</f>
        <v>0</v>
      </c>
      <c r="H99" s="19" t="str">
        <f>'体验表-带进度条'!K99</f>
        <v>老虎机抽奖券</v>
      </c>
      <c r="I99" s="38">
        <f>'体验表-带进度条'!L99</f>
        <v>3</v>
      </c>
      <c r="J99" s="21">
        <f>'体验表-带进度条'!M99</f>
        <v>10</v>
      </c>
      <c r="K99" s="14">
        <f>'体验表-带进度条'!N99</f>
        <v>0</v>
      </c>
      <c r="L99" s="22">
        <f>'体验表-带进度条'!O99</f>
        <v>0</v>
      </c>
      <c r="M99" s="30">
        <f>'体验表-带进度条'!X99</f>
        <v>0</v>
      </c>
      <c r="N99" s="23">
        <f>'体验表-带进度条'!AA99</f>
        <v>0</v>
      </c>
      <c r="O99" s="72">
        <f>'体验表-带进度条'!AB99</f>
        <v>0</v>
      </c>
      <c r="T99" s="42"/>
      <c r="U99" s="42"/>
    </row>
    <row r="100" spans="1:21">
      <c r="A100" s="13">
        <f>'体验表-带进度条'!B100</f>
        <v>13</v>
      </c>
      <c r="B100" s="14">
        <f>'体验表-带进度条'!E100</f>
        <v>0</v>
      </c>
      <c r="C100" s="14" t="str">
        <f>'体验表-带进度条'!F100</f>
        <v/>
      </c>
      <c r="D100" s="14">
        <f>'体验表-带进度条'!G100</f>
        <v>0</v>
      </c>
      <c r="E100" s="16">
        <f>'体验表-带进度条'!H100</f>
        <v>0</v>
      </c>
      <c r="F100" s="17">
        <f>'体验表-带进度条'!I100</f>
        <v>0</v>
      </c>
      <c r="G100" s="14">
        <f>'体验表-带进度条'!J100</f>
        <v>0</v>
      </c>
      <c r="H100" s="19" t="str">
        <f>'体验表-带进度条'!K100</f>
        <v>大奖赛报名券</v>
      </c>
      <c r="I100" s="38">
        <f>'体验表-带进度条'!L100</f>
        <v>3</v>
      </c>
      <c r="J100" s="21">
        <f>'体验表-带进度条'!M100</f>
        <v>1</v>
      </c>
      <c r="K100" s="14">
        <f>'体验表-带进度条'!N100</f>
        <v>0</v>
      </c>
      <c r="L100" s="22">
        <f>'体验表-带进度条'!O100</f>
        <v>0</v>
      </c>
      <c r="M100" s="30">
        <f>'体验表-带进度条'!X100</f>
        <v>0</v>
      </c>
      <c r="N100" s="23">
        <f>'体验表-带进度条'!AA100</f>
        <v>0</v>
      </c>
      <c r="O100" s="72">
        <f>'体验表-带进度条'!AB100</f>
        <v>0</v>
      </c>
      <c r="T100" s="42"/>
      <c r="U100" s="42"/>
    </row>
    <row r="101" spans="1:21">
      <c r="A101" s="13">
        <f>'体验表-带进度条'!B101</f>
        <v>14</v>
      </c>
      <c r="B101" s="14">
        <f>'体验表-带进度条'!E101</f>
        <v>9.99</v>
      </c>
      <c r="C101" s="14">
        <f>'体验表-带进度条'!F101</f>
        <v>139</v>
      </c>
      <c r="D101" s="14">
        <f>'体验表-带进度条'!G101</f>
        <v>13900000</v>
      </c>
      <c r="E101" s="16">
        <f>'体验表-带进度条'!H101</f>
        <v>31360000</v>
      </c>
      <c r="F101" s="17">
        <f>'体验表-带进度条'!I101</f>
        <v>23.97</v>
      </c>
      <c r="G101" s="14">
        <f>'体验表-带进度条'!J101</f>
        <v>0</v>
      </c>
      <c r="H101" s="19" t="str">
        <f>'体验表-带进度条'!K101</f>
        <v>金币</v>
      </c>
      <c r="I101" s="38">
        <f>'体验表-带进度条'!L101</f>
        <v>9</v>
      </c>
      <c r="J101" s="21">
        <f>'体验表-带进度条'!M101</f>
        <v>13900000</v>
      </c>
      <c r="K101" s="14">
        <f>'体验表-带进度条'!N101</f>
        <v>15908050</v>
      </c>
      <c r="L101" s="22">
        <f>'体验表-带进度条'!O101</f>
        <v>15.90805</v>
      </c>
      <c r="M101" s="30">
        <f>'体验表-带进度条'!X101</f>
        <v>36856450</v>
      </c>
      <c r="N101" s="23">
        <f>'体验表-带进度条'!AA101</f>
        <v>36.85645</v>
      </c>
      <c r="O101" s="72">
        <f>'体验表-带进度条'!AB101</f>
        <v>1.17526945153061</v>
      </c>
      <c r="T101" s="42"/>
      <c r="U101" s="42"/>
    </row>
    <row r="102" spans="1:21">
      <c r="A102" s="13">
        <f>'体验表-带进度条'!B102</f>
        <v>15</v>
      </c>
      <c r="B102" s="14">
        <f>'体验表-带进度条'!E102</f>
        <v>0</v>
      </c>
      <c r="C102" s="14" t="str">
        <f>'体验表-带进度条'!F102</f>
        <v/>
      </c>
      <c r="D102" s="14">
        <f>'体验表-带进度条'!G102</f>
        <v>0</v>
      </c>
      <c r="E102" s="16">
        <f>'体验表-带进度条'!H102</f>
        <v>0</v>
      </c>
      <c r="F102" s="17">
        <f>'体验表-带进度条'!I102</f>
        <v>0</v>
      </c>
      <c r="G102" s="14">
        <f>'体验表-带进度条'!J102</f>
        <v>0</v>
      </c>
      <c r="H102" s="19" t="str">
        <f>'体验表-带进度条'!K102</f>
        <v>记牌器1个</v>
      </c>
      <c r="I102" s="38">
        <f>'体验表-带进度条'!L102</f>
        <v>3</v>
      </c>
      <c r="J102" s="21">
        <f>'体验表-带进度条'!M102</f>
        <v>3</v>
      </c>
      <c r="K102" s="14">
        <f>'体验表-带进度条'!N102</f>
        <v>0</v>
      </c>
      <c r="L102" s="22">
        <f>'体验表-带进度条'!O102</f>
        <v>0</v>
      </c>
      <c r="M102" s="30">
        <f>'体验表-带进度条'!X102</f>
        <v>0</v>
      </c>
      <c r="N102" s="23">
        <f>'体验表-带进度条'!AA102</f>
        <v>0</v>
      </c>
      <c r="O102" s="72">
        <f>'体验表-带进度条'!AB102</f>
        <v>0</v>
      </c>
      <c r="T102" s="42"/>
      <c r="U102" s="42"/>
    </row>
    <row r="103" spans="1:21">
      <c r="A103" s="13">
        <f>'体验表-带进度条'!B103</f>
        <v>16</v>
      </c>
      <c r="B103" s="14">
        <f>'体验表-带进度条'!E103</f>
        <v>0</v>
      </c>
      <c r="C103" s="14" t="str">
        <f>'体验表-带进度条'!F103</f>
        <v/>
      </c>
      <c r="D103" s="14">
        <f>'体验表-带进度条'!G103</f>
        <v>0</v>
      </c>
      <c r="E103" s="16">
        <f>'体验表-带进度条'!H103</f>
        <v>0</v>
      </c>
      <c r="F103" s="17">
        <f>'体验表-带进度条'!I103</f>
        <v>0</v>
      </c>
      <c r="G103" s="14">
        <f>'体验表-带进度条'!J103</f>
        <v>0.1</v>
      </c>
      <c r="H103" s="19" t="str">
        <f>'体验表-带进度条'!K103</f>
        <v>金币</v>
      </c>
      <c r="I103" s="38">
        <f>'体验表-带进度条'!L103</f>
        <v>17</v>
      </c>
      <c r="J103" s="21">
        <f>'体验表-带进度条'!M103</f>
        <v>2008050</v>
      </c>
      <c r="K103" s="14">
        <f>'体验表-带进度条'!N103</f>
        <v>0</v>
      </c>
      <c r="L103" s="22">
        <f>'体验表-带进度条'!O103</f>
        <v>0</v>
      </c>
      <c r="M103" s="30">
        <f>'体验表-带进度条'!X103</f>
        <v>0</v>
      </c>
      <c r="N103" s="23">
        <f>'体验表-带进度条'!AA103</f>
        <v>0</v>
      </c>
      <c r="O103" s="72">
        <f>'体验表-带进度条'!AB103</f>
        <v>0</v>
      </c>
      <c r="T103" s="42"/>
      <c r="U103" s="42"/>
    </row>
    <row r="104" spans="1:21">
      <c r="A104" s="13">
        <f>'体验表-带进度条'!B104</f>
        <v>17</v>
      </c>
      <c r="B104" s="14">
        <f>'体验表-带进度条'!E104</f>
        <v>0</v>
      </c>
      <c r="C104" s="14" t="str">
        <f>'体验表-带进度条'!F104</f>
        <v/>
      </c>
      <c r="D104" s="14">
        <f>'体验表-带进度条'!G104</f>
        <v>0</v>
      </c>
      <c r="E104" s="16">
        <f>'体验表-带进度条'!H104</f>
        <v>0</v>
      </c>
      <c r="F104" s="17">
        <f>'体验表-带进度条'!I104</f>
        <v>0</v>
      </c>
      <c r="G104" s="14">
        <f>'体验表-带进度条'!J104</f>
        <v>0</v>
      </c>
      <c r="H104" s="19" t="str">
        <f>'体验表-带进度条'!K104</f>
        <v>卡包4星</v>
      </c>
      <c r="I104" s="38">
        <f>'体验表-带进度条'!L104</f>
        <v>4</v>
      </c>
      <c r="J104" s="21">
        <f>'体验表-带进度条'!M104</f>
        <v>1</v>
      </c>
      <c r="K104" s="14">
        <f>'体验表-带进度条'!N104</f>
        <v>0</v>
      </c>
      <c r="L104" s="22">
        <f>'体验表-带进度条'!O104</f>
        <v>0</v>
      </c>
      <c r="M104" s="30">
        <f>'体验表-带进度条'!X104</f>
        <v>0</v>
      </c>
      <c r="N104" s="23">
        <f>'体验表-带进度条'!AA104</f>
        <v>0</v>
      </c>
      <c r="O104" s="72">
        <f>'体验表-带进度条'!AB104</f>
        <v>0</v>
      </c>
      <c r="T104" s="42"/>
      <c r="U104" s="42"/>
    </row>
    <row r="105" spans="1:21">
      <c r="A105" s="13">
        <f>'体验表-带进度条'!B105</f>
        <v>18</v>
      </c>
      <c r="B105" s="14">
        <f>'体验表-带进度条'!E105</f>
        <v>0</v>
      </c>
      <c r="C105" s="14" t="str">
        <f>'体验表-带进度条'!F105</f>
        <v/>
      </c>
      <c r="D105" s="14">
        <f>'体验表-带进度条'!G105</f>
        <v>0</v>
      </c>
      <c r="E105" s="16">
        <f>'体验表-带进度条'!H105</f>
        <v>0</v>
      </c>
      <c r="F105" s="17">
        <f>'体验表-带进度条'!I105</f>
        <v>0</v>
      </c>
      <c r="G105" s="14">
        <f>'体验表-带进度条'!J105</f>
        <v>0</v>
      </c>
      <c r="H105" s="19" t="str">
        <f>'体验表-带进度条'!K105</f>
        <v>老虎机抽奖券</v>
      </c>
      <c r="I105" s="38">
        <f>'体验表-带进度条'!L105</f>
        <v>3</v>
      </c>
      <c r="J105" s="21">
        <f>'体验表-带进度条'!M105</f>
        <v>15</v>
      </c>
      <c r="K105" s="14">
        <f>'体验表-带进度条'!N105</f>
        <v>0</v>
      </c>
      <c r="L105" s="22">
        <f>'体验表-带进度条'!O105</f>
        <v>0</v>
      </c>
      <c r="M105" s="30">
        <f>'体验表-带进度条'!X105</f>
        <v>0</v>
      </c>
      <c r="N105" s="23">
        <f>'体验表-带进度条'!AA105</f>
        <v>0</v>
      </c>
      <c r="O105" s="72">
        <f>'体验表-带进度条'!AB105</f>
        <v>0</v>
      </c>
      <c r="T105" s="42"/>
      <c r="U105" s="42"/>
    </row>
    <row r="106" spans="1:21">
      <c r="A106" s="13">
        <f>'体验表-带进度条'!B106</f>
        <v>19</v>
      </c>
      <c r="B106" s="14">
        <f>'体验表-带进度条'!E106</f>
        <v>0</v>
      </c>
      <c r="C106" s="14" t="str">
        <f>'体验表-带进度条'!F106</f>
        <v/>
      </c>
      <c r="D106" s="14">
        <f>'体验表-带进度条'!G106</f>
        <v>0</v>
      </c>
      <c r="E106" s="16">
        <f>'体验表-带进度条'!H106</f>
        <v>0</v>
      </c>
      <c r="F106" s="17">
        <f>'体验表-带进度条'!I106</f>
        <v>0</v>
      </c>
      <c r="G106" s="14">
        <f>'体验表-带进度条'!J106</f>
        <v>0</v>
      </c>
      <c r="H106" s="19" t="str">
        <f>'体验表-带进度条'!K106</f>
        <v>大奖赛复活券</v>
      </c>
      <c r="I106" s="38">
        <f>'体验表-带进度条'!L106</f>
        <v>3</v>
      </c>
      <c r="J106" s="21">
        <f>'体验表-带进度条'!M106</f>
        <v>1</v>
      </c>
      <c r="K106" s="14">
        <f>'体验表-带进度条'!N106</f>
        <v>0</v>
      </c>
      <c r="L106" s="22">
        <f>'体验表-带进度条'!O106</f>
        <v>0</v>
      </c>
      <c r="M106" s="30">
        <f>'体验表-带进度条'!X106</f>
        <v>0</v>
      </c>
      <c r="N106" s="23">
        <f>'体验表-带进度条'!AA106</f>
        <v>0</v>
      </c>
      <c r="O106" s="72">
        <f>'体验表-带进度条'!AB106</f>
        <v>0</v>
      </c>
      <c r="T106" s="42"/>
      <c r="U106" s="42"/>
    </row>
    <row r="107" spans="1:21">
      <c r="A107" s="13">
        <f>'体验表-带进度条'!B107</f>
        <v>20</v>
      </c>
      <c r="B107" s="14">
        <f>'体验表-带进度条'!E107</f>
        <v>12.99</v>
      </c>
      <c r="C107" s="14">
        <f>'体验表-带进度条'!F107</f>
        <v>149</v>
      </c>
      <c r="D107" s="14">
        <f>'体验表-带进度条'!G107</f>
        <v>19370000</v>
      </c>
      <c r="E107" s="16">
        <f>'体验表-带进度条'!H107</f>
        <v>50730000</v>
      </c>
      <c r="F107" s="17">
        <f>'体验表-带进度条'!I107</f>
        <v>36.96</v>
      </c>
      <c r="G107" s="14">
        <f>'体验表-带进度条'!J107</f>
        <v>0.24</v>
      </c>
      <c r="H107" s="19" t="str">
        <f>'体验表-带进度条'!K107</f>
        <v>金币</v>
      </c>
      <c r="I107" s="38">
        <f>'体验表-带进度条'!L107</f>
        <v>9</v>
      </c>
      <c r="J107" s="21">
        <f>'体验表-带进度条'!M107</f>
        <v>19370000</v>
      </c>
      <c r="K107" s="14">
        <f>'体验表-带进度条'!N107</f>
        <v>20976440</v>
      </c>
      <c r="L107" s="22">
        <f>'体验表-带进度条'!O107</f>
        <v>20.97644</v>
      </c>
      <c r="M107" s="30">
        <f>'体验表-带进度条'!X107</f>
        <v>59990370</v>
      </c>
      <c r="N107" s="23">
        <f>'体验表-带进度条'!AA107</f>
        <v>59.99037</v>
      </c>
      <c r="O107" s="72">
        <f>'体验表-带进度条'!AB107</f>
        <v>1.18254228267297</v>
      </c>
      <c r="T107" s="42"/>
      <c r="U107" s="42"/>
    </row>
    <row r="108" spans="1:21">
      <c r="A108" s="13">
        <f>'体验表-带进度条'!B108</f>
        <v>21</v>
      </c>
      <c r="B108" s="14">
        <f>'体验表-带进度条'!E108</f>
        <v>0</v>
      </c>
      <c r="C108" s="14" t="str">
        <f>'体验表-带进度条'!F108</f>
        <v/>
      </c>
      <c r="D108" s="14">
        <f>'体验表-带进度条'!G108</f>
        <v>0</v>
      </c>
      <c r="E108" s="16">
        <f>'体验表-带进度条'!H108</f>
        <v>0</v>
      </c>
      <c r="F108" s="17">
        <f>'体验表-带进度条'!I108</f>
        <v>0</v>
      </c>
      <c r="G108" s="14">
        <f>'体验表-带进度条'!J108</f>
        <v>0</v>
      </c>
      <c r="H108" s="19" t="str">
        <f>'体验表-带进度条'!K108</f>
        <v>记牌器1个</v>
      </c>
      <c r="I108" s="38">
        <f>'体验表-带进度条'!L108</f>
        <v>3</v>
      </c>
      <c r="J108" s="21">
        <f>'体验表-带进度条'!M108</f>
        <v>4</v>
      </c>
      <c r="K108" s="14">
        <f>'体验表-带进度条'!N108</f>
        <v>0</v>
      </c>
      <c r="L108" s="22">
        <f>'体验表-带进度条'!O108</f>
        <v>0</v>
      </c>
      <c r="M108" s="30">
        <f>'体验表-带进度条'!X108</f>
        <v>0</v>
      </c>
      <c r="N108" s="23">
        <f>'体验表-带进度条'!AA108</f>
        <v>0</v>
      </c>
      <c r="O108" s="72">
        <f>'体验表-带进度条'!AB108</f>
        <v>0</v>
      </c>
      <c r="T108" s="42"/>
      <c r="U108" s="42"/>
    </row>
    <row r="109" spans="1:21">
      <c r="A109" s="13">
        <f>'体验表-带进度条'!B109</f>
        <v>22</v>
      </c>
      <c r="B109" s="14">
        <f>'体验表-带进度条'!E109</f>
        <v>0</v>
      </c>
      <c r="C109" s="14" t="str">
        <f>'体验表-带进度条'!F109</f>
        <v/>
      </c>
      <c r="D109" s="14">
        <f>'体验表-带进度条'!G109</f>
        <v>0</v>
      </c>
      <c r="E109" s="16">
        <f>'体验表-带进度条'!H109</f>
        <v>0</v>
      </c>
      <c r="F109" s="17">
        <f>'体验表-带进度条'!I109</f>
        <v>0</v>
      </c>
      <c r="G109" s="14">
        <f>'体验表-带进度条'!J109</f>
        <v>0.08</v>
      </c>
      <c r="H109" s="19" t="str">
        <f>'体验表-带进度条'!K109</f>
        <v>金币</v>
      </c>
      <c r="I109" s="38">
        <f>'体验表-带进度条'!L109</f>
        <v>17</v>
      </c>
      <c r="J109" s="21">
        <f>'体验表-带进度条'!M109</f>
        <v>1606440</v>
      </c>
      <c r="K109" s="14">
        <f>'体验表-带进度条'!N109</f>
        <v>0</v>
      </c>
      <c r="L109" s="22">
        <f>'体验表-带进度条'!O109</f>
        <v>0</v>
      </c>
      <c r="M109" s="30">
        <f>'体验表-带进度条'!X109</f>
        <v>0</v>
      </c>
      <c r="N109" s="23">
        <f>'体验表-带进度条'!AA109</f>
        <v>0</v>
      </c>
      <c r="O109" s="72">
        <f>'体验表-带进度条'!AB109</f>
        <v>0</v>
      </c>
      <c r="T109" s="42"/>
      <c r="U109" s="42"/>
    </row>
    <row r="110" spans="1:21">
      <c r="A110" s="13">
        <f>'体验表-带进度条'!B110</f>
        <v>23</v>
      </c>
      <c r="B110" s="14">
        <f>'体验表-带进度条'!E110</f>
        <v>0</v>
      </c>
      <c r="C110" s="14" t="str">
        <f>'体验表-带进度条'!F110</f>
        <v/>
      </c>
      <c r="D110" s="14">
        <f>'体验表-带进度条'!G110</f>
        <v>0</v>
      </c>
      <c r="E110" s="16">
        <f>'体验表-带进度条'!H110</f>
        <v>0</v>
      </c>
      <c r="F110" s="17">
        <f>'体验表-带进度条'!I110</f>
        <v>0</v>
      </c>
      <c r="G110" s="14">
        <f>'体验表-带进度条'!J110</f>
        <v>0</v>
      </c>
      <c r="H110" s="19" t="str">
        <f>'体验表-带进度条'!K110</f>
        <v>卡包4星</v>
      </c>
      <c r="I110" s="38">
        <f>'体验表-带进度条'!L110</f>
        <v>4</v>
      </c>
      <c r="J110" s="21">
        <f>'体验表-带进度条'!M110</f>
        <v>1</v>
      </c>
      <c r="K110" s="14">
        <f>'体验表-带进度条'!N110</f>
        <v>0</v>
      </c>
      <c r="L110" s="22">
        <f>'体验表-带进度条'!O110</f>
        <v>0</v>
      </c>
      <c r="M110" s="30">
        <f>'体验表-带进度条'!X110</f>
        <v>0</v>
      </c>
      <c r="N110" s="23">
        <f>'体验表-带进度条'!AA110</f>
        <v>0</v>
      </c>
      <c r="O110" s="72">
        <f>'体验表-带进度条'!AB110</f>
        <v>0</v>
      </c>
      <c r="T110" s="42"/>
      <c r="U110" s="42"/>
    </row>
    <row r="111" spans="1:21">
      <c r="A111" s="13">
        <f>'体验表-带进度条'!B111</f>
        <v>24</v>
      </c>
      <c r="B111" s="14">
        <f>'体验表-带进度条'!E111</f>
        <v>0</v>
      </c>
      <c r="C111" s="14" t="str">
        <f>'体验表-带进度条'!F111</f>
        <v/>
      </c>
      <c r="D111" s="14">
        <f>'体验表-带进度条'!G111</f>
        <v>0</v>
      </c>
      <c r="E111" s="16">
        <f>'体验表-带进度条'!H111</f>
        <v>0</v>
      </c>
      <c r="F111" s="17">
        <f>'体验表-带进度条'!I111</f>
        <v>0</v>
      </c>
      <c r="G111" s="14">
        <f>'体验表-带进度条'!J111</f>
        <v>0</v>
      </c>
      <c r="H111" s="19" t="str">
        <f>'体验表-带进度条'!K111</f>
        <v>老虎机抽奖券</v>
      </c>
      <c r="I111" s="38">
        <f>'体验表-带进度条'!L111</f>
        <v>3</v>
      </c>
      <c r="J111" s="21">
        <f>'体验表-带进度条'!M111</f>
        <v>20</v>
      </c>
      <c r="K111" s="14">
        <f>'体验表-带进度条'!N111</f>
        <v>0</v>
      </c>
      <c r="L111" s="22">
        <f>'体验表-带进度条'!O111</f>
        <v>0</v>
      </c>
      <c r="M111" s="30">
        <f>'体验表-带进度条'!X111</f>
        <v>0</v>
      </c>
      <c r="N111" s="23">
        <f>'体验表-带进度条'!AA111</f>
        <v>0</v>
      </c>
      <c r="O111" s="72">
        <f>'体验表-带进度条'!AB111</f>
        <v>0</v>
      </c>
      <c r="T111" s="42"/>
      <c r="U111" s="42"/>
    </row>
    <row r="112" spans="1:21">
      <c r="A112" s="13">
        <f>'体验表-带进度条'!B112</f>
        <v>25</v>
      </c>
      <c r="B112" s="14">
        <f>'体验表-带进度条'!E112</f>
        <v>0</v>
      </c>
      <c r="C112" s="14" t="str">
        <f>'体验表-带进度条'!F112</f>
        <v/>
      </c>
      <c r="D112" s="14">
        <f>'体验表-带进度条'!G112</f>
        <v>0</v>
      </c>
      <c r="E112" s="16">
        <f>'体验表-带进度条'!H112</f>
        <v>0</v>
      </c>
      <c r="F112" s="17">
        <f>'体验表-带进度条'!I112</f>
        <v>0</v>
      </c>
      <c r="G112" s="14">
        <f>'体验表-带进度条'!J112</f>
        <v>0</v>
      </c>
      <c r="H112" s="19" t="str">
        <f>'体验表-带进度条'!K112</f>
        <v>大奖赛报名券</v>
      </c>
      <c r="I112" s="38">
        <f>'体验表-带进度条'!L112</f>
        <v>3</v>
      </c>
      <c r="J112" s="21">
        <f>'体验表-带进度条'!M112</f>
        <v>1</v>
      </c>
      <c r="K112" s="14">
        <f>'体验表-带进度条'!N112</f>
        <v>0</v>
      </c>
      <c r="L112" s="22">
        <f>'体验表-带进度条'!O112</f>
        <v>0</v>
      </c>
      <c r="M112" s="30">
        <f>'体验表-带进度条'!X112</f>
        <v>0</v>
      </c>
      <c r="N112" s="23">
        <f>'体验表-带进度条'!AA112</f>
        <v>0</v>
      </c>
      <c r="O112" s="72">
        <f>'体验表-带进度条'!AB112</f>
        <v>0</v>
      </c>
      <c r="T112" s="42"/>
      <c r="U112" s="42"/>
    </row>
    <row r="113" spans="1:21">
      <c r="A113" s="13">
        <f>'体验表-带进度条'!B113</f>
        <v>26</v>
      </c>
      <c r="B113" s="14">
        <f>'体验表-带进度条'!E113</f>
        <v>14.99</v>
      </c>
      <c r="C113" s="14">
        <f>'体验表-带进度条'!F113</f>
        <v>154</v>
      </c>
      <c r="D113" s="14">
        <f>'体验表-带进度条'!G113</f>
        <v>23100000</v>
      </c>
      <c r="E113" s="16">
        <f>'体验表-带进度条'!H113</f>
        <v>73830000</v>
      </c>
      <c r="F113" s="17">
        <f>'体验表-带进度条'!I113</f>
        <v>51.95</v>
      </c>
      <c r="G113" s="14">
        <f>'体验表-带进度条'!J113</f>
        <v>0</v>
      </c>
      <c r="H113" s="19" t="str">
        <f>'体验表-带进度条'!K113</f>
        <v>金币</v>
      </c>
      <c r="I113" s="38">
        <f>'体验表-带进度条'!L113</f>
        <v>9</v>
      </c>
      <c r="J113" s="21">
        <f>'体验表-带进度条'!M113</f>
        <v>23100000</v>
      </c>
      <c r="K113" s="14">
        <f>'体验表-带进度条'!N113</f>
        <v>24104025</v>
      </c>
      <c r="L113" s="22">
        <f>'体验表-带进度条'!O113</f>
        <v>24.104025</v>
      </c>
      <c r="M113" s="30">
        <f>'体验表-带进度条'!X113</f>
        <v>84094395</v>
      </c>
      <c r="N113" s="23">
        <f>'体验表-带进度条'!AA113</f>
        <v>84.094395</v>
      </c>
      <c r="O113" s="72">
        <f>'体验表-带进度条'!AB113</f>
        <v>1.13902742787485</v>
      </c>
      <c r="T113" s="42"/>
      <c r="U113" s="42"/>
    </row>
    <row r="114" spans="1:21">
      <c r="A114" s="13">
        <f>'体验表-带进度条'!B114</f>
        <v>27</v>
      </c>
      <c r="B114" s="14">
        <f>'体验表-带进度条'!E114</f>
        <v>0</v>
      </c>
      <c r="C114" s="14" t="str">
        <f>'体验表-带进度条'!F114</f>
        <v/>
      </c>
      <c r="D114" s="14">
        <f>'体验表-带进度条'!G114</f>
        <v>0</v>
      </c>
      <c r="E114" s="16">
        <f>'体验表-带进度条'!H114</f>
        <v>0</v>
      </c>
      <c r="F114" s="17">
        <f>'体验表-带进度条'!I114</f>
        <v>0</v>
      </c>
      <c r="G114" s="14">
        <f>'体验表-带进度条'!J114</f>
        <v>0</v>
      </c>
      <c r="H114" s="19" t="str">
        <f>'体验表-带进度条'!K114</f>
        <v>记牌器1个</v>
      </c>
      <c r="I114" s="38">
        <f>'体验表-带进度条'!L114</f>
        <v>3</v>
      </c>
      <c r="J114" s="21">
        <f>'体验表-带进度条'!M114</f>
        <v>5</v>
      </c>
      <c r="K114" s="14">
        <f>'体验表-带进度条'!N114</f>
        <v>0</v>
      </c>
      <c r="L114" s="22">
        <f>'体验表-带进度条'!O114</f>
        <v>0</v>
      </c>
      <c r="M114" s="30">
        <f>'体验表-带进度条'!X114</f>
        <v>0</v>
      </c>
      <c r="N114" s="23">
        <f>'体验表-带进度条'!AA114</f>
        <v>0</v>
      </c>
      <c r="O114" s="72">
        <f>'体验表-带进度条'!AB114</f>
        <v>0</v>
      </c>
      <c r="T114" s="42"/>
      <c r="U114" s="42"/>
    </row>
    <row r="115" spans="1:21">
      <c r="A115" s="13">
        <f>'体验表-带进度条'!B115</f>
        <v>28</v>
      </c>
      <c r="B115" s="14">
        <f>'体验表-带进度条'!E115</f>
        <v>0</v>
      </c>
      <c r="C115" s="14" t="str">
        <f>'体验表-带进度条'!F115</f>
        <v/>
      </c>
      <c r="D115" s="14">
        <f>'体验表-带进度条'!G115</f>
        <v>0</v>
      </c>
      <c r="E115" s="16">
        <f>'体验表-带进度条'!H115</f>
        <v>0</v>
      </c>
      <c r="F115" s="17">
        <f>'体验表-带进度条'!I115</f>
        <v>0</v>
      </c>
      <c r="G115" s="14">
        <f>'体验表-带进度条'!J115</f>
        <v>0.05</v>
      </c>
      <c r="H115" s="19" t="str">
        <f>'体验表-带进度条'!K115</f>
        <v>金币</v>
      </c>
      <c r="I115" s="38">
        <f>'体验表-带进度条'!L115</f>
        <v>17</v>
      </c>
      <c r="J115" s="21">
        <f>'体验表-带进度条'!M115</f>
        <v>1004025</v>
      </c>
      <c r="K115" s="14">
        <f>'体验表-带进度条'!N115</f>
        <v>0</v>
      </c>
      <c r="L115" s="22">
        <f>'体验表-带进度条'!O115</f>
        <v>0</v>
      </c>
      <c r="M115" s="30">
        <f>'体验表-带进度条'!X115</f>
        <v>0</v>
      </c>
      <c r="N115" s="23">
        <f>'体验表-带进度条'!AA115</f>
        <v>0</v>
      </c>
      <c r="O115" s="72">
        <f>'体验表-带进度条'!AB115</f>
        <v>0</v>
      </c>
      <c r="T115" s="42"/>
      <c r="U115" s="42"/>
    </row>
    <row r="116" spans="1:21">
      <c r="A116" s="13">
        <f>'体验表-带进度条'!B116</f>
        <v>29</v>
      </c>
      <c r="B116" s="14">
        <f>'体验表-带进度条'!E116</f>
        <v>0</v>
      </c>
      <c r="C116" s="14" t="str">
        <f>'体验表-带进度条'!F116</f>
        <v/>
      </c>
      <c r="D116" s="14">
        <f>'体验表-带进度条'!G116</f>
        <v>0</v>
      </c>
      <c r="E116" s="16">
        <f>'体验表-带进度条'!H116</f>
        <v>0</v>
      </c>
      <c r="F116" s="17">
        <f>'体验表-带进度条'!I116</f>
        <v>0</v>
      </c>
      <c r="G116" s="14">
        <f>'体验表-带进度条'!J116</f>
        <v>0</v>
      </c>
      <c r="H116" s="19" t="str">
        <f>'体验表-带进度条'!K116</f>
        <v>卡包5星</v>
      </c>
      <c r="I116" s="38">
        <f>'体验表-带进度条'!L116</f>
        <v>4</v>
      </c>
      <c r="J116" s="21">
        <f>'体验表-带进度条'!M116</f>
        <v>1</v>
      </c>
      <c r="K116" s="14">
        <f>'体验表-带进度条'!N116</f>
        <v>0</v>
      </c>
      <c r="L116" s="22">
        <f>'体验表-带进度条'!O116</f>
        <v>0</v>
      </c>
      <c r="M116" s="30">
        <f>'体验表-带进度条'!X116</f>
        <v>0</v>
      </c>
      <c r="N116" s="23">
        <f>'体验表-带进度条'!AA116</f>
        <v>0</v>
      </c>
      <c r="O116" s="72">
        <f>'体验表-带进度条'!AB116</f>
        <v>0</v>
      </c>
      <c r="T116" s="42"/>
      <c r="U116" s="42"/>
    </row>
    <row r="117" spans="1:21">
      <c r="A117" s="13">
        <f>'体验表-带进度条'!B117</f>
        <v>30</v>
      </c>
      <c r="B117" s="14">
        <f>'体验表-带进度条'!E117</f>
        <v>0</v>
      </c>
      <c r="C117" s="14" t="str">
        <f>'体验表-带进度条'!F117</f>
        <v/>
      </c>
      <c r="D117" s="14">
        <f>'体验表-带进度条'!G117</f>
        <v>0</v>
      </c>
      <c r="E117" s="16">
        <f>'体验表-带进度条'!H117</f>
        <v>0</v>
      </c>
      <c r="F117" s="17">
        <f>'体验表-带进度条'!I117</f>
        <v>0</v>
      </c>
      <c r="G117" s="14">
        <f>'体验表-带进度条'!J117</f>
        <v>0</v>
      </c>
      <c r="H117" s="19" t="str">
        <f>'体验表-带进度条'!K117</f>
        <v>老虎机抽奖券</v>
      </c>
      <c r="I117" s="38">
        <f>'体验表-带进度条'!L117</f>
        <v>3</v>
      </c>
      <c r="J117" s="21">
        <f>'体验表-带进度条'!M117</f>
        <v>25</v>
      </c>
      <c r="K117" s="14">
        <f>'体验表-带进度条'!N117</f>
        <v>0</v>
      </c>
      <c r="L117" s="22">
        <f>'体验表-带进度条'!O117</f>
        <v>0</v>
      </c>
      <c r="M117" s="30">
        <f>'体验表-带进度条'!X117</f>
        <v>0</v>
      </c>
      <c r="N117" s="23">
        <f>'体验表-带进度条'!AA117</f>
        <v>0</v>
      </c>
      <c r="O117" s="72">
        <f>'体验表-带进度条'!AB117</f>
        <v>0</v>
      </c>
      <c r="T117" s="42"/>
      <c r="U117" s="42"/>
    </row>
    <row r="118" spans="1:21">
      <c r="A118" s="13">
        <f>'体验表-带进度条'!B118</f>
        <v>31</v>
      </c>
      <c r="B118" s="14">
        <f>'体验表-带进度条'!E118</f>
        <v>0</v>
      </c>
      <c r="C118" s="14" t="str">
        <f>'体验表-带进度条'!F118</f>
        <v/>
      </c>
      <c r="D118" s="14">
        <f>'体验表-带进度条'!G118</f>
        <v>0</v>
      </c>
      <c r="E118" s="16">
        <f>'体验表-带进度条'!H118</f>
        <v>0</v>
      </c>
      <c r="F118" s="17">
        <f>'体验表-带进度条'!I118</f>
        <v>0</v>
      </c>
      <c r="G118" s="14">
        <f>'体验表-带进度条'!J118</f>
        <v>0</v>
      </c>
      <c r="H118" s="19" t="str">
        <f>'体验表-带进度条'!K118</f>
        <v>大奖赛复活券</v>
      </c>
      <c r="I118" s="38">
        <f>'体验表-带进度条'!L118</f>
        <v>3</v>
      </c>
      <c r="J118" s="21">
        <f>'体验表-带进度条'!M118</f>
        <v>1</v>
      </c>
      <c r="K118" s="14">
        <f>'体验表-带进度条'!N118</f>
        <v>0</v>
      </c>
      <c r="L118" s="22">
        <f>'体验表-带进度条'!O118</f>
        <v>0</v>
      </c>
      <c r="M118" s="30">
        <f>'体验表-带进度条'!X118</f>
        <v>0</v>
      </c>
      <c r="N118" s="23">
        <f>'体验表-带进度条'!AA118</f>
        <v>0</v>
      </c>
      <c r="O118" s="72">
        <f>'体验表-带进度条'!AB118</f>
        <v>0</v>
      </c>
      <c r="T118" s="42"/>
      <c r="U118" s="42"/>
    </row>
    <row r="119" spans="1:21">
      <c r="A119" s="13">
        <f>'体验表-带进度条'!B119</f>
        <v>32</v>
      </c>
      <c r="B119" s="14">
        <f>'体验表-带进度条'!E119</f>
        <v>17.99</v>
      </c>
      <c r="C119" s="14">
        <f>'体验表-带进度条'!F119</f>
        <v>158</v>
      </c>
      <c r="D119" s="14">
        <f>'体验表-带进度条'!G119</f>
        <v>28440000</v>
      </c>
      <c r="E119" s="16">
        <f>'体验表-带进度条'!H119</f>
        <v>102270000</v>
      </c>
      <c r="F119" s="17">
        <f>'体验表-带进度条'!I119</f>
        <v>69.94</v>
      </c>
      <c r="G119" s="14">
        <f>'体验表-带进度条'!J119</f>
        <v>0</v>
      </c>
      <c r="H119" s="19" t="str">
        <f>'体验表-带进度条'!K119</f>
        <v>金币</v>
      </c>
      <c r="I119" s="38">
        <f>'体验表-带进度条'!L119</f>
        <v>9</v>
      </c>
      <c r="J119" s="21">
        <f>'体验表-带进度条'!M119</f>
        <v>28440000</v>
      </c>
      <c r="K119" s="14">
        <f>'体验表-带进度条'!N119</f>
        <v>30849660</v>
      </c>
      <c r="L119" s="22">
        <f>'体验表-带进度条'!O119</f>
        <v>30.84966</v>
      </c>
      <c r="M119" s="30">
        <f>'体验表-带进度条'!X119</f>
        <v>114944055</v>
      </c>
      <c r="N119" s="23">
        <f>'体验表-带进度条'!AA119</f>
        <v>114.944055</v>
      </c>
      <c r="O119" s="72">
        <f>'体验表-带进度条'!AB119</f>
        <v>1.12392739806395</v>
      </c>
      <c r="T119" s="42"/>
      <c r="U119" s="42"/>
    </row>
    <row r="120" spans="1:21">
      <c r="A120" s="13">
        <f>'体验表-带进度条'!B120</f>
        <v>33</v>
      </c>
      <c r="B120" s="14">
        <f>'体验表-带进度条'!E120</f>
        <v>0</v>
      </c>
      <c r="C120" s="14" t="str">
        <f>'体验表-带进度条'!F120</f>
        <v/>
      </c>
      <c r="D120" s="14">
        <f>'体验表-带进度条'!G120</f>
        <v>0</v>
      </c>
      <c r="E120" s="16">
        <f>'体验表-带进度条'!H120</f>
        <v>0</v>
      </c>
      <c r="F120" s="17">
        <f>'体验表-带进度条'!I120</f>
        <v>0</v>
      </c>
      <c r="G120" s="14">
        <f>'体验表-带进度条'!J120</f>
        <v>0</v>
      </c>
      <c r="H120" s="19" t="str">
        <f>'体验表-带进度条'!K120</f>
        <v>记牌器1个</v>
      </c>
      <c r="I120" s="38">
        <f>'体验表-带进度条'!L120</f>
        <v>3</v>
      </c>
      <c r="J120" s="21">
        <f>'体验表-带进度条'!M120</f>
        <v>6</v>
      </c>
      <c r="K120" s="14">
        <f>'体验表-带进度条'!N120</f>
        <v>0</v>
      </c>
      <c r="L120" s="22">
        <f>'体验表-带进度条'!O120</f>
        <v>0</v>
      </c>
      <c r="M120" s="30">
        <f>'体验表-带进度条'!X120</f>
        <v>0</v>
      </c>
      <c r="N120" s="23">
        <f>'体验表-带进度条'!AA120</f>
        <v>0</v>
      </c>
      <c r="O120" s="72">
        <f>'体验表-带进度条'!AB120</f>
        <v>0</v>
      </c>
      <c r="T120" s="42"/>
      <c r="U120" s="42"/>
    </row>
    <row r="121" spans="1:21">
      <c r="A121" s="13">
        <f>'体验表-带进度条'!B121</f>
        <v>34</v>
      </c>
      <c r="B121" s="14">
        <f>'体验表-带进度条'!E121</f>
        <v>0</v>
      </c>
      <c r="C121" s="14" t="str">
        <f>'体验表-带进度条'!F121</f>
        <v/>
      </c>
      <c r="D121" s="14">
        <f>'体验表-带进度条'!G121</f>
        <v>0</v>
      </c>
      <c r="E121" s="16">
        <f>'体验表-带进度条'!H121</f>
        <v>0</v>
      </c>
      <c r="F121" s="17">
        <f>'体验表-带进度条'!I121</f>
        <v>0</v>
      </c>
      <c r="G121" s="14">
        <f>'体验表-带进度条'!J121</f>
        <v>0.12</v>
      </c>
      <c r="H121" s="19" t="str">
        <f>'体验表-带进度条'!K121</f>
        <v>金币</v>
      </c>
      <c r="I121" s="38">
        <f>'体验表-带进度条'!L121</f>
        <v>17</v>
      </c>
      <c r="J121" s="21">
        <f>'体验表-带进度条'!M121</f>
        <v>2409660</v>
      </c>
      <c r="K121" s="14">
        <f>'体验表-带进度条'!N121</f>
        <v>0</v>
      </c>
      <c r="L121" s="22">
        <f>'体验表-带进度条'!O121</f>
        <v>0</v>
      </c>
      <c r="M121" s="30">
        <f>'体验表-带进度条'!X121</f>
        <v>0</v>
      </c>
      <c r="N121" s="23">
        <f>'体验表-带进度条'!AA121</f>
        <v>0</v>
      </c>
      <c r="O121" s="72">
        <f>'体验表-带进度条'!AB121</f>
        <v>0</v>
      </c>
      <c r="T121" s="42"/>
      <c r="U121" s="42"/>
    </row>
    <row r="122" spans="1:21">
      <c r="A122" s="13">
        <f>'体验表-带进度条'!B122</f>
        <v>35</v>
      </c>
      <c r="B122" s="14">
        <f>'体验表-带进度条'!E122</f>
        <v>0</v>
      </c>
      <c r="C122" s="14" t="str">
        <f>'体验表-带进度条'!F122</f>
        <v/>
      </c>
      <c r="D122" s="14">
        <f>'体验表-带进度条'!G122</f>
        <v>0</v>
      </c>
      <c r="E122" s="16">
        <f>'体验表-带进度条'!H122</f>
        <v>0</v>
      </c>
      <c r="F122" s="17">
        <f>'体验表-带进度条'!I122</f>
        <v>0</v>
      </c>
      <c r="G122" s="14">
        <f>'体验表-带进度条'!J122</f>
        <v>0</v>
      </c>
      <c r="H122" s="19" t="str">
        <f>'体验表-带进度条'!K122</f>
        <v>卡包5星</v>
      </c>
      <c r="I122" s="38">
        <f>'体验表-带进度条'!L122</f>
        <v>4</v>
      </c>
      <c r="J122" s="21">
        <f>'体验表-带进度条'!M122</f>
        <v>1</v>
      </c>
      <c r="K122" s="14">
        <f>'体验表-带进度条'!N122</f>
        <v>0</v>
      </c>
      <c r="L122" s="22">
        <f>'体验表-带进度条'!O122</f>
        <v>0</v>
      </c>
      <c r="M122" s="30">
        <f>'体验表-带进度条'!X122</f>
        <v>0</v>
      </c>
      <c r="N122" s="23">
        <f>'体验表-带进度条'!AA122</f>
        <v>0</v>
      </c>
      <c r="O122" s="72">
        <f>'体验表-带进度条'!AB122</f>
        <v>0</v>
      </c>
      <c r="T122" s="42"/>
      <c r="U122" s="42"/>
    </row>
    <row r="123" spans="1:21">
      <c r="A123" s="13">
        <f>'体验表-带进度条'!B123</f>
        <v>36</v>
      </c>
      <c r="B123" s="14">
        <f>'体验表-带进度条'!E123</f>
        <v>0</v>
      </c>
      <c r="C123" s="14" t="str">
        <f>'体验表-带进度条'!F123</f>
        <v/>
      </c>
      <c r="D123" s="14">
        <f>'体验表-带进度条'!G123</f>
        <v>0</v>
      </c>
      <c r="E123" s="16">
        <f>'体验表-带进度条'!H123</f>
        <v>0</v>
      </c>
      <c r="F123" s="17">
        <f>'体验表-带进度条'!I123</f>
        <v>0</v>
      </c>
      <c r="G123" s="14">
        <f>'体验表-带进度条'!J123</f>
        <v>0</v>
      </c>
      <c r="H123" s="19" t="str">
        <f>'体验表-带进度条'!K123</f>
        <v>老虎机抽奖券</v>
      </c>
      <c r="I123" s="38">
        <f>'体验表-带进度条'!L123</f>
        <v>3</v>
      </c>
      <c r="J123" s="21">
        <f>'体验表-带进度条'!M123</f>
        <v>30</v>
      </c>
      <c r="K123" s="14">
        <f>'体验表-带进度条'!N123</f>
        <v>0</v>
      </c>
      <c r="L123" s="22">
        <f>'体验表-带进度条'!O123</f>
        <v>0</v>
      </c>
      <c r="M123" s="30">
        <f>'体验表-带进度条'!X123</f>
        <v>0</v>
      </c>
      <c r="N123" s="23">
        <f>'体验表-带进度条'!AA123</f>
        <v>0</v>
      </c>
      <c r="O123" s="72">
        <f>'体验表-带进度条'!AB123</f>
        <v>0</v>
      </c>
      <c r="T123" s="42"/>
      <c r="U123" s="42"/>
    </row>
    <row r="124" spans="1:21">
      <c r="A124" s="13">
        <f>'体验表-带进度条'!B124</f>
        <v>37</v>
      </c>
      <c r="B124" s="14">
        <f>'体验表-带进度条'!E124</f>
        <v>0</v>
      </c>
      <c r="C124" s="14" t="str">
        <f>'体验表-带进度条'!F124</f>
        <v/>
      </c>
      <c r="D124" s="14">
        <f>'体验表-带进度条'!G124</f>
        <v>0</v>
      </c>
      <c r="E124" s="16">
        <f>'体验表-带进度条'!H124</f>
        <v>0</v>
      </c>
      <c r="F124" s="17">
        <f>'体验表-带进度条'!I124</f>
        <v>0</v>
      </c>
      <c r="G124" s="14">
        <f>'体验表-带进度条'!J124</f>
        <v>0</v>
      </c>
      <c r="H124" s="19" t="str">
        <f>'体验表-带进度条'!K124</f>
        <v>大奖赛报名券</v>
      </c>
      <c r="I124" s="38">
        <f>'体验表-带进度条'!L124</f>
        <v>3</v>
      </c>
      <c r="J124" s="21">
        <f>'体验表-带进度条'!M124</f>
        <v>1</v>
      </c>
      <c r="K124" s="14">
        <f>'体验表-带进度条'!N124</f>
        <v>0</v>
      </c>
      <c r="L124" s="22">
        <f>'体验表-带进度条'!O124</f>
        <v>0</v>
      </c>
      <c r="M124" s="30">
        <f>'体验表-带进度条'!X124</f>
        <v>0</v>
      </c>
      <c r="N124" s="23">
        <f>'体验表-带进度条'!AA124</f>
        <v>0</v>
      </c>
      <c r="O124" s="72">
        <f>'体验表-带进度条'!AB124</f>
        <v>0</v>
      </c>
      <c r="T124" s="42"/>
      <c r="U124" s="42"/>
    </row>
    <row r="125" spans="1:21">
      <c r="A125" s="13">
        <f>'体验表-带进度条'!B125</f>
        <v>38</v>
      </c>
      <c r="B125" s="14">
        <f>'体验表-带进度条'!E125</f>
        <v>19.99</v>
      </c>
      <c r="C125" s="14">
        <f>'体验表-带进度条'!F125</f>
        <v>158</v>
      </c>
      <c r="D125" s="14">
        <f>'体验表-带进度条'!G125</f>
        <v>31600000</v>
      </c>
      <c r="E125" s="16">
        <f>'体验表-带进度条'!H125</f>
        <v>133870000</v>
      </c>
      <c r="F125" s="17">
        <f>'体验表-带进度条'!I125</f>
        <v>89.93</v>
      </c>
      <c r="G125" s="14">
        <f>'体验表-带进度条'!J125</f>
        <v>0.45</v>
      </c>
      <c r="H125" s="19" t="str">
        <f>'体验表-带进度条'!K125</f>
        <v>金币</v>
      </c>
      <c r="I125" s="38">
        <f>'体验表-带进度条'!L125</f>
        <v>9</v>
      </c>
      <c r="J125" s="21">
        <f>'体验表-带进度条'!M125</f>
        <v>31600000</v>
      </c>
      <c r="K125" s="14">
        <f>'体验表-带进度条'!N125</f>
        <v>34009660</v>
      </c>
      <c r="L125" s="22">
        <f>'体验表-带进度条'!O125</f>
        <v>34.00966</v>
      </c>
      <c r="M125" s="30">
        <f>'体验表-带进度条'!X125</f>
        <v>152998990</v>
      </c>
      <c r="N125" s="23">
        <f>'体验表-带进度条'!AA125</f>
        <v>152.99899</v>
      </c>
      <c r="O125" s="72">
        <f>'体验表-带进度条'!AB125</f>
        <v>1.14289228355868</v>
      </c>
      <c r="T125" s="42"/>
      <c r="U125" s="42"/>
    </row>
    <row r="126" spans="1:21">
      <c r="A126" s="13">
        <f>'体验表-带进度条'!B126</f>
        <v>39</v>
      </c>
      <c r="B126" s="14">
        <f>'体验表-带进度条'!E126</f>
        <v>0</v>
      </c>
      <c r="C126" s="14" t="str">
        <f>'体验表-带进度条'!F126</f>
        <v/>
      </c>
      <c r="D126" s="14">
        <f>'体验表-带进度条'!G126</f>
        <v>0</v>
      </c>
      <c r="E126" s="16">
        <f>'体验表-带进度条'!H126</f>
        <v>0</v>
      </c>
      <c r="F126" s="17">
        <f>'体验表-带进度条'!I126</f>
        <v>0</v>
      </c>
      <c r="G126" s="14">
        <f>'体验表-带进度条'!J126</f>
        <v>0</v>
      </c>
      <c r="H126" s="19" t="str">
        <f>'体验表-带进度条'!K126</f>
        <v>记牌器1个</v>
      </c>
      <c r="I126" s="38">
        <f>'体验表-带进度条'!L126</f>
        <v>3</v>
      </c>
      <c r="J126" s="21">
        <f>'体验表-带进度条'!M126</f>
        <v>7</v>
      </c>
      <c r="K126" s="14">
        <f>'体验表-带进度条'!N126</f>
        <v>0</v>
      </c>
      <c r="L126" s="22">
        <f>'体验表-带进度条'!O126</f>
        <v>0</v>
      </c>
      <c r="M126" s="30">
        <f>'体验表-带进度条'!X126</f>
        <v>0</v>
      </c>
      <c r="N126" s="23">
        <f>'体验表-带进度条'!AA126</f>
        <v>0</v>
      </c>
      <c r="O126" s="72">
        <f>'体验表-带进度条'!AB126</f>
        <v>0</v>
      </c>
      <c r="T126" s="42"/>
      <c r="U126" s="42"/>
    </row>
    <row r="127" spans="1:21">
      <c r="A127" s="13">
        <f>'体验表-带进度条'!B127</f>
        <v>40</v>
      </c>
      <c r="B127" s="14">
        <f>'体验表-带进度条'!E127</f>
        <v>0</v>
      </c>
      <c r="C127" s="14" t="str">
        <f>'体验表-带进度条'!F127</f>
        <v/>
      </c>
      <c r="D127" s="14">
        <f>'体验表-带进度条'!G127</f>
        <v>0</v>
      </c>
      <c r="E127" s="16">
        <f>'体验表-带进度条'!H127</f>
        <v>0</v>
      </c>
      <c r="F127" s="17">
        <f>'体验表-带进度条'!I127</f>
        <v>0</v>
      </c>
      <c r="G127" s="14">
        <f>'体验表-带进度条'!J127</f>
        <v>0.12</v>
      </c>
      <c r="H127" s="19" t="str">
        <f>'体验表-带进度条'!K127</f>
        <v>金币</v>
      </c>
      <c r="I127" s="38">
        <f>'体验表-带进度条'!L127</f>
        <v>17</v>
      </c>
      <c r="J127" s="21">
        <f>'体验表-带进度条'!M127</f>
        <v>2409660</v>
      </c>
      <c r="K127" s="14">
        <f>'体验表-带进度条'!N127</f>
        <v>0</v>
      </c>
      <c r="L127" s="22">
        <f>'体验表-带进度条'!O127</f>
        <v>0</v>
      </c>
      <c r="M127" s="30">
        <f>'体验表-带进度条'!X127</f>
        <v>0</v>
      </c>
      <c r="N127" s="23">
        <f>'体验表-带进度条'!AA127</f>
        <v>0</v>
      </c>
      <c r="O127" s="72">
        <f>'体验表-带进度条'!AB127</f>
        <v>0</v>
      </c>
      <c r="T127" s="42"/>
      <c r="U127" s="42"/>
    </row>
    <row r="128" spans="1:21">
      <c r="A128" s="13">
        <f>'体验表-带进度条'!B128</f>
        <v>41</v>
      </c>
      <c r="B128" s="14">
        <f>'体验表-带进度条'!E128</f>
        <v>0</v>
      </c>
      <c r="C128" s="14" t="str">
        <f>'体验表-带进度条'!F128</f>
        <v/>
      </c>
      <c r="D128" s="14">
        <f>'体验表-带进度条'!G128</f>
        <v>0</v>
      </c>
      <c r="E128" s="16">
        <f>'体验表-带进度条'!H128</f>
        <v>0</v>
      </c>
      <c r="F128" s="17">
        <f>'体验表-带进度条'!I128</f>
        <v>0</v>
      </c>
      <c r="G128" s="14">
        <f>'体验表-带进度条'!J128</f>
        <v>0</v>
      </c>
      <c r="H128" s="19" t="str">
        <f>'体验表-带进度条'!K128</f>
        <v>卡包fun卡</v>
      </c>
      <c r="I128" s="38">
        <f>'体验表-带进度条'!L128</f>
        <v>4</v>
      </c>
      <c r="J128" s="21">
        <f>'体验表-带进度条'!M128</f>
        <v>1</v>
      </c>
      <c r="K128" s="14">
        <f>'体验表-带进度条'!N128</f>
        <v>0</v>
      </c>
      <c r="L128" s="22">
        <f>'体验表-带进度条'!O128</f>
        <v>0</v>
      </c>
      <c r="M128" s="30">
        <f>'体验表-带进度条'!X128</f>
        <v>0</v>
      </c>
      <c r="N128" s="23">
        <f>'体验表-带进度条'!AA128</f>
        <v>0</v>
      </c>
      <c r="O128" s="72">
        <f>'体验表-带进度条'!AB128</f>
        <v>0</v>
      </c>
      <c r="T128" s="42"/>
      <c r="U128" s="42"/>
    </row>
    <row r="129" spans="1:21">
      <c r="A129" s="13">
        <f>'体验表-带进度条'!B129</f>
        <v>42</v>
      </c>
      <c r="B129" s="14">
        <f>'体验表-带进度条'!E129</f>
        <v>0</v>
      </c>
      <c r="C129" s="14" t="str">
        <f>'体验表-带进度条'!F129</f>
        <v/>
      </c>
      <c r="D129" s="14">
        <f>'体验表-带进度条'!G129</f>
        <v>0</v>
      </c>
      <c r="E129" s="16">
        <f>'体验表-带进度条'!H129</f>
        <v>0</v>
      </c>
      <c r="F129" s="17">
        <f>'体验表-带进度条'!I129</f>
        <v>0</v>
      </c>
      <c r="G129" s="14">
        <f>'体验表-带进度条'!J129</f>
        <v>0</v>
      </c>
      <c r="H129" s="19" t="str">
        <f>'体验表-带进度条'!K129</f>
        <v>老虎机抽奖券</v>
      </c>
      <c r="I129" s="38">
        <f>'体验表-带进度条'!L129</f>
        <v>3</v>
      </c>
      <c r="J129" s="21">
        <f>'体验表-带进度条'!M129</f>
        <v>35</v>
      </c>
      <c r="K129" s="14">
        <f>'体验表-带进度条'!N129</f>
        <v>0</v>
      </c>
      <c r="L129" s="22">
        <f>'体验表-带进度条'!O129</f>
        <v>0</v>
      </c>
      <c r="M129" s="30">
        <f>'体验表-带进度条'!X129</f>
        <v>0</v>
      </c>
      <c r="N129" s="23">
        <f>'体验表-带进度条'!AA129</f>
        <v>0</v>
      </c>
      <c r="O129" s="72">
        <f>'体验表-带进度条'!AB129</f>
        <v>0</v>
      </c>
      <c r="T129" s="42"/>
      <c r="U129" s="42"/>
    </row>
    <row r="130" spans="1:21">
      <c r="A130" s="13">
        <f>'体验表-带进度条'!B130</f>
        <v>43</v>
      </c>
      <c r="B130" s="14">
        <f>'体验表-带进度条'!E130</f>
        <v>0</v>
      </c>
      <c r="C130" s="14" t="str">
        <f>'体验表-带进度条'!F130</f>
        <v/>
      </c>
      <c r="D130" s="14">
        <f>'体验表-带进度条'!G130</f>
        <v>0</v>
      </c>
      <c r="E130" s="16">
        <f>'体验表-带进度条'!H130</f>
        <v>0</v>
      </c>
      <c r="F130" s="17">
        <f>'体验表-带进度条'!I130</f>
        <v>0</v>
      </c>
      <c r="G130" s="14">
        <f>'体验表-带进度条'!J130</f>
        <v>0</v>
      </c>
      <c r="H130" s="19" t="str">
        <f>'体验表-带进度条'!K130</f>
        <v>大奖赛复活券</v>
      </c>
      <c r="I130" s="38">
        <f>'体验表-带进度条'!L130</f>
        <v>3</v>
      </c>
      <c r="J130" s="21">
        <f>'体验表-带进度条'!M130</f>
        <v>1</v>
      </c>
      <c r="K130" s="14">
        <f>'体验表-带进度条'!N130</f>
        <v>0</v>
      </c>
      <c r="L130" s="22">
        <f>'体验表-带进度条'!O130</f>
        <v>0</v>
      </c>
      <c r="M130" s="30">
        <f>'体验表-带进度条'!X130</f>
        <v>0</v>
      </c>
      <c r="N130" s="23">
        <f>'体验表-带进度条'!AA130</f>
        <v>0</v>
      </c>
      <c r="O130" s="72">
        <f>'体验表-带进度条'!AB130</f>
        <v>0</v>
      </c>
      <c r="T130" s="42"/>
      <c r="U130" s="42"/>
    </row>
    <row r="131" spans="1:21">
      <c r="A131" s="13">
        <f>'体验表-带进度条'!B131</f>
        <v>1</v>
      </c>
      <c r="B131" s="14">
        <f>'体验表-带进度条'!E131</f>
        <v>0</v>
      </c>
      <c r="C131" s="14" t="str">
        <f>'体验表-带进度条'!F131</f>
        <v/>
      </c>
      <c r="D131" s="14">
        <f>'体验表-带进度条'!G131</f>
        <v>0</v>
      </c>
      <c r="E131" s="16">
        <f>'体验表-带进度条'!H131</f>
        <v>0</v>
      </c>
      <c r="F131" s="17">
        <f>'体验表-带进度条'!I131</f>
        <v>0</v>
      </c>
      <c r="G131" s="14">
        <f>'体验表-带进度条'!J131</f>
        <v>0</v>
      </c>
      <c r="H131" s="19" t="str">
        <f>'体验表-带进度条'!K131</f>
        <v>金币</v>
      </c>
      <c r="I131" s="38">
        <f>'体验表-带进度条'!L131</f>
        <v>1</v>
      </c>
      <c r="J131" s="21">
        <f>'体验表-带进度条'!M131</f>
        <v>5000</v>
      </c>
      <c r="K131" s="14">
        <f>'体验表-带进度条'!N131</f>
        <v>0</v>
      </c>
      <c r="L131" s="22">
        <f>'体验表-带进度条'!O131</f>
        <v>0</v>
      </c>
      <c r="M131" s="30">
        <f>'体验表-带进度条'!X131</f>
        <v>0</v>
      </c>
      <c r="N131" s="23">
        <f>'体验表-带进度条'!AA131</f>
        <v>0</v>
      </c>
      <c r="O131" s="72">
        <f>'体验表-带进度条'!AB131</f>
        <v>0</v>
      </c>
      <c r="T131" s="42"/>
      <c r="U131" s="42"/>
    </row>
    <row r="132" spans="1:21">
      <c r="A132" s="13">
        <f>'体验表-带进度条'!B132</f>
        <v>2</v>
      </c>
      <c r="B132" s="14">
        <f>'体验表-带进度条'!E132</f>
        <v>5.99</v>
      </c>
      <c r="C132" s="14">
        <f>'体验表-带进度条'!F132</f>
        <v>119</v>
      </c>
      <c r="D132" s="14">
        <f>'体验表-带进度条'!G132</f>
        <v>7140000</v>
      </c>
      <c r="E132" s="16">
        <f>'体验表-带进度条'!H132</f>
        <v>7140000</v>
      </c>
      <c r="F132" s="17">
        <f>'体验表-带进度条'!I132</f>
        <v>5.99</v>
      </c>
      <c r="G132" s="14">
        <f>'体验表-带进度条'!J132</f>
        <v>0</v>
      </c>
      <c r="H132" s="19" t="str">
        <f>'体验表-带进度条'!K132</f>
        <v>金币</v>
      </c>
      <c r="I132" s="38">
        <f>'体验表-带进度条'!L132</f>
        <v>9</v>
      </c>
      <c r="J132" s="21">
        <f>'体验表-带进度条'!M132</f>
        <v>7140000</v>
      </c>
      <c r="K132" s="14">
        <f>'体验表-带进度条'!N132</f>
        <v>9148050</v>
      </c>
      <c r="L132" s="22">
        <f>'体验表-带进度条'!O132</f>
        <v>9.14805</v>
      </c>
      <c r="M132" s="30">
        <f>'体验表-带进度条'!X132</f>
        <v>9148050</v>
      </c>
      <c r="N132" s="23">
        <f>'体验表-带进度条'!AA132</f>
        <v>9.14805</v>
      </c>
      <c r="O132" s="72">
        <f>'体验表-带进度条'!AB132</f>
        <v>1.28123949579832</v>
      </c>
      <c r="T132" s="42"/>
      <c r="U132" s="42"/>
    </row>
    <row r="133" spans="1:21">
      <c r="A133" s="13">
        <f>'体验表-带进度条'!B133</f>
        <v>3</v>
      </c>
      <c r="B133" s="14">
        <f>'体验表-带进度条'!E133</f>
        <v>0</v>
      </c>
      <c r="C133" s="14" t="str">
        <f>'体验表-带进度条'!F133</f>
        <v/>
      </c>
      <c r="D133" s="14">
        <f>'体验表-带进度条'!G133</f>
        <v>0</v>
      </c>
      <c r="E133" s="16">
        <f>'体验表-带进度条'!H133</f>
        <v>0</v>
      </c>
      <c r="F133" s="17">
        <f>'体验表-带进度条'!I133</f>
        <v>0</v>
      </c>
      <c r="G133" s="14">
        <f>'体验表-带进度条'!J133</f>
        <v>0</v>
      </c>
      <c r="H133" s="19" t="str">
        <f>'体验表-带进度条'!K133</f>
        <v>记牌器1个</v>
      </c>
      <c r="I133" s="38">
        <f>'体验表-带进度条'!L133</f>
        <v>3</v>
      </c>
      <c r="J133" s="21">
        <f>'体验表-带进度条'!M133</f>
        <v>1</v>
      </c>
      <c r="K133" s="14">
        <f>'体验表-带进度条'!N133</f>
        <v>0</v>
      </c>
      <c r="L133" s="22">
        <f>'体验表-带进度条'!O133</f>
        <v>0</v>
      </c>
      <c r="M133" s="30">
        <f>'体验表-带进度条'!X133</f>
        <v>0</v>
      </c>
      <c r="N133" s="23">
        <f>'体验表-带进度条'!AA133</f>
        <v>0</v>
      </c>
      <c r="O133" s="72">
        <f>'体验表-带进度条'!AB133</f>
        <v>0</v>
      </c>
      <c r="T133" s="42"/>
      <c r="U133" s="42"/>
    </row>
    <row r="134" spans="1:21">
      <c r="A134" s="13">
        <f>'体验表-带进度条'!B134</f>
        <v>4</v>
      </c>
      <c r="B134" s="14">
        <f>'体验表-带进度条'!E134</f>
        <v>0</v>
      </c>
      <c r="C134" s="14" t="str">
        <f>'体验表-带进度条'!F134</f>
        <v/>
      </c>
      <c r="D134" s="14">
        <f>'体验表-带进度条'!G134</f>
        <v>0</v>
      </c>
      <c r="E134" s="16">
        <f>'体验表-带进度条'!H134</f>
        <v>0</v>
      </c>
      <c r="F134" s="17">
        <f>'体验表-带进度条'!I134</f>
        <v>0</v>
      </c>
      <c r="G134" s="14">
        <f>'体验表-带进度条'!J134</f>
        <v>0.1</v>
      </c>
      <c r="H134" s="19" t="str">
        <f>'体验表-带进度条'!K134</f>
        <v>金币</v>
      </c>
      <c r="I134" s="38">
        <f>'体验表-带进度条'!L134</f>
        <v>17</v>
      </c>
      <c r="J134" s="21">
        <f>'体验表-带进度条'!M134</f>
        <v>2008050</v>
      </c>
      <c r="K134" s="14">
        <f>'体验表-带进度条'!N134</f>
        <v>0</v>
      </c>
      <c r="L134" s="22">
        <f>'体验表-带进度条'!O134</f>
        <v>0</v>
      </c>
      <c r="M134" s="30">
        <f>'体验表-带进度条'!X134</f>
        <v>0</v>
      </c>
      <c r="N134" s="23">
        <f>'体验表-带进度条'!AA134</f>
        <v>0</v>
      </c>
      <c r="O134" s="72">
        <f>'体验表-带进度条'!AB134</f>
        <v>0</v>
      </c>
      <c r="T134" s="42"/>
      <c r="U134" s="42"/>
    </row>
    <row r="135" spans="1:21">
      <c r="A135" s="13">
        <f>'体验表-带进度条'!B135</f>
        <v>5</v>
      </c>
      <c r="B135" s="14">
        <f>'体验表-带进度条'!E135</f>
        <v>0</v>
      </c>
      <c r="C135" s="14" t="str">
        <f>'体验表-带进度条'!F135</f>
        <v/>
      </c>
      <c r="D135" s="14">
        <f>'体验表-带进度条'!G135</f>
        <v>0</v>
      </c>
      <c r="E135" s="16">
        <f>'体验表-带进度条'!H135</f>
        <v>0</v>
      </c>
      <c r="F135" s="17">
        <f>'体验表-带进度条'!I135</f>
        <v>0</v>
      </c>
      <c r="G135" s="14">
        <f>'体验表-带进度条'!J135</f>
        <v>0</v>
      </c>
      <c r="H135" s="19" t="str">
        <f>'体验表-带进度条'!K135</f>
        <v>卡包2星</v>
      </c>
      <c r="I135" s="38">
        <f>'体验表-带进度条'!L135</f>
        <v>4</v>
      </c>
      <c r="J135" s="21">
        <f>'体验表-带进度条'!M135</f>
        <v>1</v>
      </c>
      <c r="K135" s="14">
        <f>'体验表-带进度条'!N135</f>
        <v>0</v>
      </c>
      <c r="L135" s="22">
        <f>'体验表-带进度条'!O135</f>
        <v>0</v>
      </c>
      <c r="M135" s="30">
        <f>'体验表-带进度条'!X135</f>
        <v>0</v>
      </c>
      <c r="N135" s="23">
        <f>'体验表-带进度条'!AA135</f>
        <v>0</v>
      </c>
      <c r="O135" s="72">
        <f>'体验表-带进度条'!AB135</f>
        <v>0</v>
      </c>
      <c r="T135" s="42"/>
      <c r="U135" s="42"/>
    </row>
    <row r="136" spans="1:21">
      <c r="A136" s="13">
        <f>'体验表-带进度条'!B136</f>
        <v>6</v>
      </c>
      <c r="B136" s="14">
        <f>'体验表-带进度条'!E136</f>
        <v>0</v>
      </c>
      <c r="C136" s="14" t="str">
        <f>'体验表-带进度条'!F136</f>
        <v/>
      </c>
      <c r="D136" s="14">
        <f>'体验表-带进度条'!G136</f>
        <v>0</v>
      </c>
      <c r="E136" s="16">
        <f>'体验表-带进度条'!H136</f>
        <v>0</v>
      </c>
      <c r="F136" s="17">
        <f>'体验表-带进度条'!I136</f>
        <v>0</v>
      </c>
      <c r="G136" s="14">
        <f>'体验表-带进度条'!J136</f>
        <v>0</v>
      </c>
      <c r="H136" s="19" t="str">
        <f>'体验表-带进度条'!K136</f>
        <v>老虎机抽奖券</v>
      </c>
      <c r="I136" s="38">
        <f>'体验表-带进度条'!L136</f>
        <v>3</v>
      </c>
      <c r="J136" s="21">
        <f>'体验表-带进度条'!M136</f>
        <v>5</v>
      </c>
      <c r="K136" s="14">
        <f>'体验表-带进度条'!N136</f>
        <v>0</v>
      </c>
      <c r="L136" s="22">
        <f>'体验表-带进度条'!O136</f>
        <v>0</v>
      </c>
      <c r="M136" s="30">
        <f>'体验表-带进度条'!X136</f>
        <v>0</v>
      </c>
      <c r="N136" s="23">
        <f>'体验表-带进度条'!AA136</f>
        <v>0</v>
      </c>
      <c r="O136" s="72">
        <f>'体验表-带进度条'!AB136</f>
        <v>0</v>
      </c>
      <c r="T136" s="42"/>
      <c r="U136" s="42"/>
    </row>
    <row r="137" spans="1:21">
      <c r="A137" s="13">
        <f>'体验表-带进度条'!B137</f>
        <v>7</v>
      </c>
      <c r="B137" s="14">
        <f>'体验表-带进度条'!E137</f>
        <v>0</v>
      </c>
      <c r="C137" s="14" t="str">
        <f>'体验表-带进度条'!F137</f>
        <v/>
      </c>
      <c r="D137" s="14">
        <f>'体验表-带进度条'!G137</f>
        <v>0</v>
      </c>
      <c r="E137" s="16">
        <f>'体验表-带进度条'!H137</f>
        <v>0</v>
      </c>
      <c r="F137" s="17">
        <f>'体验表-带进度条'!I137</f>
        <v>0</v>
      </c>
      <c r="G137" s="14">
        <f>'体验表-带进度条'!J137</f>
        <v>0</v>
      </c>
      <c r="H137" s="19" t="str">
        <f>'体验表-带进度条'!K137</f>
        <v>大奖赛复活券</v>
      </c>
      <c r="I137" s="38">
        <f>'体验表-带进度条'!L137</f>
        <v>3</v>
      </c>
      <c r="J137" s="21">
        <f>'体验表-带进度条'!M137</f>
        <v>1</v>
      </c>
      <c r="K137" s="14">
        <f>'体验表-带进度条'!N137</f>
        <v>0</v>
      </c>
      <c r="L137" s="22">
        <f>'体验表-带进度条'!O137</f>
        <v>0</v>
      </c>
      <c r="M137" s="30">
        <f>'体验表-带进度条'!X137</f>
        <v>0</v>
      </c>
      <c r="N137" s="23">
        <f>'体验表-带进度条'!AA137</f>
        <v>0</v>
      </c>
      <c r="O137" s="72">
        <f>'体验表-带进度条'!AB137</f>
        <v>0</v>
      </c>
      <c r="T137" s="42"/>
      <c r="U137" s="42"/>
    </row>
    <row r="138" spans="1:21">
      <c r="A138" s="13">
        <f>'体验表-带进度条'!B138</f>
        <v>8</v>
      </c>
      <c r="B138" s="14">
        <f>'体验表-带进度条'!E138</f>
        <v>7.99</v>
      </c>
      <c r="C138" s="14">
        <f>'体验表-带进度条'!F138</f>
        <v>129</v>
      </c>
      <c r="D138" s="14">
        <f>'体验表-带进度条'!G138</f>
        <v>10320000</v>
      </c>
      <c r="E138" s="16">
        <f>'体验表-带进度条'!H138</f>
        <v>17460000</v>
      </c>
      <c r="F138" s="17">
        <f>'体验表-带进度条'!I138</f>
        <v>13.98</v>
      </c>
      <c r="G138" s="14">
        <f>'体验表-带进度条'!J138</f>
        <v>0.12</v>
      </c>
      <c r="H138" s="19" t="str">
        <f>'体验表-带进度条'!K138</f>
        <v>金币</v>
      </c>
      <c r="I138" s="38">
        <f>'体验表-带进度条'!L138</f>
        <v>9</v>
      </c>
      <c r="J138" s="21">
        <f>'体验表-带进度条'!M138</f>
        <v>10320000</v>
      </c>
      <c r="K138" s="14">
        <f>'体验表-带进度条'!N138</f>
        <v>10721610</v>
      </c>
      <c r="L138" s="22">
        <f>'体验表-带进度条'!O138</f>
        <v>10.72161</v>
      </c>
      <c r="M138" s="30">
        <f>'体验表-带进度条'!X138</f>
        <v>20948400</v>
      </c>
      <c r="N138" s="23">
        <f>'体验表-带进度条'!AA138</f>
        <v>20.9484</v>
      </c>
      <c r="O138" s="72">
        <f>'体验表-带进度条'!AB138</f>
        <v>1.19979381443299</v>
      </c>
      <c r="T138" s="42"/>
      <c r="U138" s="42"/>
    </row>
    <row r="139" spans="1:21">
      <c r="A139" s="13">
        <f>'体验表-带进度条'!B139</f>
        <v>9</v>
      </c>
      <c r="B139" s="14">
        <f>'体验表-带进度条'!E139</f>
        <v>0</v>
      </c>
      <c r="C139" s="14" t="str">
        <f>'体验表-带进度条'!F139</f>
        <v/>
      </c>
      <c r="D139" s="14">
        <f>'体验表-带进度条'!G139</f>
        <v>0</v>
      </c>
      <c r="E139" s="16">
        <f>'体验表-带进度条'!H139</f>
        <v>0</v>
      </c>
      <c r="F139" s="17">
        <f>'体验表-带进度条'!I139</f>
        <v>0</v>
      </c>
      <c r="G139" s="14">
        <f>'体验表-带进度条'!J139</f>
        <v>0</v>
      </c>
      <c r="H139" s="19" t="str">
        <f>'体验表-带进度条'!K139</f>
        <v>记牌器1个</v>
      </c>
      <c r="I139" s="38">
        <f>'体验表-带进度条'!L139</f>
        <v>3</v>
      </c>
      <c r="J139" s="21">
        <f>'体验表-带进度条'!M139</f>
        <v>2</v>
      </c>
      <c r="K139" s="14">
        <f>'体验表-带进度条'!N139</f>
        <v>0</v>
      </c>
      <c r="L139" s="22">
        <f>'体验表-带进度条'!O139</f>
        <v>0</v>
      </c>
      <c r="M139" s="30">
        <f>'体验表-带进度条'!X139</f>
        <v>0</v>
      </c>
      <c r="N139" s="23">
        <f>'体验表-带进度条'!AA139</f>
        <v>0</v>
      </c>
      <c r="O139" s="72">
        <f>'体验表-带进度条'!AB139</f>
        <v>0</v>
      </c>
      <c r="T139" s="42"/>
      <c r="U139" s="42"/>
    </row>
    <row r="140" spans="1:21">
      <c r="A140" s="13">
        <f>'体验表-带进度条'!B140</f>
        <v>10</v>
      </c>
      <c r="B140" s="14">
        <f>'体验表-带进度条'!E140</f>
        <v>0</v>
      </c>
      <c r="C140" s="14" t="str">
        <f>'体验表-带进度条'!F140</f>
        <v/>
      </c>
      <c r="D140" s="14">
        <f>'体验表-带进度条'!G140</f>
        <v>0</v>
      </c>
      <c r="E140" s="16">
        <f>'体验表-带进度条'!H140</f>
        <v>0</v>
      </c>
      <c r="F140" s="17">
        <f>'体验表-带进度条'!I140</f>
        <v>0</v>
      </c>
      <c r="G140" s="14">
        <f>'体验表-带进度条'!J140</f>
        <v>0.02</v>
      </c>
      <c r="H140" s="19" t="str">
        <f>'体验表-带进度条'!K140</f>
        <v>金币</v>
      </c>
      <c r="I140" s="38">
        <f>'体验表-带进度条'!L140</f>
        <v>17</v>
      </c>
      <c r="J140" s="21">
        <f>'体验表-带进度条'!M140</f>
        <v>401610</v>
      </c>
      <c r="K140" s="14">
        <f>'体验表-带进度条'!N140</f>
        <v>0</v>
      </c>
      <c r="L140" s="22">
        <f>'体验表-带进度条'!O140</f>
        <v>0</v>
      </c>
      <c r="M140" s="30">
        <f>'体验表-带进度条'!X140</f>
        <v>0</v>
      </c>
      <c r="N140" s="23">
        <f>'体验表-带进度条'!AA140</f>
        <v>0</v>
      </c>
      <c r="O140" s="72">
        <f>'体验表-带进度条'!AB140</f>
        <v>0</v>
      </c>
      <c r="T140" s="42"/>
      <c r="U140" s="42"/>
    </row>
    <row r="141" spans="1:21">
      <c r="A141" s="13">
        <f>'体验表-带进度条'!B141</f>
        <v>11</v>
      </c>
      <c r="B141" s="14">
        <f>'体验表-带进度条'!E141</f>
        <v>0</v>
      </c>
      <c r="C141" s="14" t="str">
        <f>'体验表-带进度条'!F141</f>
        <v/>
      </c>
      <c r="D141" s="14">
        <f>'体验表-带进度条'!G141</f>
        <v>0</v>
      </c>
      <c r="E141" s="16">
        <f>'体验表-带进度条'!H141</f>
        <v>0</v>
      </c>
      <c r="F141" s="17">
        <f>'体验表-带进度条'!I141</f>
        <v>0</v>
      </c>
      <c r="G141" s="14">
        <f>'体验表-带进度条'!J141</f>
        <v>0</v>
      </c>
      <c r="H141" s="19" t="str">
        <f>'体验表-带进度条'!K141</f>
        <v>卡包3星</v>
      </c>
      <c r="I141" s="38">
        <f>'体验表-带进度条'!L141</f>
        <v>4</v>
      </c>
      <c r="J141" s="21">
        <f>'体验表-带进度条'!M141</f>
        <v>1</v>
      </c>
      <c r="K141" s="14">
        <f>'体验表-带进度条'!N141</f>
        <v>0</v>
      </c>
      <c r="L141" s="22">
        <f>'体验表-带进度条'!O141</f>
        <v>0</v>
      </c>
      <c r="M141" s="30">
        <f>'体验表-带进度条'!X141</f>
        <v>0</v>
      </c>
      <c r="N141" s="23">
        <f>'体验表-带进度条'!AA141</f>
        <v>0</v>
      </c>
      <c r="O141" s="72">
        <f>'体验表-带进度条'!AB141</f>
        <v>0</v>
      </c>
      <c r="T141" s="42"/>
      <c r="U141" s="42"/>
    </row>
    <row r="142" spans="1:21">
      <c r="A142" s="13">
        <f>'体验表-带进度条'!B142</f>
        <v>12</v>
      </c>
      <c r="B142" s="14">
        <f>'体验表-带进度条'!E142</f>
        <v>0</v>
      </c>
      <c r="C142" s="14" t="str">
        <f>'体验表-带进度条'!F142</f>
        <v/>
      </c>
      <c r="D142" s="14">
        <f>'体验表-带进度条'!G142</f>
        <v>0</v>
      </c>
      <c r="E142" s="16">
        <f>'体验表-带进度条'!H142</f>
        <v>0</v>
      </c>
      <c r="F142" s="17">
        <f>'体验表-带进度条'!I142</f>
        <v>0</v>
      </c>
      <c r="G142" s="14">
        <f>'体验表-带进度条'!J142</f>
        <v>0</v>
      </c>
      <c r="H142" s="19" t="str">
        <f>'体验表-带进度条'!K142</f>
        <v>老虎机抽奖券</v>
      </c>
      <c r="I142" s="38">
        <f>'体验表-带进度条'!L142</f>
        <v>3</v>
      </c>
      <c r="J142" s="21">
        <f>'体验表-带进度条'!M142</f>
        <v>10</v>
      </c>
      <c r="K142" s="14">
        <f>'体验表-带进度条'!N142</f>
        <v>0</v>
      </c>
      <c r="L142" s="22">
        <f>'体验表-带进度条'!O142</f>
        <v>0</v>
      </c>
      <c r="M142" s="30">
        <f>'体验表-带进度条'!X142</f>
        <v>0</v>
      </c>
      <c r="N142" s="23">
        <f>'体验表-带进度条'!AA142</f>
        <v>0</v>
      </c>
      <c r="O142" s="72">
        <f>'体验表-带进度条'!AB142</f>
        <v>0</v>
      </c>
      <c r="T142" s="42"/>
      <c r="U142" s="42"/>
    </row>
    <row r="143" spans="1:21">
      <c r="A143" s="13">
        <f>'体验表-带进度条'!B143</f>
        <v>13</v>
      </c>
      <c r="B143" s="14">
        <f>'体验表-带进度条'!E143</f>
        <v>0</v>
      </c>
      <c r="C143" s="14" t="str">
        <f>'体验表-带进度条'!F143</f>
        <v/>
      </c>
      <c r="D143" s="14">
        <f>'体验表-带进度条'!G143</f>
        <v>0</v>
      </c>
      <c r="E143" s="16">
        <f>'体验表-带进度条'!H143</f>
        <v>0</v>
      </c>
      <c r="F143" s="17">
        <f>'体验表-带进度条'!I143</f>
        <v>0</v>
      </c>
      <c r="G143" s="14">
        <f>'体验表-带进度条'!J143</f>
        <v>0</v>
      </c>
      <c r="H143" s="19" t="str">
        <f>'体验表-带进度条'!K143</f>
        <v>大奖赛报名券</v>
      </c>
      <c r="I143" s="38">
        <f>'体验表-带进度条'!L143</f>
        <v>3</v>
      </c>
      <c r="J143" s="21">
        <f>'体验表-带进度条'!M143</f>
        <v>1</v>
      </c>
      <c r="K143" s="14">
        <f>'体验表-带进度条'!N143</f>
        <v>0</v>
      </c>
      <c r="L143" s="22">
        <f>'体验表-带进度条'!O143</f>
        <v>0</v>
      </c>
      <c r="M143" s="30">
        <f>'体验表-带进度条'!X143</f>
        <v>0</v>
      </c>
      <c r="N143" s="23">
        <f>'体验表-带进度条'!AA143</f>
        <v>0</v>
      </c>
      <c r="O143" s="72">
        <f>'体验表-带进度条'!AB143</f>
        <v>0</v>
      </c>
      <c r="T143" s="42"/>
      <c r="U143" s="42"/>
    </row>
    <row r="144" spans="1:21">
      <c r="A144" s="13">
        <f>'体验表-带进度条'!B144</f>
        <v>14</v>
      </c>
      <c r="B144" s="14">
        <f>'体验表-带进度条'!E144</f>
        <v>9.99</v>
      </c>
      <c r="C144" s="14">
        <f>'体验表-带进度条'!F144</f>
        <v>139</v>
      </c>
      <c r="D144" s="14">
        <f>'体验表-带进度条'!G144</f>
        <v>13900000</v>
      </c>
      <c r="E144" s="16">
        <f>'体验表-带进度条'!H144</f>
        <v>31360000</v>
      </c>
      <c r="F144" s="17">
        <f>'体验表-带进度条'!I144</f>
        <v>23.97</v>
      </c>
      <c r="G144" s="14">
        <f>'体验表-带进度条'!J144</f>
        <v>0</v>
      </c>
      <c r="H144" s="19" t="str">
        <f>'体验表-带进度条'!K144</f>
        <v>金币</v>
      </c>
      <c r="I144" s="38">
        <f>'体验表-带进度条'!L144</f>
        <v>9</v>
      </c>
      <c r="J144" s="21">
        <f>'体验表-带进度条'!M144</f>
        <v>13900000</v>
      </c>
      <c r="K144" s="14">
        <f>'体验表-带进度条'!N144</f>
        <v>15908050</v>
      </c>
      <c r="L144" s="22">
        <f>'体验表-带进度条'!O144</f>
        <v>15.90805</v>
      </c>
      <c r="M144" s="30">
        <f>'体验表-带进度条'!X144</f>
        <v>36856450</v>
      </c>
      <c r="N144" s="23">
        <f>'体验表-带进度条'!AA144</f>
        <v>36.85645</v>
      </c>
      <c r="O144" s="72">
        <f>'体验表-带进度条'!AB144</f>
        <v>1.17526945153061</v>
      </c>
      <c r="T144" s="42"/>
      <c r="U144" s="42"/>
    </row>
    <row r="145" spans="1:21">
      <c r="A145" s="13">
        <f>'体验表-带进度条'!B145</f>
        <v>15</v>
      </c>
      <c r="B145" s="14">
        <f>'体验表-带进度条'!E145</f>
        <v>0</v>
      </c>
      <c r="C145" s="14" t="str">
        <f>'体验表-带进度条'!F145</f>
        <v/>
      </c>
      <c r="D145" s="14">
        <f>'体验表-带进度条'!G145</f>
        <v>0</v>
      </c>
      <c r="E145" s="16">
        <f>'体验表-带进度条'!H145</f>
        <v>0</v>
      </c>
      <c r="F145" s="17">
        <f>'体验表-带进度条'!I145</f>
        <v>0</v>
      </c>
      <c r="G145" s="14">
        <f>'体验表-带进度条'!J145</f>
        <v>0</v>
      </c>
      <c r="H145" s="19" t="str">
        <f>'体验表-带进度条'!K145</f>
        <v>记牌器1个</v>
      </c>
      <c r="I145" s="38">
        <f>'体验表-带进度条'!L145</f>
        <v>3</v>
      </c>
      <c r="J145" s="21">
        <f>'体验表-带进度条'!M145</f>
        <v>3</v>
      </c>
      <c r="K145" s="14">
        <f>'体验表-带进度条'!N145</f>
        <v>0</v>
      </c>
      <c r="L145" s="22">
        <f>'体验表-带进度条'!O145</f>
        <v>0</v>
      </c>
      <c r="M145" s="30">
        <f>'体验表-带进度条'!X145</f>
        <v>0</v>
      </c>
      <c r="N145" s="23">
        <f>'体验表-带进度条'!AA145</f>
        <v>0</v>
      </c>
      <c r="O145" s="72">
        <f>'体验表-带进度条'!AB145</f>
        <v>0</v>
      </c>
      <c r="T145" s="42"/>
      <c r="U145" s="42"/>
    </row>
    <row r="146" spans="1:21">
      <c r="A146" s="13">
        <f>'体验表-带进度条'!B146</f>
        <v>16</v>
      </c>
      <c r="B146" s="14">
        <f>'体验表-带进度条'!E146</f>
        <v>0</v>
      </c>
      <c r="C146" s="14" t="str">
        <f>'体验表-带进度条'!F146</f>
        <v/>
      </c>
      <c r="D146" s="14">
        <f>'体验表-带进度条'!G146</f>
        <v>0</v>
      </c>
      <c r="E146" s="16">
        <f>'体验表-带进度条'!H146</f>
        <v>0</v>
      </c>
      <c r="F146" s="17">
        <f>'体验表-带进度条'!I146</f>
        <v>0</v>
      </c>
      <c r="G146" s="14">
        <f>'体验表-带进度条'!J146</f>
        <v>0.1</v>
      </c>
      <c r="H146" s="19" t="str">
        <f>'体验表-带进度条'!K146</f>
        <v>金币</v>
      </c>
      <c r="I146" s="38">
        <f>'体验表-带进度条'!L146</f>
        <v>17</v>
      </c>
      <c r="J146" s="21">
        <f>'体验表-带进度条'!M146</f>
        <v>2008050</v>
      </c>
      <c r="K146" s="14">
        <f>'体验表-带进度条'!N146</f>
        <v>0</v>
      </c>
      <c r="L146" s="22">
        <f>'体验表-带进度条'!O146</f>
        <v>0</v>
      </c>
      <c r="M146" s="30">
        <f>'体验表-带进度条'!X146</f>
        <v>0</v>
      </c>
      <c r="N146" s="23">
        <f>'体验表-带进度条'!AA146</f>
        <v>0</v>
      </c>
      <c r="O146" s="72">
        <f>'体验表-带进度条'!AB146</f>
        <v>0</v>
      </c>
      <c r="T146" s="42"/>
      <c r="U146" s="42"/>
    </row>
    <row r="147" spans="1:21">
      <c r="A147" s="13">
        <f>'体验表-带进度条'!B147</f>
        <v>17</v>
      </c>
      <c r="B147" s="14">
        <f>'体验表-带进度条'!E147</f>
        <v>0</v>
      </c>
      <c r="C147" s="14" t="str">
        <f>'体验表-带进度条'!F147</f>
        <v/>
      </c>
      <c r="D147" s="14">
        <f>'体验表-带进度条'!G147</f>
        <v>0</v>
      </c>
      <c r="E147" s="16">
        <f>'体验表-带进度条'!H147</f>
        <v>0</v>
      </c>
      <c r="F147" s="17">
        <f>'体验表-带进度条'!I147</f>
        <v>0</v>
      </c>
      <c r="G147" s="14">
        <f>'体验表-带进度条'!J147</f>
        <v>0</v>
      </c>
      <c r="H147" s="19" t="str">
        <f>'体验表-带进度条'!K147</f>
        <v>卡包4星</v>
      </c>
      <c r="I147" s="38">
        <f>'体验表-带进度条'!L147</f>
        <v>4</v>
      </c>
      <c r="J147" s="21">
        <f>'体验表-带进度条'!M147</f>
        <v>1</v>
      </c>
      <c r="K147" s="14">
        <f>'体验表-带进度条'!N147</f>
        <v>0</v>
      </c>
      <c r="L147" s="22">
        <f>'体验表-带进度条'!O147</f>
        <v>0</v>
      </c>
      <c r="M147" s="30">
        <f>'体验表-带进度条'!X147</f>
        <v>0</v>
      </c>
      <c r="N147" s="23">
        <f>'体验表-带进度条'!AA147</f>
        <v>0</v>
      </c>
      <c r="O147" s="72">
        <f>'体验表-带进度条'!AB147</f>
        <v>0</v>
      </c>
      <c r="T147" s="42"/>
      <c r="U147" s="42"/>
    </row>
    <row r="148" spans="1:21">
      <c r="A148" s="13">
        <f>'体验表-带进度条'!B148</f>
        <v>18</v>
      </c>
      <c r="B148" s="14">
        <f>'体验表-带进度条'!E148</f>
        <v>0</v>
      </c>
      <c r="C148" s="14" t="str">
        <f>'体验表-带进度条'!F148</f>
        <v/>
      </c>
      <c r="D148" s="14">
        <f>'体验表-带进度条'!G148</f>
        <v>0</v>
      </c>
      <c r="E148" s="16">
        <f>'体验表-带进度条'!H148</f>
        <v>0</v>
      </c>
      <c r="F148" s="17">
        <f>'体验表-带进度条'!I148</f>
        <v>0</v>
      </c>
      <c r="G148" s="14">
        <f>'体验表-带进度条'!J148</f>
        <v>0</v>
      </c>
      <c r="H148" s="19" t="str">
        <f>'体验表-带进度条'!K148</f>
        <v>老虎机抽奖券</v>
      </c>
      <c r="I148" s="38">
        <f>'体验表-带进度条'!L148</f>
        <v>3</v>
      </c>
      <c r="J148" s="21">
        <f>'体验表-带进度条'!M148</f>
        <v>15</v>
      </c>
      <c r="K148" s="14">
        <f>'体验表-带进度条'!N148</f>
        <v>0</v>
      </c>
      <c r="L148" s="22">
        <f>'体验表-带进度条'!O148</f>
        <v>0</v>
      </c>
      <c r="M148" s="30">
        <f>'体验表-带进度条'!X148</f>
        <v>0</v>
      </c>
      <c r="N148" s="23">
        <f>'体验表-带进度条'!AA148</f>
        <v>0</v>
      </c>
      <c r="O148" s="72">
        <f>'体验表-带进度条'!AB148</f>
        <v>0</v>
      </c>
      <c r="T148" s="42"/>
      <c r="U148" s="42"/>
    </row>
    <row r="149" spans="1:21">
      <c r="A149" s="13">
        <f>'体验表-带进度条'!B149</f>
        <v>19</v>
      </c>
      <c r="B149" s="14">
        <f>'体验表-带进度条'!E149</f>
        <v>0</v>
      </c>
      <c r="C149" s="14" t="str">
        <f>'体验表-带进度条'!F149</f>
        <v/>
      </c>
      <c r="D149" s="14">
        <f>'体验表-带进度条'!G149</f>
        <v>0</v>
      </c>
      <c r="E149" s="16">
        <f>'体验表-带进度条'!H149</f>
        <v>0</v>
      </c>
      <c r="F149" s="17">
        <f>'体验表-带进度条'!I149</f>
        <v>0</v>
      </c>
      <c r="G149" s="14">
        <f>'体验表-带进度条'!J149</f>
        <v>0</v>
      </c>
      <c r="H149" s="19" t="str">
        <f>'体验表-带进度条'!K149</f>
        <v>大奖赛复活券</v>
      </c>
      <c r="I149" s="38">
        <f>'体验表-带进度条'!L149</f>
        <v>3</v>
      </c>
      <c r="J149" s="21">
        <f>'体验表-带进度条'!M149</f>
        <v>1</v>
      </c>
      <c r="K149" s="14">
        <f>'体验表-带进度条'!N149</f>
        <v>0</v>
      </c>
      <c r="L149" s="22">
        <f>'体验表-带进度条'!O149</f>
        <v>0</v>
      </c>
      <c r="M149" s="30">
        <f>'体验表-带进度条'!X149</f>
        <v>0</v>
      </c>
      <c r="N149" s="23">
        <f>'体验表-带进度条'!AA149</f>
        <v>0</v>
      </c>
      <c r="O149" s="72">
        <f>'体验表-带进度条'!AB149</f>
        <v>0</v>
      </c>
      <c r="T149" s="42"/>
      <c r="U149" s="42"/>
    </row>
    <row r="150" spans="1:21">
      <c r="A150" s="13">
        <f>'体验表-带进度条'!B150</f>
        <v>20</v>
      </c>
      <c r="B150" s="14">
        <f>'体验表-带进度条'!E150</f>
        <v>12.99</v>
      </c>
      <c r="C150" s="14">
        <f>'体验表-带进度条'!F150</f>
        <v>149</v>
      </c>
      <c r="D150" s="14">
        <f>'体验表-带进度条'!G150</f>
        <v>19370000</v>
      </c>
      <c r="E150" s="16">
        <f>'体验表-带进度条'!H150</f>
        <v>50730000</v>
      </c>
      <c r="F150" s="17">
        <f>'体验表-带进度条'!I150</f>
        <v>36.96</v>
      </c>
      <c r="G150" s="14">
        <f>'体验表-带进度条'!J150</f>
        <v>0.24</v>
      </c>
      <c r="H150" s="19" t="str">
        <f>'体验表-带进度条'!K150</f>
        <v>金币</v>
      </c>
      <c r="I150" s="38">
        <f>'体验表-带进度条'!L150</f>
        <v>9</v>
      </c>
      <c r="J150" s="21">
        <f>'体验表-带进度条'!M150</f>
        <v>19370000</v>
      </c>
      <c r="K150" s="14">
        <f>'体验表-带进度条'!N150</f>
        <v>20976440</v>
      </c>
      <c r="L150" s="22">
        <f>'体验表-带进度条'!O150</f>
        <v>20.97644</v>
      </c>
      <c r="M150" s="30">
        <f>'体验表-带进度条'!X150</f>
        <v>59990370</v>
      </c>
      <c r="N150" s="23">
        <f>'体验表-带进度条'!AA150</f>
        <v>59.99037</v>
      </c>
      <c r="O150" s="72">
        <f>'体验表-带进度条'!AB150</f>
        <v>1.18254228267297</v>
      </c>
      <c r="T150" s="42"/>
      <c r="U150" s="42"/>
    </row>
    <row r="151" spans="1:21">
      <c r="A151" s="13">
        <f>'体验表-带进度条'!B151</f>
        <v>21</v>
      </c>
      <c r="B151" s="14">
        <f>'体验表-带进度条'!E151</f>
        <v>0</v>
      </c>
      <c r="C151" s="14" t="str">
        <f>'体验表-带进度条'!F151</f>
        <v/>
      </c>
      <c r="D151" s="14">
        <f>'体验表-带进度条'!G151</f>
        <v>0</v>
      </c>
      <c r="E151" s="16">
        <f>'体验表-带进度条'!H151</f>
        <v>0</v>
      </c>
      <c r="F151" s="17">
        <f>'体验表-带进度条'!I151</f>
        <v>0</v>
      </c>
      <c r="G151" s="14">
        <f>'体验表-带进度条'!J151</f>
        <v>0</v>
      </c>
      <c r="H151" s="19" t="str">
        <f>'体验表-带进度条'!K151</f>
        <v>记牌器1个</v>
      </c>
      <c r="I151" s="38">
        <f>'体验表-带进度条'!L151</f>
        <v>3</v>
      </c>
      <c r="J151" s="21">
        <f>'体验表-带进度条'!M151</f>
        <v>4</v>
      </c>
      <c r="K151" s="14">
        <f>'体验表-带进度条'!N151</f>
        <v>0</v>
      </c>
      <c r="L151" s="22">
        <f>'体验表-带进度条'!O151</f>
        <v>0</v>
      </c>
      <c r="M151" s="30">
        <f>'体验表-带进度条'!X151</f>
        <v>0</v>
      </c>
      <c r="N151" s="23">
        <f>'体验表-带进度条'!AA151</f>
        <v>0</v>
      </c>
      <c r="O151" s="72">
        <f>'体验表-带进度条'!AB151</f>
        <v>0</v>
      </c>
      <c r="T151" s="42"/>
      <c r="U151" s="42"/>
    </row>
    <row r="152" spans="1:21">
      <c r="A152" s="13">
        <f>'体验表-带进度条'!B152</f>
        <v>22</v>
      </c>
      <c r="B152" s="14">
        <f>'体验表-带进度条'!E152</f>
        <v>0</v>
      </c>
      <c r="C152" s="14" t="str">
        <f>'体验表-带进度条'!F152</f>
        <v/>
      </c>
      <c r="D152" s="14">
        <f>'体验表-带进度条'!G152</f>
        <v>0</v>
      </c>
      <c r="E152" s="16">
        <f>'体验表-带进度条'!H152</f>
        <v>0</v>
      </c>
      <c r="F152" s="17">
        <f>'体验表-带进度条'!I152</f>
        <v>0</v>
      </c>
      <c r="G152" s="14">
        <f>'体验表-带进度条'!J152</f>
        <v>0.08</v>
      </c>
      <c r="H152" s="19" t="str">
        <f>'体验表-带进度条'!K152</f>
        <v>金币</v>
      </c>
      <c r="I152" s="38">
        <f>'体验表-带进度条'!L152</f>
        <v>17</v>
      </c>
      <c r="J152" s="21">
        <f>'体验表-带进度条'!M152</f>
        <v>1606440</v>
      </c>
      <c r="K152" s="14">
        <f>'体验表-带进度条'!N152</f>
        <v>0</v>
      </c>
      <c r="L152" s="22">
        <f>'体验表-带进度条'!O152</f>
        <v>0</v>
      </c>
      <c r="M152" s="30">
        <f>'体验表-带进度条'!X152</f>
        <v>0</v>
      </c>
      <c r="N152" s="23">
        <f>'体验表-带进度条'!AA152</f>
        <v>0</v>
      </c>
      <c r="O152" s="72">
        <f>'体验表-带进度条'!AB152</f>
        <v>0</v>
      </c>
      <c r="T152" s="42"/>
      <c r="U152" s="42"/>
    </row>
    <row r="153" spans="1:21">
      <c r="A153" s="13">
        <f>'体验表-带进度条'!B153</f>
        <v>23</v>
      </c>
      <c r="B153" s="14">
        <f>'体验表-带进度条'!E153</f>
        <v>0</v>
      </c>
      <c r="C153" s="14" t="str">
        <f>'体验表-带进度条'!F153</f>
        <v/>
      </c>
      <c r="D153" s="14">
        <f>'体验表-带进度条'!G153</f>
        <v>0</v>
      </c>
      <c r="E153" s="16">
        <f>'体验表-带进度条'!H153</f>
        <v>0</v>
      </c>
      <c r="F153" s="17">
        <f>'体验表-带进度条'!I153</f>
        <v>0</v>
      </c>
      <c r="G153" s="14">
        <f>'体验表-带进度条'!J153</f>
        <v>0</v>
      </c>
      <c r="H153" s="19" t="str">
        <f>'体验表-带进度条'!K153</f>
        <v>卡包4星</v>
      </c>
      <c r="I153" s="38">
        <f>'体验表-带进度条'!L153</f>
        <v>4</v>
      </c>
      <c r="J153" s="21">
        <f>'体验表-带进度条'!M153</f>
        <v>1</v>
      </c>
      <c r="K153" s="14">
        <f>'体验表-带进度条'!N153</f>
        <v>0</v>
      </c>
      <c r="L153" s="22">
        <f>'体验表-带进度条'!O153</f>
        <v>0</v>
      </c>
      <c r="M153" s="30">
        <f>'体验表-带进度条'!X153</f>
        <v>0</v>
      </c>
      <c r="N153" s="23">
        <f>'体验表-带进度条'!AA153</f>
        <v>0</v>
      </c>
      <c r="O153" s="72">
        <f>'体验表-带进度条'!AB153</f>
        <v>0</v>
      </c>
      <c r="T153" s="42"/>
      <c r="U153" s="42"/>
    </row>
    <row r="154" spans="1:21">
      <c r="A154" s="13">
        <f>'体验表-带进度条'!B154</f>
        <v>24</v>
      </c>
      <c r="B154" s="14">
        <f>'体验表-带进度条'!E154</f>
        <v>0</v>
      </c>
      <c r="C154" s="14" t="str">
        <f>'体验表-带进度条'!F154</f>
        <v/>
      </c>
      <c r="D154" s="14">
        <f>'体验表-带进度条'!G154</f>
        <v>0</v>
      </c>
      <c r="E154" s="16">
        <f>'体验表-带进度条'!H154</f>
        <v>0</v>
      </c>
      <c r="F154" s="17">
        <f>'体验表-带进度条'!I154</f>
        <v>0</v>
      </c>
      <c r="G154" s="14">
        <f>'体验表-带进度条'!J154</f>
        <v>0</v>
      </c>
      <c r="H154" s="19" t="str">
        <f>'体验表-带进度条'!K154</f>
        <v>老虎机抽奖券</v>
      </c>
      <c r="I154" s="38">
        <f>'体验表-带进度条'!L154</f>
        <v>3</v>
      </c>
      <c r="J154" s="21">
        <f>'体验表-带进度条'!M154</f>
        <v>20</v>
      </c>
      <c r="K154" s="14">
        <f>'体验表-带进度条'!N154</f>
        <v>0</v>
      </c>
      <c r="L154" s="22">
        <f>'体验表-带进度条'!O154</f>
        <v>0</v>
      </c>
      <c r="M154" s="30">
        <f>'体验表-带进度条'!X154</f>
        <v>0</v>
      </c>
      <c r="N154" s="23">
        <f>'体验表-带进度条'!AA154</f>
        <v>0</v>
      </c>
      <c r="O154" s="72">
        <f>'体验表-带进度条'!AB154</f>
        <v>0</v>
      </c>
      <c r="T154" s="42"/>
      <c r="U154" s="42"/>
    </row>
    <row r="155" spans="1:21">
      <c r="A155" s="13">
        <f>'体验表-带进度条'!B155</f>
        <v>25</v>
      </c>
      <c r="B155" s="14">
        <f>'体验表-带进度条'!E155</f>
        <v>0</v>
      </c>
      <c r="C155" s="14" t="str">
        <f>'体验表-带进度条'!F155</f>
        <v/>
      </c>
      <c r="D155" s="14">
        <f>'体验表-带进度条'!G155</f>
        <v>0</v>
      </c>
      <c r="E155" s="16">
        <f>'体验表-带进度条'!H155</f>
        <v>0</v>
      </c>
      <c r="F155" s="17">
        <f>'体验表-带进度条'!I155</f>
        <v>0</v>
      </c>
      <c r="G155" s="14">
        <f>'体验表-带进度条'!J155</f>
        <v>0</v>
      </c>
      <c r="H155" s="19" t="str">
        <f>'体验表-带进度条'!K155</f>
        <v>大奖赛报名券</v>
      </c>
      <c r="I155" s="38">
        <f>'体验表-带进度条'!L155</f>
        <v>3</v>
      </c>
      <c r="J155" s="21">
        <f>'体验表-带进度条'!M155</f>
        <v>1</v>
      </c>
      <c r="K155" s="14">
        <f>'体验表-带进度条'!N155</f>
        <v>0</v>
      </c>
      <c r="L155" s="22">
        <f>'体验表-带进度条'!O155</f>
        <v>0</v>
      </c>
      <c r="M155" s="30">
        <f>'体验表-带进度条'!X155</f>
        <v>0</v>
      </c>
      <c r="N155" s="23">
        <f>'体验表-带进度条'!AA155</f>
        <v>0</v>
      </c>
      <c r="O155" s="72">
        <f>'体验表-带进度条'!AB155</f>
        <v>0</v>
      </c>
      <c r="T155" s="42"/>
      <c r="U155" s="42"/>
    </row>
    <row r="156" spans="1:21">
      <c r="A156" s="13">
        <f>'体验表-带进度条'!B156</f>
        <v>26</v>
      </c>
      <c r="B156" s="14">
        <f>'体验表-带进度条'!E156</f>
        <v>14.99</v>
      </c>
      <c r="C156" s="14">
        <f>'体验表-带进度条'!F156</f>
        <v>154</v>
      </c>
      <c r="D156" s="14">
        <f>'体验表-带进度条'!G156</f>
        <v>23100000</v>
      </c>
      <c r="E156" s="16">
        <f>'体验表-带进度条'!H156</f>
        <v>73830000</v>
      </c>
      <c r="F156" s="17">
        <f>'体验表-带进度条'!I156</f>
        <v>51.95</v>
      </c>
      <c r="G156" s="14">
        <f>'体验表-带进度条'!J156</f>
        <v>0</v>
      </c>
      <c r="H156" s="19" t="str">
        <f>'体验表-带进度条'!K156</f>
        <v>金币</v>
      </c>
      <c r="I156" s="38">
        <f>'体验表-带进度条'!L156</f>
        <v>9</v>
      </c>
      <c r="J156" s="21">
        <f>'体验表-带进度条'!M156</f>
        <v>23100000</v>
      </c>
      <c r="K156" s="14">
        <f>'体验表-带进度条'!N156</f>
        <v>24104025</v>
      </c>
      <c r="L156" s="22">
        <f>'体验表-带进度条'!O156</f>
        <v>24.104025</v>
      </c>
      <c r="M156" s="30">
        <f>'体验表-带进度条'!X156</f>
        <v>84094395</v>
      </c>
      <c r="N156" s="23">
        <f>'体验表-带进度条'!AA156</f>
        <v>84.094395</v>
      </c>
      <c r="O156" s="72">
        <f>'体验表-带进度条'!AB156</f>
        <v>1.13902742787485</v>
      </c>
      <c r="T156" s="42"/>
      <c r="U156" s="42"/>
    </row>
    <row r="157" spans="1:21">
      <c r="A157" s="13">
        <f>'体验表-带进度条'!B157</f>
        <v>27</v>
      </c>
      <c r="B157" s="14">
        <f>'体验表-带进度条'!E157</f>
        <v>0</v>
      </c>
      <c r="C157" s="14" t="str">
        <f>'体验表-带进度条'!F157</f>
        <v/>
      </c>
      <c r="D157" s="14">
        <f>'体验表-带进度条'!G157</f>
        <v>0</v>
      </c>
      <c r="E157" s="16">
        <f>'体验表-带进度条'!H157</f>
        <v>0</v>
      </c>
      <c r="F157" s="17">
        <f>'体验表-带进度条'!I157</f>
        <v>0</v>
      </c>
      <c r="G157" s="14">
        <f>'体验表-带进度条'!J157</f>
        <v>0</v>
      </c>
      <c r="H157" s="19" t="str">
        <f>'体验表-带进度条'!K157</f>
        <v>记牌器1个</v>
      </c>
      <c r="I157" s="38">
        <f>'体验表-带进度条'!L157</f>
        <v>3</v>
      </c>
      <c r="J157" s="21">
        <f>'体验表-带进度条'!M157</f>
        <v>5</v>
      </c>
      <c r="K157" s="14">
        <f>'体验表-带进度条'!N157</f>
        <v>0</v>
      </c>
      <c r="L157" s="22">
        <f>'体验表-带进度条'!O157</f>
        <v>0</v>
      </c>
      <c r="M157" s="30">
        <f>'体验表-带进度条'!X157</f>
        <v>0</v>
      </c>
      <c r="N157" s="23">
        <f>'体验表-带进度条'!AA157</f>
        <v>0</v>
      </c>
      <c r="O157" s="72">
        <f>'体验表-带进度条'!AB157</f>
        <v>0</v>
      </c>
      <c r="T157" s="42"/>
      <c r="U157" s="42"/>
    </row>
    <row r="158" spans="1:21">
      <c r="A158" s="13">
        <f>'体验表-带进度条'!B158</f>
        <v>28</v>
      </c>
      <c r="B158" s="14">
        <f>'体验表-带进度条'!E158</f>
        <v>0</v>
      </c>
      <c r="C158" s="14" t="str">
        <f>'体验表-带进度条'!F158</f>
        <v/>
      </c>
      <c r="D158" s="14">
        <f>'体验表-带进度条'!G158</f>
        <v>0</v>
      </c>
      <c r="E158" s="16">
        <f>'体验表-带进度条'!H158</f>
        <v>0</v>
      </c>
      <c r="F158" s="17">
        <f>'体验表-带进度条'!I158</f>
        <v>0</v>
      </c>
      <c r="G158" s="14">
        <f>'体验表-带进度条'!J158</f>
        <v>0.05</v>
      </c>
      <c r="H158" s="19" t="str">
        <f>'体验表-带进度条'!K158</f>
        <v>金币</v>
      </c>
      <c r="I158" s="38">
        <f>'体验表-带进度条'!L158</f>
        <v>17</v>
      </c>
      <c r="J158" s="21">
        <f>'体验表-带进度条'!M158</f>
        <v>1004025</v>
      </c>
      <c r="K158" s="14">
        <f>'体验表-带进度条'!N158</f>
        <v>0</v>
      </c>
      <c r="L158" s="22">
        <f>'体验表-带进度条'!O158</f>
        <v>0</v>
      </c>
      <c r="M158" s="30">
        <f>'体验表-带进度条'!X158</f>
        <v>0</v>
      </c>
      <c r="N158" s="23">
        <f>'体验表-带进度条'!AA158</f>
        <v>0</v>
      </c>
      <c r="O158" s="72">
        <f>'体验表-带进度条'!AB158</f>
        <v>0</v>
      </c>
      <c r="T158" s="42"/>
      <c r="U158" s="42"/>
    </row>
    <row r="159" spans="1:21">
      <c r="A159" s="13">
        <f>'体验表-带进度条'!B159</f>
        <v>29</v>
      </c>
      <c r="B159" s="14">
        <f>'体验表-带进度条'!E159</f>
        <v>0</v>
      </c>
      <c r="C159" s="14" t="str">
        <f>'体验表-带进度条'!F159</f>
        <v/>
      </c>
      <c r="D159" s="14">
        <f>'体验表-带进度条'!G159</f>
        <v>0</v>
      </c>
      <c r="E159" s="16">
        <f>'体验表-带进度条'!H159</f>
        <v>0</v>
      </c>
      <c r="F159" s="17">
        <f>'体验表-带进度条'!I159</f>
        <v>0</v>
      </c>
      <c r="G159" s="14">
        <f>'体验表-带进度条'!J159</f>
        <v>0</v>
      </c>
      <c r="H159" s="19" t="str">
        <f>'体验表-带进度条'!K159</f>
        <v>卡包5星</v>
      </c>
      <c r="I159" s="38">
        <f>'体验表-带进度条'!L159</f>
        <v>4</v>
      </c>
      <c r="J159" s="21">
        <f>'体验表-带进度条'!M159</f>
        <v>1</v>
      </c>
      <c r="K159" s="14">
        <f>'体验表-带进度条'!N159</f>
        <v>0</v>
      </c>
      <c r="L159" s="22">
        <f>'体验表-带进度条'!O159</f>
        <v>0</v>
      </c>
      <c r="M159" s="30">
        <f>'体验表-带进度条'!X159</f>
        <v>0</v>
      </c>
      <c r="N159" s="23">
        <f>'体验表-带进度条'!AA159</f>
        <v>0</v>
      </c>
      <c r="O159" s="72">
        <f>'体验表-带进度条'!AB159</f>
        <v>0</v>
      </c>
      <c r="T159" s="42"/>
      <c r="U159" s="42"/>
    </row>
    <row r="160" spans="1:21">
      <c r="A160" s="13">
        <f>'体验表-带进度条'!B160</f>
        <v>30</v>
      </c>
      <c r="B160" s="14">
        <f>'体验表-带进度条'!E160</f>
        <v>0</v>
      </c>
      <c r="C160" s="14" t="str">
        <f>'体验表-带进度条'!F160</f>
        <v/>
      </c>
      <c r="D160" s="14">
        <f>'体验表-带进度条'!G160</f>
        <v>0</v>
      </c>
      <c r="E160" s="16">
        <f>'体验表-带进度条'!H160</f>
        <v>0</v>
      </c>
      <c r="F160" s="17">
        <f>'体验表-带进度条'!I160</f>
        <v>0</v>
      </c>
      <c r="G160" s="14">
        <f>'体验表-带进度条'!J160</f>
        <v>0</v>
      </c>
      <c r="H160" s="19" t="str">
        <f>'体验表-带进度条'!K160</f>
        <v>老虎机抽奖券</v>
      </c>
      <c r="I160" s="38">
        <f>'体验表-带进度条'!L160</f>
        <v>3</v>
      </c>
      <c r="J160" s="21">
        <f>'体验表-带进度条'!M160</f>
        <v>25</v>
      </c>
      <c r="K160" s="14">
        <f>'体验表-带进度条'!N160</f>
        <v>0</v>
      </c>
      <c r="L160" s="22">
        <f>'体验表-带进度条'!O160</f>
        <v>0</v>
      </c>
      <c r="M160" s="30">
        <f>'体验表-带进度条'!X160</f>
        <v>0</v>
      </c>
      <c r="N160" s="23">
        <f>'体验表-带进度条'!AA160</f>
        <v>0</v>
      </c>
      <c r="O160" s="72">
        <f>'体验表-带进度条'!AB160</f>
        <v>0</v>
      </c>
      <c r="T160" s="42"/>
      <c r="U160" s="42"/>
    </row>
    <row r="161" spans="1:21">
      <c r="A161" s="13">
        <f>'体验表-带进度条'!B161</f>
        <v>31</v>
      </c>
      <c r="B161" s="14">
        <f>'体验表-带进度条'!E161</f>
        <v>0</v>
      </c>
      <c r="C161" s="14" t="str">
        <f>'体验表-带进度条'!F161</f>
        <v/>
      </c>
      <c r="D161" s="14">
        <f>'体验表-带进度条'!G161</f>
        <v>0</v>
      </c>
      <c r="E161" s="16">
        <f>'体验表-带进度条'!H161</f>
        <v>0</v>
      </c>
      <c r="F161" s="17">
        <f>'体验表-带进度条'!I161</f>
        <v>0</v>
      </c>
      <c r="G161" s="14">
        <f>'体验表-带进度条'!J161</f>
        <v>0</v>
      </c>
      <c r="H161" s="19" t="str">
        <f>'体验表-带进度条'!K161</f>
        <v>大奖赛复活券</v>
      </c>
      <c r="I161" s="38">
        <f>'体验表-带进度条'!L161</f>
        <v>3</v>
      </c>
      <c r="J161" s="21">
        <f>'体验表-带进度条'!M161</f>
        <v>1</v>
      </c>
      <c r="K161" s="14">
        <f>'体验表-带进度条'!N161</f>
        <v>0</v>
      </c>
      <c r="L161" s="22">
        <f>'体验表-带进度条'!O161</f>
        <v>0</v>
      </c>
      <c r="M161" s="30">
        <f>'体验表-带进度条'!X161</f>
        <v>0</v>
      </c>
      <c r="N161" s="23">
        <f>'体验表-带进度条'!AA161</f>
        <v>0</v>
      </c>
      <c r="O161" s="72">
        <f>'体验表-带进度条'!AB161</f>
        <v>0</v>
      </c>
      <c r="T161" s="42"/>
      <c r="U161" s="42"/>
    </row>
    <row r="162" spans="1:21">
      <c r="A162" s="13">
        <f>'体验表-带进度条'!B162</f>
        <v>32</v>
      </c>
      <c r="B162" s="14">
        <f>'体验表-带进度条'!E162</f>
        <v>17.99</v>
      </c>
      <c r="C162" s="14">
        <f>'体验表-带进度条'!F162</f>
        <v>158</v>
      </c>
      <c r="D162" s="14">
        <f>'体验表-带进度条'!G162</f>
        <v>28440000</v>
      </c>
      <c r="E162" s="16">
        <f>'体验表-带进度条'!H162</f>
        <v>102270000</v>
      </c>
      <c r="F162" s="17">
        <f>'体验表-带进度条'!I162</f>
        <v>69.94</v>
      </c>
      <c r="G162" s="14">
        <f>'体验表-带进度条'!J162</f>
        <v>0</v>
      </c>
      <c r="H162" s="19" t="str">
        <f>'体验表-带进度条'!K162</f>
        <v>金币</v>
      </c>
      <c r="I162" s="38">
        <f>'体验表-带进度条'!L162</f>
        <v>9</v>
      </c>
      <c r="J162" s="21">
        <f>'体验表-带进度条'!M162</f>
        <v>28440000</v>
      </c>
      <c r="K162" s="14">
        <f>'体验表-带进度条'!N162</f>
        <v>30849660</v>
      </c>
      <c r="L162" s="22">
        <f>'体验表-带进度条'!O162</f>
        <v>30.84966</v>
      </c>
      <c r="M162" s="30">
        <f>'体验表-带进度条'!X162</f>
        <v>114944055</v>
      </c>
      <c r="N162" s="23">
        <f>'体验表-带进度条'!AA162</f>
        <v>114.944055</v>
      </c>
      <c r="O162" s="72">
        <f>'体验表-带进度条'!AB162</f>
        <v>1.12392739806395</v>
      </c>
      <c r="T162" s="42"/>
      <c r="U162" s="42"/>
    </row>
    <row r="163" spans="1:21">
      <c r="A163" s="13">
        <f>'体验表-带进度条'!B163</f>
        <v>33</v>
      </c>
      <c r="B163" s="14">
        <f>'体验表-带进度条'!E163</f>
        <v>0</v>
      </c>
      <c r="C163" s="14" t="str">
        <f>'体验表-带进度条'!F163</f>
        <v/>
      </c>
      <c r="D163" s="14">
        <f>'体验表-带进度条'!G163</f>
        <v>0</v>
      </c>
      <c r="E163" s="16">
        <f>'体验表-带进度条'!H163</f>
        <v>0</v>
      </c>
      <c r="F163" s="17">
        <f>'体验表-带进度条'!I163</f>
        <v>0</v>
      </c>
      <c r="G163" s="14">
        <f>'体验表-带进度条'!J163</f>
        <v>0</v>
      </c>
      <c r="H163" s="19" t="str">
        <f>'体验表-带进度条'!K163</f>
        <v>记牌器1个</v>
      </c>
      <c r="I163" s="38">
        <f>'体验表-带进度条'!L163</f>
        <v>3</v>
      </c>
      <c r="J163" s="21">
        <f>'体验表-带进度条'!M163</f>
        <v>6</v>
      </c>
      <c r="K163" s="14">
        <f>'体验表-带进度条'!N163</f>
        <v>0</v>
      </c>
      <c r="L163" s="22">
        <f>'体验表-带进度条'!O163</f>
        <v>0</v>
      </c>
      <c r="M163" s="30">
        <f>'体验表-带进度条'!X163</f>
        <v>0</v>
      </c>
      <c r="N163" s="23">
        <f>'体验表-带进度条'!AA163</f>
        <v>0</v>
      </c>
      <c r="O163" s="72">
        <f>'体验表-带进度条'!AB163</f>
        <v>0</v>
      </c>
      <c r="T163" s="42"/>
      <c r="U163" s="42"/>
    </row>
    <row r="164" spans="1:21">
      <c r="A164" s="13">
        <f>'体验表-带进度条'!B164</f>
        <v>34</v>
      </c>
      <c r="B164" s="14">
        <f>'体验表-带进度条'!E164</f>
        <v>0</v>
      </c>
      <c r="C164" s="14" t="str">
        <f>'体验表-带进度条'!F164</f>
        <v/>
      </c>
      <c r="D164" s="14">
        <f>'体验表-带进度条'!G164</f>
        <v>0</v>
      </c>
      <c r="E164" s="16">
        <f>'体验表-带进度条'!H164</f>
        <v>0</v>
      </c>
      <c r="F164" s="17">
        <f>'体验表-带进度条'!I164</f>
        <v>0</v>
      </c>
      <c r="G164" s="14">
        <f>'体验表-带进度条'!J164</f>
        <v>0.12</v>
      </c>
      <c r="H164" s="19" t="str">
        <f>'体验表-带进度条'!K164</f>
        <v>金币</v>
      </c>
      <c r="I164" s="38">
        <f>'体验表-带进度条'!L164</f>
        <v>17</v>
      </c>
      <c r="J164" s="21">
        <f>'体验表-带进度条'!M164</f>
        <v>2409660</v>
      </c>
      <c r="K164" s="14">
        <f>'体验表-带进度条'!N164</f>
        <v>0</v>
      </c>
      <c r="L164" s="22">
        <f>'体验表-带进度条'!O164</f>
        <v>0</v>
      </c>
      <c r="M164" s="30">
        <f>'体验表-带进度条'!X164</f>
        <v>0</v>
      </c>
      <c r="N164" s="23">
        <f>'体验表-带进度条'!AA164</f>
        <v>0</v>
      </c>
      <c r="O164" s="72">
        <f>'体验表-带进度条'!AB164</f>
        <v>0</v>
      </c>
      <c r="T164" s="42"/>
      <c r="U164" s="42"/>
    </row>
    <row r="165" spans="1:21">
      <c r="A165" s="13">
        <f>'体验表-带进度条'!B165</f>
        <v>35</v>
      </c>
      <c r="B165" s="14">
        <f>'体验表-带进度条'!E165</f>
        <v>0</v>
      </c>
      <c r="C165" s="14" t="str">
        <f>'体验表-带进度条'!F165</f>
        <v/>
      </c>
      <c r="D165" s="14">
        <f>'体验表-带进度条'!G165</f>
        <v>0</v>
      </c>
      <c r="E165" s="16">
        <f>'体验表-带进度条'!H165</f>
        <v>0</v>
      </c>
      <c r="F165" s="17">
        <f>'体验表-带进度条'!I165</f>
        <v>0</v>
      </c>
      <c r="G165" s="14">
        <f>'体验表-带进度条'!J165</f>
        <v>0</v>
      </c>
      <c r="H165" s="19" t="str">
        <f>'体验表-带进度条'!K165</f>
        <v>卡包5星</v>
      </c>
      <c r="I165" s="38">
        <f>'体验表-带进度条'!L165</f>
        <v>4</v>
      </c>
      <c r="J165" s="21">
        <f>'体验表-带进度条'!M165</f>
        <v>1</v>
      </c>
      <c r="K165" s="14">
        <f>'体验表-带进度条'!N165</f>
        <v>0</v>
      </c>
      <c r="L165" s="22">
        <f>'体验表-带进度条'!O165</f>
        <v>0</v>
      </c>
      <c r="M165" s="30">
        <f>'体验表-带进度条'!X165</f>
        <v>0</v>
      </c>
      <c r="N165" s="23">
        <f>'体验表-带进度条'!AA165</f>
        <v>0</v>
      </c>
      <c r="O165" s="72">
        <f>'体验表-带进度条'!AB165</f>
        <v>0</v>
      </c>
      <c r="T165" s="42"/>
      <c r="U165" s="42"/>
    </row>
    <row r="166" spans="1:21">
      <c r="A166" s="13">
        <f>'体验表-带进度条'!B166</f>
        <v>36</v>
      </c>
      <c r="B166" s="14">
        <f>'体验表-带进度条'!E166</f>
        <v>0</v>
      </c>
      <c r="C166" s="14" t="str">
        <f>'体验表-带进度条'!F166</f>
        <v/>
      </c>
      <c r="D166" s="14">
        <f>'体验表-带进度条'!G166</f>
        <v>0</v>
      </c>
      <c r="E166" s="16">
        <f>'体验表-带进度条'!H166</f>
        <v>0</v>
      </c>
      <c r="F166" s="17">
        <f>'体验表-带进度条'!I166</f>
        <v>0</v>
      </c>
      <c r="G166" s="14">
        <f>'体验表-带进度条'!J166</f>
        <v>0</v>
      </c>
      <c r="H166" s="19" t="str">
        <f>'体验表-带进度条'!K166</f>
        <v>老虎机抽奖券</v>
      </c>
      <c r="I166" s="38">
        <f>'体验表-带进度条'!L166</f>
        <v>3</v>
      </c>
      <c r="J166" s="21">
        <f>'体验表-带进度条'!M166</f>
        <v>30</v>
      </c>
      <c r="K166" s="14">
        <f>'体验表-带进度条'!N166</f>
        <v>0</v>
      </c>
      <c r="L166" s="22">
        <f>'体验表-带进度条'!O166</f>
        <v>0</v>
      </c>
      <c r="M166" s="30">
        <f>'体验表-带进度条'!X166</f>
        <v>0</v>
      </c>
      <c r="N166" s="23">
        <f>'体验表-带进度条'!AA166</f>
        <v>0</v>
      </c>
      <c r="O166" s="72">
        <f>'体验表-带进度条'!AB166</f>
        <v>0</v>
      </c>
      <c r="T166" s="42"/>
      <c r="U166" s="42"/>
    </row>
    <row r="167" spans="1:21">
      <c r="A167" s="13">
        <f>'体验表-带进度条'!B167</f>
        <v>37</v>
      </c>
      <c r="B167" s="14">
        <f>'体验表-带进度条'!E167</f>
        <v>0</v>
      </c>
      <c r="C167" s="14" t="str">
        <f>'体验表-带进度条'!F167</f>
        <v/>
      </c>
      <c r="D167" s="14">
        <f>'体验表-带进度条'!G167</f>
        <v>0</v>
      </c>
      <c r="E167" s="16">
        <f>'体验表-带进度条'!H167</f>
        <v>0</v>
      </c>
      <c r="F167" s="17">
        <f>'体验表-带进度条'!I167</f>
        <v>0</v>
      </c>
      <c r="G167" s="14">
        <f>'体验表-带进度条'!J167</f>
        <v>0</v>
      </c>
      <c r="H167" s="19" t="str">
        <f>'体验表-带进度条'!K167</f>
        <v>大奖赛报名券</v>
      </c>
      <c r="I167" s="38">
        <f>'体验表-带进度条'!L167</f>
        <v>3</v>
      </c>
      <c r="J167" s="21">
        <f>'体验表-带进度条'!M167</f>
        <v>1</v>
      </c>
      <c r="K167" s="14">
        <f>'体验表-带进度条'!N167</f>
        <v>0</v>
      </c>
      <c r="L167" s="22">
        <f>'体验表-带进度条'!O167</f>
        <v>0</v>
      </c>
      <c r="M167" s="30">
        <f>'体验表-带进度条'!X167</f>
        <v>0</v>
      </c>
      <c r="N167" s="23">
        <f>'体验表-带进度条'!AA167</f>
        <v>0</v>
      </c>
      <c r="O167" s="72">
        <f>'体验表-带进度条'!AB167</f>
        <v>0</v>
      </c>
      <c r="T167" s="42"/>
      <c r="U167" s="42"/>
    </row>
    <row r="168" spans="1:21">
      <c r="A168" s="13">
        <f>'体验表-带进度条'!B168</f>
        <v>38</v>
      </c>
      <c r="B168" s="14">
        <f>'体验表-带进度条'!E168</f>
        <v>19.99</v>
      </c>
      <c r="C168" s="14">
        <f>'体验表-带进度条'!F168</f>
        <v>158</v>
      </c>
      <c r="D168" s="14">
        <f>'体验表-带进度条'!G168</f>
        <v>31600000</v>
      </c>
      <c r="E168" s="16">
        <f>'体验表-带进度条'!H168</f>
        <v>133870000</v>
      </c>
      <c r="F168" s="17">
        <f>'体验表-带进度条'!I168</f>
        <v>89.93</v>
      </c>
      <c r="G168" s="14">
        <f>'体验表-带进度条'!J168</f>
        <v>0.45</v>
      </c>
      <c r="H168" s="19" t="str">
        <f>'体验表-带进度条'!K168</f>
        <v>金币</v>
      </c>
      <c r="I168" s="38">
        <f>'体验表-带进度条'!L168</f>
        <v>9</v>
      </c>
      <c r="J168" s="21">
        <f>'体验表-带进度条'!M168</f>
        <v>31600000</v>
      </c>
      <c r="K168" s="14">
        <f>'体验表-带进度条'!N168</f>
        <v>34009660</v>
      </c>
      <c r="L168" s="22">
        <f>'体验表-带进度条'!O168</f>
        <v>34.00966</v>
      </c>
      <c r="M168" s="30">
        <f>'体验表-带进度条'!X168</f>
        <v>152998990</v>
      </c>
      <c r="N168" s="23">
        <f>'体验表-带进度条'!AA168</f>
        <v>152.99899</v>
      </c>
      <c r="O168" s="72">
        <f>'体验表-带进度条'!AB168</f>
        <v>1.14289228355868</v>
      </c>
      <c r="T168" s="42"/>
      <c r="U168" s="42"/>
    </row>
    <row r="169" spans="1:21">
      <c r="A169" s="13">
        <f>'体验表-带进度条'!B169</f>
        <v>39</v>
      </c>
      <c r="B169" s="14">
        <f>'体验表-带进度条'!E169</f>
        <v>0</v>
      </c>
      <c r="C169" s="14" t="str">
        <f>'体验表-带进度条'!F169</f>
        <v/>
      </c>
      <c r="D169" s="14">
        <f>'体验表-带进度条'!G169</f>
        <v>0</v>
      </c>
      <c r="E169" s="16">
        <f>'体验表-带进度条'!H169</f>
        <v>0</v>
      </c>
      <c r="F169" s="17">
        <f>'体验表-带进度条'!I169</f>
        <v>0</v>
      </c>
      <c r="G169" s="14">
        <f>'体验表-带进度条'!J169</f>
        <v>0</v>
      </c>
      <c r="H169" s="19" t="str">
        <f>'体验表-带进度条'!K169</f>
        <v>记牌器1个</v>
      </c>
      <c r="I169" s="38">
        <f>'体验表-带进度条'!L169</f>
        <v>3</v>
      </c>
      <c r="J169" s="21">
        <f>'体验表-带进度条'!M169</f>
        <v>7</v>
      </c>
      <c r="K169" s="14">
        <f>'体验表-带进度条'!N169</f>
        <v>0</v>
      </c>
      <c r="L169" s="22">
        <f>'体验表-带进度条'!O169</f>
        <v>0</v>
      </c>
      <c r="M169" s="30">
        <f>'体验表-带进度条'!X169</f>
        <v>0</v>
      </c>
      <c r="N169" s="23">
        <f>'体验表-带进度条'!AA169</f>
        <v>0</v>
      </c>
      <c r="O169" s="72">
        <f>'体验表-带进度条'!AB169</f>
        <v>0</v>
      </c>
      <c r="T169" s="42"/>
      <c r="U169" s="42"/>
    </row>
    <row r="170" spans="1:21">
      <c r="A170" s="13">
        <f>'体验表-带进度条'!B170</f>
        <v>40</v>
      </c>
      <c r="B170" s="14">
        <f>'体验表-带进度条'!E170</f>
        <v>0</v>
      </c>
      <c r="C170" s="14" t="str">
        <f>'体验表-带进度条'!F170</f>
        <v/>
      </c>
      <c r="D170" s="14">
        <f>'体验表-带进度条'!G170</f>
        <v>0</v>
      </c>
      <c r="E170" s="16">
        <f>'体验表-带进度条'!H170</f>
        <v>0</v>
      </c>
      <c r="F170" s="17">
        <f>'体验表-带进度条'!I170</f>
        <v>0</v>
      </c>
      <c r="G170" s="14">
        <f>'体验表-带进度条'!J170</f>
        <v>0.12</v>
      </c>
      <c r="H170" s="19" t="str">
        <f>'体验表-带进度条'!K170</f>
        <v>金币</v>
      </c>
      <c r="I170" s="38">
        <f>'体验表-带进度条'!L170</f>
        <v>17</v>
      </c>
      <c r="J170" s="21">
        <f>'体验表-带进度条'!M170</f>
        <v>2409660</v>
      </c>
      <c r="K170" s="14">
        <f>'体验表-带进度条'!N170</f>
        <v>0</v>
      </c>
      <c r="L170" s="22">
        <f>'体验表-带进度条'!O170</f>
        <v>0</v>
      </c>
      <c r="M170" s="30">
        <f>'体验表-带进度条'!X170</f>
        <v>0</v>
      </c>
      <c r="N170" s="23">
        <f>'体验表-带进度条'!AA170</f>
        <v>0</v>
      </c>
      <c r="O170" s="72">
        <f>'体验表-带进度条'!AB170</f>
        <v>0</v>
      </c>
      <c r="T170" s="42"/>
      <c r="U170" s="42"/>
    </row>
    <row r="171" spans="1:21">
      <c r="A171" s="13">
        <f>'体验表-带进度条'!B171</f>
        <v>41</v>
      </c>
      <c r="B171" s="14">
        <f>'体验表-带进度条'!E171</f>
        <v>0</v>
      </c>
      <c r="C171" s="14" t="str">
        <f>'体验表-带进度条'!F171</f>
        <v/>
      </c>
      <c r="D171" s="14">
        <f>'体验表-带进度条'!G171</f>
        <v>0</v>
      </c>
      <c r="E171" s="16">
        <f>'体验表-带进度条'!H171</f>
        <v>0</v>
      </c>
      <c r="F171" s="17">
        <f>'体验表-带进度条'!I171</f>
        <v>0</v>
      </c>
      <c r="G171" s="14">
        <f>'体验表-带进度条'!J171</f>
        <v>0</v>
      </c>
      <c r="H171" s="19" t="str">
        <f>'体验表-带进度条'!K171</f>
        <v>卡包fun卡</v>
      </c>
      <c r="I171" s="38">
        <f>'体验表-带进度条'!L171</f>
        <v>4</v>
      </c>
      <c r="J171" s="21">
        <f>'体验表-带进度条'!M171</f>
        <v>1</v>
      </c>
      <c r="K171" s="14">
        <f>'体验表-带进度条'!N171</f>
        <v>0</v>
      </c>
      <c r="L171" s="22">
        <f>'体验表-带进度条'!O171</f>
        <v>0</v>
      </c>
      <c r="M171" s="30">
        <f>'体验表-带进度条'!X171</f>
        <v>0</v>
      </c>
      <c r="N171" s="23">
        <f>'体验表-带进度条'!AA171</f>
        <v>0</v>
      </c>
      <c r="O171" s="72">
        <f>'体验表-带进度条'!AB171</f>
        <v>0</v>
      </c>
      <c r="T171" s="42"/>
      <c r="U171" s="42"/>
    </row>
    <row r="172" spans="1:21">
      <c r="A172" s="13">
        <f>'体验表-带进度条'!B172</f>
        <v>42</v>
      </c>
      <c r="B172" s="14">
        <f>'体验表-带进度条'!E172</f>
        <v>0</v>
      </c>
      <c r="C172" s="14" t="str">
        <f>'体验表-带进度条'!F172</f>
        <v/>
      </c>
      <c r="D172" s="14">
        <f>'体验表-带进度条'!G172</f>
        <v>0</v>
      </c>
      <c r="E172" s="16">
        <f>'体验表-带进度条'!H172</f>
        <v>0</v>
      </c>
      <c r="F172" s="17">
        <f>'体验表-带进度条'!I172</f>
        <v>0</v>
      </c>
      <c r="G172" s="14">
        <f>'体验表-带进度条'!J172</f>
        <v>0</v>
      </c>
      <c r="H172" s="19" t="str">
        <f>'体验表-带进度条'!K172</f>
        <v>老虎机抽奖券</v>
      </c>
      <c r="I172" s="38">
        <f>'体验表-带进度条'!L172</f>
        <v>3</v>
      </c>
      <c r="J172" s="21">
        <f>'体验表-带进度条'!M172</f>
        <v>35</v>
      </c>
      <c r="K172" s="14">
        <f>'体验表-带进度条'!N172</f>
        <v>0</v>
      </c>
      <c r="L172" s="22">
        <f>'体验表-带进度条'!O172</f>
        <v>0</v>
      </c>
      <c r="M172" s="30">
        <f>'体验表-带进度条'!X172</f>
        <v>0</v>
      </c>
      <c r="N172" s="23">
        <f>'体验表-带进度条'!AA172</f>
        <v>0</v>
      </c>
      <c r="O172" s="72">
        <f>'体验表-带进度条'!AB172</f>
        <v>0</v>
      </c>
      <c r="T172" s="42"/>
      <c r="U172" s="42"/>
    </row>
    <row r="173" spans="1:21">
      <c r="A173" s="13">
        <f>'体验表-带进度条'!B173</f>
        <v>43</v>
      </c>
      <c r="B173" s="14">
        <f>'体验表-带进度条'!E173</f>
        <v>0</v>
      </c>
      <c r="C173" s="14" t="str">
        <f>'体验表-带进度条'!F173</f>
        <v/>
      </c>
      <c r="D173" s="14">
        <f>'体验表-带进度条'!G173</f>
        <v>0</v>
      </c>
      <c r="E173" s="16">
        <f>'体验表-带进度条'!H173</f>
        <v>0</v>
      </c>
      <c r="F173" s="17">
        <f>'体验表-带进度条'!I173</f>
        <v>0</v>
      </c>
      <c r="G173" s="14">
        <f>'体验表-带进度条'!J173</f>
        <v>0</v>
      </c>
      <c r="H173" s="19" t="str">
        <f>'体验表-带进度条'!K173</f>
        <v>大奖赛复活券</v>
      </c>
      <c r="I173" s="38">
        <f>'体验表-带进度条'!L173</f>
        <v>3</v>
      </c>
      <c r="J173" s="21">
        <f>'体验表-带进度条'!M173</f>
        <v>1</v>
      </c>
      <c r="K173" s="14">
        <f>'体验表-带进度条'!N173</f>
        <v>0</v>
      </c>
      <c r="L173" s="22">
        <f>'体验表-带进度条'!O173</f>
        <v>0</v>
      </c>
      <c r="M173" s="30">
        <f>'体验表-带进度条'!X173</f>
        <v>0</v>
      </c>
      <c r="N173" s="23">
        <f>'体验表-带进度条'!AA173</f>
        <v>0</v>
      </c>
      <c r="O173" s="72">
        <f>'体验表-带进度条'!AB173</f>
        <v>0</v>
      </c>
      <c r="T173" s="42"/>
      <c r="U173" s="42"/>
    </row>
    <row r="174" spans="1:21">
      <c r="A174" s="13">
        <f>'体验表-带进度条'!B174</f>
        <v>1</v>
      </c>
      <c r="B174" s="14">
        <f>'体验表-带进度条'!E174</f>
        <v>0</v>
      </c>
      <c r="C174" s="14" t="str">
        <f>'体验表-带进度条'!F174</f>
        <v/>
      </c>
      <c r="D174" s="14">
        <f>'体验表-带进度条'!G174</f>
        <v>0</v>
      </c>
      <c r="E174" s="16">
        <f>'体验表-带进度条'!H174</f>
        <v>0</v>
      </c>
      <c r="F174" s="17">
        <f>'体验表-带进度条'!I174</f>
        <v>0</v>
      </c>
      <c r="G174" s="14">
        <f>'体验表-带进度条'!J174</f>
        <v>0</v>
      </c>
      <c r="H174" s="19" t="str">
        <f>'体验表-带进度条'!K174</f>
        <v>金币</v>
      </c>
      <c r="I174" s="38">
        <f>'体验表-带进度条'!L174</f>
        <v>1</v>
      </c>
      <c r="J174" s="21">
        <f>'体验表-带进度条'!M174</f>
        <v>5000</v>
      </c>
      <c r="K174" s="14">
        <f>'体验表-带进度条'!N174</f>
        <v>0</v>
      </c>
      <c r="L174" s="22">
        <f>'体验表-带进度条'!O174</f>
        <v>0</v>
      </c>
      <c r="M174" s="30">
        <f>'体验表-带进度条'!X174</f>
        <v>0</v>
      </c>
      <c r="N174" s="23">
        <f>'体验表-带进度条'!AA174</f>
        <v>0</v>
      </c>
      <c r="O174" s="72">
        <f>'体验表-带进度条'!AB174</f>
        <v>0</v>
      </c>
      <c r="T174" s="42"/>
      <c r="U174" s="42"/>
    </row>
    <row r="175" spans="1:21">
      <c r="A175" s="13">
        <f>'体验表-带进度条'!B175</f>
        <v>2</v>
      </c>
      <c r="B175" s="14">
        <f>'体验表-带进度条'!E175</f>
        <v>5.99</v>
      </c>
      <c r="C175" s="14">
        <f>'体验表-带进度条'!F175</f>
        <v>119</v>
      </c>
      <c r="D175" s="14">
        <f>'体验表-带进度条'!G175</f>
        <v>7140000</v>
      </c>
      <c r="E175" s="16">
        <f>'体验表-带进度条'!H175</f>
        <v>7140000</v>
      </c>
      <c r="F175" s="17">
        <f>'体验表-带进度条'!I175</f>
        <v>5.99</v>
      </c>
      <c r="G175" s="14">
        <f>'体验表-带进度条'!J175</f>
        <v>0</v>
      </c>
      <c r="H175" s="19" t="str">
        <f>'体验表-带进度条'!K175</f>
        <v>金币</v>
      </c>
      <c r="I175" s="38">
        <f>'体验表-带进度条'!L175</f>
        <v>9</v>
      </c>
      <c r="J175" s="21">
        <f>'体验表-带进度条'!M175</f>
        <v>7140000</v>
      </c>
      <c r="K175" s="14">
        <f>'体验表-带进度条'!N175</f>
        <v>9148050</v>
      </c>
      <c r="L175" s="22">
        <f>'体验表-带进度条'!O175</f>
        <v>9.14805</v>
      </c>
      <c r="M175" s="30">
        <f>'体验表-带进度条'!X175</f>
        <v>9148050</v>
      </c>
      <c r="N175" s="23">
        <f>'体验表-带进度条'!AA175</f>
        <v>9.14805</v>
      </c>
      <c r="O175" s="72">
        <f>'体验表-带进度条'!AB175</f>
        <v>1.28123949579832</v>
      </c>
      <c r="T175" s="42"/>
      <c r="U175" s="42"/>
    </row>
    <row r="176" spans="1:21">
      <c r="A176" s="13">
        <f>'体验表-带进度条'!B176</f>
        <v>3</v>
      </c>
      <c r="B176" s="14">
        <f>'体验表-带进度条'!E176</f>
        <v>0</v>
      </c>
      <c r="C176" s="14" t="str">
        <f>'体验表-带进度条'!F176</f>
        <v/>
      </c>
      <c r="D176" s="14">
        <f>'体验表-带进度条'!G176</f>
        <v>0</v>
      </c>
      <c r="E176" s="16">
        <f>'体验表-带进度条'!H176</f>
        <v>0</v>
      </c>
      <c r="F176" s="17">
        <f>'体验表-带进度条'!I176</f>
        <v>0</v>
      </c>
      <c r="G176" s="14">
        <f>'体验表-带进度条'!J176</f>
        <v>0</v>
      </c>
      <c r="H176" s="19" t="str">
        <f>'体验表-带进度条'!K176</f>
        <v>记牌器1个</v>
      </c>
      <c r="I176" s="38">
        <f>'体验表-带进度条'!L176</f>
        <v>3</v>
      </c>
      <c r="J176" s="21">
        <f>'体验表-带进度条'!M176</f>
        <v>1</v>
      </c>
      <c r="K176" s="14">
        <f>'体验表-带进度条'!N176</f>
        <v>0</v>
      </c>
      <c r="L176" s="22">
        <f>'体验表-带进度条'!O176</f>
        <v>0</v>
      </c>
      <c r="M176" s="30">
        <f>'体验表-带进度条'!X176</f>
        <v>0</v>
      </c>
      <c r="N176" s="23">
        <f>'体验表-带进度条'!AA176</f>
        <v>0</v>
      </c>
      <c r="O176" s="72">
        <f>'体验表-带进度条'!AB176</f>
        <v>0</v>
      </c>
      <c r="T176" s="42"/>
      <c r="U176" s="42"/>
    </row>
    <row r="177" spans="1:21">
      <c r="A177" s="13">
        <f>'体验表-带进度条'!B177</f>
        <v>4</v>
      </c>
      <c r="B177" s="14">
        <f>'体验表-带进度条'!E177</f>
        <v>0</v>
      </c>
      <c r="C177" s="14" t="str">
        <f>'体验表-带进度条'!F177</f>
        <v/>
      </c>
      <c r="D177" s="14">
        <f>'体验表-带进度条'!G177</f>
        <v>0</v>
      </c>
      <c r="E177" s="16">
        <f>'体验表-带进度条'!H177</f>
        <v>0</v>
      </c>
      <c r="F177" s="17">
        <f>'体验表-带进度条'!I177</f>
        <v>0</v>
      </c>
      <c r="G177" s="14">
        <f>'体验表-带进度条'!J177</f>
        <v>0.1</v>
      </c>
      <c r="H177" s="19" t="str">
        <f>'体验表-带进度条'!K177</f>
        <v>金币</v>
      </c>
      <c r="I177" s="38">
        <f>'体验表-带进度条'!L177</f>
        <v>17</v>
      </c>
      <c r="J177" s="21">
        <f>'体验表-带进度条'!M177</f>
        <v>2008050</v>
      </c>
      <c r="K177" s="14">
        <f>'体验表-带进度条'!N177</f>
        <v>0</v>
      </c>
      <c r="L177" s="22">
        <f>'体验表-带进度条'!O177</f>
        <v>0</v>
      </c>
      <c r="M177" s="30">
        <f>'体验表-带进度条'!X177</f>
        <v>0</v>
      </c>
      <c r="N177" s="23">
        <f>'体验表-带进度条'!AA177</f>
        <v>0</v>
      </c>
      <c r="O177" s="72">
        <f>'体验表-带进度条'!AB177</f>
        <v>0</v>
      </c>
      <c r="T177" s="42"/>
      <c r="U177" s="42"/>
    </row>
    <row r="178" spans="1:21">
      <c r="A178" s="13">
        <f>'体验表-带进度条'!B178</f>
        <v>5</v>
      </c>
      <c r="B178" s="14">
        <f>'体验表-带进度条'!E178</f>
        <v>0</v>
      </c>
      <c r="C178" s="14" t="str">
        <f>'体验表-带进度条'!F178</f>
        <v/>
      </c>
      <c r="D178" s="14">
        <f>'体验表-带进度条'!G178</f>
        <v>0</v>
      </c>
      <c r="E178" s="16">
        <f>'体验表-带进度条'!H178</f>
        <v>0</v>
      </c>
      <c r="F178" s="17">
        <f>'体验表-带进度条'!I178</f>
        <v>0</v>
      </c>
      <c r="G178" s="14">
        <f>'体验表-带进度条'!J178</f>
        <v>0</v>
      </c>
      <c r="H178" s="19" t="str">
        <f>'体验表-带进度条'!K178</f>
        <v>卡包2星</v>
      </c>
      <c r="I178" s="38">
        <f>'体验表-带进度条'!L178</f>
        <v>4</v>
      </c>
      <c r="J178" s="21">
        <f>'体验表-带进度条'!M178</f>
        <v>1</v>
      </c>
      <c r="K178" s="14">
        <f>'体验表-带进度条'!N178</f>
        <v>0</v>
      </c>
      <c r="L178" s="22">
        <f>'体验表-带进度条'!O178</f>
        <v>0</v>
      </c>
      <c r="M178" s="30">
        <f>'体验表-带进度条'!X178</f>
        <v>0</v>
      </c>
      <c r="N178" s="23">
        <f>'体验表-带进度条'!AA178</f>
        <v>0</v>
      </c>
      <c r="O178" s="72">
        <f>'体验表-带进度条'!AB178</f>
        <v>0</v>
      </c>
      <c r="T178" s="42"/>
      <c r="U178" s="42"/>
    </row>
    <row r="179" spans="1:21">
      <c r="A179" s="13">
        <f>'体验表-带进度条'!B179</f>
        <v>6</v>
      </c>
      <c r="B179" s="14">
        <f>'体验表-带进度条'!E179</f>
        <v>0</v>
      </c>
      <c r="C179" s="14" t="str">
        <f>'体验表-带进度条'!F179</f>
        <v/>
      </c>
      <c r="D179" s="14">
        <f>'体验表-带进度条'!G179</f>
        <v>0</v>
      </c>
      <c r="E179" s="16">
        <f>'体验表-带进度条'!H179</f>
        <v>0</v>
      </c>
      <c r="F179" s="17">
        <f>'体验表-带进度条'!I179</f>
        <v>0</v>
      </c>
      <c r="G179" s="14">
        <f>'体验表-带进度条'!J179</f>
        <v>0</v>
      </c>
      <c r="H179" s="19" t="str">
        <f>'体验表-带进度条'!K179</f>
        <v>老虎机抽奖券</v>
      </c>
      <c r="I179" s="38">
        <f>'体验表-带进度条'!L179</f>
        <v>3</v>
      </c>
      <c r="J179" s="21">
        <f>'体验表-带进度条'!M179</f>
        <v>5</v>
      </c>
      <c r="K179" s="14">
        <f>'体验表-带进度条'!N179</f>
        <v>0</v>
      </c>
      <c r="L179" s="22">
        <f>'体验表-带进度条'!O179</f>
        <v>0</v>
      </c>
      <c r="M179" s="30">
        <f>'体验表-带进度条'!X179</f>
        <v>0</v>
      </c>
      <c r="N179" s="23">
        <f>'体验表-带进度条'!AA179</f>
        <v>0</v>
      </c>
      <c r="O179" s="72">
        <f>'体验表-带进度条'!AB179</f>
        <v>0</v>
      </c>
      <c r="T179" s="42"/>
      <c r="U179" s="42"/>
    </row>
    <row r="180" spans="1:21">
      <c r="A180" s="13">
        <f>'体验表-带进度条'!B180</f>
        <v>7</v>
      </c>
      <c r="B180" s="14">
        <f>'体验表-带进度条'!E180</f>
        <v>0</v>
      </c>
      <c r="C180" s="14" t="str">
        <f>'体验表-带进度条'!F180</f>
        <v/>
      </c>
      <c r="D180" s="14">
        <f>'体验表-带进度条'!G180</f>
        <v>0</v>
      </c>
      <c r="E180" s="16">
        <f>'体验表-带进度条'!H180</f>
        <v>0</v>
      </c>
      <c r="F180" s="17">
        <f>'体验表-带进度条'!I180</f>
        <v>0</v>
      </c>
      <c r="G180" s="14">
        <f>'体验表-带进度条'!J180</f>
        <v>0</v>
      </c>
      <c r="H180" s="19" t="str">
        <f>'体验表-带进度条'!K180</f>
        <v>大奖赛复活券</v>
      </c>
      <c r="I180" s="38">
        <f>'体验表-带进度条'!L180</f>
        <v>3</v>
      </c>
      <c r="J180" s="21">
        <f>'体验表-带进度条'!M180</f>
        <v>1</v>
      </c>
      <c r="K180" s="14">
        <f>'体验表-带进度条'!N180</f>
        <v>0</v>
      </c>
      <c r="L180" s="22">
        <f>'体验表-带进度条'!O180</f>
        <v>0</v>
      </c>
      <c r="M180" s="30">
        <f>'体验表-带进度条'!X180</f>
        <v>0</v>
      </c>
      <c r="N180" s="23">
        <f>'体验表-带进度条'!AA180</f>
        <v>0</v>
      </c>
      <c r="O180" s="72">
        <f>'体验表-带进度条'!AB180</f>
        <v>0</v>
      </c>
      <c r="T180" s="42"/>
      <c r="U180" s="42"/>
    </row>
    <row r="181" spans="1:21">
      <c r="A181" s="13">
        <f>'体验表-带进度条'!B181</f>
        <v>8</v>
      </c>
      <c r="B181" s="14">
        <f>'体验表-带进度条'!E181</f>
        <v>7.99</v>
      </c>
      <c r="C181" s="14">
        <f>'体验表-带进度条'!F181</f>
        <v>129</v>
      </c>
      <c r="D181" s="14">
        <f>'体验表-带进度条'!G181</f>
        <v>10320000</v>
      </c>
      <c r="E181" s="16">
        <f>'体验表-带进度条'!H181</f>
        <v>17460000</v>
      </c>
      <c r="F181" s="17">
        <f>'体验表-带进度条'!I181</f>
        <v>13.98</v>
      </c>
      <c r="G181" s="14">
        <f>'体验表-带进度条'!J181</f>
        <v>0.12</v>
      </c>
      <c r="H181" s="19" t="str">
        <f>'体验表-带进度条'!K181</f>
        <v>金币</v>
      </c>
      <c r="I181" s="38">
        <f>'体验表-带进度条'!L181</f>
        <v>9</v>
      </c>
      <c r="J181" s="21">
        <f>'体验表-带进度条'!M181</f>
        <v>10320000</v>
      </c>
      <c r="K181" s="14">
        <f>'体验表-带进度条'!N181</f>
        <v>10721610</v>
      </c>
      <c r="L181" s="22">
        <f>'体验表-带进度条'!O181</f>
        <v>10.72161</v>
      </c>
      <c r="M181" s="30">
        <f>'体验表-带进度条'!X181</f>
        <v>20948400</v>
      </c>
      <c r="N181" s="23">
        <f>'体验表-带进度条'!AA181</f>
        <v>20.9484</v>
      </c>
      <c r="O181" s="72">
        <f>'体验表-带进度条'!AB181</f>
        <v>1.19979381443299</v>
      </c>
      <c r="T181" s="42"/>
      <c r="U181" s="42"/>
    </row>
    <row r="182" spans="1:21">
      <c r="A182" s="13">
        <f>'体验表-带进度条'!B182</f>
        <v>9</v>
      </c>
      <c r="B182" s="14">
        <f>'体验表-带进度条'!E182</f>
        <v>0</v>
      </c>
      <c r="C182" s="14" t="str">
        <f>'体验表-带进度条'!F182</f>
        <v/>
      </c>
      <c r="D182" s="14">
        <f>'体验表-带进度条'!G182</f>
        <v>0</v>
      </c>
      <c r="E182" s="16">
        <f>'体验表-带进度条'!H182</f>
        <v>0</v>
      </c>
      <c r="F182" s="17">
        <f>'体验表-带进度条'!I182</f>
        <v>0</v>
      </c>
      <c r="G182" s="14">
        <f>'体验表-带进度条'!J182</f>
        <v>0</v>
      </c>
      <c r="H182" s="19" t="str">
        <f>'体验表-带进度条'!K182</f>
        <v>记牌器1个</v>
      </c>
      <c r="I182" s="38">
        <f>'体验表-带进度条'!L182</f>
        <v>3</v>
      </c>
      <c r="J182" s="21">
        <f>'体验表-带进度条'!M182</f>
        <v>2</v>
      </c>
      <c r="K182" s="14">
        <f>'体验表-带进度条'!N182</f>
        <v>0</v>
      </c>
      <c r="L182" s="22">
        <f>'体验表-带进度条'!O182</f>
        <v>0</v>
      </c>
      <c r="M182" s="30">
        <f>'体验表-带进度条'!X182</f>
        <v>0</v>
      </c>
      <c r="N182" s="23">
        <f>'体验表-带进度条'!AA182</f>
        <v>0</v>
      </c>
      <c r="O182" s="72">
        <f>'体验表-带进度条'!AB182</f>
        <v>0</v>
      </c>
      <c r="T182" s="42"/>
      <c r="U182" s="42"/>
    </row>
    <row r="183" spans="1:21">
      <c r="A183" s="13">
        <f>'体验表-带进度条'!B183</f>
        <v>10</v>
      </c>
      <c r="B183" s="14">
        <f>'体验表-带进度条'!E183</f>
        <v>0</v>
      </c>
      <c r="C183" s="14" t="str">
        <f>'体验表-带进度条'!F183</f>
        <v/>
      </c>
      <c r="D183" s="14">
        <f>'体验表-带进度条'!G183</f>
        <v>0</v>
      </c>
      <c r="E183" s="16">
        <f>'体验表-带进度条'!H183</f>
        <v>0</v>
      </c>
      <c r="F183" s="17">
        <f>'体验表-带进度条'!I183</f>
        <v>0</v>
      </c>
      <c r="G183" s="14">
        <f>'体验表-带进度条'!J183</f>
        <v>0.02</v>
      </c>
      <c r="H183" s="19" t="str">
        <f>'体验表-带进度条'!K183</f>
        <v>金币</v>
      </c>
      <c r="I183" s="38">
        <f>'体验表-带进度条'!L183</f>
        <v>17</v>
      </c>
      <c r="J183" s="21">
        <f>'体验表-带进度条'!M183</f>
        <v>401610</v>
      </c>
      <c r="K183" s="14">
        <f>'体验表-带进度条'!N183</f>
        <v>0</v>
      </c>
      <c r="L183" s="22">
        <f>'体验表-带进度条'!O183</f>
        <v>0</v>
      </c>
      <c r="M183" s="30">
        <f>'体验表-带进度条'!X183</f>
        <v>0</v>
      </c>
      <c r="N183" s="23">
        <f>'体验表-带进度条'!AA183</f>
        <v>0</v>
      </c>
      <c r="O183" s="72">
        <f>'体验表-带进度条'!AB183</f>
        <v>0</v>
      </c>
      <c r="T183" s="42"/>
      <c r="U183" s="42"/>
    </row>
    <row r="184" spans="1:21">
      <c r="A184" s="13">
        <f>'体验表-带进度条'!B184</f>
        <v>11</v>
      </c>
      <c r="B184" s="14">
        <f>'体验表-带进度条'!E184</f>
        <v>0</v>
      </c>
      <c r="C184" s="14" t="str">
        <f>'体验表-带进度条'!F184</f>
        <v/>
      </c>
      <c r="D184" s="14">
        <f>'体验表-带进度条'!G184</f>
        <v>0</v>
      </c>
      <c r="E184" s="16">
        <f>'体验表-带进度条'!H184</f>
        <v>0</v>
      </c>
      <c r="F184" s="17">
        <f>'体验表-带进度条'!I184</f>
        <v>0</v>
      </c>
      <c r="G184" s="14">
        <f>'体验表-带进度条'!J184</f>
        <v>0</v>
      </c>
      <c r="H184" s="19" t="str">
        <f>'体验表-带进度条'!K184</f>
        <v>卡包3星</v>
      </c>
      <c r="I184" s="38">
        <f>'体验表-带进度条'!L184</f>
        <v>4</v>
      </c>
      <c r="J184" s="21">
        <f>'体验表-带进度条'!M184</f>
        <v>1</v>
      </c>
      <c r="K184" s="14">
        <f>'体验表-带进度条'!N184</f>
        <v>0</v>
      </c>
      <c r="L184" s="22">
        <f>'体验表-带进度条'!O184</f>
        <v>0</v>
      </c>
      <c r="M184" s="30">
        <f>'体验表-带进度条'!X184</f>
        <v>0</v>
      </c>
      <c r="N184" s="23">
        <f>'体验表-带进度条'!AA184</f>
        <v>0</v>
      </c>
      <c r="O184" s="72">
        <f>'体验表-带进度条'!AB184</f>
        <v>0</v>
      </c>
      <c r="T184" s="42"/>
      <c r="U184" s="42"/>
    </row>
    <row r="185" spans="1:21">
      <c r="A185" s="13">
        <f>'体验表-带进度条'!B185</f>
        <v>12</v>
      </c>
      <c r="B185" s="14">
        <f>'体验表-带进度条'!E185</f>
        <v>0</v>
      </c>
      <c r="C185" s="14" t="str">
        <f>'体验表-带进度条'!F185</f>
        <v/>
      </c>
      <c r="D185" s="14">
        <f>'体验表-带进度条'!G185</f>
        <v>0</v>
      </c>
      <c r="E185" s="16">
        <f>'体验表-带进度条'!H185</f>
        <v>0</v>
      </c>
      <c r="F185" s="17">
        <f>'体验表-带进度条'!I185</f>
        <v>0</v>
      </c>
      <c r="G185" s="14">
        <f>'体验表-带进度条'!J185</f>
        <v>0</v>
      </c>
      <c r="H185" s="19" t="str">
        <f>'体验表-带进度条'!K185</f>
        <v>老虎机抽奖券</v>
      </c>
      <c r="I185" s="38">
        <f>'体验表-带进度条'!L185</f>
        <v>3</v>
      </c>
      <c r="J185" s="21">
        <f>'体验表-带进度条'!M185</f>
        <v>10</v>
      </c>
      <c r="K185" s="14">
        <f>'体验表-带进度条'!N185</f>
        <v>0</v>
      </c>
      <c r="L185" s="22">
        <f>'体验表-带进度条'!O185</f>
        <v>0</v>
      </c>
      <c r="M185" s="30">
        <f>'体验表-带进度条'!X185</f>
        <v>0</v>
      </c>
      <c r="N185" s="23">
        <f>'体验表-带进度条'!AA185</f>
        <v>0</v>
      </c>
      <c r="O185" s="72">
        <f>'体验表-带进度条'!AB185</f>
        <v>0</v>
      </c>
      <c r="T185" s="42"/>
      <c r="U185" s="42"/>
    </row>
    <row r="186" spans="1:21">
      <c r="A186" s="13">
        <f>'体验表-带进度条'!B186</f>
        <v>13</v>
      </c>
      <c r="B186" s="14">
        <f>'体验表-带进度条'!E186</f>
        <v>0</v>
      </c>
      <c r="C186" s="14" t="str">
        <f>'体验表-带进度条'!F186</f>
        <v/>
      </c>
      <c r="D186" s="14">
        <f>'体验表-带进度条'!G186</f>
        <v>0</v>
      </c>
      <c r="E186" s="16">
        <f>'体验表-带进度条'!H186</f>
        <v>0</v>
      </c>
      <c r="F186" s="17">
        <f>'体验表-带进度条'!I186</f>
        <v>0</v>
      </c>
      <c r="G186" s="14">
        <f>'体验表-带进度条'!J186</f>
        <v>0</v>
      </c>
      <c r="H186" s="19" t="str">
        <f>'体验表-带进度条'!K186</f>
        <v>大奖赛报名券</v>
      </c>
      <c r="I186" s="38">
        <f>'体验表-带进度条'!L186</f>
        <v>3</v>
      </c>
      <c r="J186" s="21">
        <f>'体验表-带进度条'!M186</f>
        <v>1</v>
      </c>
      <c r="K186" s="14">
        <f>'体验表-带进度条'!N186</f>
        <v>0</v>
      </c>
      <c r="L186" s="22">
        <f>'体验表-带进度条'!O186</f>
        <v>0</v>
      </c>
      <c r="M186" s="30">
        <f>'体验表-带进度条'!X186</f>
        <v>0</v>
      </c>
      <c r="N186" s="23">
        <f>'体验表-带进度条'!AA186</f>
        <v>0</v>
      </c>
      <c r="O186" s="72">
        <f>'体验表-带进度条'!AB186</f>
        <v>0</v>
      </c>
      <c r="T186" s="42"/>
      <c r="U186" s="42"/>
    </row>
    <row r="187" spans="1:21">
      <c r="A187" s="13">
        <f>'体验表-带进度条'!B187</f>
        <v>14</v>
      </c>
      <c r="B187" s="14">
        <f>'体验表-带进度条'!E187</f>
        <v>9.99</v>
      </c>
      <c r="C187" s="14">
        <f>'体验表-带进度条'!F187</f>
        <v>139</v>
      </c>
      <c r="D187" s="14">
        <f>'体验表-带进度条'!G187</f>
        <v>13900000</v>
      </c>
      <c r="E187" s="16">
        <f>'体验表-带进度条'!H187</f>
        <v>31360000</v>
      </c>
      <c r="F187" s="17">
        <f>'体验表-带进度条'!I187</f>
        <v>23.97</v>
      </c>
      <c r="G187" s="14">
        <f>'体验表-带进度条'!J187</f>
        <v>0</v>
      </c>
      <c r="H187" s="19" t="str">
        <f>'体验表-带进度条'!K187</f>
        <v>金币</v>
      </c>
      <c r="I187" s="38">
        <f>'体验表-带进度条'!L187</f>
        <v>9</v>
      </c>
      <c r="J187" s="21">
        <f>'体验表-带进度条'!M187</f>
        <v>13900000</v>
      </c>
      <c r="K187" s="14">
        <f>'体验表-带进度条'!N187</f>
        <v>15908050</v>
      </c>
      <c r="L187" s="22">
        <f>'体验表-带进度条'!O187</f>
        <v>15.90805</v>
      </c>
      <c r="M187" s="30">
        <f>'体验表-带进度条'!X187</f>
        <v>36856450</v>
      </c>
      <c r="N187" s="23">
        <f>'体验表-带进度条'!AA187</f>
        <v>36.85645</v>
      </c>
      <c r="O187" s="72">
        <f>'体验表-带进度条'!AB187</f>
        <v>1.17526945153061</v>
      </c>
      <c r="T187" s="42"/>
      <c r="U187" s="42"/>
    </row>
    <row r="188" spans="1:21">
      <c r="A188" s="13">
        <f>'体验表-带进度条'!B188</f>
        <v>15</v>
      </c>
      <c r="B188" s="14">
        <f>'体验表-带进度条'!E188</f>
        <v>0</v>
      </c>
      <c r="C188" s="14" t="str">
        <f>'体验表-带进度条'!F188</f>
        <v/>
      </c>
      <c r="D188" s="14">
        <f>'体验表-带进度条'!G188</f>
        <v>0</v>
      </c>
      <c r="E188" s="16">
        <f>'体验表-带进度条'!H188</f>
        <v>0</v>
      </c>
      <c r="F188" s="17">
        <f>'体验表-带进度条'!I188</f>
        <v>0</v>
      </c>
      <c r="G188" s="14">
        <f>'体验表-带进度条'!J188</f>
        <v>0</v>
      </c>
      <c r="H188" s="19" t="str">
        <f>'体验表-带进度条'!K188</f>
        <v>记牌器1个</v>
      </c>
      <c r="I188" s="38">
        <f>'体验表-带进度条'!L188</f>
        <v>3</v>
      </c>
      <c r="J188" s="21">
        <f>'体验表-带进度条'!M188</f>
        <v>3</v>
      </c>
      <c r="K188" s="14">
        <f>'体验表-带进度条'!N188</f>
        <v>0</v>
      </c>
      <c r="L188" s="22">
        <f>'体验表-带进度条'!O188</f>
        <v>0</v>
      </c>
      <c r="M188" s="30">
        <f>'体验表-带进度条'!X188</f>
        <v>0</v>
      </c>
      <c r="N188" s="23">
        <f>'体验表-带进度条'!AA188</f>
        <v>0</v>
      </c>
      <c r="O188" s="72">
        <f>'体验表-带进度条'!AB188</f>
        <v>0</v>
      </c>
      <c r="T188" s="42"/>
      <c r="U188" s="42"/>
    </row>
    <row r="189" spans="1:21">
      <c r="A189" s="13">
        <f>'体验表-带进度条'!B189</f>
        <v>16</v>
      </c>
      <c r="B189" s="14">
        <f>'体验表-带进度条'!E189</f>
        <v>0</v>
      </c>
      <c r="C189" s="14" t="str">
        <f>'体验表-带进度条'!F189</f>
        <v/>
      </c>
      <c r="D189" s="14">
        <f>'体验表-带进度条'!G189</f>
        <v>0</v>
      </c>
      <c r="E189" s="16">
        <f>'体验表-带进度条'!H189</f>
        <v>0</v>
      </c>
      <c r="F189" s="17">
        <f>'体验表-带进度条'!I189</f>
        <v>0</v>
      </c>
      <c r="G189" s="14">
        <f>'体验表-带进度条'!J189</f>
        <v>0.1</v>
      </c>
      <c r="H189" s="19" t="str">
        <f>'体验表-带进度条'!K189</f>
        <v>金币</v>
      </c>
      <c r="I189" s="38">
        <f>'体验表-带进度条'!L189</f>
        <v>17</v>
      </c>
      <c r="J189" s="21">
        <f>'体验表-带进度条'!M189</f>
        <v>2008050</v>
      </c>
      <c r="K189" s="14">
        <f>'体验表-带进度条'!N189</f>
        <v>0</v>
      </c>
      <c r="L189" s="22">
        <f>'体验表-带进度条'!O189</f>
        <v>0</v>
      </c>
      <c r="M189" s="30">
        <f>'体验表-带进度条'!X189</f>
        <v>0</v>
      </c>
      <c r="N189" s="23">
        <f>'体验表-带进度条'!AA189</f>
        <v>0</v>
      </c>
      <c r="O189" s="72">
        <f>'体验表-带进度条'!AB189</f>
        <v>0</v>
      </c>
      <c r="T189" s="42"/>
      <c r="U189" s="42"/>
    </row>
    <row r="190" spans="1:21">
      <c r="A190" s="13">
        <f>'体验表-带进度条'!B190</f>
        <v>17</v>
      </c>
      <c r="B190" s="14">
        <f>'体验表-带进度条'!E190</f>
        <v>0</v>
      </c>
      <c r="C190" s="14" t="str">
        <f>'体验表-带进度条'!F190</f>
        <v/>
      </c>
      <c r="D190" s="14">
        <f>'体验表-带进度条'!G190</f>
        <v>0</v>
      </c>
      <c r="E190" s="16">
        <f>'体验表-带进度条'!H190</f>
        <v>0</v>
      </c>
      <c r="F190" s="17">
        <f>'体验表-带进度条'!I190</f>
        <v>0</v>
      </c>
      <c r="G190" s="14">
        <f>'体验表-带进度条'!J190</f>
        <v>0</v>
      </c>
      <c r="H190" s="19" t="str">
        <f>'体验表-带进度条'!K190</f>
        <v>卡包4星</v>
      </c>
      <c r="I190" s="38">
        <f>'体验表-带进度条'!L190</f>
        <v>4</v>
      </c>
      <c r="J190" s="21">
        <f>'体验表-带进度条'!M190</f>
        <v>1</v>
      </c>
      <c r="K190" s="14">
        <f>'体验表-带进度条'!N190</f>
        <v>0</v>
      </c>
      <c r="L190" s="22">
        <f>'体验表-带进度条'!O190</f>
        <v>0</v>
      </c>
      <c r="M190" s="30">
        <f>'体验表-带进度条'!X190</f>
        <v>0</v>
      </c>
      <c r="N190" s="23">
        <f>'体验表-带进度条'!AA190</f>
        <v>0</v>
      </c>
      <c r="O190" s="72">
        <f>'体验表-带进度条'!AB190</f>
        <v>0</v>
      </c>
      <c r="T190" s="42"/>
      <c r="U190" s="42"/>
    </row>
    <row r="191" spans="1:21">
      <c r="A191" s="13">
        <f>'体验表-带进度条'!B191</f>
        <v>18</v>
      </c>
      <c r="B191" s="14">
        <f>'体验表-带进度条'!E191</f>
        <v>0</v>
      </c>
      <c r="C191" s="14" t="str">
        <f>'体验表-带进度条'!F191</f>
        <v/>
      </c>
      <c r="D191" s="14">
        <f>'体验表-带进度条'!G191</f>
        <v>0</v>
      </c>
      <c r="E191" s="16">
        <f>'体验表-带进度条'!H191</f>
        <v>0</v>
      </c>
      <c r="F191" s="17">
        <f>'体验表-带进度条'!I191</f>
        <v>0</v>
      </c>
      <c r="G191" s="14">
        <f>'体验表-带进度条'!J191</f>
        <v>0</v>
      </c>
      <c r="H191" s="19" t="str">
        <f>'体验表-带进度条'!K191</f>
        <v>老虎机抽奖券</v>
      </c>
      <c r="I191" s="38">
        <f>'体验表-带进度条'!L191</f>
        <v>3</v>
      </c>
      <c r="J191" s="21">
        <f>'体验表-带进度条'!M191</f>
        <v>15</v>
      </c>
      <c r="K191" s="14">
        <f>'体验表-带进度条'!N191</f>
        <v>0</v>
      </c>
      <c r="L191" s="22">
        <f>'体验表-带进度条'!O191</f>
        <v>0</v>
      </c>
      <c r="M191" s="30">
        <f>'体验表-带进度条'!X191</f>
        <v>0</v>
      </c>
      <c r="N191" s="23">
        <f>'体验表-带进度条'!AA191</f>
        <v>0</v>
      </c>
      <c r="O191" s="72">
        <f>'体验表-带进度条'!AB191</f>
        <v>0</v>
      </c>
      <c r="T191" s="42"/>
      <c r="U191" s="42"/>
    </row>
    <row r="192" spans="1:21">
      <c r="A192" s="13">
        <f>'体验表-带进度条'!B192</f>
        <v>19</v>
      </c>
      <c r="B192" s="14">
        <f>'体验表-带进度条'!E192</f>
        <v>0</v>
      </c>
      <c r="C192" s="14" t="str">
        <f>'体验表-带进度条'!F192</f>
        <v/>
      </c>
      <c r="D192" s="14">
        <f>'体验表-带进度条'!G192</f>
        <v>0</v>
      </c>
      <c r="E192" s="16">
        <f>'体验表-带进度条'!H192</f>
        <v>0</v>
      </c>
      <c r="F192" s="17">
        <f>'体验表-带进度条'!I192</f>
        <v>0</v>
      </c>
      <c r="G192" s="14">
        <f>'体验表-带进度条'!J192</f>
        <v>0</v>
      </c>
      <c r="H192" s="19" t="str">
        <f>'体验表-带进度条'!K192</f>
        <v>大奖赛复活券</v>
      </c>
      <c r="I192" s="38">
        <f>'体验表-带进度条'!L192</f>
        <v>3</v>
      </c>
      <c r="J192" s="21">
        <f>'体验表-带进度条'!M192</f>
        <v>1</v>
      </c>
      <c r="K192" s="14">
        <f>'体验表-带进度条'!N192</f>
        <v>0</v>
      </c>
      <c r="L192" s="22">
        <f>'体验表-带进度条'!O192</f>
        <v>0</v>
      </c>
      <c r="M192" s="30">
        <f>'体验表-带进度条'!X192</f>
        <v>0</v>
      </c>
      <c r="N192" s="23">
        <f>'体验表-带进度条'!AA192</f>
        <v>0</v>
      </c>
      <c r="O192" s="72">
        <f>'体验表-带进度条'!AB192</f>
        <v>0</v>
      </c>
      <c r="T192" s="42"/>
      <c r="U192" s="42"/>
    </row>
    <row r="193" spans="1:21">
      <c r="A193" s="13">
        <f>'体验表-带进度条'!B193</f>
        <v>20</v>
      </c>
      <c r="B193" s="14">
        <f>'体验表-带进度条'!E193</f>
        <v>12.99</v>
      </c>
      <c r="C193" s="14">
        <f>'体验表-带进度条'!F193</f>
        <v>149</v>
      </c>
      <c r="D193" s="14">
        <f>'体验表-带进度条'!G193</f>
        <v>19370000</v>
      </c>
      <c r="E193" s="16">
        <f>'体验表-带进度条'!H193</f>
        <v>50730000</v>
      </c>
      <c r="F193" s="17">
        <f>'体验表-带进度条'!I193</f>
        <v>36.96</v>
      </c>
      <c r="G193" s="14">
        <f>'体验表-带进度条'!J193</f>
        <v>0.24</v>
      </c>
      <c r="H193" s="19" t="str">
        <f>'体验表-带进度条'!K193</f>
        <v>金币</v>
      </c>
      <c r="I193" s="38">
        <f>'体验表-带进度条'!L193</f>
        <v>9</v>
      </c>
      <c r="J193" s="21">
        <f>'体验表-带进度条'!M193</f>
        <v>19370000</v>
      </c>
      <c r="K193" s="14">
        <f>'体验表-带进度条'!N193</f>
        <v>20976440</v>
      </c>
      <c r="L193" s="22">
        <f>'体验表-带进度条'!O193</f>
        <v>20.97644</v>
      </c>
      <c r="M193" s="30">
        <f>'体验表-带进度条'!X193</f>
        <v>59990370</v>
      </c>
      <c r="N193" s="23">
        <f>'体验表-带进度条'!AA193</f>
        <v>59.99037</v>
      </c>
      <c r="O193" s="72">
        <f>'体验表-带进度条'!AB193</f>
        <v>1.18254228267297</v>
      </c>
      <c r="T193" s="42"/>
      <c r="U193" s="42"/>
    </row>
    <row r="194" spans="1:21">
      <c r="A194" s="13">
        <f>'体验表-带进度条'!B194</f>
        <v>21</v>
      </c>
      <c r="B194" s="14">
        <f>'体验表-带进度条'!E194</f>
        <v>0</v>
      </c>
      <c r="C194" s="14" t="str">
        <f>'体验表-带进度条'!F194</f>
        <v/>
      </c>
      <c r="D194" s="14">
        <f>'体验表-带进度条'!G194</f>
        <v>0</v>
      </c>
      <c r="E194" s="16">
        <f>'体验表-带进度条'!H194</f>
        <v>0</v>
      </c>
      <c r="F194" s="17">
        <f>'体验表-带进度条'!I194</f>
        <v>0</v>
      </c>
      <c r="G194" s="14">
        <f>'体验表-带进度条'!J194</f>
        <v>0</v>
      </c>
      <c r="H194" s="19" t="str">
        <f>'体验表-带进度条'!K194</f>
        <v>记牌器1个</v>
      </c>
      <c r="I194" s="38">
        <f>'体验表-带进度条'!L194</f>
        <v>3</v>
      </c>
      <c r="J194" s="21">
        <f>'体验表-带进度条'!M194</f>
        <v>4</v>
      </c>
      <c r="K194" s="14">
        <f>'体验表-带进度条'!N194</f>
        <v>0</v>
      </c>
      <c r="L194" s="22">
        <f>'体验表-带进度条'!O194</f>
        <v>0</v>
      </c>
      <c r="M194" s="30">
        <f>'体验表-带进度条'!X194</f>
        <v>0</v>
      </c>
      <c r="N194" s="23">
        <f>'体验表-带进度条'!AA194</f>
        <v>0</v>
      </c>
      <c r="O194" s="72">
        <f>'体验表-带进度条'!AB194</f>
        <v>0</v>
      </c>
      <c r="T194" s="42"/>
      <c r="U194" s="42"/>
    </row>
    <row r="195" spans="1:21">
      <c r="A195" s="13">
        <f>'体验表-带进度条'!B195</f>
        <v>22</v>
      </c>
      <c r="B195" s="14">
        <f>'体验表-带进度条'!E195</f>
        <v>0</v>
      </c>
      <c r="C195" s="14" t="str">
        <f>'体验表-带进度条'!F195</f>
        <v/>
      </c>
      <c r="D195" s="14">
        <f>'体验表-带进度条'!G195</f>
        <v>0</v>
      </c>
      <c r="E195" s="16">
        <f>'体验表-带进度条'!H195</f>
        <v>0</v>
      </c>
      <c r="F195" s="17">
        <f>'体验表-带进度条'!I195</f>
        <v>0</v>
      </c>
      <c r="G195" s="14">
        <f>'体验表-带进度条'!J195</f>
        <v>0.08</v>
      </c>
      <c r="H195" s="19" t="str">
        <f>'体验表-带进度条'!K195</f>
        <v>金币</v>
      </c>
      <c r="I195" s="38">
        <f>'体验表-带进度条'!L195</f>
        <v>17</v>
      </c>
      <c r="J195" s="21">
        <f>'体验表-带进度条'!M195</f>
        <v>1606440</v>
      </c>
      <c r="K195" s="14">
        <f>'体验表-带进度条'!N195</f>
        <v>0</v>
      </c>
      <c r="L195" s="22">
        <f>'体验表-带进度条'!O195</f>
        <v>0</v>
      </c>
      <c r="M195" s="30">
        <f>'体验表-带进度条'!X195</f>
        <v>0</v>
      </c>
      <c r="N195" s="23">
        <f>'体验表-带进度条'!AA195</f>
        <v>0</v>
      </c>
      <c r="O195" s="72">
        <f>'体验表-带进度条'!AB195</f>
        <v>0</v>
      </c>
      <c r="T195" s="42"/>
      <c r="U195" s="42"/>
    </row>
    <row r="196" spans="1:21">
      <c r="A196" s="13">
        <f>'体验表-带进度条'!B196</f>
        <v>23</v>
      </c>
      <c r="B196" s="14">
        <f>'体验表-带进度条'!E196</f>
        <v>0</v>
      </c>
      <c r="C196" s="14" t="str">
        <f>'体验表-带进度条'!F196</f>
        <v/>
      </c>
      <c r="D196" s="14">
        <f>'体验表-带进度条'!G196</f>
        <v>0</v>
      </c>
      <c r="E196" s="16">
        <f>'体验表-带进度条'!H196</f>
        <v>0</v>
      </c>
      <c r="F196" s="17">
        <f>'体验表-带进度条'!I196</f>
        <v>0</v>
      </c>
      <c r="G196" s="14">
        <f>'体验表-带进度条'!J196</f>
        <v>0</v>
      </c>
      <c r="H196" s="19" t="str">
        <f>'体验表-带进度条'!K196</f>
        <v>卡包4星</v>
      </c>
      <c r="I196" s="38">
        <f>'体验表-带进度条'!L196</f>
        <v>4</v>
      </c>
      <c r="J196" s="21">
        <f>'体验表-带进度条'!M196</f>
        <v>1</v>
      </c>
      <c r="K196" s="14">
        <f>'体验表-带进度条'!N196</f>
        <v>0</v>
      </c>
      <c r="L196" s="22">
        <f>'体验表-带进度条'!O196</f>
        <v>0</v>
      </c>
      <c r="M196" s="30">
        <f>'体验表-带进度条'!X196</f>
        <v>0</v>
      </c>
      <c r="N196" s="23">
        <f>'体验表-带进度条'!AA196</f>
        <v>0</v>
      </c>
      <c r="O196" s="72">
        <f>'体验表-带进度条'!AB196</f>
        <v>0</v>
      </c>
      <c r="T196" s="42"/>
      <c r="U196" s="42"/>
    </row>
    <row r="197" spans="1:21">
      <c r="A197" s="13">
        <f>'体验表-带进度条'!B197</f>
        <v>24</v>
      </c>
      <c r="B197" s="14">
        <f>'体验表-带进度条'!E197</f>
        <v>0</v>
      </c>
      <c r="C197" s="14" t="str">
        <f>'体验表-带进度条'!F197</f>
        <v/>
      </c>
      <c r="D197" s="14">
        <f>'体验表-带进度条'!G197</f>
        <v>0</v>
      </c>
      <c r="E197" s="16">
        <f>'体验表-带进度条'!H197</f>
        <v>0</v>
      </c>
      <c r="F197" s="17">
        <f>'体验表-带进度条'!I197</f>
        <v>0</v>
      </c>
      <c r="G197" s="14">
        <f>'体验表-带进度条'!J197</f>
        <v>0</v>
      </c>
      <c r="H197" s="19" t="str">
        <f>'体验表-带进度条'!K197</f>
        <v>老虎机抽奖券</v>
      </c>
      <c r="I197" s="38">
        <f>'体验表-带进度条'!L197</f>
        <v>3</v>
      </c>
      <c r="J197" s="21">
        <f>'体验表-带进度条'!M197</f>
        <v>20</v>
      </c>
      <c r="K197" s="14">
        <f>'体验表-带进度条'!N197</f>
        <v>0</v>
      </c>
      <c r="L197" s="22">
        <f>'体验表-带进度条'!O197</f>
        <v>0</v>
      </c>
      <c r="M197" s="30">
        <f>'体验表-带进度条'!X197</f>
        <v>0</v>
      </c>
      <c r="N197" s="23">
        <f>'体验表-带进度条'!AA197</f>
        <v>0</v>
      </c>
      <c r="O197" s="72">
        <f>'体验表-带进度条'!AB197</f>
        <v>0</v>
      </c>
      <c r="T197" s="42"/>
      <c r="U197" s="42"/>
    </row>
    <row r="198" spans="1:21">
      <c r="A198" s="13">
        <f>'体验表-带进度条'!B198</f>
        <v>25</v>
      </c>
      <c r="B198" s="14">
        <f>'体验表-带进度条'!E198</f>
        <v>0</v>
      </c>
      <c r="C198" s="14" t="str">
        <f>'体验表-带进度条'!F198</f>
        <v/>
      </c>
      <c r="D198" s="14">
        <f>'体验表-带进度条'!G198</f>
        <v>0</v>
      </c>
      <c r="E198" s="16">
        <f>'体验表-带进度条'!H198</f>
        <v>0</v>
      </c>
      <c r="F198" s="17">
        <f>'体验表-带进度条'!I198</f>
        <v>0</v>
      </c>
      <c r="G198" s="14">
        <f>'体验表-带进度条'!J198</f>
        <v>0</v>
      </c>
      <c r="H198" s="19" t="str">
        <f>'体验表-带进度条'!K198</f>
        <v>大奖赛报名券</v>
      </c>
      <c r="I198" s="38">
        <f>'体验表-带进度条'!L198</f>
        <v>3</v>
      </c>
      <c r="J198" s="21">
        <f>'体验表-带进度条'!M198</f>
        <v>1</v>
      </c>
      <c r="K198" s="14">
        <f>'体验表-带进度条'!N198</f>
        <v>0</v>
      </c>
      <c r="L198" s="22">
        <f>'体验表-带进度条'!O198</f>
        <v>0</v>
      </c>
      <c r="M198" s="30">
        <f>'体验表-带进度条'!X198</f>
        <v>0</v>
      </c>
      <c r="N198" s="23">
        <f>'体验表-带进度条'!AA198</f>
        <v>0</v>
      </c>
      <c r="O198" s="72">
        <f>'体验表-带进度条'!AB198</f>
        <v>0</v>
      </c>
      <c r="T198" s="42"/>
      <c r="U198" s="42"/>
    </row>
    <row r="199" spans="1:21">
      <c r="A199" s="13">
        <f>'体验表-带进度条'!B199</f>
        <v>26</v>
      </c>
      <c r="B199" s="14">
        <f>'体验表-带进度条'!E199</f>
        <v>14.99</v>
      </c>
      <c r="C199" s="14">
        <f>'体验表-带进度条'!F199</f>
        <v>154</v>
      </c>
      <c r="D199" s="14">
        <f>'体验表-带进度条'!G199</f>
        <v>23100000</v>
      </c>
      <c r="E199" s="16">
        <f>'体验表-带进度条'!H199</f>
        <v>73830000</v>
      </c>
      <c r="F199" s="17">
        <f>'体验表-带进度条'!I199</f>
        <v>51.95</v>
      </c>
      <c r="G199" s="14">
        <f>'体验表-带进度条'!J199</f>
        <v>0</v>
      </c>
      <c r="H199" s="19" t="str">
        <f>'体验表-带进度条'!K199</f>
        <v>金币</v>
      </c>
      <c r="I199" s="38">
        <f>'体验表-带进度条'!L199</f>
        <v>9</v>
      </c>
      <c r="J199" s="21">
        <f>'体验表-带进度条'!M199</f>
        <v>23100000</v>
      </c>
      <c r="K199" s="14">
        <f>'体验表-带进度条'!N199</f>
        <v>24104025</v>
      </c>
      <c r="L199" s="22">
        <f>'体验表-带进度条'!O199</f>
        <v>24.104025</v>
      </c>
      <c r="M199" s="30">
        <f>'体验表-带进度条'!X199</f>
        <v>84094395</v>
      </c>
      <c r="N199" s="23">
        <f>'体验表-带进度条'!AA199</f>
        <v>84.094395</v>
      </c>
      <c r="O199" s="72">
        <f>'体验表-带进度条'!AB199</f>
        <v>1.13902742787485</v>
      </c>
    </row>
    <row r="200" spans="1:21">
      <c r="A200" s="13">
        <f>'体验表-带进度条'!B200</f>
        <v>27</v>
      </c>
      <c r="B200" s="14">
        <f>'体验表-带进度条'!E200</f>
        <v>0</v>
      </c>
      <c r="C200" s="14" t="str">
        <f>'体验表-带进度条'!F200</f>
        <v/>
      </c>
      <c r="D200" s="14">
        <f>'体验表-带进度条'!G200</f>
        <v>0</v>
      </c>
      <c r="E200" s="16">
        <f>'体验表-带进度条'!H200</f>
        <v>0</v>
      </c>
      <c r="F200" s="17">
        <f>'体验表-带进度条'!I200</f>
        <v>0</v>
      </c>
      <c r="G200" s="14">
        <f>'体验表-带进度条'!J200</f>
        <v>0</v>
      </c>
      <c r="H200" s="19" t="str">
        <f>'体验表-带进度条'!K200</f>
        <v>记牌器1个</v>
      </c>
      <c r="I200" s="38">
        <f>'体验表-带进度条'!L200</f>
        <v>3</v>
      </c>
      <c r="J200" s="21">
        <f>'体验表-带进度条'!M200</f>
        <v>5</v>
      </c>
      <c r="K200" s="14">
        <f>'体验表-带进度条'!N200</f>
        <v>0</v>
      </c>
      <c r="L200" s="22">
        <f>'体验表-带进度条'!O200</f>
        <v>0</v>
      </c>
      <c r="M200" s="30">
        <f>'体验表-带进度条'!X200</f>
        <v>0</v>
      </c>
      <c r="N200" s="23">
        <f>'体验表-带进度条'!AA200</f>
        <v>0</v>
      </c>
      <c r="O200" s="72">
        <f>'体验表-带进度条'!AB200</f>
        <v>0</v>
      </c>
    </row>
    <row r="201" spans="1:21">
      <c r="A201" s="13">
        <f>'体验表-带进度条'!B201</f>
        <v>28</v>
      </c>
      <c r="B201" s="14">
        <f>'体验表-带进度条'!E201</f>
        <v>0</v>
      </c>
      <c r="C201" s="14" t="str">
        <f>'体验表-带进度条'!F201</f>
        <v/>
      </c>
      <c r="D201" s="14">
        <f>'体验表-带进度条'!G201</f>
        <v>0</v>
      </c>
      <c r="E201" s="16">
        <f>'体验表-带进度条'!H201</f>
        <v>0</v>
      </c>
      <c r="F201" s="17">
        <f>'体验表-带进度条'!I201</f>
        <v>0</v>
      </c>
      <c r="G201" s="14">
        <f>'体验表-带进度条'!J201</f>
        <v>0.05</v>
      </c>
      <c r="H201" s="19" t="str">
        <f>'体验表-带进度条'!K201</f>
        <v>金币</v>
      </c>
      <c r="I201" s="38">
        <f>'体验表-带进度条'!L201</f>
        <v>17</v>
      </c>
      <c r="J201" s="21">
        <f>'体验表-带进度条'!M201</f>
        <v>1004025</v>
      </c>
      <c r="K201" s="14">
        <f>'体验表-带进度条'!N201</f>
        <v>0</v>
      </c>
      <c r="L201" s="22">
        <f>'体验表-带进度条'!O201</f>
        <v>0</v>
      </c>
      <c r="M201" s="30">
        <f>'体验表-带进度条'!X201</f>
        <v>0</v>
      </c>
      <c r="N201" s="23">
        <f>'体验表-带进度条'!AA201</f>
        <v>0</v>
      </c>
      <c r="O201" s="72">
        <f>'体验表-带进度条'!AB201</f>
        <v>0</v>
      </c>
    </row>
    <row r="202" spans="1:21">
      <c r="A202" s="13">
        <f>'体验表-带进度条'!B202</f>
        <v>29</v>
      </c>
      <c r="B202" s="14">
        <f>'体验表-带进度条'!E202</f>
        <v>0</v>
      </c>
      <c r="C202" s="14" t="str">
        <f>'体验表-带进度条'!F202</f>
        <v/>
      </c>
      <c r="D202" s="14">
        <f>'体验表-带进度条'!G202</f>
        <v>0</v>
      </c>
      <c r="E202" s="16">
        <f>'体验表-带进度条'!H202</f>
        <v>0</v>
      </c>
      <c r="F202" s="17">
        <f>'体验表-带进度条'!I202</f>
        <v>0</v>
      </c>
      <c r="G202" s="14">
        <f>'体验表-带进度条'!J202</f>
        <v>0</v>
      </c>
      <c r="H202" s="19" t="str">
        <f>'体验表-带进度条'!K202</f>
        <v>卡包5星</v>
      </c>
      <c r="I202" s="38">
        <f>'体验表-带进度条'!L202</f>
        <v>4</v>
      </c>
      <c r="J202" s="21">
        <f>'体验表-带进度条'!M202</f>
        <v>1</v>
      </c>
      <c r="K202" s="14">
        <f>'体验表-带进度条'!N202</f>
        <v>0</v>
      </c>
      <c r="L202" s="22">
        <f>'体验表-带进度条'!O202</f>
        <v>0</v>
      </c>
      <c r="M202" s="30">
        <f>'体验表-带进度条'!X202</f>
        <v>0</v>
      </c>
      <c r="N202" s="23">
        <f>'体验表-带进度条'!AA202</f>
        <v>0</v>
      </c>
      <c r="O202" s="72">
        <f>'体验表-带进度条'!AB202</f>
        <v>0</v>
      </c>
    </row>
    <row r="203" spans="1:21">
      <c r="A203" s="13">
        <f>'体验表-带进度条'!B203</f>
        <v>30</v>
      </c>
      <c r="B203" s="14">
        <f>'体验表-带进度条'!E203</f>
        <v>0</v>
      </c>
      <c r="C203" s="14" t="str">
        <f>'体验表-带进度条'!F203</f>
        <v/>
      </c>
      <c r="D203" s="14">
        <f>'体验表-带进度条'!G203</f>
        <v>0</v>
      </c>
      <c r="E203" s="16">
        <f>'体验表-带进度条'!H203</f>
        <v>0</v>
      </c>
      <c r="F203" s="17">
        <f>'体验表-带进度条'!I203</f>
        <v>0</v>
      </c>
      <c r="G203" s="14">
        <f>'体验表-带进度条'!J203</f>
        <v>0</v>
      </c>
      <c r="H203" s="19" t="str">
        <f>'体验表-带进度条'!K203</f>
        <v>老虎机抽奖券</v>
      </c>
      <c r="I203" s="38">
        <f>'体验表-带进度条'!L203</f>
        <v>3</v>
      </c>
      <c r="J203" s="21">
        <f>'体验表-带进度条'!M203</f>
        <v>25</v>
      </c>
      <c r="K203" s="14">
        <f>'体验表-带进度条'!N203</f>
        <v>0</v>
      </c>
      <c r="L203" s="22">
        <f>'体验表-带进度条'!O203</f>
        <v>0</v>
      </c>
      <c r="M203" s="30">
        <f>'体验表-带进度条'!X203</f>
        <v>0</v>
      </c>
      <c r="N203" s="23">
        <f>'体验表-带进度条'!AA203</f>
        <v>0</v>
      </c>
      <c r="O203" s="72">
        <f>'体验表-带进度条'!AB203</f>
        <v>0</v>
      </c>
    </row>
    <row r="204" spans="1:21">
      <c r="A204" s="13">
        <f>'体验表-带进度条'!B204</f>
        <v>31</v>
      </c>
      <c r="B204" s="14">
        <f>'体验表-带进度条'!E204</f>
        <v>0</v>
      </c>
      <c r="C204" s="14" t="str">
        <f>'体验表-带进度条'!F204</f>
        <v/>
      </c>
      <c r="D204" s="14">
        <f>'体验表-带进度条'!G204</f>
        <v>0</v>
      </c>
      <c r="E204" s="16">
        <f>'体验表-带进度条'!H204</f>
        <v>0</v>
      </c>
      <c r="F204" s="17">
        <f>'体验表-带进度条'!I204</f>
        <v>0</v>
      </c>
      <c r="G204" s="14">
        <f>'体验表-带进度条'!J204</f>
        <v>0</v>
      </c>
      <c r="H204" s="19" t="str">
        <f>'体验表-带进度条'!K204</f>
        <v>大奖赛复活券</v>
      </c>
      <c r="I204" s="38">
        <f>'体验表-带进度条'!L204</f>
        <v>3</v>
      </c>
      <c r="J204" s="21">
        <f>'体验表-带进度条'!M204</f>
        <v>1</v>
      </c>
      <c r="K204" s="14">
        <f>'体验表-带进度条'!N204</f>
        <v>0</v>
      </c>
      <c r="L204" s="22">
        <f>'体验表-带进度条'!O204</f>
        <v>0</v>
      </c>
      <c r="M204" s="30">
        <f>'体验表-带进度条'!X204</f>
        <v>0</v>
      </c>
      <c r="N204" s="23">
        <f>'体验表-带进度条'!AA204</f>
        <v>0</v>
      </c>
      <c r="O204" s="72">
        <f>'体验表-带进度条'!AB204</f>
        <v>0</v>
      </c>
    </row>
    <row r="205" spans="1:21">
      <c r="A205" s="13">
        <f>'体验表-带进度条'!B205</f>
        <v>32</v>
      </c>
      <c r="B205" s="14">
        <f>'体验表-带进度条'!E205</f>
        <v>17.99</v>
      </c>
      <c r="C205" s="14">
        <f>'体验表-带进度条'!F205</f>
        <v>158</v>
      </c>
      <c r="D205" s="14">
        <f>'体验表-带进度条'!G205</f>
        <v>28440000</v>
      </c>
      <c r="E205" s="16">
        <f>'体验表-带进度条'!H205</f>
        <v>102270000</v>
      </c>
      <c r="F205" s="17">
        <f>'体验表-带进度条'!I205</f>
        <v>69.94</v>
      </c>
      <c r="G205" s="14">
        <f>'体验表-带进度条'!J205</f>
        <v>0</v>
      </c>
      <c r="H205" s="19" t="str">
        <f>'体验表-带进度条'!K205</f>
        <v>金币</v>
      </c>
      <c r="I205" s="38">
        <f>'体验表-带进度条'!L205</f>
        <v>9</v>
      </c>
      <c r="J205" s="21">
        <f>'体验表-带进度条'!M205</f>
        <v>28440000</v>
      </c>
      <c r="K205" s="14">
        <f>'体验表-带进度条'!N205</f>
        <v>30849660</v>
      </c>
      <c r="L205" s="22">
        <f>'体验表-带进度条'!O205</f>
        <v>30.84966</v>
      </c>
      <c r="M205" s="30">
        <f>'体验表-带进度条'!X205</f>
        <v>114944055</v>
      </c>
      <c r="N205" s="23">
        <f>'体验表-带进度条'!AA205</f>
        <v>114.944055</v>
      </c>
      <c r="O205" s="72">
        <f>'体验表-带进度条'!AB205</f>
        <v>1.12392739806395</v>
      </c>
    </row>
    <row r="206" spans="1:21">
      <c r="A206" s="13">
        <f>'体验表-带进度条'!B206</f>
        <v>33</v>
      </c>
      <c r="B206" s="14">
        <f>'体验表-带进度条'!E206</f>
        <v>0</v>
      </c>
      <c r="C206" s="14" t="str">
        <f>'体验表-带进度条'!F206</f>
        <v/>
      </c>
      <c r="D206" s="14">
        <f>'体验表-带进度条'!G206</f>
        <v>0</v>
      </c>
      <c r="E206" s="16">
        <f>'体验表-带进度条'!H206</f>
        <v>0</v>
      </c>
      <c r="F206" s="17">
        <f>'体验表-带进度条'!I206</f>
        <v>0</v>
      </c>
      <c r="G206" s="14">
        <f>'体验表-带进度条'!J206</f>
        <v>0</v>
      </c>
      <c r="H206" s="19" t="str">
        <f>'体验表-带进度条'!K206</f>
        <v>记牌器1个</v>
      </c>
      <c r="I206" s="38">
        <f>'体验表-带进度条'!L206</f>
        <v>3</v>
      </c>
      <c r="J206" s="21">
        <f>'体验表-带进度条'!M206</f>
        <v>6</v>
      </c>
      <c r="K206" s="14">
        <f>'体验表-带进度条'!N206</f>
        <v>0</v>
      </c>
      <c r="L206" s="22">
        <f>'体验表-带进度条'!O206</f>
        <v>0</v>
      </c>
      <c r="M206" s="30">
        <f>'体验表-带进度条'!X206</f>
        <v>0</v>
      </c>
      <c r="N206" s="23">
        <f>'体验表-带进度条'!AA206</f>
        <v>0</v>
      </c>
      <c r="O206" s="72">
        <f>'体验表-带进度条'!AB206</f>
        <v>0</v>
      </c>
    </row>
    <row r="207" spans="1:21">
      <c r="A207" s="13">
        <f>'体验表-带进度条'!B207</f>
        <v>34</v>
      </c>
      <c r="B207" s="14">
        <f>'体验表-带进度条'!E207</f>
        <v>0</v>
      </c>
      <c r="C207" s="14" t="str">
        <f>'体验表-带进度条'!F207</f>
        <v/>
      </c>
      <c r="D207" s="14">
        <f>'体验表-带进度条'!G207</f>
        <v>0</v>
      </c>
      <c r="E207" s="16">
        <f>'体验表-带进度条'!H207</f>
        <v>0</v>
      </c>
      <c r="F207" s="17">
        <f>'体验表-带进度条'!I207</f>
        <v>0</v>
      </c>
      <c r="G207" s="14">
        <f>'体验表-带进度条'!J207</f>
        <v>0.12</v>
      </c>
      <c r="H207" s="19" t="str">
        <f>'体验表-带进度条'!K207</f>
        <v>金币</v>
      </c>
      <c r="I207" s="38">
        <f>'体验表-带进度条'!L207</f>
        <v>17</v>
      </c>
      <c r="J207" s="21">
        <f>'体验表-带进度条'!M207</f>
        <v>2409660</v>
      </c>
      <c r="K207" s="14">
        <f>'体验表-带进度条'!N207</f>
        <v>0</v>
      </c>
      <c r="L207" s="22">
        <f>'体验表-带进度条'!O207</f>
        <v>0</v>
      </c>
      <c r="M207" s="30">
        <f>'体验表-带进度条'!X207</f>
        <v>0</v>
      </c>
      <c r="N207" s="23">
        <f>'体验表-带进度条'!AA207</f>
        <v>0</v>
      </c>
      <c r="O207" s="72">
        <f>'体验表-带进度条'!AB207</f>
        <v>0</v>
      </c>
    </row>
    <row r="208" spans="1:21">
      <c r="A208" s="13">
        <f>'体验表-带进度条'!B208</f>
        <v>35</v>
      </c>
      <c r="B208" s="14">
        <f>'体验表-带进度条'!E208</f>
        <v>0</v>
      </c>
      <c r="C208" s="14" t="str">
        <f>'体验表-带进度条'!F208</f>
        <v/>
      </c>
      <c r="D208" s="14">
        <f>'体验表-带进度条'!G208</f>
        <v>0</v>
      </c>
      <c r="E208" s="16">
        <f>'体验表-带进度条'!H208</f>
        <v>0</v>
      </c>
      <c r="F208" s="17">
        <f>'体验表-带进度条'!I208</f>
        <v>0</v>
      </c>
      <c r="G208" s="14">
        <f>'体验表-带进度条'!J208</f>
        <v>0</v>
      </c>
      <c r="H208" s="19" t="str">
        <f>'体验表-带进度条'!K208</f>
        <v>卡包5星</v>
      </c>
      <c r="I208" s="38">
        <f>'体验表-带进度条'!L208</f>
        <v>4</v>
      </c>
      <c r="J208" s="21">
        <f>'体验表-带进度条'!M208</f>
        <v>1</v>
      </c>
      <c r="K208" s="14">
        <f>'体验表-带进度条'!N208</f>
        <v>0</v>
      </c>
      <c r="L208" s="22">
        <f>'体验表-带进度条'!O208</f>
        <v>0</v>
      </c>
      <c r="M208" s="30">
        <f>'体验表-带进度条'!X208</f>
        <v>0</v>
      </c>
      <c r="N208" s="23">
        <f>'体验表-带进度条'!AA208</f>
        <v>0</v>
      </c>
      <c r="O208" s="72">
        <f>'体验表-带进度条'!AB208</f>
        <v>0</v>
      </c>
    </row>
    <row r="209" spans="1:15">
      <c r="A209" s="13">
        <f>'体验表-带进度条'!B209</f>
        <v>36</v>
      </c>
      <c r="B209" s="14">
        <f>'体验表-带进度条'!E209</f>
        <v>0</v>
      </c>
      <c r="C209" s="14" t="str">
        <f>'体验表-带进度条'!F209</f>
        <v/>
      </c>
      <c r="D209" s="14">
        <f>'体验表-带进度条'!G209</f>
        <v>0</v>
      </c>
      <c r="E209" s="16">
        <f>'体验表-带进度条'!H209</f>
        <v>0</v>
      </c>
      <c r="F209" s="17">
        <f>'体验表-带进度条'!I209</f>
        <v>0</v>
      </c>
      <c r="G209" s="14">
        <f>'体验表-带进度条'!J209</f>
        <v>0</v>
      </c>
      <c r="H209" s="19" t="str">
        <f>'体验表-带进度条'!K209</f>
        <v>老虎机抽奖券</v>
      </c>
      <c r="I209" s="38">
        <f>'体验表-带进度条'!L209</f>
        <v>3</v>
      </c>
      <c r="J209" s="21">
        <f>'体验表-带进度条'!M209</f>
        <v>30</v>
      </c>
      <c r="K209" s="14">
        <f>'体验表-带进度条'!N209</f>
        <v>0</v>
      </c>
      <c r="L209" s="22">
        <f>'体验表-带进度条'!O209</f>
        <v>0</v>
      </c>
      <c r="M209" s="30">
        <f>'体验表-带进度条'!X209</f>
        <v>0</v>
      </c>
      <c r="N209" s="23">
        <f>'体验表-带进度条'!AA209</f>
        <v>0</v>
      </c>
      <c r="O209" s="72">
        <f>'体验表-带进度条'!AB209</f>
        <v>0</v>
      </c>
    </row>
    <row r="210" spans="1:15">
      <c r="A210" s="13">
        <f>'体验表-带进度条'!B210</f>
        <v>37</v>
      </c>
      <c r="B210" s="14">
        <f>'体验表-带进度条'!E210</f>
        <v>0</v>
      </c>
      <c r="C210" s="14" t="str">
        <f>'体验表-带进度条'!F210</f>
        <v/>
      </c>
      <c r="D210" s="14">
        <f>'体验表-带进度条'!G210</f>
        <v>0</v>
      </c>
      <c r="E210" s="16">
        <f>'体验表-带进度条'!H210</f>
        <v>0</v>
      </c>
      <c r="F210" s="17">
        <f>'体验表-带进度条'!I210</f>
        <v>0</v>
      </c>
      <c r="G210" s="14">
        <f>'体验表-带进度条'!J210</f>
        <v>0</v>
      </c>
      <c r="H210" s="19" t="str">
        <f>'体验表-带进度条'!K210</f>
        <v>大奖赛报名券</v>
      </c>
      <c r="I210" s="38">
        <f>'体验表-带进度条'!L210</f>
        <v>3</v>
      </c>
      <c r="J210" s="21">
        <f>'体验表-带进度条'!M210</f>
        <v>1</v>
      </c>
      <c r="K210" s="14">
        <f>'体验表-带进度条'!N210</f>
        <v>0</v>
      </c>
      <c r="L210" s="22">
        <f>'体验表-带进度条'!O210</f>
        <v>0</v>
      </c>
      <c r="M210" s="30">
        <f>'体验表-带进度条'!X210</f>
        <v>0</v>
      </c>
      <c r="N210" s="23">
        <f>'体验表-带进度条'!AA210</f>
        <v>0</v>
      </c>
      <c r="O210" s="72">
        <f>'体验表-带进度条'!AB210</f>
        <v>0</v>
      </c>
    </row>
    <row r="211" spans="1:15">
      <c r="A211" s="13">
        <f>'体验表-带进度条'!B211</f>
        <v>38</v>
      </c>
      <c r="B211" s="14">
        <f>'体验表-带进度条'!E211</f>
        <v>19.99</v>
      </c>
      <c r="C211" s="14">
        <f>'体验表-带进度条'!F211</f>
        <v>158</v>
      </c>
      <c r="D211" s="14">
        <f>'体验表-带进度条'!G211</f>
        <v>31600000</v>
      </c>
      <c r="E211" s="16">
        <f>'体验表-带进度条'!H211</f>
        <v>133870000</v>
      </c>
      <c r="F211" s="17">
        <f>'体验表-带进度条'!I211</f>
        <v>89.93</v>
      </c>
      <c r="G211" s="14">
        <f>'体验表-带进度条'!J211</f>
        <v>0.45</v>
      </c>
      <c r="H211" s="19" t="str">
        <f>'体验表-带进度条'!K211</f>
        <v>金币</v>
      </c>
      <c r="I211" s="38">
        <f>'体验表-带进度条'!L211</f>
        <v>9</v>
      </c>
      <c r="J211" s="21">
        <f>'体验表-带进度条'!M211</f>
        <v>31600000</v>
      </c>
      <c r="K211" s="14">
        <f>'体验表-带进度条'!N211</f>
        <v>34009660</v>
      </c>
      <c r="L211" s="22">
        <f>'体验表-带进度条'!O211</f>
        <v>34.00966</v>
      </c>
      <c r="M211" s="30">
        <f>'体验表-带进度条'!X211</f>
        <v>152998990</v>
      </c>
      <c r="N211" s="23">
        <f>'体验表-带进度条'!AA211</f>
        <v>152.99899</v>
      </c>
      <c r="O211" s="72">
        <f>'体验表-带进度条'!AB211</f>
        <v>1.14289228355868</v>
      </c>
    </row>
    <row r="212" spans="1:15">
      <c r="A212" s="13">
        <f>'体验表-带进度条'!B212</f>
        <v>39</v>
      </c>
      <c r="B212" s="14">
        <f>'体验表-带进度条'!E212</f>
        <v>0</v>
      </c>
      <c r="C212" s="14" t="str">
        <f>'体验表-带进度条'!F212</f>
        <v/>
      </c>
      <c r="D212" s="14">
        <f>'体验表-带进度条'!G212</f>
        <v>0</v>
      </c>
      <c r="E212" s="16">
        <f>'体验表-带进度条'!H212</f>
        <v>0</v>
      </c>
      <c r="F212" s="17">
        <f>'体验表-带进度条'!I212</f>
        <v>0</v>
      </c>
      <c r="G212" s="14">
        <f>'体验表-带进度条'!J212</f>
        <v>0</v>
      </c>
      <c r="H212" s="19" t="str">
        <f>'体验表-带进度条'!K212</f>
        <v>记牌器1个</v>
      </c>
      <c r="I212" s="38">
        <f>'体验表-带进度条'!L212</f>
        <v>3</v>
      </c>
      <c r="J212" s="21">
        <f>'体验表-带进度条'!M212</f>
        <v>7</v>
      </c>
      <c r="K212" s="14">
        <f>'体验表-带进度条'!N212</f>
        <v>0</v>
      </c>
      <c r="L212" s="22">
        <f>'体验表-带进度条'!O212</f>
        <v>0</v>
      </c>
      <c r="M212" s="30">
        <f>'体验表-带进度条'!X212</f>
        <v>0</v>
      </c>
      <c r="N212" s="23">
        <f>'体验表-带进度条'!AA212</f>
        <v>0</v>
      </c>
      <c r="O212" s="72">
        <f>'体验表-带进度条'!AB212</f>
        <v>0</v>
      </c>
    </row>
    <row r="213" spans="1:15">
      <c r="A213" s="13">
        <f>'体验表-带进度条'!B213</f>
        <v>40</v>
      </c>
      <c r="B213" s="14">
        <f>'体验表-带进度条'!E213</f>
        <v>0</v>
      </c>
      <c r="C213" s="14" t="str">
        <f>'体验表-带进度条'!F213</f>
        <v/>
      </c>
      <c r="D213" s="14">
        <f>'体验表-带进度条'!G213</f>
        <v>0</v>
      </c>
      <c r="E213" s="16">
        <f>'体验表-带进度条'!H213</f>
        <v>0</v>
      </c>
      <c r="F213" s="17">
        <f>'体验表-带进度条'!I213</f>
        <v>0</v>
      </c>
      <c r="G213" s="14">
        <f>'体验表-带进度条'!J213</f>
        <v>0.12</v>
      </c>
      <c r="H213" s="19" t="str">
        <f>'体验表-带进度条'!K213</f>
        <v>金币</v>
      </c>
      <c r="I213" s="38">
        <f>'体验表-带进度条'!L213</f>
        <v>17</v>
      </c>
      <c r="J213" s="21">
        <f>'体验表-带进度条'!M213</f>
        <v>2409660</v>
      </c>
      <c r="K213" s="14">
        <f>'体验表-带进度条'!N213</f>
        <v>0</v>
      </c>
      <c r="L213" s="22">
        <f>'体验表-带进度条'!O213</f>
        <v>0</v>
      </c>
      <c r="M213" s="30">
        <f>'体验表-带进度条'!X213</f>
        <v>0</v>
      </c>
      <c r="N213" s="23">
        <f>'体验表-带进度条'!AA213</f>
        <v>0</v>
      </c>
      <c r="O213" s="72">
        <f>'体验表-带进度条'!AB213</f>
        <v>0</v>
      </c>
    </row>
    <row r="214" spans="1:15">
      <c r="A214" s="13">
        <f>'体验表-带进度条'!B214</f>
        <v>41</v>
      </c>
      <c r="B214" s="14">
        <f>'体验表-带进度条'!E214</f>
        <v>0</v>
      </c>
      <c r="C214" s="14" t="str">
        <f>'体验表-带进度条'!F214</f>
        <v/>
      </c>
      <c r="D214" s="14">
        <f>'体验表-带进度条'!G214</f>
        <v>0</v>
      </c>
      <c r="E214" s="16">
        <f>'体验表-带进度条'!H214</f>
        <v>0</v>
      </c>
      <c r="F214" s="17">
        <f>'体验表-带进度条'!I214</f>
        <v>0</v>
      </c>
      <c r="G214" s="14">
        <f>'体验表-带进度条'!J214</f>
        <v>0</v>
      </c>
      <c r="H214" s="19" t="str">
        <f>'体验表-带进度条'!K214</f>
        <v>卡包fun卡</v>
      </c>
      <c r="I214" s="38">
        <f>'体验表-带进度条'!L214</f>
        <v>4</v>
      </c>
      <c r="J214" s="21">
        <f>'体验表-带进度条'!M214</f>
        <v>1</v>
      </c>
      <c r="K214" s="14">
        <f>'体验表-带进度条'!N214</f>
        <v>0</v>
      </c>
      <c r="L214" s="22">
        <f>'体验表-带进度条'!O214</f>
        <v>0</v>
      </c>
      <c r="M214" s="30">
        <f>'体验表-带进度条'!X214</f>
        <v>0</v>
      </c>
      <c r="N214" s="23">
        <f>'体验表-带进度条'!AA214</f>
        <v>0</v>
      </c>
      <c r="O214" s="72">
        <f>'体验表-带进度条'!AB214</f>
        <v>0</v>
      </c>
    </row>
    <row r="215" spans="1:15">
      <c r="A215" s="13">
        <f>'体验表-带进度条'!B215</f>
        <v>42</v>
      </c>
      <c r="B215" s="14">
        <f>'体验表-带进度条'!E215</f>
        <v>0</v>
      </c>
      <c r="C215" s="14" t="str">
        <f>'体验表-带进度条'!F215</f>
        <v/>
      </c>
      <c r="D215" s="14">
        <f>'体验表-带进度条'!G215</f>
        <v>0</v>
      </c>
      <c r="E215" s="16">
        <f>'体验表-带进度条'!H215</f>
        <v>0</v>
      </c>
      <c r="F215" s="17">
        <f>'体验表-带进度条'!I215</f>
        <v>0</v>
      </c>
      <c r="G215" s="14">
        <f>'体验表-带进度条'!J215</f>
        <v>0</v>
      </c>
      <c r="H215" s="19" t="str">
        <f>'体验表-带进度条'!K215</f>
        <v>老虎机抽奖券</v>
      </c>
      <c r="I215" s="38">
        <f>'体验表-带进度条'!L215</f>
        <v>3</v>
      </c>
      <c r="J215" s="21">
        <f>'体验表-带进度条'!M215</f>
        <v>35</v>
      </c>
      <c r="K215" s="14">
        <f>'体验表-带进度条'!N215</f>
        <v>0</v>
      </c>
      <c r="L215" s="22">
        <f>'体验表-带进度条'!O215</f>
        <v>0</v>
      </c>
      <c r="M215" s="30">
        <f>'体验表-带进度条'!X215</f>
        <v>0</v>
      </c>
      <c r="N215" s="23">
        <f>'体验表-带进度条'!AA215</f>
        <v>0</v>
      </c>
      <c r="O215" s="72">
        <f>'体验表-带进度条'!AB215</f>
        <v>0</v>
      </c>
    </row>
    <row r="216" spans="1:15">
      <c r="A216" s="13">
        <f>'体验表-带进度条'!B216</f>
        <v>43</v>
      </c>
      <c r="B216" s="14">
        <f>'体验表-带进度条'!E216</f>
        <v>0</v>
      </c>
      <c r="C216" s="14" t="str">
        <f>'体验表-带进度条'!F216</f>
        <v/>
      </c>
      <c r="D216" s="14">
        <f>'体验表-带进度条'!G216</f>
        <v>0</v>
      </c>
      <c r="E216" s="16">
        <f>'体验表-带进度条'!H216</f>
        <v>0</v>
      </c>
      <c r="F216" s="17">
        <f>'体验表-带进度条'!I216</f>
        <v>0</v>
      </c>
      <c r="G216" s="14">
        <f>'体验表-带进度条'!J216</f>
        <v>0</v>
      </c>
      <c r="H216" s="19" t="str">
        <f>'体验表-带进度条'!K216</f>
        <v>大奖赛复活券</v>
      </c>
      <c r="I216" s="38">
        <f>'体验表-带进度条'!L216</f>
        <v>3</v>
      </c>
      <c r="J216" s="21">
        <f>'体验表-带进度条'!M216</f>
        <v>1</v>
      </c>
      <c r="K216" s="14">
        <f>'体验表-带进度条'!N216</f>
        <v>0</v>
      </c>
      <c r="L216" s="22">
        <f>'体验表-带进度条'!O216</f>
        <v>0</v>
      </c>
      <c r="M216" s="30">
        <f>'体验表-带进度条'!X216</f>
        <v>0</v>
      </c>
      <c r="N216" s="23">
        <f>'体验表-带进度条'!AA216</f>
        <v>0</v>
      </c>
      <c r="O216" s="72">
        <f>'体验表-带进度条'!AB216</f>
        <v>0</v>
      </c>
    </row>
    <row r="217" spans="1:15">
      <c r="A217" s="13">
        <f>'体验表-带进度条'!B217</f>
        <v>1</v>
      </c>
      <c r="B217" s="14">
        <f>'体验表-带进度条'!E217</f>
        <v>0</v>
      </c>
      <c r="C217" s="14" t="str">
        <f>'体验表-带进度条'!F217</f>
        <v/>
      </c>
      <c r="D217" s="14">
        <f>'体验表-带进度条'!G217</f>
        <v>0</v>
      </c>
      <c r="E217" s="16">
        <f>'体验表-带进度条'!H217</f>
        <v>0</v>
      </c>
      <c r="F217" s="17">
        <f>'体验表-带进度条'!I217</f>
        <v>0</v>
      </c>
      <c r="G217" s="14">
        <f>'体验表-带进度条'!J217</f>
        <v>0</v>
      </c>
      <c r="H217" s="19" t="str">
        <f>'体验表-带进度条'!K217</f>
        <v>金币</v>
      </c>
      <c r="I217" s="38">
        <f>'体验表-带进度条'!L217</f>
        <v>1</v>
      </c>
      <c r="J217" s="21">
        <f>'体验表-带进度条'!M217</f>
        <v>5000</v>
      </c>
      <c r="K217" s="14">
        <f>'体验表-带进度条'!N217</f>
        <v>0</v>
      </c>
      <c r="L217" s="22">
        <f>'体验表-带进度条'!O217</f>
        <v>0</v>
      </c>
      <c r="M217" s="30">
        <f>'体验表-带进度条'!X217</f>
        <v>0</v>
      </c>
      <c r="N217" s="23">
        <f>'体验表-带进度条'!AA217</f>
        <v>0</v>
      </c>
      <c r="O217" s="72">
        <f>'体验表-带进度条'!AB217</f>
        <v>0</v>
      </c>
    </row>
    <row r="218" spans="1:15">
      <c r="A218" s="13">
        <f>'体验表-带进度条'!B218</f>
        <v>2</v>
      </c>
      <c r="B218" s="14">
        <f>'体验表-带进度条'!E218</f>
        <v>5.99</v>
      </c>
      <c r="C218" s="14">
        <f>'体验表-带进度条'!F218</f>
        <v>119</v>
      </c>
      <c r="D218" s="14">
        <f>'体验表-带进度条'!G218</f>
        <v>7140000</v>
      </c>
      <c r="E218" s="16">
        <f>'体验表-带进度条'!H218</f>
        <v>7140000</v>
      </c>
      <c r="F218" s="17">
        <f>'体验表-带进度条'!I218</f>
        <v>5.99</v>
      </c>
      <c r="G218" s="14">
        <f>'体验表-带进度条'!J218</f>
        <v>0</v>
      </c>
      <c r="H218" s="19" t="str">
        <f>'体验表-带进度条'!K218</f>
        <v>金币</v>
      </c>
      <c r="I218" s="38">
        <f>'体验表-带进度条'!L218</f>
        <v>9</v>
      </c>
      <c r="J218" s="21">
        <f>'体验表-带进度条'!M218</f>
        <v>7140000</v>
      </c>
      <c r="K218" s="14">
        <f>'体验表-带进度条'!N218</f>
        <v>9148050</v>
      </c>
      <c r="L218" s="22">
        <f>'体验表-带进度条'!O218</f>
        <v>9.14805</v>
      </c>
      <c r="M218" s="30">
        <f>'体验表-带进度条'!X218</f>
        <v>9148050</v>
      </c>
      <c r="N218" s="23">
        <f>'体验表-带进度条'!AA218</f>
        <v>9.14805</v>
      </c>
      <c r="O218" s="72">
        <f>'体验表-带进度条'!AB218</f>
        <v>1.28123949579832</v>
      </c>
    </row>
    <row r="219" spans="1:15">
      <c r="A219" s="13">
        <f>'体验表-带进度条'!B219</f>
        <v>3</v>
      </c>
      <c r="B219" s="14">
        <f>'体验表-带进度条'!E219</f>
        <v>0</v>
      </c>
      <c r="C219" s="14" t="str">
        <f>'体验表-带进度条'!F219</f>
        <v/>
      </c>
      <c r="D219" s="14">
        <f>'体验表-带进度条'!G219</f>
        <v>0</v>
      </c>
      <c r="E219" s="16">
        <f>'体验表-带进度条'!H219</f>
        <v>0</v>
      </c>
      <c r="F219" s="17">
        <f>'体验表-带进度条'!I219</f>
        <v>0</v>
      </c>
      <c r="G219" s="14">
        <f>'体验表-带进度条'!J219</f>
        <v>0</v>
      </c>
      <c r="H219" s="19" t="str">
        <f>'体验表-带进度条'!K219</f>
        <v>记牌器1个</v>
      </c>
      <c r="I219" s="38">
        <f>'体验表-带进度条'!L219</f>
        <v>3</v>
      </c>
      <c r="J219" s="21">
        <f>'体验表-带进度条'!M219</f>
        <v>1</v>
      </c>
      <c r="K219" s="14">
        <f>'体验表-带进度条'!N219</f>
        <v>0</v>
      </c>
      <c r="L219" s="22">
        <f>'体验表-带进度条'!O219</f>
        <v>0</v>
      </c>
      <c r="M219" s="30">
        <f>'体验表-带进度条'!X219</f>
        <v>0</v>
      </c>
      <c r="N219" s="23">
        <f>'体验表-带进度条'!AA219</f>
        <v>0</v>
      </c>
      <c r="O219" s="72">
        <f>'体验表-带进度条'!AB219</f>
        <v>0</v>
      </c>
    </row>
    <row r="220" spans="1:15">
      <c r="A220" s="13">
        <f>'体验表-带进度条'!B220</f>
        <v>4</v>
      </c>
      <c r="B220" s="14">
        <f>'体验表-带进度条'!E220</f>
        <v>0</v>
      </c>
      <c r="C220" s="14" t="str">
        <f>'体验表-带进度条'!F220</f>
        <v/>
      </c>
      <c r="D220" s="14">
        <f>'体验表-带进度条'!G220</f>
        <v>0</v>
      </c>
      <c r="E220" s="16">
        <f>'体验表-带进度条'!H220</f>
        <v>0</v>
      </c>
      <c r="F220" s="17">
        <f>'体验表-带进度条'!I220</f>
        <v>0</v>
      </c>
      <c r="G220" s="14">
        <f>'体验表-带进度条'!J220</f>
        <v>0.1</v>
      </c>
      <c r="H220" s="19" t="str">
        <f>'体验表-带进度条'!K220</f>
        <v>金币</v>
      </c>
      <c r="I220" s="38">
        <f>'体验表-带进度条'!L220</f>
        <v>17</v>
      </c>
      <c r="J220" s="21">
        <f>'体验表-带进度条'!M220</f>
        <v>2008050</v>
      </c>
      <c r="K220" s="14">
        <f>'体验表-带进度条'!N220</f>
        <v>0</v>
      </c>
      <c r="L220" s="22">
        <f>'体验表-带进度条'!O220</f>
        <v>0</v>
      </c>
      <c r="M220" s="30">
        <f>'体验表-带进度条'!X220</f>
        <v>0</v>
      </c>
      <c r="N220" s="23">
        <f>'体验表-带进度条'!AA220</f>
        <v>0</v>
      </c>
      <c r="O220" s="72">
        <f>'体验表-带进度条'!AB220</f>
        <v>0</v>
      </c>
    </row>
    <row r="221" spans="1:15">
      <c r="A221" s="13">
        <f>'体验表-带进度条'!B221</f>
        <v>5</v>
      </c>
      <c r="B221" s="14">
        <f>'体验表-带进度条'!E221</f>
        <v>0</v>
      </c>
      <c r="C221" s="14" t="str">
        <f>'体验表-带进度条'!F221</f>
        <v/>
      </c>
      <c r="D221" s="14">
        <f>'体验表-带进度条'!G221</f>
        <v>0</v>
      </c>
      <c r="E221" s="16">
        <f>'体验表-带进度条'!H221</f>
        <v>0</v>
      </c>
      <c r="F221" s="17">
        <f>'体验表-带进度条'!I221</f>
        <v>0</v>
      </c>
      <c r="G221" s="14">
        <f>'体验表-带进度条'!J221</f>
        <v>0</v>
      </c>
      <c r="H221" s="19" t="str">
        <f>'体验表-带进度条'!K221</f>
        <v>卡包2星</v>
      </c>
      <c r="I221" s="38">
        <f>'体验表-带进度条'!L221</f>
        <v>4</v>
      </c>
      <c r="J221" s="21">
        <f>'体验表-带进度条'!M221</f>
        <v>1</v>
      </c>
      <c r="K221" s="14">
        <f>'体验表-带进度条'!N221</f>
        <v>0</v>
      </c>
      <c r="L221" s="22">
        <f>'体验表-带进度条'!O221</f>
        <v>0</v>
      </c>
      <c r="M221" s="30">
        <f>'体验表-带进度条'!X221</f>
        <v>0</v>
      </c>
      <c r="N221" s="23">
        <f>'体验表-带进度条'!AA221</f>
        <v>0</v>
      </c>
      <c r="O221" s="72">
        <f>'体验表-带进度条'!AB221</f>
        <v>0</v>
      </c>
    </row>
    <row r="222" spans="1:15">
      <c r="A222" s="13">
        <f>'体验表-带进度条'!B222</f>
        <v>6</v>
      </c>
      <c r="B222" s="14">
        <f>'体验表-带进度条'!E222</f>
        <v>0</v>
      </c>
      <c r="C222" s="14" t="str">
        <f>'体验表-带进度条'!F222</f>
        <v/>
      </c>
      <c r="D222" s="14">
        <f>'体验表-带进度条'!G222</f>
        <v>0</v>
      </c>
      <c r="E222" s="16">
        <f>'体验表-带进度条'!H222</f>
        <v>0</v>
      </c>
      <c r="F222" s="17">
        <f>'体验表-带进度条'!I222</f>
        <v>0</v>
      </c>
      <c r="G222" s="14">
        <f>'体验表-带进度条'!J222</f>
        <v>0</v>
      </c>
      <c r="H222" s="19" t="str">
        <f>'体验表-带进度条'!K222</f>
        <v>老虎机抽奖券</v>
      </c>
      <c r="I222" s="38">
        <f>'体验表-带进度条'!L222</f>
        <v>3</v>
      </c>
      <c r="J222" s="21">
        <f>'体验表-带进度条'!M222</f>
        <v>5</v>
      </c>
      <c r="K222" s="14">
        <f>'体验表-带进度条'!N222</f>
        <v>0</v>
      </c>
      <c r="L222" s="22">
        <f>'体验表-带进度条'!O222</f>
        <v>0</v>
      </c>
      <c r="M222" s="30">
        <f>'体验表-带进度条'!X222</f>
        <v>0</v>
      </c>
      <c r="N222" s="23">
        <f>'体验表-带进度条'!AA222</f>
        <v>0</v>
      </c>
      <c r="O222" s="72">
        <f>'体验表-带进度条'!AB222</f>
        <v>0</v>
      </c>
    </row>
    <row r="223" spans="1:15">
      <c r="A223" s="13">
        <f>'体验表-带进度条'!B223</f>
        <v>7</v>
      </c>
      <c r="B223" s="14">
        <f>'体验表-带进度条'!E223</f>
        <v>0</v>
      </c>
      <c r="C223" s="14" t="str">
        <f>'体验表-带进度条'!F223</f>
        <v/>
      </c>
      <c r="D223" s="14">
        <f>'体验表-带进度条'!G223</f>
        <v>0</v>
      </c>
      <c r="E223" s="16">
        <f>'体验表-带进度条'!H223</f>
        <v>0</v>
      </c>
      <c r="F223" s="17">
        <f>'体验表-带进度条'!I223</f>
        <v>0</v>
      </c>
      <c r="G223" s="14">
        <f>'体验表-带进度条'!J223</f>
        <v>0</v>
      </c>
      <c r="H223" s="19" t="str">
        <f>'体验表-带进度条'!K223</f>
        <v>大奖赛复活券</v>
      </c>
      <c r="I223" s="38">
        <f>'体验表-带进度条'!L223</f>
        <v>3</v>
      </c>
      <c r="J223" s="21">
        <f>'体验表-带进度条'!M223</f>
        <v>1</v>
      </c>
      <c r="K223" s="14">
        <f>'体验表-带进度条'!N223</f>
        <v>0</v>
      </c>
      <c r="L223" s="22">
        <f>'体验表-带进度条'!O223</f>
        <v>0</v>
      </c>
      <c r="M223" s="30">
        <f>'体验表-带进度条'!X223</f>
        <v>0</v>
      </c>
      <c r="N223" s="23">
        <f>'体验表-带进度条'!AA223</f>
        <v>0</v>
      </c>
      <c r="O223" s="72">
        <f>'体验表-带进度条'!AB223</f>
        <v>0</v>
      </c>
    </row>
    <row r="224" spans="1:15">
      <c r="A224" s="13">
        <f>'体验表-带进度条'!B224</f>
        <v>8</v>
      </c>
      <c r="B224" s="14">
        <f>'体验表-带进度条'!E224</f>
        <v>7.99</v>
      </c>
      <c r="C224" s="14">
        <f>'体验表-带进度条'!F224</f>
        <v>129</v>
      </c>
      <c r="D224" s="14">
        <f>'体验表-带进度条'!G224</f>
        <v>10320000</v>
      </c>
      <c r="E224" s="16">
        <f>'体验表-带进度条'!H224</f>
        <v>17460000</v>
      </c>
      <c r="F224" s="17">
        <f>'体验表-带进度条'!I224</f>
        <v>13.98</v>
      </c>
      <c r="G224" s="14">
        <f>'体验表-带进度条'!J224</f>
        <v>0.12</v>
      </c>
      <c r="H224" s="19" t="str">
        <f>'体验表-带进度条'!K224</f>
        <v>金币</v>
      </c>
      <c r="I224" s="38">
        <f>'体验表-带进度条'!L224</f>
        <v>9</v>
      </c>
      <c r="J224" s="21">
        <f>'体验表-带进度条'!M224</f>
        <v>10320000</v>
      </c>
      <c r="K224" s="14">
        <f>'体验表-带进度条'!N224</f>
        <v>10721610</v>
      </c>
      <c r="L224" s="22">
        <f>'体验表-带进度条'!O224</f>
        <v>10.72161</v>
      </c>
      <c r="M224" s="30">
        <f>'体验表-带进度条'!X224</f>
        <v>20948400</v>
      </c>
      <c r="N224" s="23">
        <f>'体验表-带进度条'!AA224</f>
        <v>20.9484</v>
      </c>
      <c r="O224" s="72">
        <f>'体验表-带进度条'!AB224</f>
        <v>1.19979381443299</v>
      </c>
    </row>
    <row r="225" spans="1:15">
      <c r="A225" s="13">
        <f>'体验表-带进度条'!B225</f>
        <v>9</v>
      </c>
      <c r="B225" s="14">
        <f>'体验表-带进度条'!E225</f>
        <v>0</v>
      </c>
      <c r="C225" s="14" t="str">
        <f>'体验表-带进度条'!F225</f>
        <v/>
      </c>
      <c r="D225" s="14">
        <f>'体验表-带进度条'!G225</f>
        <v>0</v>
      </c>
      <c r="E225" s="16">
        <f>'体验表-带进度条'!H225</f>
        <v>0</v>
      </c>
      <c r="F225" s="17">
        <f>'体验表-带进度条'!I225</f>
        <v>0</v>
      </c>
      <c r="G225" s="14">
        <f>'体验表-带进度条'!J225</f>
        <v>0</v>
      </c>
      <c r="H225" s="19" t="str">
        <f>'体验表-带进度条'!K225</f>
        <v>记牌器1个</v>
      </c>
      <c r="I225" s="38">
        <f>'体验表-带进度条'!L225</f>
        <v>3</v>
      </c>
      <c r="J225" s="21">
        <f>'体验表-带进度条'!M225</f>
        <v>2</v>
      </c>
      <c r="K225" s="14">
        <f>'体验表-带进度条'!N225</f>
        <v>0</v>
      </c>
      <c r="L225" s="22">
        <f>'体验表-带进度条'!O225</f>
        <v>0</v>
      </c>
      <c r="M225" s="30">
        <f>'体验表-带进度条'!X225</f>
        <v>0</v>
      </c>
      <c r="N225" s="23">
        <f>'体验表-带进度条'!AA225</f>
        <v>0</v>
      </c>
      <c r="O225" s="72">
        <f>'体验表-带进度条'!AB225</f>
        <v>0</v>
      </c>
    </row>
    <row r="226" spans="1:15">
      <c r="A226" s="13">
        <f>'体验表-带进度条'!B226</f>
        <v>10</v>
      </c>
      <c r="B226" s="14">
        <f>'体验表-带进度条'!E226</f>
        <v>0</v>
      </c>
      <c r="C226" s="14" t="str">
        <f>'体验表-带进度条'!F226</f>
        <v/>
      </c>
      <c r="D226" s="14">
        <f>'体验表-带进度条'!G226</f>
        <v>0</v>
      </c>
      <c r="E226" s="16">
        <f>'体验表-带进度条'!H226</f>
        <v>0</v>
      </c>
      <c r="F226" s="17">
        <f>'体验表-带进度条'!I226</f>
        <v>0</v>
      </c>
      <c r="G226" s="14">
        <f>'体验表-带进度条'!J226</f>
        <v>0.02</v>
      </c>
      <c r="H226" s="19" t="str">
        <f>'体验表-带进度条'!K226</f>
        <v>金币</v>
      </c>
      <c r="I226" s="38">
        <f>'体验表-带进度条'!L226</f>
        <v>17</v>
      </c>
      <c r="J226" s="21">
        <f>'体验表-带进度条'!M226</f>
        <v>401610</v>
      </c>
      <c r="K226" s="14">
        <f>'体验表-带进度条'!N226</f>
        <v>0</v>
      </c>
      <c r="L226" s="22">
        <f>'体验表-带进度条'!O226</f>
        <v>0</v>
      </c>
      <c r="M226" s="30">
        <f>'体验表-带进度条'!X226</f>
        <v>0</v>
      </c>
      <c r="N226" s="23">
        <f>'体验表-带进度条'!AA226</f>
        <v>0</v>
      </c>
      <c r="O226" s="72">
        <f>'体验表-带进度条'!AB226</f>
        <v>0</v>
      </c>
    </row>
    <row r="227" spans="1:15">
      <c r="A227" s="13">
        <f>'体验表-带进度条'!B227</f>
        <v>11</v>
      </c>
      <c r="B227" s="14">
        <f>'体验表-带进度条'!E227</f>
        <v>0</v>
      </c>
      <c r="C227" s="14" t="str">
        <f>'体验表-带进度条'!F227</f>
        <v/>
      </c>
      <c r="D227" s="14">
        <f>'体验表-带进度条'!G227</f>
        <v>0</v>
      </c>
      <c r="E227" s="16">
        <f>'体验表-带进度条'!H227</f>
        <v>0</v>
      </c>
      <c r="F227" s="17">
        <f>'体验表-带进度条'!I227</f>
        <v>0</v>
      </c>
      <c r="G227" s="14">
        <f>'体验表-带进度条'!J227</f>
        <v>0</v>
      </c>
      <c r="H227" s="19" t="str">
        <f>'体验表-带进度条'!K227</f>
        <v>卡包3星</v>
      </c>
      <c r="I227" s="38">
        <f>'体验表-带进度条'!L227</f>
        <v>4</v>
      </c>
      <c r="J227" s="21">
        <f>'体验表-带进度条'!M227</f>
        <v>1</v>
      </c>
      <c r="K227" s="14">
        <f>'体验表-带进度条'!N227</f>
        <v>0</v>
      </c>
      <c r="L227" s="22">
        <f>'体验表-带进度条'!O227</f>
        <v>0</v>
      </c>
      <c r="M227" s="30">
        <f>'体验表-带进度条'!X227</f>
        <v>0</v>
      </c>
      <c r="N227" s="23">
        <f>'体验表-带进度条'!AA227</f>
        <v>0</v>
      </c>
      <c r="O227" s="72">
        <f>'体验表-带进度条'!AB227</f>
        <v>0</v>
      </c>
    </row>
    <row r="228" spans="1:15">
      <c r="A228" s="13">
        <f>'体验表-带进度条'!B228</f>
        <v>12</v>
      </c>
      <c r="B228" s="14">
        <f>'体验表-带进度条'!E228</f>
        <v>0</v>
      </c>
      <c r="C228" s="14" t="str">
        <f>'体验表-带进度条'!F228</f>
        <v/>
      </c>
      <c r="D228" s="14">
        <f>'体验表-带进度条'!G228</f>
        <v>0</v>
      </c>
      <c r="E228" s="16">
        <f>'体验表-带进度条'!H228</f>
        <v>0</v>
      </c>
      <c r="F228" s="17">
        <f>'体验表-带进度条'!I228</f>
        <v>0</v>
      </c>
      <c r="G228" s="14">
        <f>'体验表-带进度条'!J228</f>
        <v>0</v>
      </c>
      <c r="H228" s="19" t="str">
        <f>'体验表-带进度条'!K228</f>
        <v>老虎机抽奖券</v>
      </c>
      <c r="I228" s="38">
        <f>'体验表-带进度条'!L228</f>
        <v>3</v>
      </c>
      <c r="J228" s="21">
        <f>'体验表-带进度条'!M228</f>
        <v>10</v>
      </c>
      <c r="K228" s="14">
        <f>'体验表-带进度条'!N228</f>
        <v>0</v>
      </c>
      <c r="L228" s="22">
        <f>'体验表-带进度条'!O228</f>
        <v>0</v>
      </c>
      <c r="M228" s="30">
        <f>'体验表-带进度条'!X228</f>
        <v>0</v>
      </c>
      <c r="N228" s="23">
        <f>'体验表-带进度条'!AA228</f>
        <v>0</v>
      </c>
      <c r="O228" s="72">
        <f>'体验表-带进度条'!AB228</f>
        <v>0</v>
      </c>
    </row>
    <row r="229" spans="1:15">
      <c r="A229" s="13">
        <f>'体验表-带进度条'!B229</f>
        <v>13</v>
      </c>
      <c r="B229" s="14">
        <f>'体验表-带进度条'!E229</f>
        <v>0</v>
      </c>
      <c r="C229" s="14" t="str">
        <f>'体验表-带进度条'!F229</f>
        <v/>
      </c>
      <c r="D229" s="14">
        <f>'体验表-带进度条'!G229</f>
        <v>0</v>
      </c>
      <c r="E229" s="16">
        <f>'体验表-带进度条'!H229</f>
        <v>0</v>
      </c>
      <c r="F229" s="17">
        <f>'体验表-带进度条'!I229</f>
        <v>0</v>
      </c>
      <c r="G229" s="14">
        <f>'体验表-带进度条'!J229</f>
        <v>0</v>
      </c>
      <c r="H229" s="19" t="str">
        <f>'体验表-带进度条'!K229</f>
        <v>大奖赛报名券</v>
      </c>
      <c r="I229" s="38">
        <f>'体验表-带进度条'!L229</f>
        <v>3</v>
      </c>
      <c r="J229" s="21">
        <f>'体验表-带进度条'!M229</f>
        <v>1</v>
      </c>
      <c r="K229" s="14">
        <f>'体验表-带进度条'!N229</f>
        <v>0</v>
      </c>
      <c r="L229" s="22">
        <f>'体验表-带进度条'!O229</f>
        <v>0</v>
      </c>
      <c r="M229" s="30">
        <f>'体验表-带进度条'!X229</f>
        <v>0</v>
      </c>
      <c r="N229" s="23">
        <f>'体验表-带进度条'!AA229</f>
        <v>0</v>
      </c>
      <c r="O229" s="72">
        <f>'体验表-带进度条'!AB229</f>
        <v>0</v>
      </c>
    </row>
    <row r="230" spans="1:15">
      <c r="A230" s="13">
        <f>'体验表-带进度条'!B230</f>
        <v>14</v>
      </c>
      <c r="B230" s="14">
        <f>'体验表-带进度条'!E230</f>
        <v>9.99</v>
      </c>
      <c r="C230" s="14">
        <f>'体验表-带进度条'!F230</f>
        <v>139</v>
      </c>
      <c r="D230" s="14">
        <f>'体验表-带进度条'!G230</f>
        <v>13900000</v>
      </c>
      <c r="E230" s="16">
        <f>'体验表-带进度条'!H230</f>
        <v>31360000</v>
      </c>
      <c r="F230" s="17">
        <f>'体验表-带进度条'!I230</f>
        <v>23.97</v>
      </c>
      <c r="G230" s="14">
        <f>'体验表-带进度条'!J230</f>
        <v>0</v>
      </c>
      <c r="H230" s="19" t="str">
        <f>'体验表-带进度条'!K230</f>
        <v>金币</v>
      </c>
      <c r="I230" s="38">
        <f>'体验表-带进度条'!L230</f>
        <v>9</v>
      </c>
      <c r="J230" s="21">
        <f>'体验表-带进度条'!M230</f>
        <v>13900000</v>
      </c>
      <c r="K230" s="14">
        <f>'体验表-带进度条'!N230</f>
        <v>15908050</v>
      </c>
      <c r="L230" s="22">
        <f>'体验表-带进度条'!O230</f>
        <v>15.90805</v>
      </c>
      <c r="M230" s="30">
        <f>'体验表-带进度条'!X230</f>
        <v>36856450</v>
      </c>
      <c r="N230" s="23">
        <f>'体验表-带进度条'!AA230</f>
        <v>36.85645</v>
      </c>
      <c r="O230" s="72">
        <f>'体验表-带进度条'!AB230</f>
        <v>1.17526945153061</v>
      </c>
    </row>
    <row r="231" spans="1:15">
      <c r="A231" s="13">
        <f>'体验表-带进度条'!B231</f>
        <v>15</v>
      </c>
      <c r="B231" s="14">
        <f>'体验表-带进度条'!E231</f>
        <v>0</v>
      </c>
      <c r="C231" s="14" t="str">
        <f>'体验表-带进度条'!F231</f>
        <v/>
      </c>
      <c r="D231" s="14">
        <f>'体验表-带进度条'!G231</f>
        <v>0</v>
      </c>
      <c r="E231" s="16">
        <f>'体验表-带进度条'!H231</f>
        <v>0</v>
      </c>
      <c r="F231" s="17">
        <f>'体验表-带进度条'!I231</f>
        <v>0</v>
      </c>
      <c r="G231" s="14">
        <f>'体验表-带进度条'!J231</f>
        <v>0</v>
      </c>
      <c r="H231" s="19" t="str">
        <f>'体验表-带进度条'!K231</f>
        <v>记牌器1个</v>
      </c>
      <c r="I231" s="38">
        <f>'体验表-带进度条'!L231</f>
        <v>3</v>
      </c>
      <c r="J231" s="21">
        <f>'体验表-带进度条'!M231</f>
        <v>3</v>
      </c>
      <c r="K231" s="14">
        <f>'体验表-带进度条'!N231</f>
        <v>0</v>
      </c>
      <c r="L231" s="22">
        <f>'体验表-带进度条'!O231</f>
        <v>0</v>
      </c>
      <c r="M231" s="30">
        <f>'体验表-带进度条'!X231</f>
        <v>0</v>
      </c>
      <c r="N231" s="23">
        <f>'体验表-带进度条'!AA231</f>
        <v>0</v>
      </c>
      <c r="O231" s="72">
        <f>'体验表-带进度条'!AB231</f>
        <v>0</v>
      </c>
    </row>
    <row r="232" spans="1:15">
      <c r="A232" s="13">
        <f>'体验表-带进度条'!B232</f>
        <v>16</v>
      </c>
      <c r="B232" s="14">
        <f>'体验表-带进度条'!E232</f>
        <v>0</v>
      </c>
      <c r="C232" s="14" t="str">
        <f>'体验表-带进度条'!F232</f>
        <v/>
      </c>
      <c r="D232" s="14">
        <f>'体验表-带进度条'!G232</f>
        <v>0</v>
      </c>
      <c r="E232" s="16">
        <f>'体验表-带进度条'!H232</f>
        <v>0</v>
      </c>
      <c r="F232" s="17">
        <f>'体验表-带进度条'!I232</f>
        <v>0</v>
      </c>
      <c r="G232" s="14">
        <f>'体验表-带进度条'!J232</f>
        <v>0.1</v>
      </c>
      <c r="H232" s="19" t="str">
        <f>'体验表-带进度条'!K232</f>
        <v>金币</v>
      </c>
      <c r="I232" s="38">
        <f>'体验表-带进度条'!L232</f>
        <v>17</v>
      </c>
      <c r="J232" s="21">
        <f>'体验表-带进度条'!M232</f>
        <v>2008050</v>
      </c>
      <c r="K232" s="14">
        <f>'体验表-带进度条'!N232</f>
        <v>0</v>
      </c>
      <c r="L232" s="22">
        <f>'体验表-带进度条'!O232</f>
        <v>0</v>
      </c>
      <c r="M232" s="30">
        <f>'体验表-带进度条'!X232</f>
        <v>0</v>
      </c>
      <c r="N232" s="23">
        <f>'体验表-带进度条'!AA232</f>
        <v>0</v>
      </c>
      <c r="O232" s="72">
        <f>'体验表-带进度条'!AB232</f>
        <v>0</v>
      </c>
    </row>
    <row r="233" spans="1:15">
      <c r="A233" s="13">
        <f>'体验表-带进度条'!B233</f>
        <v>17</v>
      </c>
      <c r="B233" s="14">
        <f>'体验表-带进度条'!E233</f>
        <v>0</v>
      </c>
      <c r="C233" s="14" t="str">
        <f>'体验表-带进度条'!F233</f>
        <v/>
      </c>
      <c r="D233" s="14">
        <f>'体验表-带进度条'!G233</f>
        <v>0</v>
      </c>
      <c r="E233" s="16">
        <f>'体验表-带进度条'!H233</f>
        <v>0</v>
      </c>
      <c r="F233" s="17">
        <f>'体验表-带进度条'!I233</f>
        <v>0</v>
      </c>
      <c r="G233" s="14">
        <f>'体验表-带进度条'!J233</f>
        <v>0</v>
      </c>
      <c r="H233" s="19" t="str">
        <f>'体验表-带进度条'!K233</f>
        <v>卡包4星</v>
      </c>
      <c r="I233" s="38">
        <f>'体验表-带进度条'!L233</f>
        <v>4</v>
      </c>
      <c r="J233" s="21">
        <f>'体验表-带进度条'!M233</f>
        <v>1</v>
      </c>
      <c r="K233" s="14">
        <f>'体验表-带进度条'!N233</f>
        <v>0</v>
      </c>
      <c r="L233" s="22">
        <f>'体验表-带进度条'!O233</f>
        <v>0</v>
      </c>
      <c r="M233" s="30">
        <f>'体验表-带进度条'!X233</f>
        <v>0</v>
      </c>
      <c r="N233" s="23">
        <f>'体验表-带进度条'!AA233</f>
        <v>0</v>
      </c>
      <c r="O233" s="72">
        <f>'体验表-带进度条'!AB233</f>
        <v>0</v>
      </c>
    </row>
    <row r="234" spans="1:15">
      <c r="A234" s="13">
        <f>'体验表-带进度条'!B234</f>
        <v>18</v>
      </c>
      <c r="B234" s="14">
        <f>'体验表-带进度条'!E234</f>
        <v>0</v>
      </c>
      <c r="C234" s="14" t="str">
        <f>'体验表-带进度条'!F234</f>
        <v/>
      </c>
      <c r="D234" s="14">
        <f>'体验表-带进度条'!G234</f>
        <v>0</v>
      </c>
      <c r="E234" s="16">
        <f>'体验表-带进度条'!H234</f>
        <v>0</v>
      </c>
      <c r="F234" s="17">
        <f>'体验表-带进度条'!I234</f>
        <v>0</v>
      </c>
      <c r="G234" s="14">
        <f>'体验表-带进度条'!J234</f>
        <v>0</v>
      </c>
      <c r="H234" s="19" t="str">
        <f>'体验表-带进度条'!K234</f>
        <v>老虎机抽奖券</v>
      </c>
      <c r="I234" s="38">
        <f>'体验表-带进度条'!L234</f>
        <v>3</v>
      </c>
      <c r="J234" s="21">
        <f>'体验表-带进度条'!M234</f>
        <v>15</v>
      </c>
      <c r="K234" s="14">
        <f>'体验表-带进度条'!N234</f>
        <v>0</v>
      </c>
      <c r="L234" s="22">
        <f>'体验表-带进度条'!O234</f>
        <v>0</v>
      </c>
      <c r="M234" s="30">
        <f>'体验表-带进度条'!X234</f>
        <v>0</v>
      </c>
      <c r="N234" s="23">
        <f>'体验表-带进度条'!AA234</f>
        <v>0</v>
      </c>
      <c r="O234" s="72">
        <f>'体验表-带进度条'!AB234</f>
        <v>0</v>
      </c>
    </row>
    <row r="235" spans="1:15">
      <c r="A235" s="13">
        <f>'体验表-带进度条'!B235</f>
        <v>19</v>
      </c>
      <c r="B235" s="14">
        <f>'体验表-带进度条'!E235</f>
        <v>0</v>
      </c>
      <c r="C235" s="14" t="str">
        <f>'体验表-带进度条'!F235</f>
        <v/>
      </c>
      <c r="D235" s="14">
        <f>'体验表-带进度条'!G235</f>
        <v>0</v>
      </c>
      <c r="E235" s="16">
        <f>'体验表-带进度条'!H235</f>
        <v>0</v>
      </c>
      <c r="F235" s="17">
        <f>'体验表-带进度条'!I235</f>
        <v>0</v>
      </c>
      <c r="G235" s="14">
        <f>'体验表-带进度条'!J235</f>
        <v>0</v>
      </c>
      <c r="H235" s="19" t="str">
        <f>'体验表-带进度条'!K235</f>
        <v>大奖赛复活券</v>
      </c>
      <c r="I235" s="38">
        <f>'体验表-带进度条'!L235</f>
        <v>3</v>
      </c>
      <c r="J235" s="21">
        <f>'体验表-带进度条'!M235</f>
        <v>1</v>
      </c>
      <c r="K235" s="14">
        <f>'体验表-带进度条'!N235</f>
        <v>0</v>
      </c>
      <c r="L235" s="22">
        <f>'体验表-带进度条'!O235</f>
        <v>0</v>
      </c>
      <c r="M235" s="30">
        <f>'体验表-带进度条'!X235</f>
        <v>0</v>
      </c>
      <c r="N235" s="23">
        <f>'体验表-带进度条'!AA235</f>
        <v>0</v>
      </c>
      <c r="O235" s="72">
        <f>'体验表-带进度条'!AB235</f>
        <v>0</v>
      </c>
    </row>
    <row r="236" spans="1:15">
      <c r="A236" s="13">
        <f>'体验表-带进度条'!B236</f>
        <v>20</v>
      </c>
      <c r="B236" s="14">
        <f>'体验表-带进度条'!E236</f>
        <v>12.99</v>
      </c>
      <c r="C236" s="14">
        <f>'体验表-带进度条'!F236</f>
        <v>149</v>
      </c>
      <c r="D236" s="14">
        <f>'体验表-带进度条'!G236</f>
        <v>19370000</v>
      </c>
      <c r="E236" s="16">
        <f>'体验表-带进度条'!H236</f>
        <v>50730000</v>
      </c>
      <c r="F236" s="17">
        <f>'体验表-带进度条'!I236</f>
        <v>36.96</v>
      </c>
      <c r="G236" s="14">
        <f>'体验表-带进度条'!J236</f>
        <v>0.24</v>
      </c>
      <c r="H236" s="19" t="str">
        <f>'体验表-带进度条'!K236</f>
        <v>金币</v>
      </c>
      <c r="I236" s="38">
        <f>'体验表-带进度条'!L236</f>
        <v>9</v>
      </c>
      <c r="J236" s="21">
        <f>'体验表-带进度条'!M236</f>
        <v>19370000</v>
      </c>
      <c r="K236" s="14">
        <f>'体验表-带进度条'!N236</f>
        <v>20976440</v>
      </c>
      <c r="L236" s="22">
        <f>'体验表-带进度条'!O236</f>
        <v>20.97644</v>
      </c>
      <c r="M236" s="30">
        <f>'体验表-带进度条'!X236</f>
        <v>59990370</v>
      </c>
      <c r="N236" s="23">
        <f>'体验表-带进度条'!AA236</f>
        <v>59.99037</v>
      </c>
      <c r="O236" s="72">
        <f>'体验表-带进度条'!AB236</f>
        <v>1.18254228267297</v>
      </c>
    </row>
    <row r="237" spans="1:15">
      <c r="A237" s="13">
        <f>'体验表-带进度条'!B237</f>
        <v>21</v>
      </c>
      <c r="B237" s="14">
        <f>'体验表-带进度条'!E237</f>
        <v>0</v>
      </c>
      <c r="C237" s="14" t="str">
        <f>'体验表-带进度条'!F237</f>
        <v/>
      </c>
      <c r="D237" s="14">
        <f>'体验表-带进度条'!G237</f>
        <v>0</v>
      </c>
      <c r="E237" s="16">
        <f>'体验表-带进度条'!H237</f>
        <v>0</v>
      </c>
      <c r="F237" s="17">
        <f>'体验表-带进度条'!I237</f>
        <v>0</v>
      </c>
      <c r="G237" s="14">
        <f>'体验表-带进度条'!J237</f>
        <v>0</v>
      </c>
      <c r="H237" s="19" t="str">
        <f>'体验表-带进度条'!K237</f>
        <v>记牌器1个</v>
      </c>
      <c r="I237" s="38">
        <f>'体验表-带进度条'!L237</f>
        <v>3</v>
      </c>
      <c r="J237" s="21">
        <f>'体验表-带进度条'!M237</f>
        <v>4</v>
      </c>
      <c r="K237" s="14">
        <f>'体验表-带进度条'!N237</f>
        <v>0</v>
      </c>
      <c r="L237" s="22">
        <f>'体验表-带进度条'!O237</f>
        <v>0</v>
      </c>
      <c r="M237" s="30">
        <f>'体验表-带进度条'!X237</f>
        <v>0</v>
      </c>
      <c r="N237" s="23">
        <f>'体验表-带进度条'!AA237</f>
        <v>0</v>
      </c>
      <c r="O237" s="72">
        <f>'体验表-带进度条'!AB237</f>
        <v>0</v>
      </c>
    </row>
    <row r="238" spans="1:15">
      <c r="A238" s="13">
        <f>'体验表-带进度条'!B238</f>
        <v>22</v>
      </c>
      <c r="B238" s="14">
        <f>'体验表-带进度条'!E238</f>
        <v>0</v>
      </c>
      <c r="C238" s="14" t="str">
        <f>'体验表-带进度条'!F238</f>
        <v/>
      </c>
      <c r="D238" s="14">
        <f>'体验表-带进度条'!G238</f>
        <v>0</v>
      </c>
      <c r="E238" s="16">
        <f>'体验表-带进度条'!H238</f>
        <v>0</v>
      </c>
      <c r="F238" s="17">
        <f>'体验表-带进度条'!I238</f>
        <v>0</v>
      </c>
      <c r="G238" s="14">
        <f>'体验表-带进度条'!J238</f>
        <v>0.08</v>
      </c>
      <c r="H238" s="19" t="str">
        <f>'体验表-带进度条'!K238</f>
        <v>金币</v>
      </c>
      <c r="I238" s="38">
        <f>'体验表-带进度条'!L238</f>
        <v>17</v>
      </c>
      <c r="J238" s="21">
        <f>'体验表-带进度条'!M238</f>
        <v>1606440</v>
      </c>
      <c r="K238" s="14">
        <f>'体验表-带进度条'!N238</f>
        <v>0</v>
      </c>
      <c r="L238" s="22">
        <f>'体验表-带进度条'!O238</f>
        <v>0</v>
      </c>
      <c r="M238" s="30">
        <f>'体验表-带进度条'!X238</f>
        <v>0</v>
      </c>
      <c r="N238" s="23">
        <f>'体验表-带进度条'!AA238</f>
        <v>0</v>
      </c>
      <c r="O238" s="72">
        <f>'体验表-带进度条'!AB238</f>
        <v>0</v>
      </c>
    </row>
    <row r="239" spans="1:15">
      <c r="A239" s="13">
        <f>'体验表-带进度条'!B239</f>
        <v>23</v>
      </c>
      <c r="B239" s="14">
        <f>'体验表-带进度条'!E239</f>
        <v>0</v>
      </c>
      <c r="C239" s="14" t="str">
        <f>'体验表-带进度条'!F239</f>
        <v/>
      </c>
      <c r="D239" s="14">
        <f>'体验表-带进度条'!G239</f>
        <v>0</v>
      </c>
      <c r="E239" s="16">
        <f>'体验表-带进度条'!H239</f>
        <v>0</v>
      </c>
      <c r="F239" s="17">
        <f>'体验表-带进度条'!I239</f>
        <v>0</v>
      </c>
      <c r="G239" s="14">
        <f>'体验表-带进度条'!J239</f>
        <v>0</v>
      </c>
      <c r="H239" s="19" t="str">
        <f>'体验表-带进度条'!K239</f>
        <v>卡包4星</v>
      </c>
      <c r="I239" s="38">
        <f>'体验表-带进度条'!L239</f>
        <v>4</v>
      </c>
      <c r="J239" s="21">
        <f>'体验表-带进度条'!M239</f>
        <v>1</v>
      </c>
      <c r="K239" s="14">
        <f>'体验表-带进度条'!N239</f>
        <v>0</v>
      </c>
      <c r="L239" s="22">
        <f>'体验表-带进度条'!O239</f>
        <v>0</v>
      </c>
      <c r="M239" s="30">
        <f>'体验表-带进度条'!X239</f>
        <v>0</v>
      </c>
      <c r="N239" s="23">
        <f>'体验表-带进度条'!AA239</f>
        <v>0</v>
      </c>
      <c r="O239" s="72">
        <f>'体验表-带进度条'!AB239</f>
        <v>0</v>
      </c>
    </row>
    <row r="240" spans="1:15">
      <c r="A240" s="13">
        <f>'体验表-带进度条'!B240</f>
        <v>24</v>
      </c>
      <c r="B240" s="14">
        <f>'体验表-带进度条'!E240</f>
        <v>0</v>
      </c>
      <c r="C240" s="14" t="str">
        <f>'体验表-带进度条'!F240</f>
        <v/>
      </c>
      <c r="D240" s="14">
        <f>'体验表-带进度条'!G240</f>
        <v>0</v>
      </c>
      <c r="E240" s="16">
        <f>'体验表-带进度条'!H240</f>
        <v>0</v>
      </c>
      <c r="F240" s="17">
        <f>'体验表-带进度条'!I240</f>
        <v>0</v>
      </c>
      <c r="G240" s="14">
        <f>'体验表-带进度条'!J240</f>
        <v>0</v>
      </c>
      <c r="H240" s="19" t="str">
        <f>'体验表-带进度条'!K240</f>
        <v>老虎机抽奖券</v>
      </c>
      <c r="I240" s="38">
        <f>'体验表-带进度条'!L240</f>
        <v>3</v>
      </c>
      <c r="J240" s="21">
        <f>'体验表-带进度条'!M240</f>
        <v>20</v>
      </c>
      <c r="K240" s="14">
        <f>'体验表-带进度条'!N240</f>
        <v>0</v>
      </c>
      <c r="L240" s="22">
        <f>'体验表-带进度条'!O240</f>
        <v>0</v>
      </c>
      <c r="M240" s="30">
        <f>'体验表-带进度条'!X240</f>
        <v>0</v>
      </c>
      <c r="N240" s="23">
        <f>'体验表-带进度条'!AA240</f>
        <v>0</v>
      </c>
      <c r="O240" s="72">
        <f>'体验表-带进度条'!AB240</f>
        <v>0</v>
      </c>
    </row>
    <row r="241" spans="1:15">
      <c r="A241" s="13">
        <f>'体验表-带进度条'!B241</f>
        <v>25</v>
      </c>
      <c r="B241" s="14">
        <f>'体验表-带进度条'!E241</f>
        <v>0</v>
      </c>
      <c r="C241" s="14" t="str">
        <f>'体验表-带进度条'!F241</f>
        <v/>
      </c>
      <c r="D241" s="14">
        <f>'体验表-带进度条'!G241</f>
        <v>0</v>
      </c>
      <c r="E241" s="16">
        <f>'体验表-带进度条'!H241</f>
        <v>0</v>
      </c>
      <c r="F241" s="17">
        <f>'体验表-带进度条'!I241</f>
        <v>0</v>
      </c>
      <c r="G241" s="14">
        <f>'体验表-带进度条'!J241</f>
        <v>0</v>
      </c>
      <c r="H241" s="19" t="str">
        <f>'体验表-带进度条'!K241</f>
        <v>大奖赛报名券</v>
      </c>
      <c r="I241" s="38">
        <f>'体验表-带进度条'!L241</f>
        <v>3</v>
      </c>
      <c r="J241" s="21">
        <f>'体验表-带进度条'!M241</f>
        <v>1</v>
      </c>
      <c r="K241" s="14">
        <f>'体验表-带进度条'!N241</f>
        <v>0</v>
      </c>
      <c r="L241" s="22">
        <f>'体验表-带进度条'!O241</f>
        <v>0</v>
      </c>
      <c r="M241" s="30">
        <f>'体验表-带进度条'!X241</f>
        <v>0</v>
      </c>
      <c r="N241" s="23">
        <f>'体验表-带进度条'!AA241</f>
        <v>0</v>
      </c>
      <c r="O241" s="72">
        <f>'体验表-带进度条'!AB241</f>
        <v>0</v>
      </c>
    </row>
    <row r="242" spans="1:15">
      <c r="A242" s="13">
        <f>'体验表-带进度条'!B242</f>
        <v>26</v>
      </c>
      <c r="B242" s="14">
        <f>'体验表-带进度条'!E242</f>
        <v>14.99</v>
      </c>
      <c r="C242" s="14">
        <f>'体验表-带进度条'!F242</f>
        <v>154</v>
      </c>
      <c r="D242" s="14">
        <f>'体验表-带进度条'!G242</f>
        <v>23100000</v>
      </c>
      <c r="E242" s="16">
        <f>'体验表-带进度条'!H242</f>
        <v>73830000</v>
      </c>
      <c r="F242" s="17">
        <f>'体验表-带进度条'!I242</f>
        <v>51.95</v>
      </c>
      <c r="G242" s="14">
        <f>'体验表-带进度条'!J242</f>
        <v>0</v>
      </c>
      <c r="H242" s="19" t="str">
        <f>'体验表-带进度条'!K242</f>
        <v>金币</v>
      </c>
      <c r="I242" s="38">
        <f>'体验表-带进度条'!L242</f>
        <v>9</v>
      </c>
      <c r="J242" s="21">
        <f>'体验表-带进度条'!M242</f>
        <v>23100000</v>
      </c>
      <c r="K242" s="14">
        <f>'体验表-带进度条'!N242</f>
        <v>24104025</v>
      </c>
      <c r="L242" s="22">
        <f>'体验表-带进度条'!O242</f>
        <v>24.104025</v>
      </c>
      <c r="M242" s="30">
        <f>'体验表-带进度条'!X242</f>
        <v>84094395</v>
      </c>
      <c r="N242" s="23">
        <f>'体验表-带进度条'!AA242</f>
        <v>84.094395</v>
      </c>
      <c r="O242" s="72">
        <f>'体验表-带进度条'!AB242</f>
        <v>1.13902742787485</v>
      </c>
    </row>
    <row r="243" spans="1:15">
      <c r="A243" s="13">
        <f>'体验表-带进度条'!B243</f>
        <v>27</v>
      </c>
      <c r="B243" s="14">
        <f>'体验表-带进度条'!E243</f>
        <v>0</v>
      </c>
      <c r="C243" s="14" t="str">
        <f>'体验表-带进度条'!F243</f>
        <v/>
      </c>
      <c r="D243" s="14">
        <f>'体验表-带进度条'!G243</f>
        <v>0</v>
      </c>
      <c r="E243" s="16">
        <f>'体验表-带进度条'!H243</f>
        <v>0</v>
      </c>
      <c r="F243" s="17">
        <f>'体验表-带进度条'!I243</f>
        <v>0</v>
      </c>
      <c r="G243" s="14">
        <f>'体验表-带进度条'!J243</f>
        <v>0</v>
      </c>
      <c r="H243" s="19" t="str">
        <f>'体验表-带进度条'!K243</f>
        <v>记牌器1个</v>
      </c>
      <c r="I243" s="38">
        <f>'体验表-带进度条'!L243</f>
        <v>3</v>
      </c>
      <c r="J243" s="21">
        <f>'体验表-带进度条'!M243</f>
        <v>5</v>
      </c>
      <c r="K243" s="14">
        <f>'体验表-带进度条'!N243</f>
        <v>0</v>
      </c>
      <c r="L243" s="22">
        <f>'体验表-带进度条'!O243</f>
        <v>0</v>
      </c>
      <c r="M243" s="30">
        <f>'体验表-带进度条'!X243</f>
        <v>0</v>
      </c>
      <c r="N243" s="23">
        <f>'体验表-带进度条'!AA243</f>
        <v>0</v>
      </c>
      <c r="O243" s="72">
        <f>'体验表-带进度条'!AB243</f>
        <v>0</v>
      </c>
    </row>
    <row r="244" spans="1:15">
      <c r="A244" s="13">
        <f>'体验表-带进度条'!B244</f>
        <v>28</v>
      </c>
      <c r="B244" s="14">
        <f>'体验表-带进度条'!E244</f>
        <v>0</v>
      </c>
      <c r="C244" s="14" t="str">
        <f>'体验表-带进度条'!F244</f>
        <v/>
      </c>
      <c r="D244" s="14">
        <f>'体验表-带进度条'!G244</f>
        <v>0</v>
      </c>
      <c r="E244" s="16">
        <f>'体验表-带进度条'!H244</f>
        <v>0</v>
      </c>
      <c r="F244" s="17">
        <f>'体验表-带进度条'!I244</f>
        <v>0</v>
      </c>
      <c r="G244" s="14">
        <f>'体验表-带进度条'!J244</f>
        <v>0.05</v>
      </c>
      <c r="H244" s="19" t="str">
        <f>'体验表-带进度条'!K244</f>
        <v>金币</v>
      </c>
      <c r="I244" s="38">
        <f>'体验表-带进度条'!L244</f>
        <v>17</v>
      </c>
      <c r="J244" s="21">
        <f>'体验表-带进度条'!M244</f>
        <v>1004025</v>
      </c>
      <c r="K244" s="14">
        <f>'体验表-带进度条'!N244</f>
        <v>0</v>
      </c>
      <c r="L244" s="22">
        <f>'体验表-带进度条'!O244</f>
        <v>0</v>
      </c>
      <c r="M244" s="30">
        <f>'体验表-带进度条'!X244</f>
        <v>0</v>
      </c>
      <c r="N244" s="23">
        <f>'体验表-带进度条'!AA244</f>
        <v>0</v>
      </c>
      <c r="O244" s="72">
        <f>'体验表-带进度条'!AB244</f>
        <v>0</v>
      </c>
    </row>
    <row r="245" spans="1:15">
      <c r="A245" s="13">
        <f>'体验表-带进度条'!B245</f>
        <v>29</v>
      </c>
      <c r="B245" s="14">
        <f>'体验表-带进度条'!E245</f>
        <v>0</v>
      </c>
      <c r="C245" s="14" t="str">
        <f>'体验表-带进度条'!F245</f>
        <v/>
      </c>
      <c r="D245" s="14">
        <f>'体验表-带进度条'!G245</f>
        <v>0</v>
      </c>
      <c r="E245" s="16">
        <f>'体验表-带进度条'!H245</f>
        <v>0</v>
      </c>
      <c r="F245" s="17">
        <f>'体验表-带进度条'!I245</f>
        <v>0</v>
      </c>
      <c r="G245" s="14">
        <f>'体验表-带进度条'!J245</f>
        <v>0</v>
      </c>
      <c r="H245" s="19" t="str">
        <f>'体验表-带进度条'!K245</f>
        <v>卡包5星</v>
      </c>
      <c r="I245" s="38">
        <f>'体验表-带进度条'!L245</f>
        <v>4</v>
      </c>
      <c r="J245" s="21">
        <f>'体验表-带进度条'!M245</f>
        <v>1</v>
      </c>
      <c r="K245" s="14">
        <f>'体验表-带进度条'!N245</f>
        <v>0</v>
      </c>
      <c r="L245" s="22">
        <f>'体验表-带进度条'!O245</f>
        <v>0</v>
      </c>
      <c r="M245" s="30">
        <f>'体验表-带进度条'!X245</f>
        <v>0</v>
      </c>
      <c r="N245" s="23">
        <f>'体验表-带进度条'!AA245</f>
        <v>0</v>
      </c>
      <c r="O245" s="72">
        <f>'体验表-带进度条'!AB245</f>
        <v>0</v>
      </c>
    </row>
    <row r="246" spans="1:15">
      <c r="A246" s="13">
        <f>'体验表-带进度条'!B246</f>
        <v>30</v>
      </c>
      <c r="B246" s="14">
        <f>'体验表-带进度条'!E246</f>
        <v>0</v>
      </c>
      <c r="C246" s="14" t="str">
        <f>'体验表-带进度条'!F246</f>
        <v/>
      </c>
      <c r="D246" s="14">
        <f>'体验表-带进度条'!G246</f>
        <v>0</v>
      </c>
      <c r="E246" s="16">
        <f>'体验表-带进度条'!H246</f>
        <v>0</v>
      </c>
      <c r="F246" s="17">
        <f>'体验表-带进度条'!I246</f>
        <v>0</v>
      </c>
      <c r="G246" s="14">
        <f>'体验表-带进度条'!J246</f>
        <v>0</v>
      </c>
      <c r="H246" s="19" t="str">
        <f>'体验表-带进度条'!K246</f>
        <v>老虎机抽奖券</v>
      </c>
      <c r="I246" s="38">
        <f>'体验表-带进度条'!L246</f>
        <v>3</v>
      </c>
      <c r="J246" s="21">
        <f>'体验表-带进度条'!M246</f>
        <v>25</v>
      </c>
      <c r="K246" s="14">
        <f>'体验表-带进度条'!N246</f>
        <v>0</v>
      </c>
      <c r="L246" s="22">
        <f>'体验表-带进度条'!O246</f>
        <v>0</v>
      </c>
      <c r="M246" s="30">
        <f>'体验表-带进度条'!X246</f>
        <v>0</v>
      </c>
      <c r="N246" s="23">
        <f>'体验表-带进度条'!AA246</f>
        <v>0</v>
      </c>
      <c r="O246" s="72">
        <f>'体验表-带进度条'!AB246</f>
        <v>0</v>
      </c>
    </row>
    <row r="247" spans="1:15">
      <c r="A247" s="13">
        <f>'体验表-带进度条'!B247</f>
        <v>31</v>
      </c>
      <c r="B247" s="14">
        <f>'体验表-带进度条'!E247</f>
        <v>0</v>
      </c>
      <c r="C247" s="14" t="str">
        <f>'体验表-带进度条'!F247</f>
        <v/>
      </c>
      <c r="D247" s="14">
        <f>'体验表-带进度条'!G247</f>
        <v>0</v>
      </c>
      <c r="E247" s="16">
        <f>'体验表-带进度条'!H247</f>
        <v>0</v>
      </c>
      <c r="F247" s="17">
        <f>'体验表-带进度条'!I247</f>
        <v>0</v>
      </c>
      <c r="G247" s="14">
        <f>'体验表-带进度条'!J247</f>
        <v>0</v>
      </c>
      <c r="H247" s="19" t="str">
        <f>'体验表-带进度条'!K247</f>
        <v>大奖赛复活券</v>
      </c>
      <c r="I247" s="38">
        <f>'体验表-带进度条'!L247</f>
        <v>3</v>
      </c>
      <c r="J247" s="21">
        <f>'体验表-带进度条'!M247</f>
        <v>1</v>
      </c>
      <c r="K247" s="14">
        <f>'体验表-带进度条'!N247</f>
        <v>0</v>
      </c>
      <c r="L247" s="22">
        <f>'体验表-带进度条'!O247</f>
        <v>0</v>
      </c>
      <c r="M247" s="30">
        <f>'体验表-带进度条'!X247</f>
        <v>0</v>
      </c>
      <c r="N247" s="23">
        <f>'体验表-带进度条'!AA247</f>
        <v>0</v>
      </c>
      <c r="O247" s="72">
        <f>'体验表-带进度条'!AB247</f>
        <v>0</v>
      </c>
    </row>
    <row r="248" spans="1:15">
      <c r="A248" s="13">
        <f>'体验表-带进度条'!B248</f>
        <v>32</v>
      </c>
      <c r="B248" s="14">
        <f>'体验表-带进度条'!E248</f>
        <v>17.99</v>
      </c>
      <c r="C248" s="14">
        <f>'体验表-带进度条'!F248</f>
        <v>158</v>
      </c>
      <c r="D248" s="14">
        <f>'体验表-带进度条'!G248</f>
        <v>28440000</v>
      </c>
      <c r="E248" s="16">
        <f>'体验表-带进度条'!H248</f>
        <v>102270000</v>
      </c>
      <c r="F248" s="17">
        <f>'体验表-带进度条'!I248</f>
        <v>69.94</v>
      </c>
      <c r="G248" s="14">
        <f>'体验表-带进度条'!J248</f>
        <v>0</v>
      </c>
      <c r="H248" s="19" t="str">
        <f>'体验表-带进度条'!K248</f>
        <v>金币</v>
      </c>
      <c r="I248" s="38">
        <f>'体验表-带进度条'!L248</f>
        <v>9</v>
      </c>
      <c r="J248" s="21">
        <f>'体验表-带进度条'!M248</f>
        <v>28440000</v>
      </c>
      <c r="K248" s="14">
        <f>'体验表-带进度条'!N248</f>
        <v>30849660</v>
      </c>
      <c r="L248" s="22">
        <f>'体验表-带进度条'!O248</f>
        <v>30.84966</v>
      </c>
      <c r="M248" s="30">
        <f>'体验表-带进度条'!X248</f>
        <v>114944055</v>
      </c>
      <c r="N248" s="23">
        <f>'体验表-带进度条'!AA248</f>
        <v>114.944055</v>
      </c>
      <c r="O248" s="72">
        <f>'体验表-带进度条'!AB248</f>
        <v>1.12392739806395</v>
      </c>
    </row>
    <row r="249" spans="1:15">
      <c r="A249" s="13">
        <f>'体验表-带进度条'!B249</f>
        <v>33</v>
      </c>
      <c r="B249" s="14">
        <f>'体验表-带进度条'!E249</f>
        <v>0</v>
      </c>
      <c r="C249" s="14" t="str">
        <f>'体验表-带进度条'!F249</f>
        <v/>
      </c>
      <c r="D249" s="14">
        <f>'体验表-带进度条'!G249</f>
        <v>0</v>
      </c>
      <c r="E249" s="16">
        <f>'体验表-带进度条'!H249</f>
        <v>0</v>
      </c>
      <c r="F249" s="17">
        <f>'体验表-带进度条'!I249</f>
        <v>0</v>
      </c>
      <c r="G249" s="14">
        <f>'体验表-带进度条'!J249</f>
        <v>0</v>
      </c>
      <c r="H249" s="19" t="str">
        <f>'体验表-带进度条'!K249</f>
        <v>记牌器1个</v>
      </c>
      <c r="I249" s="38">
        <f>'体验表-带进度条'!L249</f>
        <v>3</v>
      </c>
      <c r="J249" s="21">
        <f>'体验表-带进度条'!M249</f>
        <v>6</v>
      </c>
      <c r="K249" s="14">
        <f>'体验表-带进度条'!N249</f>
        <v>0</v>
      </c>
      <c r="L249" s="22">
        <f>'体验表-带进度条'!O249</f>
        <v>0</v>
      </c>
      <c r="M249" s="30">
        <f>'体验表-带进度条'!X249</f>
        <v>0</v>
      </c>
      <c r="N249" s="23">
        <f>'体验表-带进度条'!AA249</f>
        <v>0</v>
      </c>
      <c r="O249" s="72">
        <f>'体验表-带进度条'!AB249</f>
        <v>0</v>
      </c>
    </row>
    <row r="250" spans="1:15">
      <c r="A250" s="13">
        <f>'体验表-带进度条'!B250</f>
        <v>34</v>
      </c>
      <c r="B250" s="14">
        <f>'体验表-带进度条'!E250</f>
        <v>0</v>
      </c>
      <c r="C250" s="14" t="str">
        <f>'体验表-带进度条'!F250</f>
        <v/>
      </c>
      <c r="D250" s="14">
        <f>'体验表-带进度条'!G250</f>
        <v>0</v>
      </c>
      <c r="E250" s="16">
        <f>'体验表-带进度条'!H250</f>
        <v>0</v>
      </c>
      <c r="F250" s="17">
        <f>'体验表-带进度条'!I250</f>
        <v>0</v>
      </c>
      <c r="G250" s="14">
        <f>'体验表-带进度条'!J250</f>
        <v>0.12</v>
      </c>
      <c r="H250" s="19" t="str">
        <f>'体验表-带进度条'!K250</f>
        <v>金币</v>
      </c>
      <c r="I250" s="38">
        <f>'体验表-带进度条'!L250</f>
        <v>17</v>
      </c>
      <c r="J250" s="21">
        <f>'体验表-带进度条'!M250</f>
        <v>2409660</v>
      </c>
      <c r="K250" s="14">
        <f>'体验表-带进度条'!N250</f>
        <v>0</v>
      </c>
      <c r="L250" s="22">
        <f>'体验表-带进度条'!O250</f>
        <v>0</v>
      </c>
      <c r="M250" s="30">
        <f>'体验表-带进度条'!X250</f>
        <v>0</v>
      </c>
      <c r="N250" s="23">
        <f>'体验表-带进度条'!AA250</f>
        <v>0</v>
      </c>
      <c r="O250" s="72">
        <f>'体验表-带进度条'!AB250</f>
        <v>0</v>
      </c>
    </row>
    <row r="251" spans="1:15">
      <c r="A251" s="13">
        <f>'体验表-带进度条'!B251</f>
        <v>35</v>
      </c>
      <c r="B251" s="14">
        <f>'体验表-带进度条'!E251</f>
        <v>0</v>
      </c>
      <c r="C251" s="14" t="str">
        <f>'体验表-带进度条'!F251</f>
        <v/>
      </c>
      <c r="D251" s="14">
        <f>'体验表-带进度条'!G251</f>
        <v>0</v>
      </c>
      <c r="E251" s="16">
        <f>'体验表-带进度条'!H251</f>
        <v>0</v>
      </c>
      <c r="F251" s="17">
        <f>'体验表-带进度条'!I251</f>
        <v>0</v>
      </c>
      <c r="G251" s="14">
        <f>'体验表-带进度条'!J251</f>
        <v>0</v>
      </c>
      <c r="H251" s="19" t="str">
        <f>'体验表-带进度条'!K251</f>
        <v>卡包5星</v>
      </c>
      <c r="I251" s="38">
        <f>'体验表-带进度条'!L251</f>
        <v>4</v>
      </c>
      <c r="J251" s="21">
        <f>'体验表-带进度条'!M251</f>
        <v>1</v>
      </c>
      <c r="K251" s="14">
        <f>'体验表-带进度条'!N251</f>
        <v>0</v>
      </c>
      <c r="L251" s="22">
        <f>'体验表-带进度条'!O251</f>
        <v>0</v>
      </c>
      <c r="M251" s="30">
        <f>'体验表-带进度条'!X251</f>
        <v>0</v>
      </c>
      <c r="N251" s="23">
        <f>'体验表-带进度条'!AA251</f>
        <v>0</v>
      </c>
      <c r="O251" s="72">
        <f>'体验表-带进度条'!AB251</f>
        <v>0</v>
      </c>
    </row>
    <row r="252" spans="1:15">
      <c r="A252" s="13">
        <f>'体验表-带进度条'!B252</f>
        <v>36</v>
      </c>
      <c r="B252" s="14">
        <f>'体验表-带进度条'!E252</f>
        <v>0</v>
      </c>
      <c r="C252" s="14" t="str">
        <f>'体验表-带进度条'!F252</f>
        <v/>
      </c>
      <c r="D252" s="14">
        <f>'体验表-带进度条'!G252</f>
        <v>0</v>
      </c>
      <c r="E252" s="16">
        <f>'体验表-带进度条'!H252</f>
        <v>0</v>
      </c>
      <c r="F252" s="17">
        <f>'体验表-带进度条'!I252</f>
        <v>0</v>
      </c>
      <c r="G252" s="14">
        <f>'体验表-带进度条'!J252</f>
        <v>0</v>
      </c>
      <c r="H252" s="19" t="str">
        <f>'体验表-带进度条'!K252</f>
        <v>老虎机抽奖券</v>
      </c>
      <c r="I252" s="38">
        <f>'体验表-带进度条'!L252</f>
        <v>3</v>
      </c>
      <c r="J252" s="21">
        <f>'体验表-带进度条'!M252</f>
        <v>30</v>
      </c>
      <c r="K252" s="14">
        <f>'体验表-带进度条'!N252</f>
        <v>0</v>
      </c>
      <c r="L252" s="22">
        <f>'体验表-带进度条'!O252</f>
        <v>0</v>
      </c>
      <c r="M252" s="30">
        <f>'体验表-带进度条'!X252</f>
        <v>0</v>
      </c>
      <c r="N252" s="23">
        <f>'体验表-带进度条'!AA252</f>
        <v>0</v>
      </c>
      <c r="O252" s="72">
        <f>'体验表-带进度条'!AB252</f>
        <v>0</v>
      </c>
    </row>
    <row r="253" spans="1:15">
      <c r="A253" s="13">
        <f>'体验表-带进度条'!B253</f>
        <v>37</v>
      </c>
      <c r="B253" s="14">
        <f>'体验表-带进度条'!E253</f>
        <v>0</v>
      </c>
      <c r="C253" s="14" t="str">
        <f>'体验表-带进度条'!F253</f>
        <v/>
      </c>
      <c r="D253" s="14">
        <f>'体验表-带进度条'!G253</f>
        <v>0</v>
      </c>
      <c r="E253" s="16">
        <f>'体验表-带进度条'!H253</f>
        <v>0</v>
      </c>
      <c r="F253" s="17">
        <f>'体验表-带进度条'!I253</f>
        <v>0</v>
      </c>
      <c r="G253" s="14">
        <f>'体验表-带进度条'!J253</f>
        <v>0</v>
      </c>
      <c r="H253" s="19" t="str">
        <f>'体验表-带进度条'!K253</f>
        <v>大奖赛报名券</v>
      </c>
      <c r="I253" s="38">
        <f>'体验表-带进度条'!L253</f>
        <v>3</v>
      </c>
      <c r="J253" s="21">
        <f>'体验表-带进度条'!M253</f>
        <v>1</v>
      </c>
      <c r="K253" s="14">
        <f>'体验表-带进度条'!N253</f>
        <v>0</v>
      </c>
      <c r="L253" s="22">
        <f>'体验表-带进度条'!O253</f>
        <v>0</v>
      </c>
      <c r="M253" s="30">
        <f>'体验表-带进度条'!X253</f>
        <v>0</v>
      </c>
      <c r="N253" s="23">
        <f>'体验表-带进度条'!AA253</f>
        <v>0</v>
      </c>
      <c r="O253" s="72">
        <f>'体验表-带进度条'!AB253</f>
        <v>0</v>
      </c>
    </row>
    <row r="254" spans="1:15">
      <c r="A254" s="13">
        <f>'体验表-带进度条'!B254</f>
        <v>38</v>
      </c>
      <c r="B254" s="14">
        <f>'体验表-带进度条'!E254</f>
        <v>19.99</v>
      </c>
      <c r="C254" s="14">
        <f>'体验表-带进度条'!F254</f>
        <v>158</v>
      </c>
      <c r="D254" s="14">
        <f>'体验表-带进度条'!G254</f>
        <v>31600000</v>
      </c>
      <c r="E254" s="16">
        <f>'体验表-带进度条'!H254</f>
        <v>133870000</v>
      </c>
      <c r="F254" s="17">
        <f>'体验表-带进度条'!I254</f>
        <v>89.93</v>
      </c>
      <c r="G254" s="14">
        <f>'体验表-带进度条'!J254</f>
        <v>0.45</v>
      </c>
      <c r="H254" s="19" t="str">
        <f>'体验表-带进度条'!K254</f>
        <v>金币</v>
      </c>
      <c r="I254" s="38">
        <f>'体验表-带进度条'!L254</f>
        <v>9</v>
      </c>
      <c r="J254" s="21">
        <f>'体验表-带进度条'!M254</f>
        <v>31600000</v>
      </c>
      <c r="K254" s="14">
        <f>'体验表-带进度条'!N254</f>
        <v>34009660</v>
      </c>
      <c r="L254" s="22">
        <f>'体验表-带进度条'!O254</f>
        <v>34.00966</v>
      </c>
      <c r="M254" s="30">
        <f>'体验表-带进度条'!X254</f>
        <v>152998990</v>
      </c>
      <c r="N254" s="23">
        <f>'体验表-带进度条'!AA254</f>
        <v>152.99899</v>
      </c>
      <c r="O254" s="72">
        <f>'体验表-带进度条'!AB254</f>
        <v>1.14289228355868</v>
      </c>
    </row>
    <row r="255" spans="1:15">
      <c r="A255" s="13">
        <f>'体验表-带进度条'!B255</f>
        <v>39</v>
      </c>
      <c r="B255" s="14">
        <f>'体验表-带进度条'!E255</f>
        <v>0</v>
      </c>
      <c r="C255" s="14" t="str">
        <f>'体验表-带进度条'!F255</f>
        <v/>
      </c>
      <c r="D255" s="14">
        <f>'体验表-带进度条'!G255</f>
        <v>0</v>
      </c>
      <c r="E255" s="16">
        <f>'体验表-带进度条'!H255</f>
        <v>0</v>
      </c>
      <c r="F255" s="17">
        <f>'体验表-带进度条'!I255</f>
        <v>0</v>
      </c>
      <c r="G255" s="14">
        <f>'体验表-带进度条'!J255</f>
        <v>0</v>
      </c>
      <c r="H255" s="19" t="str">
        <f>'体验表-带进度条'!K255</f>
        <v>记牌器1个</v>
      </c>
      <c r="I255" s="38">
        <f>'体验表-带进度条'!L255</f>
        <v>3</v>
      </c>
      <c r="J255" s="21">
        <f>'体验表-带进度条'!M255</f>
        <v>7</v>
      </c>
      <c r="K255" s="14">
        <f>'体验表-带进度条'!N255</f>
        <v>0</v>
      </c>
      <c r="L255" s="22">
        <f>'体验表-带进度条'!O255</f>
        <v>0</v>
      </c>
      <c r="M255" s="30">
        <f>'体验表-带进度条'!X255</f>
        <v>0</v>
      </c>
      <c r="N255" s="23">
        <f>'体验表-带进度条'!AA255</f>
        <v>0</v>
      </c>
      <c r="O255" s="72">
        <f>'体验表-带进度条'!AB255</f>
        <v>0</v>
      </c>
    </row>
    <row r="256" spans="1:15">
      <c r="A256" s="13">
        <f>'体验表-带进度条'!B256</f>
        <v>40</v>
      </c>
      <c r="B256" s="14">
        <f>'体验表-带进度条'!E256</f>
        <v>0</v>
      </c>
      <c r="C256" s="14" t="str">
        <f>'体验表-带进度条'!F256</f>
        <v/>
      </c>
      <c r="D256" s="14">
        <f>'体验表-带进度条'!G256</f>
        <v>0</v>
      </c>
      <c r="E256" s="16">
        <f>'体验表-带进度条'!H256</f>
        <v>0</v>
      </c>
      <c r="F256" s="17">
        <f>'体验表-带进度条'!I256</f>
        <v>0</v>
      </c>
      <c r="G256" s="14">
        <f>'体验表-带进度条'!J256</f>
        <v>0.12</v>
      </c>
      <c r="H256" s="19" t="str">
        <f>'体验表-带进度条'!K256</f>
        <v>金币</v>
      </c>
      <c r="I256" s="38">
        <f>'体验表-带进度条'!L256</f>
        <v>17</v>
      </c>
      <c r="J256" s="21">
        <f>'体验表-带进度条'!M256</f>
        <v>2409660</v>
      </c>
      <c r="K256" s="14">
        <f>'体验表-带进度条'!N256</f>
        <v>0</v>
      </c>
      <c r="L256" s="22">
        <f>'体验表-带进度条'!O256</f>
        <v>0</v>
      </c>
      <c r="M256" s="30">
        <f>'体验表-带进度条'!X256</f>
        <v>0</v>
      </c>
      <c r="N256" s="23">
        <f>'体验表-带进度条'!AA256</f>
        <v>0</v>
      </c>
      <c r="O256" s="72">
        <f>'体验表-带进度条'!AB256</f>
        <v>0</v>
      </c>
    </row>
    <row r="257" spans="1:15">
      <c r="A257" s="13">
        <f>'体验表-带进度条'!B257</f>
        <v>41</v>
      </c>
      <c r="B257" s="14">
        <f>'体验表-带进度条'!E257</f>
        <v>0</v>
      </c>
      <c r="C257" s="14" t="str">
        <f>'体验表-带进度条'!F257</f>
        <v/>
      </c>
      <c r="D257" s="14">
        <f>'体验表-带进度条'!G257</f>
        <v>0</v>
      </c>
      <c r="E257" s="16">
        <f>'体验表-带进度条'!H257</f>
        <v>0</v>
      </c>
      <c r="F257" s="17">
        <f>'体验表-带进度条'!I257</f>
        <v>0</v>
      </c>
      <c r="G257" s="14">
        <f>'体验表-带进度条'!J257</f>
        <v>0</v>
      </c>
      <c r="H257" s="19" t="str">
        <f>'体验表-带进度条'!K257</f>
        <v>卡包fun卡</v>
      </c>
      <c r="I257" s="38">
        <f>'体验表-带进度条'!L257</f>
        <v>4</v>
      </c>
      <c r="J257" s="21">
        <f>'体验表-带进度条'!M257</f>
        <v>1</v>
      </c>
      <c r="K257" s="14">
        <f>'体验表-带进度条'!N257</f>
        <v>0</v>
      </c>
      <c r="L257" s="22">
        <f>'体验表-带进度条'!O257</f>
        <v>0</v>
      </c>
      <c r="M257" s="30">
        <f>'体验表-带进度条'!X257</f>
        <v>0</v>
      </c>
      <c r="N257" s="23">
        <f>'体验表-带进度条'!AA257</f>
        <v>0</v>
      </c>
      <c r="O257" s="72">
        <f>'体验表-带进度条'!AB257</f>
        <v>0</v>
      </c>
    </row>
    <row r="258" spans="1:15">
      <c r="A258" s="13">
        <f>'体验表-带进度条'!B258</f>
        <v>42</v>
      </c>
      <c r="B258" s="14">
        <f>'体验表-带进度条'!E258</f>
        <v>0</v>
      </c>
      <c r="C258" s="14" t="str">
        <f>'体验表-带进度条'!F258</f>
        <v/>
      </c>
      <c r="D258" s="14">
        <f>'体验表-带进度条'!G258</f>
        <v>0</v>
      </c>
      <c r="E258" s="16">
        <f>'体验表-带进度条'!H258</f>
        <v>0</v>
      </c>
      <c r="F258" s="17">
        <f>'体验表-带进度条'!I258</f>
        <v>0</v>
      </c>
      <c r="G258" s="14">
        <f>'体验表-带进度条'!J258</f>
        <v>0</v>
      </c>
      <c r="H258" s="19" t="str">
        <f>'体验表-带进度条'!K258</f>
        <v>老虎机抽奖券</v>
      </c>
      <c r="I258" s="38">
        <f>'体验表-带进度条'!L258</f>
        <v>3</v>
      </c>
      <c r="J258" s="21">
        <f>'体验表-带进度条'!M258</f>
        <v>35</v>
      </c>
      <c r="K258" s="14">
        <f>'体验表-带进度条'!N258</f>
        <v>0</v>
      </c>
      <c r="L258" s="22">
        <f>'体验表-带进度条'!O258</f>
        <v>0</v>
      </c>
      <c r="M258" s="30">
        <f>'体验表-带进度条'!X258</f>
        <v>0</v>
      </c>
      <c r="N258" s="23">
        <f>'体验表-带进度条'!AA258</f>
        <v>0</v>
      </c>
      <c r="O258" s="72">
        <f>'体验表-带进度条'!AB258</f>
        <v>0</v>
      </c>
    </row>
    <row r="259" spans="1:15">
      <c r="A259" s="13">
        <f>'体验表-带进度条'!B259</f>
        <v>43</v>
      </c>
      <c r="B259" s="14">
        <f>'体验表-带进度条'!E259</f>
        <v>0</v>
      </c>
      <c r="C259" s="14" t="str">
        <f>'体验表-带进度条'!F259</f>
        <v/>
      </c>
      <c r="D259" s="14">
        <f>'体验表-带进度条'!G259</f>
        <v>0</v>
      </c>
      <c r="E259" s="16">
        <f>'体验表-带进度条'!H259</f>
        <v>0</v>
      </c>
      <c r="F259" s="17">
        <f>'体验表-带进度条'!I259</f>
        <v>0</v>
      </c>
      <c r="G259" s="14">
        <f>'体验表-带进度条'!J259</f>
        <v>0</v>
      </c>
      <c r="H259" s="19" t="str">
        <f>'体验表-带进度条'!K259</f>
        <v>大奖赛复活券</v>
      </c>
      <c r="I259" s="38">
        <f>'体验表-带进度条'!L259</f>
        <v>3</v>
      </c>
      <c r="J259" s="21">
        <f>'体验表-带进度条'!M259</f>
        <v>1</v>
      </c>
      <c r="K259" s="14">
        <f>'体验表-带进度条'!N259</f>
        <v>0</v>
      </c>
      <c r="L259" s="22">
        <f>'体验表-带进度条'!O259</f>
        <v>0</v>
      </c>
      <c r="M259" s="30">
        <f>'体验表-带进度条'!X259</f>
        <v>0</v>
      </c>
      <c r="N259" s="23">
        <f>'体验表-带进度条'!AA259</f>
        <v>0</v>
      </c>
      <c r="O259" s="72">
        <f>'体验表-带进度条'!AB259</f>
        <v>0</v>
      </c>
    </row>
    <row r="260" spans="1:15">
      <c r="A260" s="13">
        <f>'体验表-带进度条'!B260</f>
        <v>1</v>
      </c>
      <c r="B260" s="14">
        <f>'体验表-带进度条'!E260</f>
        <v>0</v>
      </c>
      <c r="C260" s="14" t="str">
        <f>'体验表-带进度条'!F260</f>
        <v/>
      </c>
      <c r="D260" s="14">
        <f>'体验表-带进度条'!G260</f>
        <v>0</v>
      </c>
      <c r="E260" s="16">
        <f>'体验表-带进度条'!H260</f>
        <v>0</v>
      </c>
      <c r="F260" s="17">
        <f>'体验表-带进度条'!I260</f>
        <v>0</v>
      </c>
      <c r="G260" s="14">
        <f>'体验表-带进度条'!J260</f>
        <v>0</v>
      </c>
      <c r="H260" s="19" t="str">
        <f>'体验表-带进度条'!K260</f>
        <v>金币</v>
      </c>
      <c r="I260" s="38">
        <f>'体验表-带进度条'!L260</f>
        <v>1</v>
      </c>
      <c r="J260" s="21">
        <f>'体验表-带进度条'!M260</f>
        <v>5000</v>
      </c>
      <c r="K260" s="14">
        <f>'体验表-带进度条'!N260</f>
        <v>0</v>
      </c>
      <c r="L260" s="22">
        <f>'体验表-带进度条'!O260</f>
        <v>0</v>
      </c>
      <c r="M260" s="30">
        <f>'体验表-带进度条'!X260</f>
        <v>0</v>
      </c>
      <c r="N260" s="23">
        <f>'体验表-带进度条'!AA260</f>
        <v>0</v>
      </c>
      <c r="O260" s="72">
        <f>'体验表-带进度条'!AB260</f>
        <v>0</v>
      </c>
    </row>
    <row r="261" spans="1:15">
      <c r="A261" s="13">
        <f>'体验表-带进度条'!B261</f>
        <v>2</v>
      </c>
      <c r="B261" s="14">
        <f>'体验表-带进度条'!E261</f>
        <v>5.99</v>
      </c>
      <c r="C261" s="14">
        <f>'体验表-带进度条'!F261</f>
        <v>119</v>
      </c>
      <c r="D261" s="14">
        <f>'体验表-带进度条'!G261</f>
        <v>7140000</v>
      </c>
      <c r="E261" s="16">
        <f>'体验表-带进度条'!H261</f>
        <v>7140000</v>
      </c>
      <c r="F261" s="17">
        <f>'体验表-带进度条'!I261</f>
        <v>5.99</v>
      </c>
      <c r="G261" s="14">
        <f>'体验表-带进度条'!J261</f>
        <v>0</v>
      </c>
      <c r="H261" s="19" t="str">
        <f>'体验表-带进度条'!K261</f>
        <v>金币</v>
      </c>
      <c r="I261" s="38">
        <f>'体验表-带进度条'!L261</f>
        <v>9</v>
      </c>
      <c r="J261" s="21">
        <f>'体验表-带进度条'!M261</f>
        <v>7140000</v>
      </c>
      <c r="K261" s="14">
        <f>'体验表-带进度条'!N261</f>
        <v>9148050</v>
      </c>
      <c r="L261" s="22">
        <f>'体验表-带进度条'!O261</f>
        <v>9.14805</v>
      </c>
      <c r="M261" s="30">
        <f>'体验表-带进度条'!X261</f>
        <v>9148050</v>
      </c>
      <c r="N261" s="23">
        <f>'体验表-带进度条'!AA261</f>
        <v>9.14805</v>
      </c>
      <c r="O261" s="72">
        <f>'体验表-带进度条'!AB261</f>
        <v>1.28123949579832</v>
      </c>
    </row>
    <row r="262" spans="1:15">
      <c r="A262" s="13">
        <f>'体验表-带进度条'!B262</f>
        <v>3</v>
      </c>
      <c r="B262" s="14">
        <f>'体验表-带进度条'!E262</f>
        <v>0</v>
      </c>
      <c r="C262" s="14" t="str">
        <f>'体验表-带进度条'!F262</f>
        <v/>
      </c>
      <c r="D262" s="14">
        <f>'体验表-带进度条'!G262</f>
        <v>0</v>
      </c>
      <c r="E262" s="16">
        <f>'体验表-带进度条'!H262</f>
        <v>0</v>
      </c>
      <c r="F262" s="17">
        <f>'体验表-带进度条'!I262</f>
        <v>0</v>
      </c>
      <c r="G262" s="14">
        <f>'体验表-带进度条'!J262</f>
        <v>0</v>
      </c>
      <c r="H262" s="19" t="str">
        <f>'体验表-带进度条'!K262</f>
        <v>记牌器1个</v>
      </c>
      <c r="I262" s="38">
        <f>'体验表-带进度条'!L262</f>
        <v>3</v>
      </c>
      <c r="J262" s="21">
        <f>'体验表-带进度条'!M262</f>
        <v>1</v>
      </c>
      <c r="K262" s="14">
        <f>'体验表-带进度条'!N262</f>
        <v>0</v>
      </c>
      <c r="L262" s="22">
        <f>'体验表-带进度条'!O262</f>
        <v>0</v>
      </c>
      <c r="M262" s="30">
        <f>'体验表-带进度条'!X262</f>
        <v>0</v>
      </c>
      <c r="N262" s="23">
        <f>'体验表-带进度条'!AA262</f>
        <v>0</v>
      </c>
      <c r="O262" s="72">
        <f>'体验表-带进度条'!AB262</f>
        <v>0</v>
      </c>
    </row>
    <row r="263" spans="1:15">
      <c r="A263" s="13">
        <f>'体验表-带进度条'!B263</f>
        <v>4</v>
      </c>
      <c r="B263" s="14">
        <f>'体验表-带进度条'!E263</f>
        <v>0</v>
      </c>
      <c r="C263" s="14" t="str">
        <f>'体验表-带进度条'!F263</f>
        <v/>
      </c>
      <c r="D263" s="14">
        <f>'体验表-带进度条'!G263</f>
        <v>0</v>
      </c>
      <c r="E263" s="16">
        <f>'体验表-带进度条'!H263</f>
        <v>0</v>
      </c>
      <c r="F263" s="17">
        <f>'体验表-带进度条'!I263</f>
        <v>0</v>
      </c>
      <c r="G263" s="14">
        <f>'体验表-带进度条'!J263</f>
        <v>0.1</v>
      </c>
      <c r="H263" s="19" t="str">
        <f>'体验表-带进度条'!K263</f>
        <v>金币</v>
      </c>
      <c r="I263" s="38">
        <f>'体验表-带进度条'!L263</f>
        <v>17</v>
      </c>
      <c r="J263" s="21">
        <f>'体验表-带进度条'!M263</f>
        <v>2008050</v>
      </c>
      <c r="K263" s="14">
        <f>'体验表-带进度条'!N263</f>
        <v>0</v>
      </c>
      <c r="L263" s="22">
        <f>'体验表-带进度条'!O263</f>
        <v>0</v>
      </c>
      <c r="M263" s="30">
        <f>'体验表-带进度条'!X263</f>
        <v>0</v>
      </c>
      <c r="N263" s="23">
        <f>'体验表-带进度条'!AA263</f>
        <v>0</v>
      </c>
      <c r="O263" s="72">
        <f>'体验表-带进度条'!AB263</f>
        <v>0</v>
      </c>
    </row>
    <row r="264" spans="1:15">
      <c r="A264" s="13">
        <f>'体验表-带进度条'!B264</f>
        <v>5</v>
      </c>
      <c r="B264" s="14">
        <f>'体验表-带进度条'!E264</f>
        <v>0</v>
      </c>
      <c r="C264" s="14" t="str">
        <f>'体验表-带进度条'!F264</f>
        <v/>
      </c>
      <c r="D264" s="14">
        <f>'体验表-带进度条'!G264</f>
        <v>0</v>
      </c>
      <c r="E264" s="16">
        <f>'体验表-带进度条'!H264</f>
        <v>0</v>
      </c>
      <c r="F264" s="17">
        <f>'体验表-带进度条'!I264</f>
        <v>0</v>
      </c>
      <c r="G264" s="14">
        <f>'体验表-带进度条'!J264</f>
        <v>0</v>
      </c>
      <c r="H264" s="19" t="str">
        <f>'体验表-带进度条'!K264</f>
        <v>卡包2星</v>
      </c>
      <c r="I264" s="38">
        <f>'体验表-带进度条'!L264</f>
        <v>4</v>
      </c>
      <c r="J264" s="21">
        <f>'体验表-带进度条'!M264</f>
        <v>1</v>
      </c>
      <c r="K264" s="14">
        <f>'体验表-带进度条'!N264</f>
        <v>0</v>
      </c>
      <c r="L264" s="22">
        <f>'体验表-带进度条'!O264</f>
        <v>0</v>
      </c>
      <c r="M264" s="30">
        <f>'体验表-带进度条'!X264</f>
        <v>0</v>
      </c>
      <c r="N264" s="23">
        <f>'体验表-带进度条'!AA264</f>
        <v>0</v>
      </c>
      <c r="O264" s="72">
        <f>'体验表-带进度条'!AB264</f>
        <v>0</v>
      </c>
    </row>
    <row r="265" spans="1:15">
      <c r="A265" s="13">
        <f>'体验表-带进度条'!B265</f>
        <v>6</v>
      </c>
      <c r="B265" s="14">
        <f>'体验表-带进度条'!E265</f>
        <v>0</v>
      </c>
      <c r="C265" s="14" t="str">
        <f>'体验表-带进度条'!F265</f>
        <v/>
      </c>
      <c r="D265" s="14">
        <f>'体验表-带进度条'!G265</f>
        <v>0</v>
      </c>
      <c r="E265" s="16">
        <f>'体验表-带进度条'!H265</f>
        <v>0</v>
      </c>
      <c r="F265" s="17">
        <f>'体验表-带进度条'!I265</f>
        <v>0</v>
      </c>
      <c r="G265" s="14">
        <f>'体验表-带进度条'!J265</f>
        <v>0</v>
      </c>
      <c r="H265" s="19" t="str">
        <f>'体验表-带进度条'!K265</f>
        <v>老虎机抽奖券</v>
      </c>
      <c r="I265" s="38">
        <f>'体验表-带进度条'!L265</f>
        <v>3</v>
      </c>
      <c r="J265" s="21">
        <f>'体验表-带进度条'!M265</f>
        <v>5</v>
      </c>
      <c r="K265" s="14">
        <f>'体验表-带进度条'!N265</f>
        <v>0</v>
      </c>
      <c r="L265" s="22">
        <f>'体验表-带进度条'!O265</f>
        <v>0</v>
      </c>
      <c r="M265" s="30">
        <f>'体验表-带进度条'!X265</f>
        <v>0</v>
      </c>
      <c r="N265" s="23">
        <f>'体验表-带进度条'!AA265</f>
        <v>0</v>
      </c>
      <c r="O265" s="72">
        <f>'体验表-带进度条'!AB265</f>
        <v>0</v>
      </c>
    </row>
    <row r="266" spans="1:15">
      <c r="A266" s="13">
        <f>'体验表-带进度条'!B266</f>
        <v>7</v>
      </c>
      <c r="B266" s="14">
        <f>'体验表-带进度条'!E266</f>
        <v>0</v>
      </c>
      <c r="C266" s="14" t="str">
        <f>'体验表-带进度条'!F266</f>
        <v/>
      </c>
      <c r="D266" s="14">
        <f>'体验表-带进度条'!G266</f>
        <v>0</v>
      </c>
      <c r="E266" s="16">
        <f>'体验表-带进度条'!H266</f>
        <v>0</v>
      </c>
      <c r="F266" s="17">
        <f>'体验表-带进度条'!I266</f>
        <v>0</v>
      </c>
      <c r="G266" s="14">
        <f>'体验表-带进度条'!J266</f>
        <v>0</v>
      </c>
      <c r="H266" s="19" t="str">
        <f>'体验表-带进度条'!K266</f>
        <v>大奖赛复活券</v>
      </c>
      <c r="I266" s="38">
        <f>'体验表-带进度条'!L266</f>
        <v>3</v>
      </c>
      <c r="J266" s="21">
        <f>'体验表-带进度条'!M266</f>
        <v>1</v>
      </c>
      <c r="K266" s="14">
        <f>'体验表-带进度条'!N266</f>
        <v>0</v>
      </c>
      <c r="L266" s="22">
        <f>'体验表-带进度条'!O266</f>
        <v>0</v>
      </c>
      <c r="M266" s="30">
        <f>'体验表-带进度条'!X266</f>
        <v>0</v>
      </c>
      <c r="N266" s="23">
        <f>'体验表-带进度条'!AA266</f>
        <v>0</v>
      </c>
      <c r="O266" s="72">
        <f>'体验表-带进度条'!AB266</f>
        <v>0</v>
      </c>
    </row>
    <row r="267" spans="1:15">
      <c r="A267" s="13">
        <f>'体验表-带进度条'!B267</f>
        <v>8</v>
      </c>
      <c r="B267" s="14">
        <f>'体验表-带进度条'!E267</f>
        <v>7.99</v>
      </c>
      <c r="C267" s="14">
        <f>'体验表-带进度条'!F267</f>
        <v>129</v>
      </c>
      <c r="D267" s="14">
        <f>'体验表-带进度条'!G267</f>
        <v>10320000</v>
      </c>
      <c r="E267" s="16">
        <f>'体验表-带进度条'!H267</f>
        <v>17460000</v>
      </c>
      <c r="F267" s="17">
        <f>'体验表-带进度条'!I267</f>
        <v>13.98</v>
      </c>
      <c r="G267" s="14">
        <f>'体验表-带进度条'!J267</f>
        <v>0.12</v>
      </c>
      <c r="H267" s="19" t="str">
        <f>'体验表-带进度条'!K267</f>
        <v>金币</v>
      </c>
      <c r="I267" s="38">
        <f>'体验表-带进度条'!L267</f>
        <v>9</v>
      </c>
      <c r="J267" s="21">
        <f>'体验表-带进度条'!M267</f>
        <v>10320000</v>
      </c>
      <c r="K267" s="14">
        <f>'体验表-带进度条'!N267</f>
        <v>10721610</v>
      </c>
      <c r="L267" s="22">
        <f>'体验表-带进度条'!O267</f>
        <v>10.72161</v>
      </c>
      <c r="M267" s="30">
        <f>'体验表-带进度条'!X267</f>
        <v>20948400</v>
      </c>
      <c r="N267" s="23">
        <f>'体验表-带进度条'!AA267</f>
        <v>20.9484</v>
      </c>
      <c r="O267" s="72">
        <f>'体验表-带进度条'!AB267</f>
        <v>1.19979381443299</v>
      </c>
    </row>
    <row r="268" spans="1:15">
      <c r="A268" s="13">
        <f>'体验表-带进度条'!B268</f>
        <v>9</v>
      </c>
      <c r="B268" s="14">
        <f>'体验表-带进度条'!E268</f>
        <v>0</v>
      </c>
      <c r="C268" s="14" t="str">
        <f>'体验表-带进度条'!F268</f>
        <v/>
      </c>
      <c r="D268" s="14">
        <f>'体验表-带进度条'!G268</f>
        <v>0</v>
      </c>
      <c r="E268" s="16">
        <f>'体验表-带进度条'!H268</f>
        <v>0</v>
      </c>
      <c r="F268" s="17">
        <f>'体验表-带进度条'!I268</f>
        <v>0</v>
      </c>
      <c r="G268" s="14">
        <f>'体验表-带进度条'!J268</f>
        <v>0</v>
      </c>
      <c r="H268" s="19" t="str">
        <f>'体验表-带进度条'!K268</f>
        <v>记牌器1个</v>
      </c>
      <c r="I268" s="38">
        <f>'体验表-带进度条'!L268</f>
        <v>3</v>
      </c>
      <c r="J268" s="21">
        <f>'体验表-带进度条'!M268</f>
        <v>2</v>
      </c>
      <c r="K268" s="14">
        <f>'体验表-带进度条'!N268</f>
        <v>0</v>
      </c>
      <c r="L268" s="22">
        <f>'体验表-带进度条'!O268</f>
        <v>0</v>
      </c>
      <c r="M268" s="30">
        <f>'体验表-带进度条'!X268</f>
        <v>0</v>
      </c>
      <c r="N268" s="23">
        <f>'体验表-带进度条'!AA268</f>
        <v>0</v>
      </c>
      <c r="O268" s="72">
        <f>'体验表-带进度条'!AB268</f>
        <v>0</v>
      </c>
    </row>
    <row r="269" spans="1:15">
      <c r="A269" s="13">
        <f>'体验表-带进度条'!B269</f>
        <v>10</v>
      </c>
      <c r="B269" s="14">
        <f>'体验表-带进度条'!E269</f>
        <v>0</v>
      </c>
      <c r="C269" s="14" t="str">
        <f>'体验表-带进度条'!F269</f>
        <v/>
      </c>
      <c r="D269" s="14">
        <f>'体验表-带进度条'!G269</f>
        <v>0</v>
      </c>
      <c r="E269" s="16">
        <f>'体验表-带进度条'!H269</f>
        <v>0</v>
      </c>
      <c r="F269" s="17">
        <f>'体验表-带进度条'!I269</f>
        <v>0</v>
      </c>
      <c r="G269" s="14">
        <f>'体验表-带进度条'!J269</f>
        <v>0.02</v>
      </c>
      <c r="H269" s="19" t="str">
        <f>'体验表-带进度条'!K269</f>
        <v>金币</v>
      </c>
      <c r="I269" s="38">
        <f>'体验表-带进度条'!L269</f>
        <v>17</v>
      </c>
      <c r="J269" s="21">
        <f>'体验表-带进度条'!M269</f>
        <v>401610</v>
      </c>
      <c r="K269" s="14">
        <f>'体验表-带进度条'!N269</f>
        <v>0</v>
      </c>
      <c r="L269" s="22">
        <f>'体验表-带进度条'!O269</f>
        <v>0</v>
      </c>
      <c r="M269" s="30">
        <f>'体验表-带进度条'!X269</f>
        <v>0</v>
      </c>
      <c r="N269" s="23">
        <f>'体验表-带进度条'!AA269</f>
        <v>0</v>
      </c>
      <c r="O269" s="72">
        <f>'体验表-带进度条'!AB269</f>
        <v>0</v>
      </c>
    </row>
    <row r="270" spans="1:15">
      <c r="A270" s="13">
        <f>'体验表-带进度条'!B270</f>
        <v>11</v>
      </c>
      <c r="B270" s="14">
        <f>'体验表-带进度条'!E270</f>
        <v>0</v>
      </c>
      <c r="C270" s="14" t="str">
        <f>'体验表-带进度条'!F270</f>
        <v/>
      </c>
      <c r="D270" s="14">
        <f>'体验表-带进度条'!G270</f>
        <v>0</v>
      </c>
      <c r="E270" s="16">
        <f>'体验表-带进度条'!H270</f>
        <v>0</v>
      </c>
      <c r="F270" s="17">
        <f>'体验表-带进度条'!I270</f>
        <v>0</v>
      </c>
      <c r="G270" s="14">
        <f>'体验表-带进度条'!J270</f>
        <v>0</v>
      </c>
      <c r="H270" s="19" t="str">
        <f>'体验表-带进度条'!K270</f>
        <v>卡包3星</v>
      </c>
      <c r="I270" s="38">
        <f>'体验表-带进度条'!L270</f>
        <v>4</v>
      </c>
      <c r="J270" s="21">
        <f>'体验表-带进度条'!M270</f>
        <v>1</v>
      </c>
      <c r="K270" s="14">
        <f>'体验表-带进度条'!N270</f>
        <v>0</v>
      </c>
      <c r="L270" s="22">
        <f>'体验表-带进度条'!O270</f>
        <v>0</v>
      </c>
      <c r="M270" s="30">
        <f>'体验表-带进度条'!X270</f>
        <v>0</v>
      </c>
      <c r="N270" s="23">
        <f>'体验表-带进度条'!AA270</f>
        <v>0</v>
      </c>
      <c r="O270" s="72">
        <f>'体验表-带进度条'!AB270</f>
        <v>0</v>
      </c>
    </row>
    <row r="271" spans="1:15">
      <c r="A271" s="13">
        <f>'体验表-带进度条'!B271</f>
        <v>12</v>
      </c>
      <c r="B271" s="14">
        <f>'体验表-带进度条'!E271</f>
        <v>0</v>
      </c>
      <c r="C271" s="14" t="str">
        <f>'体验表-带进度条'!F271</f>
        <v/>
      </c>
      <c r="D271" s="14">
        <f>'体验表-带进度条'!G271</f>
        <v>0</v>
      </c>
      <c r="E271" s="16">
        <f>'体验表-带进度条'!H271</f>
        <v>0</v>
      </c>
      <c r="F271" s="17">
        <f>'体验表-带进度条'!I271</f>
        <v>0</v>
      </c>
      <c r="G271" s="14">
        <f>'体验表-带进度条'!J271</f>
        <v>0</v>
      </c>
      <c r="H271" s="19" t="str">
        <f>'体验表-带进度条'!K271</f>
        <v>老虎机抽奖券</v>
      </c>
      <c r="I271" s="38">
        <f>'体验表-带进度条'!L271</f>
        <v>3</v>
      </c>
      <c r="J271" s="21">
        <f>'体验表-带进度条'!M271</f>
        <v>10</v>
      </c>
      <c r="K271" s="14">
        <f>'体验表-带进度条'!N271</f>
        <v>0</v>
      </c>
      <c r="L271" s="22">
        <f>'体验表-带进度条'!O271</f>
        <v>0</v>
      </c>
      <c r="M271" s="30">
        <f>'体验表-带进度条'!X271</f>
        <v>0</v>
      </c>
      <c r="N271" s="23">
        <f>'体验表-带进度条'!AA271</f>
        <v>0</v>
      </c>
      <c r="O271" s="72">
        <f>'体验表-带进度条'!AB271</f>
        <v>0</v>
      </c>
    </row>
    <row r="272" spans="1:15">
      <c r="A272" s="13">
        <f>'体验表-带进度条'!B272</f>
        <v>13</v>
      </c>
      <c r="B272" s="14">
        <f>'体验表-带进度条'!E272</f>
        <v>0</v>
      </c>
      <c r="C272" s="14" t="str">
        <f>'体验表-带进度条'!F272</f>
        <v/>
      </c>
      <c r="D272" s="14">
        <f>'体验表-带进度条'!G272</f>
        <v>0</v>
      </c>
      <c r="E272" s="16">
        <f>'体验表-带进度条'!H272</f>
        <v>0</v>
      </c>
      <c r="F272" s="17">
        <f>'体验表-带进度条'!I272</f>
        <v>0</v>
      </c>
      <c r="G272" s="14">
        <f>'体验表-带进度条'!J272</f>
        <v>0</v>
      </c>
      <c r="H272" s="19" t="str">
        <f>'体验表-带进度条'!K272</f>
        <v>大奖赛报名券</v>
      </c>
      <c r="I272" s="38">
        <f>'体验表-带进度条'!L272</f>
        <v>3</v>
      </c>
      <c r="J272" s="21">
        <f>'体验表-带进度条'!M272</f>
        <v>1</v>
      </c>
      <c r="K272" s="14">
        <f>'体验表-带进度条'!N272</f>
        <v>0</v>
      </c>
      <c r="L272" s="22">
        <f>'体验表-带进度条'!O272</f>
        <v>0</v>
      </c>
      <c r="M272" s="30">
        <f>'体验表-带进度条'!X272</f>
        <v>0</v>
      </c>
      <c r="N272" s="23">
        <f>'体验表-带进度条'!AA272</f>
        <v>0</v>
      </c>
      <c r="O272" s="72">
        <f>'体验表-带进度条'!AB272</f>
        <v>0</v>
      </c>
    </row>
    <row r="273" spans="1:15">
      <c r="A273" s="13">
        <f>'体验表-带进度条'!B273</f>
        <v>14</v>
      </c>
      <c r="B273" s="14">
        <f>'体验表-带进度条'!E273</f>
        <v>9.99</v>
      </c>
      <c r="C273" s="14">
        <f>'体验表-带进度条'!F273</f>
        <v>139</v>
      </c>
      <c r="D273" s="14">
        <f>'体验表-带进度条'!G273</f>
        <v>13900000</v>
      </c>
      <c r="E273" s="16">
        <f>'体验表-带进度条'!H273</f>
        <v>31360000</v>
      </c>
      <c r="F273" s="17">
        <f>'体验表-带进度条'!I273</f>
        <v>23.97</v>
      </c>
      <c r="G273" s="14">
        <f>'体验表-带进度条'!J273</f>
        <v>0</v>
      </c>
      <c r="H273" s="19" t="str">
        <f>'体验表-带进度条'!K273</f>
        <v>金币</v>
      </c>
      <c r="I273" s="38">
        <f>'体验表-带进度条'!L273</f>
        <v>9</v>
      </c>
      <c r="J273" s="21">
        <f>'体验表-带进度条'!M273</f>
        <v>13900000</v>
      </c>
      <c r="K273" s="14">
        <f>'体验表-带进度条'!N273</f>
        <v>15908050</v>
      </c>
      <c r="L273" s="22">
        <f>'体验表-带进度条'!O273</f>
        <v>15.90805</v>
      </c>
      <c r="M273" s="30">
        <f>'体验表-带进度条'!X273</f>
        <v>36856450</v>
      </c>
      <c r="N273" s="23">
        <f>'体验表-带进度条'!AA273</f>
        <v>36.85645</v>
      </c>
      <c r="O273" s="72">
        <f>'体验表-带进度条'!AB273</f>
        <v>1.17526945153061</v>
      </c>
    </row>
    <row r="274" spans="1:15">
      <c r="A274" s="13">
        <f>'体验表-带进度条'!B274</f>
        <v>15</v>
      </c>
      <c r="B274" s="14">
        <f>'体验表-带进度条'!E274</f>
        <v>0</v>
      </c>
      <c r="C274" s="14" t="str">
        <f>'体验表-带进度条'!F274</f>
        <v/>
      </c>
      <c r="D274" s="14">
        <f>'体验表-带进度条'!G274</f>
        <v>0</v>
      </c>
      <c r="E274" s="16">
        <f>'体验表-带进度条'!H274</f>
        <v>0</v>
      </c>
      <c r="F274" s="17">
        <f>'体验表-带进度条'!I274</f>
        <v>0</v>
      </c>
      <c r="G274" s="14">
        <f>'体验表-带进度条'!J274</f>
        <v>0</v>
      </c>
      <c r="H274" s="19" t="str">
        <f>'体验表-带进度条'!K274</f>
        <v>记牌器1个</v>
      </c>
      <c r="I274" s="38">
        <f>'体验表-带进度条'!L274</f>
        <v>3</v>
      </c>
      <c r="J274" s="21">
        <f>'体验表-带进度条'!M274</f>
        <v>3</v>
      </c>
      <c r="K274" s="14">
        <f>'体验表-带进度条'!N274</f>
        <v>0</v>
      </c>
      <c r="L274" s="22">
        <f>'体验表-带进度条'!O274</f>
        <v>0</v>
      </c>
      <c r="M274" s="30">
        <f>'体验表-带进度条'!X274</f>
        <v>0</v>
      </c>
      <c r="N274" s="23">
        <f>'体验表-带进度条'!AA274</f>
        <v>0</v>
      </c>
      <c r="O274" s="72">
        <f>'体验表-带进度条'!AB274</f>
        <v>0</v>
      </c>
    </row>
    <row r="275" spans="1:15">
      <c r="A275" s="13">
        <f>'体验表-带进度条'!B275</f>
        <v>16</v>
      </c>
      <c r="B275" s="14">
        <f>'体验表-带进度条'!E275</f>
        <v>0</v>
      </c>
      <c r="C275" s="14" t="str">
        <f>'体验表-带进度条'!F275</f>
        <v/>
      </c>
      <c r="D275" s="14">
        <f>'体验表-带进度条'!G275</f>
        <v>0</v>
      </c>
      <c r="E275" s="16">
        <f>'体验表-带进度条'!H275</f>
        <v>0</v>
      </c>
      <c r="F275" s="17">
        <f>'体验表-带进度条'!I275</f>
        <v>0</v>
      </c>
      <c r="G275" s="14">
        <f>'体验表-带进度条'!J275</f>
        <v>0.1</v>
      </c>
      <c r="H275" s="19" t="str">
        <f>'体验表-带进度条'!K275</f>
        <v>金币</v>
      </c>
      <c r="I275" s="38">
        <f>'体验表-带进度条'!L275</f>
        <v>17</v>
      </c>
      <c r="J275" s="21">
        <f>'体验表-带进度条'!M275</f>
        <v>2008050</v>
      </c>
      <c r="K275" s="14">
        <f>'体验表-带进度条'!N275</f>
        <v>0</v>
      </c>
      <c r="L275" s="22">
        <f>'体验表-带进度条'!O275</f>
        <v>0</v>
      </c>
      <c r="M275" s="30">
        <f>'体验表-带进度条'!X275</f>
        <v>0</v>
      </c>
      <c r="N275" s="23">
        <f>'体验表-带进度条'!AA275</f>
        <v>0</v>
      </c>
      <c r="O275" s="72">
        <f>'体验表-带进度条'!AB275</f>
        <v>0</v>
      </c>
    </row>
    <row r="276" spans="1:15">
      <c r="A276" s="13">
        <f>'体验表-带进度条'!B276</f>
        <v>17</v>
      </c>
      <c r="B276" s="14">
        <f>'体验表-带进度条'!E276</f>
        <v>0</v>
      </c>
      <c r="C276" s="14" t="str">
        <f>'体验表-带进度条'!F276</f>
        <v/>
      </c>
      <c r="D276" s="14">
        <f>'体验表-带进度条'!G276</f>
        <v>0</v>
      </c>
      <c r="E276" s="16">
        <f>'体验表-带进度条'!H276</f>
        <v>0</v>
      </c>
      <c r="F276" s="17">
        <f>'体验表-带进度条'!I276</f>
        <v>0</v>
      </c>
      <c r="G276" s="14">
        <f>'体验表-带进度条'!J276</f>
        <v>0</v>
      </c>
      <c r="H276" s="19" t="str">
        <f>'体验表-带进度条'!K276</f>
        <v>卡包4星</v>
      </c>
      <c r="I276" s="38">
        <f>'体验表-带进度条'!L276</f>
        <v>4</v>
      </c>
      <c r="J276" s="21">
        <f>'体验表-带进度条'!M276</f>
        <v>1</v>
      </c>
      <c r="K276" s="14">
        <f>'体验表-带进度条'!N276</f>
        <v>0</v>
      </c>
      <c r="L276" s="22">
        <f>'体验表-带进度条'!O276</f>
        <v>0</v>
      </c>
      <c r="M276" s="30">
        <f>'体验表-带进度条'!X276</f>
        <v>0</v>
      </c>
      <c r="N276" s="23">
        <f>'体验表-带进度条'!AA276</f>
        <v>0</v>
      </c>
      <c r="O276" s="72">
        <f>'体验表-带进度条'!AB276</f>
        <v>0</v>
      </c>
    </row>
    <row r="277" spans="1:15">
      <c r="A277" s="13">
        <f>'体验表-带进度条'!B277</f>
        <v>18</v>
      </c>
      <c r="B277" s="14">
        <f>'体验表-带进度条'!E277</f>
        <v>0</v>
      </c>
      <c r="C277" s="14" t="str">
        <f>'体验表-带进度条'!F277</f>
        <v/>
      </c>
      <c r="D277" s="14">
        <f>'体验表-带进度条'!G277</f>
        <v>0</v>
      </c>
      <c r="E277" s="16">
        <f>'体验表-带进度条'!H277</f>
        <v>0</v>
      </c>
      <c r="F277" s="17">
        <f>'体验表-带进度条'!I277</f>
        <v>0</v>
      </c>
      <c r="G277" s="14">
        <f>'体验表-带进度条'!J277</f>
        <v>0</v>
      </c>
      <c r="H277" s="19" t="str">
        <f>'体验表-带进度条'!K277</f>
        <v>老虎机抽奖券</v>
      </c>
      <c r="I277" s="38">
        <f>'体验表-带进度条'!L277</f>
        <v>3</v>
      </c>
      <c r="J277" s="21">
        <f>'体验表-带进度条'!M277</f>
        <v>15</v>
      </c>
      <c r="K277" s="14">
        <f>'体验表-带进度条'!N277</f>
        <v>0</v>
      </c>
      <c r="L277" s="22">
        <f>'体验表-带进度条'!O277</f>
        <v>0</v>
      </c>
      <c r="M277" s="30">
        <f>'体验表-带进度条'!X277</f>
        <v>0</v>
      </c>
      <c r="N277" s="23">
        <f>'体验表-带进度条'!AA277</f>
        <v>0</v>
      </c>
      <c r="O277" s="72">
        <f>'体验表-带进度条'!AB277</f>
        <v>0</v>
      </c>
    </row>
    <row r="278" spans="1:15">
      <c r="A278" s="13">
        <f>'体验表-带进度条'!B278</f>
        <v>19</v>
      </c>
      <c r="B278" s="14">
        <f>'体验表-带进度条'!E278</f>
        <v>0</v>
      </c>
      <c r="C278" s="14" t="str">
        <f>'体验表-带进度条'!F278</f>
        <v/>
      </c>
      <c r="D278" s="14">
        <f>'体验表-带进度条'!G278</f>
        <v>0</v>
      </c>
      <c r="E278" s="16">
        <f>'体验表-带进度条'!H278</f>
        <v>0</v>
      </c>
      <c r="F278" s="17">
        <f>'体验表-带进度条'!I278</f>
        <v>0</v>
      </c>
      <c r="G278" s="14">
        <f>'体验表-带进度条'!J278</f>
        <v>0</v>
      </c>
      <c r="H278" s="19" t="str">
        <f>'体验表-带进度条'!K278</f>
        <v>大奖赛复活券</v>
      </c>
      <c r="I278" s="38">
        <f>'体验表-带进度条'!L278</f>
        <v>3</v>
      </c>
      <c r="J278" s="21">
        <f>'体验表-带进度条'!M278</f>
        <v>1</v>
      </c>
      <c r="K278" s="14">
        <f>'体验表-带进度条'!N278</f>
        <v>0</v>
      </c>
      <c r="L278" s="22">
        <f>'体验表-带进度条'!O278</f>
        <v>0</v>
      </c>
      <c r="M278" s="30">
        <f>'体验表-带进度条'!X278</f>
        <v>0</v>
      </c>
      <c r="N278" s="23">
        <f>'体验表-带进度条'!AA278</f>
        <v>0</v>
      </c>
      <c r="O278" s="72">
        <f>'体验表-带进度条'!AB278</f>
        <v>0</v>
      </c>
    </row>
    <row r="279" spans="1:15">
      <c r="A279" s="13">
        <f>'体验表-带进度条'!B279</f>
        <v>20</v>
      </c>
      <c r="B279" s="14">
        <f>'体验表-带进度条'!E279</f>
        <v>12.99</v>
      </c>
      <c r="C279" s="14">
        <f>'体验表-带进度条'!F279</f>
        <v>149</v>
      </c>
      <c r="D279" s="14">
        <f>'体验表-带进度条'!G279</f>
        <v>19370000</v>
      </c>
      <c r="E279" s="16">
        <f>'体验表-带进度条'!H279</f>
        <v>50730000</v>
      </c>
      <c r="F279" s="17">
        <f>'体验表-带进度条'!I279</f>
        <v>36.96</v>
      </c>
      <c r="G279" s="14">
        <f>'体验表-带进度条'!J279</f>
        <v>0.24</v>
      </c>
      <c r="H279" s="19" t="str">
        <f>'体验表-带进度条'!K279</f>
        <v>金币</v>
      </c>
      <c r="I279" s="38">
        <f>'体验表-带进度条'!L279</f>
        <v>9</v>
      </c>
      <c r="J279" s="21">
        <f>'体验表-带进度条'!M279</f>
        <v>19370000</v>
      </c>
      <c r="K279" s="14">
        <f>'体验表-带进度条'!N279</f>
        <v>20976440</v>
      </c>
      <c r="L279" s="22">
        <f>'体验表-带进度条'!O279</f>
        <v>20.97644</v>
      </c>
      <c r="M279" s="30">
        <f>'体验表-带进度条'!X279</f>
        <v>59990370</v>
      </c>
      <c r="N279" s="23">
        <f>'体验表-带进度条'!AA279</f>
        <v>59.99037</v>
      </c>
      <c r="O279" s="72">
        <f>'体验表-带进度条'!AB279</f>
        <v>1.18254228267297</v>
      </c>
    </row>
    <row r="280" spans="1:15">
      <c r="A280" s="13">
        <f>'体验表-带进度条'!B280</f>
        <v>21</v>
      </c>
      <c r="B280" s="14">
        <f>'体验表-带进度条'!E280</f>
        <v>0</v>
      </c>
      <c r="C280" s="14" t="str">
        <f>'体验表-带进度条'!F280</f>
        <v/>
      </c>
      <c r="D280" s="14">
        <f>'体验表-带进度条'!G280</f>
        <v>0</v>
      </c>
      <c r="E280" s="16">
        <f>'体验表-带进度条'!H280</f>
        <v>0</v>
      </c>
      <c r="F280" s="17">
        <f>'体验表-带进度条'!I280</f>
        <v>0</v>
      </c>
      <c r="G280" s="14">
        <f>'体验表-带进度条'!J280</f>
        <v>0</v>
      </c>
      <c r="H280" s="19" t="str">
        <f>'体验表-带进度条'!K280</f>
        <v>记牌器1个</v>
      </c>
      <c r="I280" s="38">
        <f>'体验表-带进度条'!L280</f>
        <v>3</v>
      </c>
      <c r="J280" s="21">
        <f>'体验表-带进度条'!M280</f>
        <v>4</v>
      </c>
      <c r="K280" s="14">
        <f>'体验表-带进度条'!N280</f>
        <v>0</v>
      </c>
      <c r="L280" s="22">
        <f>'体验表-带进度条'!O280</f>
        <v>0</v>
      </c>
      <c r="M280" s="30">
        <f>'体验表-带进度条'!X280</f>
        <v>0</v>
      </c>
      <c r="N280" s="23">
        <f>'体验表-带进度条'!AA280</f>
        <v>0</v>
      </c>
      <c r="O280" s="72">
        <f>'体验表-带进度条'!AB280</f>
        <v>0</v>
      </c>
    </row>
    <row r="281" spans="1:15">
      <c r="A281" s="13">
        <f>'体验表-带进度条'!B281</f>
        <v>22</v>
      </c>
      <c r="B281" s="14">
        <f>'体验表-带进度条'!E281</f>
        <v>0</v>
      </c>
      <c r="C281" s="14" t="str">
        <f>'体验表-带进度条'!F281</f>
        <v/>
      </c>
      <c r="D281" s="14">
        <f>'体验表-带进度条'!G281</f>
        <v>0</v>
      </c>
      <c r="E281" s="16">
        <f>'体验表-带进度条'!H281</f>
        <v>0</v>
      </c>
      <c r="F281" s="17">
        <f>'体验表-带进度条'!I281</f>
        <v>0</v>
      </c>
      <c r="G281" s="14">
        <f>'体验表-带进度条'!J281</f>
        <v>0.08</v>
      </c>
      <c r="H281" s="19" t="str">
        <f>'体验表-带进度条'!K281</f>
        <v>金币</v>
      </c>
      <c r="I281" s="38">
        <f>'体验表-带进度条'!L281</f>
        <v>17</v>
      </c>
      <c r="J281" s="21">
        <f>'体验表-带进度条'!M281</f>
        <v>1606440</v>
      </c>
      <c r="K281" s="14">
        <f>'体验表-带进度条'!N281</f>
        <v>0</v>
      </c>
      <c r="L281" s="22">
        <f>'体验表-带进度条'!O281</f>
        <v>0</v>
      </c>
      <c r="M281" s="30">
        <f>'体验表-带进度条'!X281</f>
        <v>0</v>
      </c>
      <c r="N281" s="23">
        <f>'体验表-带进度条'!AA281</f>
        <v>0</v>
      </c>
      <c r="O281" s="72">
        <f>'体验表-带进度条'!AB281</f>
        <v>0</v>
      </c>
    </row>
    <row r="282" spans="1:15">
      <c r="A282" s="13">
        <f>'体验表-带进度条'!B282</f>
        <v>23</v>
      </c>
      <c r="B282" s="14">
        <f>'体验表-带进度条'!E282</f>
        <v>0</v>
      </c>
      <c r="C282" s="14" t="str">
        <f>'体验表-带进度条'!F282</f>
        <v/>
      </c>
      <c r="D282" s="14">
        <f>'体验表-带进度条'!G282</f>
        <v>0</v>
      </c>
      <c r="E282" s="16">
        <f>'体验表-带进度条'!H282</f>
        <v>0</v>
      </c>
      <c r="F282" s="17">
        <f>'体验表-带进度条'!I282</f>
        <v>0</v>
      </c>
      <c r="G282" s="14">
        <f>'体验表-带进度条'!J282</f>
        <v>0</v>
      </c>
      <c r="H282" s="19" t="str">
        <f>'体验表-带进度条'!K282</f>
        <v>卡包4星</v>
      </c>
      <c r="I282" s="38">
        <f>'体验表-带进度条'!L282</f>
        <v>4</v>
      </c>
      <c r="J282" s="21">
        <f>'体验表-带进度条'!M282</f>
        <v>1</v>
      </c>
      <c r="K282" s="14">
        <f>'体验表-带进度条'!N282</f>
        <v>0</v>
      </c>
      <c r="L282" s="22">
        <f>'体验表-带进度条'!O282</f>
        <v>0</v>
      </c>
      <c r="M282" s="30">
        <f>'体验表-带进度条'!X282</f>
        <v>0</v>
      </c>
      <c r="N282" s="23">
        <f>'体验表-带进度条'!AA282</f>
        <v>0</v>
      </c>
      <c r="O282" s="72">
        <f>'体验表-带进度条'!AB282</f>
        <v>0</v>
      </c>
    </row>
    <row r="283" spans="1:15">
      <c r="A283" s="13">
        <f>'体验表-带进度条'!B283</f>
        <v>24</v>
      </c>
      <c r="B283" s="14">
        <f>'体验表-带进度条'!E283</f>
        <v>0</v>
      </c>
      <c r="C283" s="14" t="str">
        <f>'体验表-带进度条'!F283</f>
        <v/>
      </c>
      <c r="D283" s="14">
        <f>'体验表-带进度条'!G283</f>
        <v>0</v>
      </c>
      <c r="E283" s="16">
        <f>'体验表-带进度条'!H283</f>
        <v>0</v>
      </c>
      <c r="F283" s="17">
        <f>'体验表-带进度条'!I283</f>
        <v>0</v>
      </c>
      <c r="G283" s="14">
        <f>'体验表-带进度条'!J283</f>
        <v>0</v>
      </c>
      <c r="H283" s="19" t="str">
        <f>'体验表-带进度条'!K283</f>
        <v>老虎机抽奖券</v>
      </c>
      <c r="I283" s="38">
        <f>'体验表-带进度条'!L283</f>
        <v>3</v>
      </c>
      <c r="J283" s="21">
        <f>'体验表-带进度条'!M283</f>
        <v>20</v>
      </c>
      <c r="K283" s="14">
        <f>'体验表-带进度条'!N283</f>
        <v>0</v>
      </c>
      <c r="L283" s="22">
        <f>'体验表-带进度条'!O283</f>
        <v>0</v>
      </c>
      <c r="M283" s="30">
        <f>'体验表-带进度条'!X283</f>
        <v>0</v>
      </c>
      <c r="N283" s="23">
        <f>'体验表-带进度条'!AA283</f>
        <v>0</v>
      </c>
      <c r="O283" s="72">
        <f>'体验表-带进度条'!AB283</f>
        <v>0</v>
      </c>
    </row>
    <row r="284" spans="1:15">
      <c r="A284" s="13">
        <f>'体验表-带进度条'!B284</f>
        <v>25</v>
      </c>
      <c r="B284" s="14">
        <f>'体验表-带进度条'!E284</f>
        <v>0</v>
      </c>
      <c r="C284" s="14" t="str">
        <f>'体验表-带进度条'!F284</f>
        <v/>
      </c>
      <c r="D284" s="14">
        <f>'体验表-带进度条'!G284</f>
        <v>0</v>
      </c>
      <c r="E284" s="16">
        <f>'体验表-带进度条'!H284</f>
        <v>0</v>
      </c>
      <c r="F284" s="17">
        <f>'体验表-带进度条'!I284</f>
        <v>0</v>
      </c>
      <c r="G284" s="14">
        <f>'体验表-带进度条'!J284</f>
        <v>0</v>
      </c>
      <c r="H284" s="19" t="str">
        <f>'体验表-带进度条'!K284</f>
        <v>大奖赛报名券</v>
      </c>
      <c r="I284" s="38">
        <f>'体验表-带进度条'!L284</f>
        <v>3</v>
      </c>
      <c r="J284" s="21">
        <f>'体验表-带进度条'!M284</f>
        <v>1</v>
      </c>
      <c r="K284" s="14">
        <f>'体验表-带进度条'!N284</f>
        <v>0</v>
      </c>
      <c r="L284" s="22">
        <f>'体验表-带进度条'!O284</f>
        <v>0</v>
      </c>
      <c r="M284" s="30">
        <f>'体验表-带进度条'!X284</f>
        <v>0</v>
      </c>
      <c r="N284" s="23">
        <f>'体验表-带进度条'!AA284</f>
        <v>0</v>
      </c>
      <c r="O284" s="72">
        <f>'体验表-带进度条'!AB284</f>
        <v>0</v>
      </c>
    </row>
    <row r="285" spans="1:15">
      <c r="A285" s="13">
        <f>'体验表-带进度条'!B285</f>
        <v>26</v>
      </c>
      <c r="B285" s="14">
        <f>'体验表-带进度条'!E285</f>
        <v>14.99</v>
      </c>
      <c r="C285" s="14">
        <f>'体验表-带进度条'!F285</f>
        <v>154</v>
      </c>
      <c r="D285" s="14">
        <f>'体验表-带进度条'!G285</f>
        <v>23100000</v>
      </c>
      <c r="E285" s="16">
        <f>'体验表-带进度条'!H285</f>
        <v>73830000</v>
      </c>
      <c r="F285" s="17">
        <f>'体验表-带进度条'!I285</f>
        <v>51.95</v>
      </c>
      <c r="G285" s="14">
        <f>'体验表-带进度条'!J285</f>
        <v>0</v>
      </c>
      <c r="H285" s="19" t="str">
        <f>'体验表-带进度条'!K285</f>
        <v>金币</v>
      </c>
      <c r="I285" s="38">
        <f>'体验表-带进度条'!L285</f>
        <v>9</v>
      </c>
      <c r="J285" s="21">
        <f>'体验表-带进度条'!M285</f>
        <v>23100000</v>
      </c>
      <c r="K285" s="14">
        <f>'体验表-带进度条'!N285</f>
        <v>24104025</v>
      </c>
      <c r="L285" s="22">
        <f>'体验表-带进度条'!O285</f>
        <v>24.104025</v>
      </c>
      <c r="M285" s="30">
        <f>'体验表-带进度条'!X285</f>
        <v>84094395</v>
      </c>
      <c r="N285" s="23">
        <f>'体验表-带进度条'!AA285</f>
        <v>84.094395</v>
      </c>
      <c r="O285" s="72">
        <f>'体验表-带进度条'!AB285</f>
        <v>1.13902742787485</v>
      </c>
    </row>
    <row r="286" spans="1:15">
      <c r="A286" s="13">
        <f>'体验表-带进度条'!B286</f>
        <v>27</v>
      </c>
      <c r="B286" s="14">
        <f>'体验表-带进度条'!E286</f>
        <v>0</v>
      </c>
      <c r="C286" s="14" t="str">
        <f>'体验表-带进度条'!F286</f>
        <v/>
      </c>
      <c r="D286" s="14">
        <f>'体验表-带进度条'!G286</f>
        <v>0</v>
      </c>
      <c r="E286" s="16">
        <f>'体验表-带进度条'!H286</f>
        <v>0</v>
      </c>
      <c r="F286" s="17">
        <f>'体验表-带进度条'!I286</f>
        <v>0</v>
      </c>
      <c r="G286" s="14">
        <f>'体验表-带进度条'!J286</f>
        <v>0</v>
      </c>
      <c r="H286" s="19" t="str">
        <f>'体验表-带进度条'!K286</f>
        <v>记牌器1个</v>
      </c>
      <c r="I286" s="38">
        <f>'体验表-带进度条'!L286</f>
        <v>3</v>
      </c>
      <c r="J286" s="21">
        <f>'体验表-带进度条'!M286</f>
        <v>5</v>
      </c>
      <c r="K286" s="14">
        <f>'体验表-带进度条'!N286</f>
        <v>0</v>
      </c>
      <c r="L286" s="22">
        <f>'体验表-带进度条'!O286</f>
        <v>0</v>
      </c>
      <c r="M286" s="30">
        <f>'体验表-带进度条'!X286</f>
        <v>0</v>
      </c>
      <c r="N286" s="23">
        <f>'体验表-带进度条'!AA286</f>
        <v>0</v>
      </c>
      <c r="O286" s="72">
        <f>'体验表-带进度条'!AB286</f>
        <v>0</v>
      </c>
    </row>
    <row r="287" spans="1:15">
      <c r="A287" s="13">
        <f>'体验表-带进度条'!B287</f>
        <v>28</v>
      </c>
      <c r="B287" s="14">
        <f>'体验表-带进度条'!E287</f>
        <v>0</v>
      </c>
      <c r="C287" s="14" t="str">
        <f>'体验表-带进度条'!F287</f>
        <v/>
      </c>
      <c r="D287" s="14">
        <f>'体验表-带进度条'!G287</f>
        <v>0</v>
      </c>
      <c r="E287" s="16">
        <f>'体验表-带进度条'!H287</f>
        <v>0</v>
      </c>
      <c r="F287" s="17">
        <f>'体验表-带进度条'!I287</f>
        <v>0</v>
      </c>
      <c r="G287" s="14">
        <f>'体验表-带进度条'!J287</f>
        <v>0.05</v>
      </c>
      <c r="H287" s="19" t="str">
        <f>'体验表-带进度条'!K287</f>
        <v>金币</v>
      </c>
      <c r="I287" s="38">
        <f>'体验表-带进度条'!L287</f>
        <v>17</v>
      </c>
      <c r="J287" s="21">
        <f>'体验表-带进度条'!M287</f>
        <v>1004025</v>
      </c>
      <c r="K287" s="14">
        <f>'体验表-带进度条'!N287</f>
        <v>0</v>
      </c>
      <c r="L287" s="22">
        <f>'体验表-带进度条'!O287</f>
        <v>0</v>
      </c>
      <c r="M287" s="30">
        <f>'体验表-带进度条'!X287</f>
        <v>0</v>
      </c>
      <c r="N287" s="23">
        <f>'体验表-带进度条'!AA287</f>
        <v>0</v>
      </c>
      <c r="O287" s="72">
        <f>'体验表-带进度条'!AB287</f>
        <v>0</v>
      </c>
    </row>
    <row r="288" spans="1:15">
      <c r="A288" s="13">
        <f>'体验表-带进度条'!B288</f>
        <v>29</v>
      </c>
      <c r="B288" s="14">
        <f>'体验表-带进度条'!E288</f>
        <v>0</v>
      </c>
      <c r="C288" s="14" t="str">
        <f>'体验表-带进度条'!F288</f>
        <v/>
      </c>
      <c r="D288" s="14">
        <f>'体验表-带进度条'!G288</f>
        <v>0</v>
      </c>
      <c r="E288" s="16">
        <f>'体验表-带进度条'!H288</f>
        <v>0</v>
      </c>
      <c r="F288" s="17">
        <f>'体验表-带进度条'!I288</f>
        <v>0</v>
      </c>
      <c r="G288" s="14">
        <f>'体验表-带进度条'!J288</f>
        <v>0</v>
      </c>
      <c r="H288" s="19" t="str">
        <f>'体验表-带进度条'!K288</f>
        <v>卡包5星</v>
      </c>
      <c r="I288" s="38">
        <f>'体验表-带进度条'!L288</f>
        <v>4</v>
      </c>
      <c r="J288" s="21">
        <f>'体验表-带进度条'!M288</f>
        <v>1</v>
      </c>
      <c r="K288" s="14">
        <f>'体验表-带进度条'!N288</f>
        <v>0</v>
      </c>
      <c r="L288" s="22">
        <f>'体验表-带进度条'!O288</f>
        <v>0</v>
      </c>
      <c r="M288" s="30">
        <f>'体验表-带进度条'!X288</f>
        <v>0</v>
      </c>
      <c r="N288" s="23">
        <f>'体验表-带进度条'!AA288</f>
        <v>0</v>
      </c>
      <c r="O288" s="72">
        <f>'体验表-带进度条'!AB288</f>
        <v>0</v>
      </c>
    </row>
    <row r="289" spans="1:15">
      <c r="A289" s="13">
        <f>'体验表-带进度条'!B289</f>
        <v>30</v>
      </c>
      <c r="B289" s="14">
        <f>'体验表-带进度条'!E289</f>
        <v>0</v>
      </c>
      <c r="C289" s="14" t="str">
        <f>'体验表-带进度条'!F289</f>
        <v/>
      </c>
      <c r="D289" s="14">
        <f>'体验表-带进度条'!G289</f>
        <v>0</v>
      </c>
      <c r="E289" s="16">
        <f>'体验表-带进度条'!H289</f>
        <v>0</v>
      </c>
      <c r="F289" s="17">
        <f>'体验表-带进度条'!I289</f>
        <v>0</v>
      </c>
      <c r="G289" s="14">
        <f>'体验表-带进度条'!J289</f>
        <v>0</v>
      </c>
      <c r="H289" s="19" t="str">
        <f>'体验表-带进度条'!K289</f>
        <v>老虎机抽奖券</v>
      </c>
      <c r="I289" s="38">
        <f>'体验表-带进度条'!L289</f>
        <v>3</v>
      </c>
      <c r="J289" s="21">
        <f>'体验表-带进度条'!M289</f>
        <v>25</v>
      </c>
      <c r="K289" s="14">
        <f>'体验表-带进度条'!N289</f>
        <v>0</v>
      </c>
      <c r="L289" s="22">
        <f>'体验表-带进度条'!O289</f>
        <v>0</v>
      </c>
      <c r="M289" s="30">
        <f>'体验表-带进度条'!X289</f>
        <v>0</v>
      </c>
      <c r="N289" s="23">
        <f>'体验表-带进度条'!AA289</f>
        <v>0</v>
      </c>
      <c r="O289" s="72">
        <f>'体验表-带进度条'!AB289</f>
        <v>0</v>
      </c>
    </row>
    <row r="290" spans="1:15">
      <c r="A290" s="13">
        <f>'体验表-带进度条'!B290</f>
        <v>31</v>
      </c>
      <c r="B290" s="14">
        <f>'体验表-带进度条'!E290</f>
        <v>0</v>
      </c>
      <c r="C290" s="14" t="str">
        <f>'体验表-带进度条'!F290</f>
        <v/>
      </c>
      <c r="D290" s="14">
        <f>'体验表-带进度条'!G290</f>
        <v>0</v>
      </c>
      <c r="E290" s="16">
        <f>'体验表-带进度条'!H290</f>
        <v>0</v>
      </c>
      <c r="F290" s="17">
        <f>'体验表-带进度条'!I290</f>
        <v>0</v>
      </c>
      <c r="G290" s="14">
        <f>'体验表-带进度条'!J290</f>
        <v>0</v>
      </c>
      <c r="H290" s="19" t="str">
        <f>'体验表-带进度条'!K290</f>
        <v>大奖赛复活券</v>
      </c>
      <c r="I290" s="38">
        <f>'体验表-带进度条'!L290</f>
        <v>3</v>
      </c>
      <c r="J290" s="21">
        <f>'体验表-带进度条'!M290</f>
        <v>1</v>
      </c>
      <c r="K290" s="14">
        <f>'体验表-带进度条'!N290</f>
        <v>0</v>
      </c>
      <c r="L290" s="22">
        <f>'体验表-带进度条'!O290</f>
        <v>0</v>
      </c>
      <c r="M290" s="30">
        <f>'体验表-带进度条'!X290</f>
        <v>0</v>
      </c>
      <c r="N290" s="23">
        <f>'体验表-带进度条'!AA290</f>
        <v>0</v>
      </c>
      <c r="O290" s="72">
        <f>'体验表-带进度条'!AB290</f>
        <v>0</v>
      </c>
    </row>
    <row r="291" spans="1:15">
      <c r="A291" s="13">
        <f>'体验表-带进度条'!B291</f>
        <v>32</v>
      </c>
      <c r="B291" s="14">
        <f>'体验表-带进度条'!E291</f>
        <v>17.99</v>
      </c>
      <c r="C291" s="14">
        <f>'体验表-带进度条'!F291</f>
        <v>158</v>
      </c>
      <c r="D291" s="14">
        <f>'体验表-带进度条'!G291</f>
        <v>28440000</v>
      </c>
      <c r="E291" s="16">
        <f>'体验表-带进度条'!H291</f>
        <v>102270000</v>
      </c>
      <c r="F291" s="17">
        <f>'体验表-带进度条'!I291</f>
        <v>69.94</v>
      </c>
      <c r="G291" s="14">
        <f>'体验表-带进度条'!J291</f>
        <v>0</v>
      </c>
      <c r="H291" s="19" t="str">
        <f>'体验表-带进度条'!K291</f>
        <v>金币</v>
      </c>
      <c r="I291" s="38">
        <f>'体验表-带进度条'!L291</f>
        <v>9</v>
      </c>
      <c r="J291" s="21">
        <f>'体验表-带进度条'!M291</f>
        <v>28440000</v>
      </c>
      <c r="K291" s="14">
        <f>'体验表-带进度条'!N291</f>
        <v>30849660</v>
      </c>
      <c r="L291" s="22">
        <f>'体验表-带进度条'!O291</f>
        <v>30.84966</v>
      </c>
      <c r="M291" s="30">
        <f>'体验表-带进度条'!X291</f>
        <v>114944055</v>
      </c>
      <c r="N291" s="23">
        <f>'体验表-带进度条'!AA291</f>
        <v>114.944055</v>
      </c>
      <c r="O291" s="72">
        <f>'体验表-带进度条'!AB291</f>
        <v>1.12392739806395</v>
      </c>
    </row>
    <row r="292" spans="1:15">
      <c r="A292" s="13">
        <f>'体验表-带进度条'!B292</f>
        <v>33</v>
      </c>
      <c r="B292" s="14">
        <f>'体验表-带进度条'!E292</f>
        <v>0</v>
      </c>
      <c r="C292" s="14" t="str">
        <f>'体验表-带进度条'!F292</f>
        <v/>
      </c>
      <c r="D292" s="14">
        <f>'体验表-带进度条'!G292</f>
        <v>0</v>
      </c>
      <c r="E292" s="16">
        <f>'体验表-带进度条'!H292</f>
        <v>0</v>
      </c>
      <c r="F292" s="17">
        <f>'体验表-带进度条'!I292</f>
        <v>0</v>
      </c>
      <c r="G292" s="14">
        <f>'体验表-带进度条'!J292</f>
        <v>0</v>
      </c>
      <c r="H292" s="19" t="str">
        <f>'体验表-带进度条'!K292</f>
        <v>记牌器1个</v>
      </c>
      <c r="I292" s="38">
        <f>'体验表-带进度条'!L292</f>
        <v>3</v>
      </c>
      <c r="J292" s="21">
        <f>'体验表-带进度条'!M292</f>
        <v>6</v>
      </c>
      <c r="K292" s="14">
        <f>'体验表-带进度条'!N292</f>
        <v>0</v>
      </c>
      <c r="L292" s="22">
        <f>'体验表-带进度条'!O292</f>
        <v>0</v>
      </c>
      <c r="M292" s="30">
        <f>'体验表-带进度条'!X292</f>
        <v>0</v>
      </c>
      <c r="N292" s="23">
        <f>'体验表-带进度条'!AA292</f>
        <v>0</v>
      </c>
      <c r="O292" s="72">
        <f>'体验表-带进度条'!AB292</f>
        <v>0</v>
      </c>
    </row>
    <row r="293" spans="1:15">
      <c r="A293" s="13">
        <f>'体验表-带进度条'!B293</f>
        <v>34</v>
      </c>
      <c r="B293" s="14">
        <f>'体验表-带进度条'!E293</f>
        <v>0</v>
      </c>
      <c r="C293" s="14" t="str">
        <f>'体验表-带进度条'!F293</f>
        <v/>
      </c>
      <c r="D293" s="14">
        <f>'体验表-带进度条'!G293</f>
        <v>0</v>
      </c>
      <c r="E293" s="16">
        <f>'体验表-带进度条'!H293</f>
        <v>0</v>
      </c>
      <c r="F293" s="17">
        <f>'体验表-带进度条'!I293</f>
        <v>0</v>
      </c>
      <c r="G293" s="14">
        <f>'体验表-带进度条'!J293</f>
        <v>0.12</v>
      </c>
      <c r="H293" s="19" t="str">
        <f>'体验表-带进度条'!K293</f>
        <v>金币</v>
      </c>
      <c r="I293" s="38">
        <f>'体验表-带进度条'!L293</f>
        <v>17</v>
      </c>
      <c r="J293" s="21">
        <f>'体验表-带进度条'!M293</f>
        <v>2409660</v>
      </c>
      <c r="K293" s="14">
        <f>'体验表-带进度条'!N293</f>
        <v>0</v>
      </c>
      <c r="L293" s="22">
        <f>'体验表-带进度条'!O293</f>
        <v>0</v>
      </c>
      <c r="M293" s="30">
        <f>'体验表-带进度条'!X293</f>
        <v>0</v>
      </c>
      <c r="N293" s="23">
        <f>'体验表-带进度条'!AA293</f>
        <v>0</v>
      </c>
      <c r="O293" s="72">
        <f>'体验表-带进度条'!AB293</f>
        <v>0</v>
      </c>
    </row>
    <row r="294" spans="1:15">
      <c r="A294" s="13">
        <f>'体验表-带进度条'!B294</f>
        <v>35</v>
      </c>
      <c r="B294" s="14">
        <f>'体验表-带进度条'!E294</f>
        <v>0</v>
      </c>
      <c r="C294" s="14" t="str">
        <f>'体验表-带进度条'!F294</f>
        <v/>
      </c>
      <c r="D294" s="14">
        <f>'体验表-带进度条'!G294</f>
        <v>0</v>
      </c>
      <c r="E294" s="16">
        <f>'体验表-带进度条'!H294</f>
        <v>0</v>
      </c>
      <c r="F294" s="17">
        <f>'体验表-带进度条'!I294</f>
        <v>0</v>
      </c>
      <c r="G294" s="14">
        <f>'体验表-带进度条'!J294</f>
        <v>0</v>
      </c>
      <c r="H294" s="19" t="str">
        <f>'体验表-带进度条'!K294</f>
        <v>卡包5星</v>
      </c>
      <c r="I294" s="38">
        <f>'体验表-带进度条'!L294</f>
        <v>4</v>
      </c>
      <c r="J294" s="21">
        <f>'体验表-带进度条'!M294</f>
        <v>1</v>
      </c>
      <c r="K294" s="14">
        <f>'体验表-带进度条'!N294</f>
        <v>0</v>
      </c>
      <c r="L294" s="22">
        <f>'体验表-带进度条'!O294</f>
        <v>0</v>
      </c>
      <c r="M294" s="30">
        <f>'体验表-带进度条'!X294</f>
        <v>0</v>
      </c>
      <c r="N294" s="23">
        <f>'体验表-带进度条'!AA294</f>
        <v>0</v>
      </c>
      <c r="O294" s="72">
        <f>'体验表-带进度条'!AB294</f>
        <v>0</v>
      </c>
    </row>
    <row r="295" spans="1:15">
      <c r="A295" s="13">
        <f>'体验表-带进度条'!B295</f>
        <v>36</v>
      </c>
      <c r="B295" s="14">
        <f>'体验表-带进度条'!E295</f>
        <v>0</v>
      </c>
      <c r="C295" s="14" t="str">
        <f>'体验表-带进度条'!F295</f>
        <v/>
      </c>
      <c r="D295" s="14">
        <f>'体验表-带进度条'!G295</f>
        <v>0</v>
      </c>
      <c r="E295" s="16">
        <f>'体验表-带进度条'!H295</f>
        <v>0</v>
      </c>
      <c r="F295" s="17">
        <f>'体验表-带进度条'!I295</f>
        <v>0</v>
      </c>
      <c r="G295" s="14">
        <f>'体验表-带进度条'!J295</f>
        <v>0</v>
      </c>
      <c r="H295" s="19" t="str">
        <f>'体验表-带进度条'!K295</f>
        <v>老虎机抽奖券</v>
      </c>
      <c r="I295" s="38">
        <f>'体验表-带进度条'!L295</f>
        <v>3</v>
      </c>
      <c r="J295" s="21">
        <f>'体验表-带进度条'!M295</f>
        <v>30</v>
      </c>
      <c r="K295" s="14">
        <f>'体验表-带进度条'!N295</f>
        <v>0</v>
      </c>
      <c r="L295" s="22">
        <f>'体验表-带进度条'!O295</f>
        <v>0</v>
      </c>
      <c r="M295" s="30">
        <f>'体验表-带进度条'!X295</f>
        <v>0</v>
      </c>
      <c r="N295" s="23">
        <f>'体验表-带进度条'!AA295</f>
        <v>0</v>
      </c>
      <c r="O295" s="72">
        <f>'体验表-带进度条'!AB295</f>
        <v>0</v>
      </c>
    </row>
    <row r="296" spans="1:15">
      <c r="A296" s="13">
        <f>'体验表-带进度条'!B296</f>
        <v>37</v>
      </c>
      <c r="B296" s="14">
        <f>'体验表-带进度条'!E296</f>
        <v>0</v>
      </c>
      <c r="C296" s="14" t="str">
        <f>'体验表-带进度条'!F296</f>
        <v/>
      </c>
      <c r="D296" s="14">
        <f>'体验表-带进度条'!G296</f>
        <v>0</v>
      </c>
      <c r="E296" s="16">
        <f>'体验表-带进度条'!H296</f>
        <v>0</v>
      </c>
      <c r="F296" s="17">
        <f>'体验表-带进度条'!I296</f>
        <v>0</v>
      </c>
      <c r="G296" s="14">
        <f>'体验表-带进度条'!J296</f>
        <v>0</v>
      </c>
      <c r="H296" s="19" t="str">
        <f>'体验表-带进度条'!K296</f>
        <v>大奖赛报名券</v>
      </c>
      <c r="I296" s="38">
        <f>'体验表-带进度条'!L296</f>
        <v>3</v>
      </c>
      <c r="J296" s="21">
        <f>'体验表-带进度条'!M296</f>
        <v>1</v>
      </c>
      <c r="K296" s="14">
        <f>'体验表-带进度条'!N296</f>
        <v>0</v>
      </c>
      <c r="L296" s="22">
        <f>'体验表-带进度条'!O296</f>
        <v>0</v>
      </c>
      <c r="M296" s="30">
        <f>'体验表-带进度条'!X296</f>
        <v>0</v>
      </c>
      <c r="N296" s="23">
        <f>'体验表-带进度条'!AA296</f>
        <v>0</v>
      </c>
      <c r="O296" s="72">
        <f>'体验表-带进度条'!AB296</f>
        <v>0</v>
      </c>
    </row>
    <row r="297" spans="1:15">
      <c r="A297" s="13">
        <f>'体验表-带进度条'!B297</f>
        <v>38</v>
      </c>
      <c r="B297" s="14">
        <f>'体验表-带进度条'!E297</f>
        <v>19.99</v>
      </c>
      <c r="C297" s="14">
        <f>'体验表-带进度条'!F297</f>
        <v>158</v>
      </c>
      <c r="D297" s="14">
        <f>'体验表-带进度条'!G297</f>
        <v>31600000</v>
      </c>
      <c r="E297" s="16">
        <f>'体验表-带进度条'!H297</f>
        <v>133870000</v>
      </c>
      <c r="F297" s="17">
        <f>'体验表-带进度条'!I297</f>
        <v>89.93</v>
      </c>
      <c r="G297" s="14">
        <f>'体验表-带进度条'!J297</f>
        <v>0.45</v>
      </c>
      <c r="H297" s="19" t="str">
        <f>'体验表-带进度条'!K297</f>
        <v>金币</v>
      </c>
      <c r="I297" s="38">
        <f>'体验表-带进度条'!L297</f>
        <v>9</v>
      </c>
      <c r="J297" s="21">
        <f>'体验表-带进度条'!M297</f>
        <v>31600000</v>
      </c>
      <c r="K297" s="14">
        <f>'体验表-带进度条'!N297</f>
        <v>34009660</v>
      </c>
      <c r="L297" s="22">
        <f>'体验表-带进度条'!O297</f>
        <v>34.00966</v>
      </c>
      <c r="M297" s="30">
        <f>'体验表-带进度条'!X297</f>
        <v>152998990</v>
      </c>
      <c r="N297" s="23">
        <f>'体验表-带进度条'!AA297</f>
        <v>152.99899</v>
      </c>
      <c r="O297" s="72">
        <f>'体验表-带进度条'!AB297</f>
        <v>1.14289228355868</v>
      </c>
    </row>
    <row r="298" spans="1:15">
      <c r="A298" s="13">
        <f>'体验表-带进度条'!B298</f>
        <v>39</v>
      </c>
      <c r="B298" s="14">
        <f>'体验表-带进度条'!E298</f>
        <v>0</v>
      </c>
      <c r="C298" s="14" t="str">
        <f>'体验表-带进度条'!F298</f>
        <v/>
      </c>
      <c r="D298" s="14">
        <f>'体验表-带进度条'!G298</f>
        <v>0</v>
      </c>
      <c r="E298" s="16">
        <f>'体验表-带进度条'!H298</f>
        <v>0</v>
      </c>
      <c r="F298" s="17">
        <f>'体验表-带进度条'!I298</f>
        <v>0</v>
      </c>
      <c r="G298" s="14">
        <f>'体验表-带进度条'!J298</f>
        <v>0</v>
      </c>
      <c r="H298" s="19" t="str">
        <f>'体验表-带进度条'!K298</f>
        <v>记牌器1个</v>
      </c>
      <c r="I298" s="38">
        <f>'体验表-带进度条'!L298</f>
        <v>3</v>
      </c>
      <c r="J298" s="21">
        <f>'体验表-带进度条'!M298</f>
        <v>7</v>
      </c>
      <c r="K298" s="14">
        <f>'体验表-带进度条'!N298</f>
        <v>0</v>
      </c>
      <c r="L298" s="22">
        <f>'体验表-带进度条'!O298</f>
        <v>0</v>
      </c>
      <c r="M298" s="30">
        <f>'体验表-带进度条'!X298</f>
        <v>0</v>
      </c>
      <c r="N298" s="23">
        <f>'体验表-带进度条'!AA298</f>
        <v>0</v>
      </c>
      <c r="O298" s="72">
        <f>'体验表-带进度条'!AB298</f>
        <v>0</v>
      </c>
    </row>
    <row r="299" spans="1:15">
      <c r="A299" s="13">
        <f>'体验表-带进度条'!B299</f>
        <v>40</v>
      </c>
      <c r="B299" s="14">
        <f>'体验表-带进度条'!E299</f>
        <v>0</v>
      </c>
      <c r="C299" s="14" t="str">
        <f>'体验表-带进度条'!F299</f>
        <v/>
      </c>
      <c r="D299" s="14">
        <f>'体验表-带进度条'!G299</f>
        <v>0</v>
      </c>
      <c r="E299" s="16">
        <f>'体验表-带进度条'!H299</f>
        <v>0</v>
      </c>
      <c r="F299" s="17">
        <f>'体验表-带进度条'!I299</f>
        <v>0</v>
      </c>
      <c r="G299" s="14">
        <f>'体验表-带进度条'!J299</f>
        <v>0.12</v>
      </c>
      <c r="H299" s="19" t="str">
        <f>'体验表-带进度条'!K299</f>
        <v>金币</v>
      </c>
      <c r="I299" s="38">
        <f>'体验表-带进度条'!L299</f>
        <v>17</v>
      </c>
      <c r="J299" s="21">
        <f>'体验表-带进度条'!M299</f>
        <v>2409660</v>
      </c>
      <c r="K299" s="14">
        <f>'体验表-带进度条'!N299</f>
        <v>0</v>
      </c>
      <c r="L299" s="22">
        <f>'体验表-带进度条'!O299</f>
        <v>0</v>
      </c>
      <c r="M299" s="30">
        <f>'体验表-带进度条'!X299</f>
        <v>0</v>
      </c>
      <c r="N299" s="23">
        <f>'体验表-带进度条'!AA299</f>
        <v>0</v>
      </c>
      <c r="O299" s="72">
        <f>'体验表-带进度条'!AB299</f>
        <v>0</v>
      </c>
    </row>
    <row r="300" spans="1:15">
      <c r="A300" s="13">
        <f>'体验表-带进度条'!B300</f>
        <v>41</v>
      </c>
      <c r="B300" s="14">
        <f>'体验表-带进度条'!E300</f>
        <v>0</v>
      </c>
      <c r="C300" s="14" t="str">
        <f>'体验表-带进度条'!F300</f>
        <v/>
      </c>
      <c r="D300" s="14">
        <f>'体验表-带进度条'!G300</f>
        <v>0</v>
      </c>
      <c r="E300" s="16">
        <f>'体验表-带进度条'!H300</f>
        <v>0</v>
      </c>
      <c r="F300" s="17">
        <f>'体验表-带进度条'!I300</f>
        <v>0</v>
      </c>
      <c r="G300" s="14">
        <f>'体验表-带进度条'!J300</f>
        <v>0</v>
      </c>
      <c r="H300" s="19" t="str">
        <f>'体验表-带进度条'!K300</f>
        <v>卡包fun卡</v>
      </c>
      <c r="I300" s="38">
        <f>'体验表-带进度条'!L300</f>
        <v>4</v>
      </c>
      <c r="J300" s="21">
        <f>'体验表-带进度条'!M300</f>
        <v>1</v>
      </c>
      <c r="K300" s="14">
        <f>'体验表-带进度条'!N300</f>
        <v>0</v>
      </c>
      <c r="L300" s="22">
        <f>'体验表-带进度条'!O300</f>
        <v>0</v>
      </c>
      <c r="M300" s="30">
        <f>'体验表-带进度条'!X300</f>
        <v>0</v>
      </c>
      <c r="N300" s="23">
        <f>'体验表-带进度条'!AA300</f>
        <v>0</v>
      </c>
      <c r="O300" s="72">
        <f>'体验表-带进度条'!AB300</f>
        <v>0</v>
      </c>
    </row>
    <row r="301" spans="1:15">
      <c r="A301" s="13">
        <f>'体验表-带进度条'!B301</f>
        <v>42</v>
      </c>
      <c r="B301" s="14">
        <f>'体验表-带进度条'!E301</f>
        <v>0</v>
      </c>
      <c r="C301" s="14" t="str">
        <f>'体验表-带进度条'!F301</f>
        <v/>
      </c>
      <c r="D301" s="14">
        <f>'体验表-带进度条'!G301</f>
        <v>0</v>
      </c>
      <c r="E301" s="16">
        <f>'体验表-带进度条'!H301</f>
        <v>0</v>
      </c>
      <c r="F301" s="17">
        <f>'体验表-带进度条'!I301</f>
        <v>0</v>
      </c>
      <c r="G301" s="14">
        <f>'体验表-带进度条'!J301</f>
        <v>0</v>
      </c>
      <c r="H301" s="19" t="str">
        <f>'体验表-带进度条'!K301</f>
        <v>老虎机抽奖券</v>
      </c>
      <c r="I301" s="38">
        <f>'体验表-带进度条'!L301</f>
        <v>3</v>
      </c>
      <c r="J301" s="21">
        <f>'体验表-带进度条'!M301</f>
        <v>35</v>
      </c>
      <c r="K301" s="14">
        <f>'体验表-带进度条'!N301</f>
        <v>0</v>
      </c>
      <c r="L301" s="22">
        <f>'体验表-带进度条'!O301</f>
        <v>0</v>
      </c>
      <c r="M301" s="30">
        <f>'体验表-带进度条'!X301</f>
        <v>0</v>
      </c>
      <c r="N301" s="23">
        <f>'体验表-带进度条'!AA301</f>
        <v>0</v>
      </c>
      <c r="O301" s="72">
        <f>'体验表-带进度条'!AB301</f>
        <v>0</v>
      </c>
    </row>
    <row r="302" spans="1:15">
      <c r="A302" s="13">
        <f>'体验表-带进度条'!B302</f>
        <v>43</v>
      </c>
      <c r="B302" s="14">
        <f>'体验表-带进度条'!E302</f>
        <v>0</v>
      </c>
      <c r="C302" s="14" t="str">
        <f>'体验表-带进度条'!F302</f>
        <v/>
      </c>
      <c r="D302" s="14">
        <f>'体验表-带进度条'!G302</f>
        <v>0</v>
      </c>
      <c r="E302" s="16">
        <f>'体验表-带进度条'!H302</f>
        <v>0</v>
      </c>
      <c r="F302" s="17">
        <f>'体验表-带进度条'!I302</f>
        <v>0</v>
      </c>
      <c r="G302" s="14">
        <f>'体验表-带进度条'!J302</f>
        <v>0</v>
      </c>
      <c r="H302" s="19" t="str">
        <f>'体验表-带进度条'!K302</f>
        <v>大奖赛复活券</v>
      </c>
      <c r="I302" s="38">
        <f>'体验表-带进度条'!L302</f>
        <v>3</v>
      </c>
      <c r="J302" s="21">
        <f>'体验表-带进度条'!M302</f>
        <v>1</v>
      </c>
      <c r="K302" s="14">
        <f>'体验表-带进度条'!N302</f>
        <v>0</v>
      </c>
      <c r="L302" s="22">
        <f>'体验表-带进度条'!O302</f>
        <v>0</v>
      </c>
      <c r="M302" s="30">
        <f>'体验表-带进度条'!X302</f>
        <v>0</v>
      </c>
      <c r="N302" s="23">
        <f>'体验表-带进度条'!AA302</f>
        <v>0</v>
      </c>
      <c r="O302" s="72">
        <f>'体验表-带进度条'!AB302</f>
        <v>0</v>
      </c>
    </row>
    <row r="303" spans="1:15">
      <c r="A303" s="13">
        <f>'体验表-带进度条'!B303</f>
        <v>1</v>
      </c>
      <c r="B303" s="14">
        <f>'体验表-带进度条'!E303</f>
        <v>0</v>
      </c>
      <c r="C303" s="14" t="str">
        <f>'体验表-带进度条'!F303</f>
        <v/>
      </c>
      <c r="D303" s="14">
        <f>'体验表-带进度条'!G303</f>
        <v>0</v>
      </c>
      <c r="E303" s="16">
        <f>'体验表-带进度条'!H303</f>
        <v>0</v>
      </c>
      <c r="F303" s="17">
        <f>'体验表-带进度条'!I303</f>
        <v>0</v>
      </c>
      <c r="G303" s="14">
        <f>'体验表-带进度条'!J303</f>
        <v>0</v>
      </c>
      <c r="H303" s="19" t="str">
        <f>'体验表-带进度条'!K303</f>
        <v>金币</v>
      </c>
      <c r="I303" s="38">
        <f>'体验表-带进度条'!L303</f>
        <v>1</v>
      </c>
      <c r="J303" s="21">
        <f>'体验表-带进度条'!M303</f>
        <v>5000</v>
      </c>
      <c r="K303" s="14">
        <f>'体验表-带进度条'!N303</f>
        <v>0</v>
      </c>
      <c r="L303" s="22">
        <f>'体验表-带进度条'!O303</f>
        <v>0</v>
      </c>
      <c r="M303" s="30">
        <f>'体验表-带进度条'!X303</f>
        <v>0</v>
      </c>
      <c r="N303" s="23">
        <f>'体验表-带进度条'!AA303</f>
        <v>0</v>
      </c>
      <c r="O303" s="72">
        <f>'体验表-带进度条'!AB303</f>
        <v>0</v>
      </c>
    </row>
    <row r="304" spans="1:15">
      <c r="A304" s="13">
        <f>'体验表-带进度条'!B304</f>
        <v>2</v>
      </c>
      <c r="B304" s="14">
        <f>'体验表-带进度条'!E304</f>
        <v>5.99</v>
      </c>
      <c r="C304" s="14">
        <f>'体验表-带进度条'!F304</f>
        <v>119</v>
      </c>
      <c r="D304" s="14">
        <f>'体验表-带进度条'!G304</f>
        <v>7140000</v>
      </c>
      <c r="E304" s="16">
        <f>'体验表-带进度条'!H304</f>
        <v>7140000</v>
      </c>
      <c r="F304" s="17">
        <f>'体验表-带进度条'!I304</f>
        <v>5.99</v>
      </c>
      <c r="G304" s="14">
        <f>'体验表-带进度条'!J304</f>
        <v>0</v>
      </c>
      <c r="H304" s="19" t="str">
        <f>'体验表-带进度条'!K304</f>
        <v>金币</v>
      </c>
      <c r="I304" s="38">
        <f>'体验表-带进度条'!L304</f>
        <v>9</v>
      </c>
      <c r="J304" s="21">
        <f>'体验表-带进度条'!M304</f>
        <v>7140000</v>
      </c>
      <c r="K304" s="14">
        <f>'体验表-带进度条'!N304</f>
        <v>9148050</v>
      </c>
      <c r="L304" s="22">
        <f>'体验表-带进度条'!O304</f>
        <v>9.14805</v>
      </c>
      <c r="M304" s="30">
        <f>'体验表-带进度条'!X304</f>
        <v>9148050</v>
      </c>
      <c r="N304" s="23">
        <f>'体验表-带进度条'!AA304</f>
        <v>9.14805</v>
      </c>
      <c r="O304" s="72">
        <f>'体验表-带进度条'!AB304</f>
        <v>1.28123949579832</v>
      </c>
    </row>
    <row r="305" spans="1:15">
      <c r="A305" s="13">
        <f>'体验表-带进度条'!B305</f>
        <v>3</v>
      </c>
      <c r="B305" s="14">
        <f>'体验表-带进度条'!E305</f>
        <v>0</v>
      </c>
      <c r="C305" s="14" t="str">
        <f>'体验表-带进度条'!F305</f>
        <v/>
      </c>
      <c r="D305" s="14">
        <f>'体验表-带进度条'!G305</f>
        <v>0</v>
      </c>
      <c r="E305" s="16">
        <f>'体验表-带进度条'!H305</f>
        <v>0</v>
      </c>
      <c r="F305" s="17">
        <f>'体验表-带进度条'!I305</f>
        <v>0</v>
      </c>
      <c r="G305" s="14">
        <f>'体验表-带进度条'!J305</f>
        <v>0</v>
      </c>
      <c r="H305" s="19" t="str">
        <f>'体验表-带进度条'!K305</f>
        <v>记牌器1个</v>
      </c>
      <c r="I305" s="38">
        <f>'体验表-带进度条'!L305</f>
        <v>3</v>
      </c>
      <c r="J305" s="21">
        <f>'体验表-带进度条'!M305</f>
        <v>1</v>
      </c>
      <c r="K305" s="14">
        <f>'体验表-带进度条'!N305</f>
        <v>0</v>
      </c>
      <c r="L305" s="22">
        <f>'体验表-带进度条'!O305</f>
        <v>0</v>
      </c>
      <c r="M305" s="30">
        <f>'体验表-带进度条'!X305</f>
        <v>0</v>
      </c>
      <c r="N305" s="23">
        <f>'体验表-带进度条'!AA305</f>
        <v>0</v>
      </c>
      <c r="O305" s="72">
        <f>'体验表-带进度条'!AB305</f>
        <v>0</v>
      </c>
    </row>
    <row r="306" spans="1:15">
      <c r="A306" s="13">
        <f>'体验表-带进度条'!B306</f>
        <v>4</v>
      </c>
      <c r="B306" s="14">
        <f>'体验表-带进度条'!E306</f>
        <v>0</v>
      </c>
      <c r="C306" s="14" t="str">
        <f>'体验表-带进度条'!F306</f>
        <v/>
      </c>
      <c r="D306" s="14">
        <f>'体验表-带进度条'!G306</f>
        <v>0</v>
      </c>
      <c r="E306" s="16">
        <f>'体验表-带进度条'!H306</f>
        <v>0</v>
      </c>
      <c r="F306" s="17">
        <f>'体验表-带进度条'!I306</f>
        <v>0</v>
      </c>
      <c r="G306" s="14">
        <f>'体验表-带进度条'!J306</f>
        <v>0.1</v>
      </c>
      <c r="H306" s="19" t="str">
        <f>'体验表-带进度条'!K306</f>
        <v>金币</v>
      </c>
      <c r="I306" s="38">
        <f>'体验表-带进度条'!L306</f>
        <v>17</v>
      </c>
      <c r="J306" s="21">
        <f>'体验表-带进度条'!M306</f>
        <v>2008050</v>
      </c>
      <c r="K306" s="14">
        <f>'体验表-带进度条'!N306</f>
        <v>0</v>
      </c>
      <c r="L306" s="22">
        <f>'体验表-带进度条'!O306</f>
        <v>0</v>
      </c>
      <c r="M306" s="30">
        <f>'体验表-带进度条'!X306</f>
        <v>0</v>
      </c>
      <c r="N306" s="23">
        <f>'体验表-带进度条'!AA306</f>
        <v>0</v>
      </c>
      <c r="O306" s="72">
        <f>'体验表-带进度条'!AB306</f>
        <v>0</v>
      </c>
    </row>
    <row r="307" spans="1:15">
      <c r="A307" s="13">
        <f>'体验表-带进度条'!B307</f>
        <v>5</v>
      </c>
      <c r="B307" s="14">
        <f>'体验表-带进度条'!E307</f>
        <v>0</v>
      </c>
      <c r="C307" s="14" t="str">
        <f>'体验表-带进度条'!F307</f>
        <v/>
      </c>
      <c r="D307" s="14">
        <f>'体验表-带进度条'!G307</f>
        <v>0</v>
      </c>
      <c r="E307" s="16">
        <f>'体验表-带进度条'!H307</f>
        <v>0</v>
      </c>
      <c r="F307" s="17">
        <f>'体验表-带进度条'!I307</f>
        <v>0</v>
      </c>
      <c r="G307" s="14">
        <f>'体验表-带进度条'!J307</f>
        <v>0</v>
      </c>
      <c r="H307" s="19" t="str">
        <f>'体验表-带进度条'!K307</f>
        <v>卡包2星</v>
      </c>
      <c r="I307" s="38">
        <f>'体验表-带进度条'!L307</f>
        <v>4</v>
      </c>
      <c r="J307" s="21">
        <f>'体验表-带进度条'!M307</f>
        <v>1</v>
      </c>
      <c r="K307" s="14">
        <f>'体验表-带进度条'!N307</f>
        <v>0</v>
      </c>
      <c r="L307" s="22">
        <f>'体验表-带进度条'!O307</f>
        <v>0</v>
      </c>
      <c r="M307" s="30">
        <f>'体验表-带进度条'!X307</f>
        <v>0</v>
      </c>
      <c r="N307" s="23">
        <f>'体验表-带进度条'!AA307</f>
        <v>0</v>
      </c>
      <c r="O307" s="72">
        <f>'体验表-带进度条'!AB307</f>
        <v>0</v>
      </c>
    </row>
    <row r="308" spans="1:15">
      <c r="A308" s="13">
        <f>'体验表-带进度条'!B308</f>
        <v>6</v>
      </c>
      <c r="B308" s="14">
        <f>'体验表-带进度条'!E308</f>
        <v>0</v>
      </c>
      <c r="C308" s="14" t="str">
        <f>'体验表-带进度条'!F308</f>
        <v/>
      </c>
      <c r="D308" s="14">
        <f>'体验表-带进度条'!G308</f>
        <v>0</v>
      </c>
      <c r="E308" s="16">
        <f>'体验表-带进度条'!H308</f>
        <v>0</v>
      </c>
      <c r="F308" s="17">
        <f>'体验表-带进度条'!I308</f>
        <v>0</v>
      </c>
      <c r="G308" s="14">
        <f>'体验表-带进度条'!J308</f>
        <v>0</v>
      </c>
      <c r="H308" s="19" t="str">
        <f>'体验表-带进度条'!K308</f>
        <v>老虎机抽奖券</v>
      </c>
      <c r="I308" s="38">
        <f>'体验表-带进度条'!L308</f>
        <v>3</v>
      </c>
      <c r="J308" s="21">
        <f>'体验表-带进度条'!M308</f>
        <v>5</v>
      </c>
      <c r="K308" s="14">
        <f>'体验表-带进度条'!N308</f>
        <v>0</v>
      </c>
      <c r="L308" s="22">
        <f>'体验表-带进度条'!O308</f>
        <v>0</v>
      </c>
      <c r="M308" s="30">
        <f>'体验表-带进度条'!X308</f>
        <v>0</v>
      </c>
      <c r="N308" s="23">
        <f>'体验表-带进度条'!AA308</f>
        <v>0</v>
      </c>
      <c r="O308" s="72">
        <f>'体验表-带进度条'!AB308</f>
        <v>0</v>
      </c>
    </row>
    <row r="309" spans="1:15">
      <c r="A309" s="13">
        <f>'体验表-带进度条'!B309</f>
        <v>7</v>
      </c>
      <c r="B309" s="14">
        <f>'体验表-带进度条'!E309</f>
        <v>0</v>
      </c>
      <c r="C309" s="14" t="str">
        <f>'体验表-带进度条'!F309</f>
        <v/>
      </c>
      <c r="D309" s="14">
        <f>'体验表-带进度条'!G309</f>
        <v>0</v>
      </c>
      <c r="E309" s="16">
        <f>'体验表-带进度条'!H309</f>
        <v>0</v>
      </c>
      <c r="F309" s="17">
        <f>'体验表-带进度条'!I309</f>
        <v>0</v>
      </c>
      <c r="G309" s="14">
        <f>'体验表-带进度条'!J309</f>
        <v>0</v>
      </c>
      <c r="H309" s="19" t="str">
        <f>'体验表-带进度条'!K309</f>
        <v>大奖赛复活券</v>
      </c>
      <c r="I309" s="38">
        <f>'体验表-带进度条'!L309</f>
        <v>3</v>
      </c>
      <c r="J309" s="21">
        <f>'体验表-带进度条'!M309</f>
        <v>1</v>
      </c>
      <c r="K309" s="14">
        <f>'体验表-带进度条'!N309</f>
        <v>0</v>
      </c>
      <c r="L309" s="22">
        <f>'体验表-带进度条'!O309</f>
        <v>0</v>
      </c>
      <c r="M309" s="30">
        <f>'体验表-带进度条'!X309</f>
        <v>0</v>
      </c>
      <c r="N309" s="23">
        <f>'体验表-带进度条'!AA309</f>
        <v>0</v>
      </c>
      <c r="O309" s="72">
        <f>'体验表-带进度条'!AB309</f>
        <v>0</v>
      </c>
    </row>
    <row r="310" spans="1:15">
      <c r="A310" s="13">
        <f>'体验表-带进度条'!B310</f>
        <v>8</v>
      </c>
      <c r="B310" s="14">
        <f>'体验表-带进度条'!E310</f>
        <v>7.99</v>
      </c>
      <c r="C310" s="14">
        <f>'体验表-带进度条'!F310</f>
        <v>129</v>
      </c>
      <c r="D310" s="14">
        <f>'体验表-带进度条'!G310</f>
        <v>10320000</v>
      </c>
      <c r="E310" s="16">
        <f>'体验表-带进度条'!H310</f>
        <v>17460000</v>
      </c>
      <c r="F310" s="17">
        <f>'体验表-带进度条'!I310</f>
        <v>13.98</v>
      </c>
      <c r="G310" s="14">
        <f>'体验表-带进度条'!J310</f>
        <v>0.12</v>
      </c>
      <c r="H310" s="19" t="str">
        <f>'体验表-带进度条'!K310</f>
        <v>金币</v>
      </c>
      <c r="I310" s="38">
        <f>'体验表-带进度条'!L310</f>
        <v>9</v>
      </c>
      <c r="J310" s="21">
        <f>'体验表-带进度条'!M310</f>
        <v>10320000</v>
      </c>
      <c r="K310" s="14">
        <f>'体验表-带进度条'!N310</f>
        <v>10721610</v>
      </c>
      <c r="L310" s="22">
        <f>'体验表-带进度条'!O310</f>
        <v>10.72161</v>
      </c>
      <c r="M310" s="30">
        <f>'体验表-带进度条'!X310</f>
        <v>20948400</v>
      </c>
      <c r="N310" s="23">
        <f>'体验表-带进度条'!AA310</f>
        <v>20.9484</v>
      </c>
      <c r="O310" s="72">
        <f>'体验表-带进度条'!AB310</f>
        <v>1.19979381443299</v>
      </c>
    </row>
    <row r="311" spans="1:15">
      <c r="A311" s="13">
        <f>'体验表-带进度条'!B311</f>
        <v>9</v>
      </c>
      <c r="B311" s="14">
        <f>'体验表-带进度条'!E311</f>
        <v>0</v>
      </c>
      <c r="C311" s="14" t="str">
        <f>'体验表-带进度条'!F311</f>
        <v/>
      </c>
      <c r="D311" s="14">
        <f>'体验表-带进度条'!G311</f>
        <v>0</v>
      </c>
      <c r="E311" s="16">
        <f>'体验表-带进度条'!H311</f>
        <v>0</v>
      </c>
      <c r="F311" s="17">
        <f>'体验表-带进度条'!I311</f>
        <v>0</v>
      </c>
      <c r="G311" s="14">
        <f>'体验表-带进度条'!J311</f>
        <v>0</v>
      </c>
      <c r="H311" s="19" t="str">
        <f>'体验表-带进度条'!K311</f>
        <v>记牌器1个</v>
      </c>
      <c r="I311" s="38">
        <f>'体验表-带进度条'!L311</f>
        <v>3</v>
      </c>
      <c r="J311" s="21">
        <f>'体验表-带进度条'!M311</f>
        <v>2</v>
      </c>
      <c r="K311" s="14">
        <f>'体验表-带进度条'!N311</f>
        <v>0</v>
      </c>
      <c r="L311" s="22">
        <f>'体验表-带进度条'!O311</f>
        <v>0</v>
      </c>
      <c r="M311" s="30">
        <f>'体验表-带进度条'!X311</f>
        <v>0</v>
      </c>
      <c r="N311" s="23">
        <f>'体验表-带进度条'!AA311</f>
        <v>0</v>
      </c>
      <c r="O311" s="72">
        <f>'体验表-带进度条'!AB311</f>
        <v>0</v>
      </c>
    </row>
    <row r="312" spans="1:15">
      <c r="A312" s="13">
        <f>'体验表-带进度条'!B312</f>
        <v>10</v>
      </c>
      <c r="B312" s="14">
        <f>'体验表-带进度条'!E312</f>
        <v>0</v>
      </c>
      <c r="C312" s="14" t="str">
        <f>'体验表-带进度条'!F312</f>
        <v/>
      </c>
      <c r="D312" s="14">
        <f>'体验表-带进度条'!G312</f>
        <v>0</v>
      </c>
      <c r="E312" s="16">
        <f>'体验表-带进度条'!H312</f>
        <v>0</v>
      </c>
      <c r="F312" s="17">
        <f>'体验表-带进度条'!I312</f>
        <v>0</v>
      </c>
      <c r="G312" s="14">
        <f>'体验表-带进度条'!J312</f>
        <v>0.02</v>
      </c>
      <c r="H312" s="19" t="str">
        <f>'体验表-带进度条'!K312</f>
        <v>金币</v>
      </c>
      <c r="I312" s="38">
        <f>'体验表-带进度条'!L312</f>
        <v>17</v>
      </c>
      <c r="J312" s="21">
        <f>'体验表-带进度条'!M312</f>
        <v>401610</v>
      </c>
      <c r="K312" s="14">
        <f>'体验表-带进度条'!N312</f>
        <v>0</v>
      </c>
      <c r="L312" s="22">
        <f>'体验表-带进度条'!O312</f>
        <v>0</v>
      </c>
      <c r="M312" s="30">
        <f>'体验表-带进度条'!X312</f>
        <v>0</v>
      </c>
      <c r="N312" s="23">
        <f>'体验表-带进度条'!AA312</f>
        <v>0</v>
      </c>
      <c r="O312" s="72">
        <f>'体验表-带进度条'!AB312</f>
        <v>0</v>
      </c>
    </row>
    <row r="313" spans="1:15">
      <c r="A313" s="13">
        <f>'体验表-带进度条'!B313</f>
        <v>11</v>
      </c>
      <c r="B313" s="14">
        <f>'体验表-带进度条'!E313</f>
        <v>0</v>
      </c>
      <c r="C313" s="14" t="str">
        <f>'体验表-带进度条'!F313</f>
        <v/>
      </c>
      <c r="D313" s="14">
        <f>'体验表-带进度条'!G313</f>
        <v>0</v>
      </c>
      <c r="E313" s="16">
        <f>'体验表-带进度条'!H313</f>
        <v>0</v>
      </c>
      <c r="F313" s="17">
        <f>'体验表-带进度条'!I313</f>
        <v>0</v>
      </c>
      <c r="G313" s="14">
        <f>'体验表-带进度条'!J313</f>
        <v>0</v>
      </c>
      <c r="H313" s="19" t="str">
        <f>'体验表-带进度条'!K313</f>
        <v>卡包3星</v>
      </c>
      <c r="I313" s="38">
        <f>'体验表-带进度条'!L313</f>
        <v>4</v>
      </c>
      <c r="J313" s="21">
        <f>'体验表-带进度条'!M313</f>
        <v>1</v>
      </c>
      <c r="K313" s="14">
        <f>'体验表-带进度条'!N313</f>
        <v>0</v>
      </c>
      <c r="L313" s="22">
        <f>'体验表-带进度条'!O313</f>
        <v>0</v>
      </c>
      <c r="M313" s="30">
        <f>'体验表-带进度条'!X313</f>
        <v>0</v>
      </c>
      <c r="N313" s="23">
        <f>'体验表-带进度条'!AA313</f>
        <v>0</v>
      </c>
      <c r="O313" s="72">
        <f>'体验表-带进度条'!AB313</f>
        <v>0</v>
      </c>
    </row>
    <row r="314" spans="1:15">
      <c r="A314" s="13">
        <f>'体验表-带进度条'!B314</f>
        <v>12</v>
      </c>
      <c r="B314" s="14">
        <f>'体验表-带进度条'!E314</f>
        <v>0</v>
      </c>
      <c r="C314" s="14" t="str">
        <f>'体验表-带进度条'!F314</f>
        <v/>
      </c>
      <c r="D314" s="14">
        <f>'体验表-带进度条'!G314</f>
        <v>0</v>
      </c>
      <c r="E314" s="16">
        <f>'体验表-带进度条'!H314</f>
        <v>0</v>
      </c>
      <c r="F314" s="17">
        <f>'体验表-带进度条'!I314</f>
        <v>0</v>
      </c>
      <c r="G314" s="14">
        <f>'体验表-带进度条'!J314</f>
        <v>0</v>
      </c>
      <c r="H314" s="19" t="str">
        <f>'体验表-带进度条'!K314</f>
        <v>老虎机抽奖券</v>
      </c>
      <c r="I314" s="38">
        <f>'体验表-带进度条'!L314</f>
        <v>3</v>
      </c>
      <c r="J314" s="21">
        <f>'体验表-带进度条'!M314</f>
        <v>10</v>
      </c>
      <c r="K314" s="14">
        <f>'体验表-带进度条'!N314</f>
        <v>0</v>
      </c>
      <c r="L314" s="22">
        <f>'体验表-带进度条'!O314</f>
        <v>0</v>
      </c>
      <c r="M314" s="30">
        <f>'体验表-带进度条'!X314</f>
        <v>0</v>
      </c>
      <c r="N314" s="23">
        <f>'体验表-带进度条'!AA314</f>
        <v>0</v>
      </c>
      <c r="O314" s="72">
        <f>'体验表-带进度条'!AB314</f>
        <v>0</v>
      </c>
    </row>
    <row r="315" spans="1:15">
      <c r="A315" s="13">
        <f>'体验表-带进度条'!B315</f>
        <v>13</v>
      </c>
      <c r="B315" s="14">
        <f>'体验表-带进度条'!E315</f>
        <v>0</v>
      </c>
      <c r="C315" s="14" t="str">
        <f>'体验表-带进度条'!F315</f>
        <v/>
      </c>
      <c r="D315" s="14">
        <f>'体验表-带进度条'!G315</f>
        <v>0</v>
      </c>
      <c r="E315" s="16">
        <f>'体验表-带进度条'!H315</f>
        <v>0</v>
      </c>
      <c r="F315" s="17">
        <f>'体验表-带进度条'!I315</f>
        <v>0</v>
      </c>
      <c r="G315" s="14">
        <f>'体验表-带进度条'!J315</f>
        <v>0</v>
      </c>
      <c r="H315" s="19" t="str">
        <f>'体验表-带进度条'!K315</f>
        <v>大奖赛报名券</v>
      </c>
      <c r="I315" s="38">
        <f>'体验表-带进度条'!L315</f>
        <v>3</v>
      </c>
      <c r="J315" s="21">
        <f>'体验表-带进度条'!M315</f>
        <v>1</v>
      </c>
      <c r="K315" s="14">
        <f>'体验表-带进度条'!N315</f>
        <v>0</v>
      </c>
      <c r="L315" s="22">
        <f>'体验表-带进度条'!O315</f>
        <v>0</v>
      </c>
      <c r="M315" s="30">
        <f>'体验表-带进度条'!X315</f>
        <v>0</v>
      </c>
      <c r="N315" s="23">
        <f>'体验表-带进度条'!AA315</f>
        <v>0</v>
      </c>
      <c r="O315" s="72">
        <f>'体验表-带进度条'!AB315</f>
        <v>0</v>
      </c>
    </row>
    <row r="316" spans="1:15">
      <c r="A316" s="13">
        <f>'体验表-带进度条'!B316</f>
        <v>14</v>
      </c>
      <c r="B316" s="14">
        <f>'体验表-带进度条'!E316</f>
        <v>9.99</v>
      </c>
      <c r="C316" s="14">
        <f>'体验表-带进度条'!F316</f>
        <v>139</v>
      </c>
      <c r="D316" s="14">
        <f>'体验表-带进度条'!G316</f>
        <v>13900000</v>
      </c>
      <c r="E316" s="16">
        <f>'体验表-带进度条'!H316</f>
        <v>31360000</v>
      </c>
      <c r="F316" s="17">
        <f>'体验表-带进度条'!I316</f>
        <v>23.97</v>
      </c>
      <c r="G316" s="14">
        <f>'体验表-带进度条'!J316</f>
        <v>0</v>
      </c>
      <c r="H316" s="19" t="str">
        <f>'体验表-带进度条'!K316</f>
        <v>金币</v>
      </c>
      <c r="I316" s="38">
        <f>'体验表-带进度条'!L316</f>
        <v>9</v>
      </c>
      <c r="J316" s="21">
        <f>'体验表-带进度条'!M316</f>
        <v>13900000</v>
      </c>
      <c r="K316" s="14">
        <f>'体验表-带进度条'!N316</f>
        <v>15908050</v>
      </c>
      <c r="L316" s="22">
        <f>'体验表-带进度条'!O316</f>
        <v>15.90805</v>
      </c>
      <c r="M316" s="30">
        <f>'体验表-带进度条'!X316</f>
        <v>36856450</v>
      </c>
      <c r="N316" s="23">
        <f>'体验表-带进度条'!AA316</f>
        <v>36.85645</v>
      </c>
      <c r="O316" s="72">
        <f>'体验表-带进度条'!AB316</f>
        <v>1.17526945153061</v>
      </c>
    </row>
    <row r="317" spans="1:15">
      <c r="A317" s="13">
        <f>'体验表-带进度条'!B317</f>
        <v>15</v>
      </c>
      <c r="B317" s="14">
        <f>'体验表-带进度条'!E317</f>
        <v>0</v>
      </c>
      <c r="C317" s="14" t="str">
        <f>'体验表-带进度条'!F317</f>
        <v/>
      </c>
      <c r="D317" s="14">
        <f>'体验表-带进度条'!G317</f>
        <v>0</v>
      </c>
      <c r="E317" s="16">
        <f>'体验表-带进度条'!H317</f>
        <v>0</v>
      </c>
      <c r="F317" s="17">
        <f>'体验表-带进度条'!I317</f>
        <v>0</v>
      </c>
      <c r="G317" s="14">
        <f>'体验表-带进度条'!J317</f>
        <v>0</v>
      </c>
      <c r="H317" s="19" t="str">
        <f>'体验表-带进度条'!K317</f>
        <v>记牌器1个</v>
      </c>
      <c r="I317" s="38">
        <f>'体验表-带进度条'!L317</f>
        <v>3</v>
      </c>
      <c r="J317" s="21">
        <f>'体验表-带进度条'!M317</f>
        <v>3</v>
      </c>
      <c r="K317" s="14">
        <f>'体验表-带进度条'!N317</f>
        <v>0</v>
      </c>
      <c r="L317" s="22">
        <f>'体验表-带进度条'!O317</f>
        <v>0</v>
      </c>
      <c r="M317" s="30">
        <f>'体验表-带进度条'!X317</f>
        <v>0</v>
      </c>
      <c r="N317" s="23">
        <f>'体验表-带进度条'!AA317</f>
        <v>0</v>
      </c>
      <c r="O317" s="72">
        <f>'体验表-带进度条'!AB317</f>
        <v>0</v>
      </c>
    </row>
    <row r="318" spans="1:15">
      <c r="A318" s="13">
        <f>'体验表-带进度条'!B318</f>
        <v>16</v>
      </c>
      <c r="B318" s="14">
        <f>'体验表-带进度条'!E318</f>
        <v>0</v>
      </c>
      <c r="C318" s="14" t="str">
        <f>'体验表-带进度条'!F318</f>
        <v/>
      </c>
      <c r="D318" s="14">
        <f>'体验表-带进度条'!G318</f>
        <v>0</v>
      </c>
      <c r="E318" s="16">
        <f>'体验表-带进度条'!H318</f>
        <v>0</v>
      </c>
      <c r="F318" s="17">
        <f>'体验表-带进度条'!I318</f>
        <v>0</v>
      </c>
      <c r="G318" s="14">
        <f>'体验表-带进度条'!J318</f>
        <v>0.1</v>
      </c>
      <c r="H318" s="19" t="str">
        <f>'体验表-带进度条'!K318</f>
        <v>金币</v>
      </c>
      <c r="I318" s="38">
        <f>'体验表-带进度条'!L318</f>
        <v>17</v>
      </c>
      <c r="J318" s="21">
        <f>'体验表-带进度条'!M318</f>
        <v>2008050</v>
      </c>
      <c r="K318" s="14">
        <f>'体验表-带进度条'!N318</f>
        <v>0</v>
      </c>
      <c r="L318" s="22">
        <f>'体验表-带进度条'!O318</f>
        <v>0</v>
      </c>
      <c r="M318" s="30">
        <f>'体验表-带进度条'!X318</f>
        <v>0</v>
      </c>
      <c r="N318" s="23">
        <f>'体验表-带进度条'!AA318</f>
        <v>0</v>
      </c>
      <c r="O318" s="72">
        <f>'体验表-带进度条'!AB318</f>
        <v>0</v>
      </c>
    </row>
    <row r="319" spans="1:15">
      <c r="A319" s="13">
        <f>'体验表-带进度条'!B319</f>
        <v>17</v>
      </c>
      <c r="B319" s="14">
        <f>'体验表-带进度条'!E319</f>
        <v>0</v>
      </c>
      <c r="C319" s="14" t="str">
        <f>'体验表-带进度条'!F319</f>
        <v/>
      </c>
      <c r="D319" s="14">
        <f>'体验表-带进度条'!G319</f>
        <v>0</v>
      </c>
      <c r="E319" s="16">
        <f>'体验表-带进度条'!H319</f>
        <v>0</v>
      </c>
      <c r="F319" s="17">
        <f>'体验表-带进度条'!I319</f>
        <v>0</v>
      </c>
      <c r="G319" s="14">
        <f>'体验表-带进度条'!J319</f>
        <v>0</v>
      </c>
      <c r="H319" s="19" t="str">
        <f>'体验表-带进度条'!K319</f>
        <v>卡包4星</v>
      </c>
      <c r="I319" s="38">
        <f>'体验表-带进度条'!L319</f>
        <v>4</v>
      </c>
      <c r="J319" s="21">
        <f>'体验表-带进度条'!M319</f>
        <v>1</v>
      </c>
      <c r="K319" s="14">
        <f>'体验表-带进度条'!N319</f>
        <v>0</v>
      </c>
      <c r="L319" s="22">
        <f>'体验表-带进度条'!O319</f>
        <v>0</v>
      </c>
      <c r="M319" s="30">
        <f>'体验表-带进度条'!X319</f>
        <v>0</v>
      </c>
      <c r="N319" s="23">
        <f>'体验表-带进度条'!AA319</f>
        <v>0</v>
      </c>
      <c r="O319" s="72">
        <f>'体验表-带进度条'!AB319</f>
        <v>0</v>
      </c>
    </row>
    <row r="320" spans="1:15">
      <c r="A320" s="13">
        <f>'体验表-带进度条'!B320</f>
        <v>18</v>
      </c>
      <c r="B320" s="14">
        <f>'体验表-带进度条'!E320</f>
        <v>0</v>
      </c>
      <c r="C320" s="14" t="str">
        <f>'体验表-带进度条'!F320</f>
        <v/>
      </c>
      <c r="D320" s="14">
        <f>'体验表-带进度条'!G320</f>
        <v>0</v>
      </c>
      <c r="E320" s="16">
        <f>'体验表-带进度条'!H320</f>
        <v>0</v>
      </c>
      <c r="F320" s="17">
        <f>'体验表-带进度条'!I320</f>
        <v>0</v>
      </c>
      <c r="G320" s="14">
        <f>'体验表-带进度条'!J320</f>
        <v>0</v>
      </c>
      <c r="H320" s="19" t="str">
        <f>'体验表-带进度条'!K320</f>
        <v>老虎机抽奖券</v>
      </c>
      <c r="I320" s="38">
        <f>'体验表-带进度条'!L320</f>
        <v>3</v>
      </c>
      <c r="J320" s="21">
        <f>'体验表-带进度条'!M320</f>
        <v>15</v>
      </c>
      <c r="K320" s="14">
        <f>'体验表-带进度条'!N320</f>
        <v>0</v>
      </c>
      <c r="L320" s="22">
        <f>'体验表-带进度条'!O320</f>
        <v>0</v>
      </c>
      <c r="M320" s="30">
        <f>'体验表-带进度条'!X320</f>
        <v>0</v>
      </c>
      <c r="N320" s="23">
        <f>'体验表-带进度条'!AA320</f>
        <v>0</v>
      </c>
      <c r="O320" s="72">
        <f>'体验表-带进度条'!AB320</f>
        <v>0</v>
      </c>
    </row>
    <row r="321" spans="1:15">
      <c r="A321" s="13">
        <f>'体验表-带进度条'!B321</f>
        <v>19</v>
      </c>
      <c r="B321" s="14">
        <f>'体验表-带进度条'!E321</f>
        <v>0</v>
      </c>
      <c r="C321" s="14" t="str">
        <f>'体验表-带进度条'!F321</f>
        <v/>
      </c>
      <c r="D321" s="14">
        <f>'体验表-带进度条'!G321</f>
        <v>0</v>
      </c>
      <c r="E321" s="16">
        <f>'体验表-带进度条'!H321</f>
        <v>0</v>
      </c>
      <c r="F321" s="17">
        <f>'体验表-带进度条'!I321</f>
        <v>0</v>
      </c>
      <c r="G321" s="14">
        <f>'体验表-带进度条'!J321</f>
        <v>0</v>
      </c>
      <c r="H321" s="19" t="str">
        <f>'体验表-带进度条'!K321</f>
        <v>大奖赛复活券</v>
      </c>
      <c r="I321" s="38">
        <f>'体验表-带进度条'!L321</f>
        <v>3</v>
      </c>
      <c r="J321" s="21">
        <f>'体验表-带进度条'!M321</f>
        <v>1</v>
      </c>
      <c r="K321" s="14">
        <f>'体验表-带进度条'!N321</f>
        <v>0</v>
      </c>
      <c r="L321" s="22">
        <f>'体验表-带进度条'!O321</f>
        <v>0</v>
      </c>
      <c r="M321" s="30">
        <f>'体验表-带进度条'!X321</f>
        <v>0</v>
      </c>
      <c r="N321" s="23">
        <f>'体验表-带进度条'!AA321</f>
        <v>0</v>
      </c>
      <c r="O321" s="72">
        <f>'体验表-带进度条'!AB321</f>
        <v>0</v>
      </c>
    </row>
    <row r="322" spans="1:15">
      <c r="A322" s="13">
        <f>'体验表-带进度条'!B322</f>
        <v>20</v>
      </c>
      <c r="B322" s="14">
        <f>'体验表-带进度条'!E322</f>
        <v>12.99</v>
      </c>
      <c r="C322" s="14">
        <f>'体验表-带进度条'!F322</f>
        <v>149</v>
      </c>
      <c r="D322" s="14">
        <f>'体验表-带进度条'!G322</f>
        <v>19370000</v>
      </c>
      <c r="E322" s="16">
        <f>'体验表-带进度条'!H322</f>
        <v>50730000</v>
      </c>
      <c r="F322" s="17">
        <f>'体验表-带进度条'!I322</f>
        <v>36.96</v>
      </c>
      <c r="G322" s="14">
        <f>'体验表-带进度条'!J322</f>
        <v>0.24</v>
      </c>
      <c r="H322" s="19" t="str">
        <f>'体验表-带进度条'!K322</f>
        <v>金币</v>
      </c>
      <c r="I322" s="38">
        <f>'体验表-带进度条'!L322</f>
        <v>9</v>
      </c>
      <c r="J322" s="21">
        <f>'体验表-带进度条'!M322</f>
        <v>19370000</v>
      </c>
      <c r="K322" s="14">
        <f>'体验表-带进度条'!N322</f>
        <v>20976440</v>
      </c>
      <c r="L322" s="22">
        <f>'体验表-带进度条'!O322</f>
        <v>20.97644</v>
      </c>
      <c r="M322" s="30">
        <f>'体验表-带进度条'!X322</f>
        <v>59990370</v>
      </c>
      <c r="N322" s="23">
        <f>'体验表-带进度条'!AA322</f>
        <v>59.99037</v>
      </c>
      <c r="O322" s="72">
        <f>'体验表-带进度条'!AB322</f>
        <v>1.18254228267297</v>
      </c>
    </row>
    <row r="323" spans="1:15">
      <c r="A323" s="13">
        <f>'体验表-带进度条'!B323</f>
        <v>21</v>
      </c>
      <c r="B323" s="14">
        <f>'体验表-带进度条'!E323</f>
        <v>0</v>
      </c>
      <c r="C323" s="14" t="str">
        <f>'体验表-带进度条'!F323</f>
        <v/>
      </c>
      <c r="D323" s="14">
        <f>'体验表-带进度条'!G323</f>
        <v>0</v>
      </c>
      <c r="E323" s="16">
        <f>'体验表-带进度条'!H323</f>
        <v>0</v>
      </c>
      <c r="F323" s="17">
        <f>'体验表-带进度条'!I323</f>
        <v>0</v>
      </c>
      <c r="G323" s="14">
        <f>'体验表-带进度条'!J323</f>
        <v>0</v>
      </c>
      <c r="H323" s="19" t="str">
        <f>'体验表-带进度条'!K323</f>
        <v>记牌器1个</v>
      </c>
      <c r="I323" s="38">
        <f>'体验表-带进度条'!L323</f>
        <v>3</v>
      </c>
      <c r="J323" s="21">
        <f>'体验表-带进度条'!M323</f>
        <v>4</v>
      </c>
      <c r="K323" s="14">
        <f>'体验表-带进度条'!N323</f>
        <v>0</v>
      </c>
      <c r="L323" s="22">
        <f>'体验表-带进度条'!O323</f>
        <v>0</v>
      </c>
      <c r="M323" s="30">
        <f>'体验表-带进度条'!X323</f>
        <v>0</v>
      </c>
      <c r="N323" s="23">
        <f>'体验表-带进度条'!AA323</f>
        <v>0</v>
      </c>
      <c r="O323" s="72">
        <f>'体验表-带进度条'!AB323</f>
        <v>0</v>
      </c>
    </row>
    <row r="324" spans="1:15">
      <c r="A324" s="13">
        <f>'体验表-带进度条'!B324</f>
        <v>22</v>
      </c>
      <c r="B324" s="14">
        <f>'体验表-带进度条'!E324</f>
        <v>0</v>
      </c>
      <c r="C324" s="14" t="str">
        <f>'体验表-带进度条'!F324</f>
        <v/>
      </c>
      <c r="D324" s="14">
        <f>'体验表-带进度条'!G324</f>
        <v>0</v>
      </c>
      <c r="E324" s="16">
        <f>'体验表-带进度条'!H324</f>
        <v>0</v>
      </c>
      <c r="F324" s="17">
        <f>'体验表-带进度条'!I324</f>
        <v>0</v>
      </c>
      <c r="G324" s="14">
        <f>'体验表-带进度条'!J324</f>
        <v>0.08</v>
      </c>
      <c r="H324" s="19" t="str">
        <f>'体验表-带进度条'!K324</f>
        <v>金币</v>
      </c>
      <c r="I324" s="38">
        <f>'体验表-带进度条'!L324</f>
        <v>17</v>
      </c>
      <c r="J324" s="21">
        <f>'体验表-带进度条'!M324</f>
        <v>1606440</v>
      </c>
      <c r="K324" s="14">
        <f>'体验表-带进度条'!N324</f>
        <v>0</v>
      </c>
      <c r="L324" s="22">
        <f>'体验表-带进度条'!O324</f>
        <v>0</v>
      </c>
      <c r="M324" s="30">
        <f>'体验表-带进度条'!X324</f>
        <v>0</v>
      </c>
      <c r="N324" s="23">
        <f>'体验表-带进度条'!AA324</f>
        <v>0</v>
      </c>
      <c r="O324" s="72">
        <f>'体验表-带进度条'!AB324</f>
        <v>0</v>
      </c>
    </row>
    <row r="325" spans="1:15">
      <c r="A325" s="13">
        <f>'体验表-带进度条'!B325</f>
        <v>23</v>
      </c>
      <c r="B325" s="14">
        <f>'体验表-带进度条'!E325</f>
        <v>0</v>
      </c>
      <c r="C325" s="14" t="str">
        <f>'体验表-带进度条'!F325</f>
        <v/>
      </c>
      <c r="D325" s="14">
        <f>'体验表-带进度条'!G325</f>
        <v>0</v>
      </c>
      <c r="E325" s="16">
        <f>'体验表-带进度条'!H325</f>
        <v>0</v>
      </c>
      <c r="F325" s="17">
        <f>'体验表-带进度条'!I325</f>
        <v>0</v>
      </c>
      <c r="G325" s="14">
        <f>'体验表-带进度条'!J325</f>
        <v>0</v>
      </c>
      <c r="H325" s="19" t="str">
        <f>'体验表-带进度条'!K325</f>
        <v>卡包4星</v>
      </c>
      <c r="I325" s="38">
        <f>'体验表-带进度条'!L325</f>
        <v>4</v>
      </c>
      <c r="J325" s="21">
        <f>'体验表-带进度条'!M325</f>
        <v>1</v>
      </c>
      <c r="K325" s="14">
        <f>'体验表-带进度条'!N325</f>
        <v>0</v>
      </c>
      <c r="L325" s="22">
        <f>'体验表-带进度条'!O325</f>
        <v>0</v>
      </c>
      <c r="M325" s="30">
        <f>'体验表-带进度条'!X325</f>
        <v>0</v>
      </c>
      <c r="N325" s="23">
        <f>'体验表-带进度条'!AA325</f>
        <v>0</v>
      </c>
      <c r="O325" s="72">
        <f>'体验表-带进度条'!AB325</f>
        <v>0</v>
      </c>
    </row>
    <row r="326" spans="1:15">
      <c r="A326" s="13">
        <f>'体验表-带进度条'!B326</f>
        <v>24</v>
      </c>
      <c r="B326" s="14">
        <f>'体验表-带进度条'!E326</f>
        <v>0</v>
      </c>
      <c r="C326" s="14" t="str">
        <f>'体验表-带进度条'!F326</f>
        <v/>
      </c>
      <c r="D326" s="14">
        <f>'体验表-带进度条'!G326</f>
        <v>0</v>
      </c>
      <c r="E326" s="16">
        <f>'体验表-带进度条'!H326</f>
        <v>0</v>
      </c>
      <c r="F326" s="17">
        <f>'体验表-带进度条'!I326</f>
        <v>0</v>
      </c>
      <c r="G326" s="14">
        <f>'体验表-带进度条'!J326</f>
        <v>0</v>
      </c>
      <c r="H326" s="19" t="str">
        <f>'体验表-带进度条'!K326</f>
        <v>老虎机抽奖券</v>
      </c>
      <c r="I326" s="38">
        <f>'体验表-带进度条'!L326</f>
        <v>3</v>
      </c>
      <c r="J326" s="21">
        <f>'体验表-带进度条'!M326</f>
        <v>20</v>
      </c>
      <c r="K326" s="14">
        <f>'体验表-带进度条'!N326</f>
        <v>0</v>
      </c>
      <c r="L326" s="22">
        <f>'体验表-带进度条'!O326</f>
        <v>0</v>
      </c>
      <c r="M326" s="30">
        <f>'体验表-带进度条'!X326</f>
        <v>0</v>
      </c>
      <c r="N326" s="23">
        <f>'体验表-带进度条'!AA326</f>
        <v>0</v>
      </c>
      <c r="O326" s="72">
        <f>'体验表-带进度条'!AB326</f>
        <v>0</v>
      </c>
    </row>
    <row r="327" spans="1:15">
      <c r="A327" s="13">
        <f>'体验表-带进度条'!B327</f>
        <v>25</v>
      </c>
      <c r="B327" s="14">
        <f>'体验表-带进度条'!E327</f>
        <v>0</v>
      </c>
      <c r="C327" s="14" t="str">
        <f>'体验表-带进度条'!F327</f>
        <v/>
      </c>
      <c r="D327" s="14">
        <f>'体验表-带进度条'!G327</f>
        <v>0</v>
      </c>
      <c r="E327" s="16">
        <f>'体验表-带进度条'!H327</f>
        <v>0</v>
      </c>
      <c r="F327" s="17">
        <f>'体验表-带进度条'!I327</f>
        <v>0</v>
      </c>
      <c r="G327" s="14">
        <f>'体验表-带进度条'!J327</f>
        <v>0</v>
      </c>
      <c r="H327" s="19" t="str">
        <f>'体验表-带进度条'!K327</f>
        <v>大奖赛报名券</v>
      </c>
      <c r="I327" s="38">
        <f>'体验表-带进度条'!L327</f>
        <v>3</v>
      </c>
      <c r="J327" s="21">
        <f>'体验表-带进度条'!M327</f>
        <v>1</v>
      </c>
      <c r="K327" s="14">
        <f>'体验表-带进度条'!N327</f>
        <v>0</v>
      </c>
      <c r="L327" s="22">
        <f>'体验表-带进度条'!O327</f>
        <v>0</v>
      </c>
      <c r="M327" s="30">
        <f>'体验表-带进度条'!X327</f>
        <v>0</v>
      </c>
      <c r="N327" s="23">
        <f>'体验表-带进度条'!AA327</f>
        <v>0</v>
      </c>
      <c r="O327" s="72">
        <f>'体验表-带进度条'!AB327</f>
        <v>0</v>
      </c>
    </row>
    <row r="328" spans="1:15">
      <c r="A328" s="13">
        <f>'体验表-带进度条'!B328</f>
        <v>26</v>
      </c>
      <c r="B328" s="14">
        <f>'体验表-带进度条'!E328</f>
        <v>14.99</v>
      </c>
      <c r="C328" s="14">
        <f>'体验表-带进度条'!F328</f>
        <v>154</v>
      </c>
      <c r="D328" s="14">
        <f>'体验表-带进度条'!G328</f>
        <v>23100000</v>
      </c>
      <c r="E328" s="16">
        <f>'体验表-带进度条'!H328</f>
        <v>73830000</v>
      </c>
      <c r="F328" s="17">
        <f>'体验表-带进度条'!I328</f>
        <v>51.95</v>
      </c>
      <c r="G328" s="14">
        <f>'体验表-带进度条'!J328</f>
        <v>0</v>
      </c>
      <c r="H328" s="19" t="str">
        <f>'体验表-带进度条'!K328</f>
        <v>金币</v>
      </c>
      <c r="I328" s="38">
        <f>'体验表-带进度条'!L328</f>
        <v>9</v>
      </c>
      <c r="J328" s="21">
        <f>'体验表-带进度条'!M328</f>
        <v>23100000</v>
      </c>
      <c r="K328" s="14">
        <f>'体验表-带进度条'!N328</f>
        <v>24104025</v>
      </c>
      <c r="L328" s="22">
        <f>'体验表-带进度条'!O328</f>
        <v>24.104025</v>
      </c>
      <c r="M328" s="30">
        <f>'体验表-带进度条'!X328</f>
        <v>84094395</v>
      </c>
      <c r="N328" s="23">
        <f>'体验表-带进度条'!AA328</f>
        <v>84.094395</v>
      </c>
      <c r="O328" s="72">
        <f>'体验表-带进度条'!AB328</f>
        <v>1.13902742787485</v>
      </c>
    </row>
    <row r="329" spans="1:15">
      <c r="A329" s="13">
        <f>'体验表-带进度条'!B329</f>
        <v>27</v>
      </c>
      <c r="B329" s="14">
        <f>'体验表-带进度条'!E329</f>
        <v>0</v>
      </c>
      <c r="C329" s="14" t="str">
        <f>'体验表-带进度条'!F329</f>
        <v/>
      </c>
      <c r="D329" s="14">
        <f>'体验表-带进度条'!G329</f>
        <v>0</v>
      </c>
      <c r="E329" s="16">
        <f>'体验表-带进度条'!H329</f>
        <v>0</v>
      </c>
      <c r="F329" s="17">
        <f>'体验表-带进度条'!I329</f>
        <v>0</v>
      </c>
      <c r="G329" s="14">
        <f>'体验表-带进度条'!J329</f>
        <v>0</v>
      </c>
      <c r="H329" s="19" t="str">
        <f>'体验表-带进度条'!K329</f>
        <v>记牌器1个</v>
      </c>
      <c r="I329" s="38">
        <f>'体验表-带进度条'!L329</f>
        <v>3</v>
      </c>
      <c r="J329" s="21">
        <f>'体验表-带进度条'!M329</f>
        <v>5</v>
      </c>
      <c r="K329" s="14">
        <f>'体验表-带进度条'!N329</f>
        <v>0</v>
      </c>
      <c r="L329" s="22">
        <f>'体验表-带进度条'!O329</f>
        <v>0</v>
      </c>
      <c r="M329" s="30">
        <f>'体验表-带进度条'!X329</f>
        <v>0</v>
      </c>
      <c r="N329" s="23">
        <f>'体验表-带进度条'!AA329</f>
        <v>0</v>
      </c>
      <c r="O329" s="72">
        <f>'体验表-带进度条'!AB329</f>
        <v>0</v>
      </c>
    </row>
    <row r="330" spans="1:15">
      <c r="A330" s="13">
        <f>'体验表-带进度条'!B330</f>
        <v>28</v>
      </c>
      <c r="B330" s="14">
        <f>'体验表-带进度条'!E330</f>
        <v>0</v>
      </c>
      <c r="C330" s="14" t="str">
        <f>'体验表-带进度条'!F330</f>
        <v/>
      </c>
      <c r="D330" s="14">
        <f>'体验表-带进度条'!G330</f>
        <v>0</v>
      </c>
      <c r="E330" s="16">
        <f>'体验表-带进度条'!H330</f>
        <v>0</v>
      </c>
      <c r="F330" s="17">
        <f>'体验表-带进度条'!I330</f>
        <v>0</v>
      </c>
      <c r="G330" s="14">
        <f>'体验表-带进度条'!J330</f>
        <v>0.05</v>
      </c>
      <c r="H330" s="19" t="str">
        <f>'体验表-带进度条'!K330</f>
        <v>金币</v>
      </c>
      <c r="I330" s="38">
        <f>'体验表-带进度条'!L330</f>
        <v>17</v>
      </c>
      <c r="J330" s="21">
        <f>'体验表-带进度条'!M330</f>
        <v>1004025</v>
      </c>
      <c r="K330" s="14">
        <f>'体验表-带进度条'!N330</f>
        <v>0</v>
      </c>
      <c r="L330" s="22">
        <f>'体验表-带进度条'!O330</f>
        <v>0</v>
      </c>
      <c r="M330" s="30">
        <f>'体验表-带进度条'!X330</f>
        <v>0</v>
      </c>
      <c r="N330" s="23">
        <f>'体验表-带进度条'!AA330</f>
        <v>0</v>
      </c>
      <c r="O330" s="72">
        <f>'体验表-带进度条'!AB330</f>
        <v>0</v>
      </c>
    </row>
    <row r="331" spans="1:15">
      <c r="A331" s="13">
        <f>'体验表-带进度条'!B331</f>
        <v>29</v>
      </c>
      <c r="B331" s="14">
        <f>'体验表-带进度条'!E331</f>
        <v>0</v>
      </c>
      <c r="C331" s="14" t="str">
        <f>'体验表-带进度条'!F331</f>
        <v/>
      </c>
      <c r="D331" s="14">
        <f>'体验表-带进度条'!G331</f>
        <v>0</v>
      </c>
      <c r="E331" s="16">
        <f>'体验表-带进度条'!H331</f>
        <v>0</v>
      </c>
      <c r="F331" s="17">
        <f>'体验表-带进度条'!I331</f>
        <v>0</v>
      </c>
      <c r="G331" s="14">
        <f>'体验表-带进度条'!J331</f>
        <v>0</v>
      </c>
      <c r="H331" s="19" t="str">
        <f>'体验表-带进度条'!K331</f>
        <v>卡包5星</v>
      </c>
      <c r="I331" s="38">
        <f>'体验表-带进度条'!L331</f>
        <v>4</v>
      </c>
      <c r="J331" s="21">
        <f>'体验表-带进度条'!M331</f>
        <v>1</v>
      </c>
      <c r="K331" s="14">
        <f>'体验表-带进度条'!N331</f>
        <v>0</v>
      </c>
      <c r="L331" s="22">
        <f>'体验表-带进度条'!O331</f>
        <v>0</v>
      </c>
      <c r="M331" s="30">
        <f>'体验表-带进度条'!X331</f>
        <v>0</v>
      </c>
      <c r="N331" s="23">
        <f>'体验表-带进度条'!AA331</f>
        <v>0</v>
      </c>
      <c r="O331" s="72">
        <f>'体验表-带进度条'!AB331</f>
        <v>0</v>
      </c>
    </row>
    <row r="332" spans="1:15">
      <c r="A332" s="13">
        <f>'体验表-带进度条'!B332</f>
        <v>30</v>
      </c>
      <c r="B332" s="14">
        <f>'体验表-带进度条'!E332</f>
        <v>0</v>
      </c>
      <c r="C332" s="14" t="str">
        <f>'体验表-带进度条'!F332</f>
        <v/>
      </c>
      <c r="D332" s="14">
        <f>'体验表-带进度条'!G332</f>
        <v>0</v>
      </c>
      <c r="E332" s="16">
        <f>'体验表-带进度条'!H332</f>
        <v>0</v>
      </c>
      <c r="F332" s="17">
        <f>'体验表-带进度条'!I332</f>
        <v>0</v>
      </c>
      <c r="G332" s="14">
        <f>'体验表-带进度条'!J332</f>
        <v>0</v>
      </c>
      <c r="H332" s="19" t="str">
        <f>'体验表-带进度条'!K332</f>
        <v>老虎机抽奖券</v>
      </c>
      <c r="I332" s="38">
        <f>'体验表-带进度条'!L332</f>
        <v>3</v>
      </c>
      <c r="J332" s="21">
        <f>'体验表-带进度条'!M332</f>
        <v>25</v>
      </c>
      <c r="K332" s="14">
        <f>'体验表-带进度条'!N332</f>
        <v>0</v>
      </c>
      <c r="L332" s="22">
        <f>'体验表-带进度条'!O332</f>
        <v>0</v>
      </c>
      <c r="M332" s="30">
        <f>'体验表-带进度条'!X332</f>
        <v>0</v>
      </c>
      <c r="N332" s="23">
        <f>'体验表-带进度条'!AA332</f>
        <v>0</v>
      </c>
      <c r="O332" s="72">
        <f>'体验表-带进度条'!AB332</f>
        <v>0</v>
      </c>
    </row>
    <row r="333" spans="1:15">
      <c r="A333" s="13">
        <f>'体验表-带进度条'!B333</f>
        <v>31</v>
      </c>
      <c r="B333" s="14">
        <f>'体验表-带进度条'!E333</f>
        <v>0</v>
      </c>
      <c r="C333" s="14" t="str">
        <f>'体验表-带进度条'!F333</f>
        <v/>
      </c>
      <c r="D333" s="14">
        <f>'体验表-带进度条'!G333</f>
        <v>0</v>
      </c>
      <c r="E333" s="16">
        <f>'体验表-带进度条'!H333</f>
        <v>0</v>
      </c>
      <c r="F333" s="17">
        <f>'体验表-带进度条'!I333</f>
        <v>0</v>
      </c>
      <c r="G333" s="14">
        <f>'体验表-带进度条'!J333</f>
        <v>0</v>
      </c>
      <c r="H333" s="19" t="str">
        <f>'体验表-带进度条'!K333</f>
        <v>大奖赛复活券</v>
      </c>
      <c r="I333" s="38">
        <f>'体验表-带进度条'!L333</f>
        <v>3</v>
      </c>
      <c r="J333" s="21">
        <f>'体验表-带进度条'!M333</f>
        <v>1</v>
      </c>
      <c r="K333" s="14">
        <f>'体验表-带进度条'!N333</f>
        <v>0</v>
      </c>
      <c r="L333" s="22">
        <f>'体验表-带进度条'!O333</f>
        <v>0</v>
      </c>
      <c r="M333" s="30">
        <f>'体验表-带进度条'!X333</f>
        <v>0</v>
      </c>
      <c r="N333" s="23">
        <f>'体验表-带进度条'!AA333</f>
        <v>0</v>
      </c>
      <c r="O333" s="72">
        <f>'体验表-带进度条'!AB333</f>
        <v>0</v>
      </c>
    </row>
    <row r="334" spans="1:15">
      <c r="A334" s="13">
        <f>'体验表-带进度条'!B334</f>
        <v>32</v>
      </c>
      <c r="B334" s="14">
        <f>'体验表-带进度条'!E334</f>
        <v>17.99</v>
      </c>
      <c r="C334" s="14">
        <f>'体验表-带进度条'!F334</f>
        <v>158</v>
      </c>
      <c r="D334" s="14">
        <f>'体验表-带进度条'!G334</f>
        <v>28440000</v>
      </c>
      <c r="E334" s="16">
        <f>'体验表-带进度条'!H334</f>
        <v>102270000</v>
      </c>
      <c r="F334" s="17">
        <f>'体验表-带进度条'!I334</f>
        <v>69.94</v>
      </c>
      <c r="G334" s="14">
        <f>'体验表-带进度条'!J334</f>
        <v>0</v>
      </c>
      <c r="H334" s="19" t="str">
        <f>'体验表-带进度条'!K334</f>
        <v>金币</v>
      </c>
      <c r="I334" s="38">
        <f>'体验表-带进度条'!L334</f>
        <v>9</v>
      </c>
      <c r="J334" s="21">
        <f>'体验表-带进度条'!M334</f>
        <v>28440000</v>
      </c>
      <c r="K334" s="14">
        <f>'体验表-带进度条'!N334</f>
        <v>30849660</v>
      </c>
      <c r="L334" s="22">
        <f>'体验表-带进度条'!O334</f>
        <v>30.84966</v>
      </c>
      <c r="M334" s="30">
        <f>'体验表-带进度条'!X334</f>
        <v>114944055</v>
      </c>
      <c r="N334" s="23">
        <f>'体验表-带进度条'!AA334</f>
        <v>114.944055</v>
      </c>
      <c r="O334" s="72">
        <f>'体验表-带进度条'!AB334</f>
        <v>1.12392739806395</v>
      </c>
    </row>
    <row r="335" spans="1:15">
      <c r="A335" s="13">
        <f>'体验表-带进度条'!B335</f>
        <v>33</v>
      </c>
      <c r="B335" s="14">
        <f>'体验表-带进度条'!E335</f>
        <v>0</v>
      </c>
      <c r="C335" s="14" t="str">
        <f>'体验表-带进度条'!F335</f>
        <v/>
      </c>
      <c r="D335" s="14">
        <f>'体验表-带进度条'!G335</f>
        <v>0</v>
      </c>
      <c r="E335" s="16">
        <f>'体验表-带进度条'!H335</f>
        <v>0</v>
      </c>
      <c r="F335" s="17">
        <f>'体验表-带进度条'!I335</f>
        <v>0</v>
      </c>
      <c r="G335" s="14">
        <f>'体验表-带进度条'!J335</f>
        <v>0</v>
      </c>
      <c r="H335" s="19" t="str">
        <f>'体验表-带进度条'!K335</f>
        <v>记牌器1个</v>
      </c>
      <c r="I335" s="38">
        <f>'体验表-带进度条'!L335</f>
        <v>3</v>
      </c>
      <c r="J335" s="21">
        <f>'体验表-带进度条'!M335</f>
        <v>6</v>
      </c>
      <c r="K335" s="14">
        <f>'体验表-带进度条'!N335</f>
        <v>0</v>
      </c>
      <c r="L335" s="22">
        <f>'体验表-带进度条'!O335</f>
        <v>0</v>
      </c>
      <c r="M335" s="30">
        <f>'体验表-带进度条'!X335</f>
        <v>0</v>
      </c>
      <c r="N335" s="23">
        <f>'体验表-带进度条'!AA335</f>
        <v>0</v>
      </c>
      <c r="O335" s="72">
        <f>'体验表-带进度条'!AB335</f>
        <v>0</v>
      </c>
    </row>
    <row r="336" spans="1:15">
      <c r="A336" s="13">
        <f>'体验表-带进度条'!B336</f>
        <v>34</v>
      </c>
      <c r="B336" s="14">
        <f>'体验表-带进度条'!E336</f>
        <v>0</v>
      </c>
      <c r="C336" s="14" t="str">
        <f>'体验表-带进度条'!F336</f>
        <v/>
      </c>
      <c r="D336" s="14">
        <f>'体验表-带进度条'!G336</f>
        <v>0</v>
      </c>
      <c r="E336" s="16">
        <f>'体验表-带进度条'!H336</f>
        <v>0</v>
      </c>
      <c r="F336" s="17">
        <f>'体验表-带进度条'!I336</f>
        <v>0</v>
      </c>
      <c r="G336" s="14">
        <f>'体验表-带进度条'!J336</f>
        <v>0.12</v>
      </c>
      <c r="H336" s="19" t="str">
        <f>'体验表-带进度条'!K336</f>
        <v>金币</v>
      </c>
      <c r="I336" s="38">
        <f>'体验表-带进度条'!L336</f>
        <v>17</v>
      </c>
      <c r="J336" s="21">
        <f>'体验表-带进度条'!M336</f>
        <v>2409660</v>
      </c>
      <c r="K336" s="14">
        <f>'体验表-带进度条'!N336</f>
        <v>0</v>
      </c>
      <c r="L336" s="22">
        <f>'体验表-带进度条'!O336</f>
        <v>0</v>
      </c>
      <c r="M336" s="30">
        <f>'体验表-带进度条'!X336</f>
        <v>0</v>
      </c>
      <c r="N336" s="23">
        <f>'体验表-带进度条'!AA336</f>
        <v>0</v>
      </c>
      <c r="O336" s="72">
        <f>'体验表-带进度条'!AB336</f>
        <v>0</v>
      </c>
    </row>
    <row r="337" spans="1:15">
      <c r="A337" s="13">
        <f>'体验表-带进度条'!B337</f>
        <v>35</v>
      </c>
      <c r="B337" s="14">
        <f>'体验表-带进度条'!E337</f>
        <v>0</v>
      </c>
      <c r="C337" s="14" t="str">
        <f>'体验表-带进度条'!F337</f>
        <v/>
      </c>
      <c r="D337" s="14">
        <f>'体验表-带进度条'!G337</f>
        <v>0</v>
      </c>
      <c r="E337" s="16">
        <f>'体验表-带进度条'!H337</f>
        <v>0</v>
      </c>
      <c r="F337" s="17">
        <f>'体验表-带进度条'!I337</f>
        <v>0</v>
      </c>
      <c r="G337" s="14">
        <f>'体验表-带进度条'!J337</f>
        <v>0</v>
      </c>
      <c r="H337" s="19" t="str">
        <f>'体验表-带进度条'!K337</f>
        <v>卡包5星</v>
      </c>
      <c r="I337" s="38">
        <f>'体验表-带进度条'!L337</f>
        <v>4</v>
      </c>
      <c r="J337" s="21">
        <f>'体验表-带进度条'!M337</f>
        <v>1</v>
      </c>
      <c r="K337" s="14">
        <f>'体验表-带进度条'!N337</f>
        <v>0</v>
      </c>
      <c r="L337" s="22">
        <f>'体验表-带进度条'!O337</f>
        <v>0</v>
      </c>
      <c r="M337" s="30">
        <f>'体验表-带进度条'!X337</f>
        <v>0</v>
      </c>
      <c r="N337" s="23">
        <f>'体验表-带进度条'!AA337</f>
        <v>0</v>
      </c>
      <c r="O337" s="72">
        <f>'体验表-带进度条'!AB337</f>
        <v>0</v>
      </c>
    </row>
    <row r="338" spans="1:15">
      <c r="A338" s="13">
        <f>'体验表-带进度条'!B338</f>
        <v>36</v>
      </c>
      <c r="B338" s="14">
        <f>'体验表-带进度条'!E338</f>
        <v>0</v>
      </c>
      <c r="C338" s="14" t="str">
        <f>'体验表-带进度条'!F338</f>
        <v/>
      </c>
      <c r="D338" s="14">
        <f>'体验表-带进度条'!G338</f>
        <v>0</v>
      </c>
      <c r="E338" s="16">
        <f>'体验表-带进度条'!H338</f>
        <v>0</v>
      </c>
      <c r="F338" s="17">
        <f>'体验表-带进度条'!I338</f>
        <v>0</v>
      </c>
      <c r="G338" s="14">
        <f>'体验表-带进度条'!J338</f>
        <v>0</v>
      </c>
      <c r="H338" s="19" t="str">
        <f>'体验表-带进度条'!K338</f>
        <v>老虎机抽奖券</v>
      </c>
      <c r="I338" s="38">
        <f>'体验表-带进度条'!L338</f>
        <v>3</v>
      </c>
      <c r="J338" s="21">
        <f>'体验表-带进度条'!M338</f>
        <v>30</v>
      </c>
      <c r="K338" s="14">
        <f>'体验表-带进度条'!N338</f>
        <v>0</v>
      </c>
      <c r="L338" s="22">
        <f>'体验表-带进度条'!O338</f>
        <v>0</v>
      </c>
      <c r="M338" s="30">
        <f>'体验表-带进度条'!X338</f>
        <v>0</v>
      </c>
      <c r="N338" s="23">
        <f>'体验表-带进度条'!AA338</f>
        <v>0</v>
      </c>
      <c r="O338" s="72">
        <f>'体验表-带进度条'!AB338</f>
        <v>0</v>
      </c>
    </row>
    <row r="339" spans="1:15">
      <c r="A339" s="13">
        <f>'体验表-带进度条'!B339</f>
        <v>37</v>
      </c>
      <c r="B339" s="14">
        <f>'体验表-带进度条'!E339</f>
        <v>0</v>
      </c>
      <c r="C339" s="14" t="str">
        <f>'体验表-带进度条'!F339</f>
        <v/>
      </c>
      <c r="D339" s="14">
        <f>'体验表-带进度条'!G339</f>
        <v>0</v>
      </c>
      <c r="E339" s="16">
        <f>'体验表-带进度条'!H339</f>
        <v>0</v>
      </c>
      <c r="F339" s="17">
        <f>'体验表-带进度条'!I339</f>
        <v>0</v>
      </c>
      <c r="G339" s="14">
        <f>'体验表-带进度条'!J339</f>
        <v>0</v>
      </c>
      <c r="H339" s="19" t="str">
        <f>'体验表-带进度条'!K339</f>
        <v>大奖赛报名券</v>
      </c>
      <c r="I339" s="38">
        <f>'体验表-带进度条'!L339</f>
        <v>3</v>
      </c>
      <c r="J339" s="21">
        <f>'体验表-带进度条'!M339</f>
        <v>1</v>
      </c>
      <c r="K339" s="14">
        <f>'体验表-带进度条'!N339</f>
        <v>0</v>
      </c>
      <c r="L339" s="22">
        <f>'体验表-带进度条'!O339</f>
        <v>0</v>
      </c>
      <c r="M339" s="30">
        <f>'体验表-带进度条'!X339</f>
        <v>0</v>
      </c>
      <c r="N339" s="23">
        <f>'体验表-带进度条'!AA339</f>
        <v>0</v>
      </c>
      <c r="O339" s="72">
        <f>'体验表-带进度条'!AB339</f>
        <v>0</v>
      </c>
    </row>
    <row r="340" spans="1:15">
      <c r="A340" s="13">
        <f>'体验表-带进度条'!B340</f>
        <v>38</v>
      </c>
      <c r="B340" s="14">
        <f>'体验表-带进度条'!E340</f>
        <v>19.99</v>
      </c>
      <c r="C340" s="14">
        <f>'体验表-带进度条'!F340</f>
        <v>158</v>
      </c>
      <c r="D340" s="14">
        <f>'体验表-带进度条'!G340</f>
        <v>31600000</v>
      </c>
      <c r="E340" s="16">
        <f>'体验表-带进度条'!H340</f>
        <v>133870000</v>
      </c>
      <c r="F340" s="17">
        <f>'体验表-带进度条'!I340</f>
        <v>89.93</v>
      </c>
      <c r="G340" s="14">
        <f>'体验表-带进度条'!J340</f>
        <v>0.45</v>
      </c>
      <c r="H340" s="19" t="str">
        <f>'体验表-带进度条'!K340</f>
        <v>金币</v>
      </c>
      <c r="I340" s="38">
        <f>'体验表-带进度条'!L340</f>
        <v>9</v>
      </c>
      <c r="J340" s="21">
        <f>'体验表-带进度条'!M340</f>
        <v>31600000</v>
      </c>
      <c r="K340" s="14">
        <f>'体验表-带进度条'!N340</f>
        <v>34009660</v>
      </c>
      <c r="L340" s="22">
        <f>'体验表-带进度条'!O340</f>
        <v>34.00966</v>
      </c>
      <c r="M340" s="30">
        <f>'体验表-带进度条'!X340</f>
        <v>152998990</v>
      </c>
      <c r="N340" s="23">
        <f>'体验表-带进度条'!AA340</f>
        <v>152.99899</v>
      </c>
      <c r="O340" s="72">
        <f>'体验表-带进度条'!AB340</f>
        <v>1.14289228355868</v>
      </c>
    </row>
    <row r="341" spans="1:15">
      <c r="A341" s="13">
        <f>'体验表-带进度条'!B341</f>
        <v>39</v>
      </c>
      <c r="B341" s="14">
        <f>'体验表-带进度条'!E341</f>
        <v>0</v>
      </c>
      <c r="C341" s="14" t="str">
        <f>'体验表-带进度条'!F341</f>
        <v/>
      </c>
      <c r="D341" s="14">
        <f>'体验表-带进度条'!G341</f>
        <v>0</v>
      </c>
      <c r="E341" s="16">
        <f>'体验表-带进度条'!H341</f>
        <v>0</v>
      </c>
      <c r="F341" s="17">
        <f>'体验表-带进度条'!I341</f>
        <v>0</v>
      </c>
      <c r="G341" s="14">
        <f>'体验表-带进度条'!J341</f>
        <v>0</v>
      </c>
      <c r="H341" s="19" t="str">
        <f>'体验表-带进度条'!K341</f>
        <v>记牌器1个</v>
      </c>
      <c r="I341" s="38">
        <f>'体验表-带进度条'!L341</f>
        <v>3</v>
      </c>
      <c r="J341" s="21">
        <f>'体验表-带进度条'!M341</f>
        <v>7</v>
      </c>
      <c r="K341" s="14">
        <f>'体验表-带进度条'!N341</f>
        <v>0</v>
      </c>
      <c r="L341" s="22">
        <f>'体验表-带进度条'!O341</f>
        <v>0</v>
      </c>
      <c r="M341" s="30">
        <f>'体验表-带进度条'!X341</f>
        <v>0</v>
      </c>
      <c r="N341" s="23">
        <f>'体验表-带进度条'!AA341</f>
        <v>0</v>
      </c>
      <c r="O341" s="72">
        <f>'体验表-带进度条'!AB341</f>
        <v>0</v>
      </c>
    </row>
    <row r="342" spans="1:15">
      <c r="A342" s="13">
        <f>'体验表-带进度条'!B342</f>
        <v>40</v>
      </c>
      <c r="B342" s="14">
        <f>'体验表-带进度条'!E342</f>
        <v>0</v>
      </c>
      <c r="C342" s="14" t="str">
        <f>'体验表-带进度条'!F342</f>
        <v/>
      </c>
      <c r="D342" s="14">
        <f>'体验表-带进度条'!G342</f>
        <v>0</v>
      </c>
      <c r="E342" s="16">
        <f>'体验表-带进度条'!H342</f>
        <v>0</v>
      </c>
      <c r="F342" s="17">
        <f>'体验表-带进度条'!I342</f>
        <v>0</v>
      </c>
      <c r="G342" s="14">
        <f>'体验表-带进度条'!J342</f>
        <v>0.12</v>
      </c>
      <c r="H342" s="19" t="str">
        <f>'体验表-带进度条'!K342</f>
        <v>金币</v>
      </c>
      <c r="I342" s="38">
        <f>'体验表-带进度条'!L342</f>
        <v>17</v>
      </c>
      <c r="J342" s="21">
        <f>'体验表-带进度条'!M342</f>
        <v>2409660</v>
      </c>
      <c r="K342" s="14">
        <f>'体验表-带进度条'!N342</f>
        <v>0</v>
      </c>
      <c r="L342" s="22">
        <f>'体验表-带进度条'!O342</f>
        <v>0</v>
      </c>
      <c r="M342" s="30">
        <f>'体验表-带进度条'!X342</f>
        <v>0</v>
      </c>
      <c r="N342" s="23">
        <f>'体验表-带进度条'!AA342</f>
        <v>0</v>
      </c>
      <c r="O342" s="72">
        <f>'体验表-带进度条'!AB342</f>
        <v>0</v>
      </c>
    </row>
    <row r="343" spans="1:15">
      <c r="A343" s="13">
        <f>'体验表-带进度条'!B343</f>
        <v>41</v>
      </c>
      <c r="B343" s="14">
        <f>'体验表-带进度条'!E343</f>
        <v>0</v>
      </c>
      <c r="C343" s="14" t="str">
        <f>'体验表-带进度条'!F343</f>
        <v/>
      </c>
      <c r="D343" s="14">
        <f>'体验表-带进度条'!G343</f>
        <v>0</v>
      </c>
      <c r="E343" s="16">
        <f>'体验表-带进度条'!H343</f>
        <v>0</v>
      </c>
      <c r="F343" s="17">
        <f>'体验表-带进度条'!I343</f>
        <v>0</v>
      </c>
      <c r="G343" s="14">
        <f>'体验表-带进度条'!J343</f>
        <v>0</v>
      </c>
      <c r="H343" s="19" t="str">
        <f>'体验表-带进度条'!K343</f>
        <v>卡包fun卡</v>
      </c>
      <c r="I343" s="38">
        <f>'体验表-带进度条'!L343</f>
        <v>4</v>
      </c>
      <c r="J343" s="21">
        <f>'体验表-带进度条'!M343</f>
        <v>1</v>
      </c>
      <c r="K343" s="14">
        <f>'体验表-带进度条'!N343</f>
        <v>0</v>
      </c>
      <c r="L343" s="22">
        <f>'体验表-带进度条'!O343</f>
        <v>0</v>
      </c>
      <c r="M343" s="30">
        <f>'体验表-带进度条'!X343</f>
        <v>0</v>
      </c>
      <c r="N343" s="23">
        <f>'体验表-带进度条'!AA343</f>
        <v>0</v>
      </c>
      <c r="O343" s="72">
        <f>'体验表-带进度条'!AB343</f>
        <v>0</v>
      </c>
    </row>
    <row r="344" spans="1:15">
      <c r="A344" s="13">
        <f>'体验表-带进度条'!B344</f>
        <v>42</v>
      </c>
      <c r="B344" s="14">
        <f>'体验表-带进度条'!E344</f>
        <v>0</v>
      </c>
      <c r="C344" s="14" t="str">
        <f>'体验表-带进度条'!F344</f>
        <v/>
      </c>
      <c r="D344" s="14">
        <f>'体验表-带进度条'!G344</f>
        <v>0</v>
      </c>
      <c r="E344" s="16">
        <f>'体验表-带进度条'!H344</f>
        <v>0</v>
      </c>
      <c r="F344" s="17">
        <f>'体验表-带进度条'!I344</f>
        <v>0</v>
      </c>
      <c r="G344" s="14">
        <f>'体验表-带进度条'!J344</f>
        <v>0</v>
      </c>
      <c r="H344" s="19" t="str">
        <f>'体验表-带进度条'!K344</f>
        <v>老虎机抽奖券</v>
      </c>
      <c r="I344" s="38">
        <f>'体验表-带进度条'!L344</f>
        <v>3</v>
      </c>
      <c r="J344" s="21">
        <f>'体验表-带进度条'!M344</f>
        <v>35</v>
      </c>
      <c r="K344" s="14">
        <f>'体验表-带进度条'!N344</f>
        <v>0</v>
      </c>
      <c r="L344" s="22">
        <f>'体验表-带进度条'!O344</f>
        <v>0</v>
      </c>
      <c r="M344" s="30">
        <f>'体验表-带进度条'!X344</f>
        <v>0</v>
      </c>
      <c r="N344" s="23">
        <f>'体验表-带进度条'!AA344</f>
        <v>0</v>
      </c>
      <c r="O344" s="72">
        <f>'体验表-带进度条'!AB344</f>
        <v>0</v>
      </c>
    </row>
    <row r="345" spans="1:15">
      <c r="A345" s="13">
        <f>'体验表-带进度条'!B345</f>
        <v>43</v>
      </c>
      <c r="B345" s="14">
        <f>'体验表-带进度条'!E345</f>
        <v>0</v>
      </c>
      <c r="C345" s="14" t="str">
        <f>'体验表-带进度条'!F345</f>
        <v/>
      </c>
      <c r="D345" s="14">
        <f>'体验表-带进度条'!G345</f>
        <v>0</v>
      </c>
      <c r="E345" s="16">
        <f>'体验表-带进度条'!H345</f>
        <v>0</v>
      </c>
      <c r="F345" s="17">
        <f>'体验表-带进度条'!I345</f>
        <v>0</v>
      </c>
      <c r="G345" s="14">
        <f>'体验表-带进度条'!J345</f>
        <v>0</v>
      </c>
      <c r="H345" s="19" t="str">
        <f>'体验表-带进度条'!K345</f>
        <v>大奖赛复活券</v>
      </c>
      <c r="I345" s="38">
        <f>'体验表-带进度条'!L345</f>
        <v>3</v>
      </c>
      <c r="J345" s="21">
        <f>'体验表-带进度条'!M345</f>
        <v>1</v>
      </c>
      <c r="K345" s="14">
        <f>'体验表-带进度条'!N345</f>
        <v>0</v>
      </c>
      <c r="L345" s="22">
        <f>'体验表-带进度条'!O345</f>
        <v>0</v>
      </c>
      <c r="M345" s="30">
        <f>'体验表-带进度条'!X345</f>
        <v>0</v>
      </c>
      <c r="N345" s="23">
        <f>'体验表-带进度条'!AA345</f>
        <v>0</v>
      </c>
      <c r="O345" s="72">
        <f>'体验表-带进度条'!AB345</f>
        <v>0</v>
      </c>
    </row>
    <row r="346" spans="1:15">
      <c r="A346" s="13">
        <f>'体验表-带进度条'!B346</f>
        <v>1</v>
      </c>
      <c r="B346" s="14">
        <f>'体验表-带进度条'!E346</f>
        <v>0</v>
      </c>
      <c r="C346" s="14" t="str">
        <f>'体验表-带进度条'!F346</f>
        <v/>
      </c>
      <c r="D346" s="14">
        <f>'体验表-带进度条'!G346</f>
        <v>0</v>
      </c>
      <c r="E346" s="16">
        <f>'体验表-带进度条'!H346</f>
        <v>0</v>
      </c>
      <c r="F346" s="17">
        <f>'体验表-带进度条'!I346</f>
        <v>0</v>
      </c>
      <c r="G346" s="14">
        <f>'体验表-带进度条'!J346</f>
        <v>0</v>
      </c>
      <c r="H346" s="19" t="str">
        <f>'体验表-带进度条'!K346</f>
        <v>金币</v>
      </c>
      <c r="I346" s="38">
        <f>'体验表-带进度条'!L346</f>
        <v>1</v>
      </c>
      <c r="J346" s="21">
        <f>'体验表-带进度条'!M346</f>
        <v>5000</v>
      </c>
      <c r="K346" s="14">
        <f>'体验表-带进度条'!N346</f>
        <v>0</v>
      </c>
      <c r="L346" s="22">
        <f>'体验表-带进度条'!O346</f>
        <v>0</v>
      </c>
      <c r="M346" s="30">
        <f>'体验表-带进度条'!X346</f>
        <v>0</v>
      </c>
      <c r="N346" s="23">
        <f>'体验表-带进度条'!AA346</f>
        <v>0</v>
      </c>
      <c r="O346" s="72">
        <f>'体验表-带进度条'!AB346</f>
        <v>0</v>
      </c>
    </row>
    <row r="347" spans="1:15">
      <c r="A347" s="13">
        <f>'体验表-带进度条'!B347</f>
        <v>2</v>
      </c>
      <c r="B347" s="14">
        <f>'体验表-带进度条'!E347</f>
        <v>5.99</v>
      </c>
      <c r="C347" s="14">
        <f>'体验表-带进度条'!F347</f>
        <v>119</v>
      </c>
      <c r="D347" s="14">
        <f>'体验表-带进度条'!G347</f>
        <v>7140000</v>
      </c>
      <c r="E347" s="16">
        <f>'体验表-带进度条'!H347</f>
        <v>7140000</v>
      </c>
      <c r="F347" s="17">
        <f>'体验表-带进度条'!I347</f>
        <v>5.99</v>
      </c>
      <c r="G347" s="14">
        <f>'体验表-带进度条'!J347</f>
        <v>0</v>
      </c>
      <c r="H347" s="19" t="str">
        <f>'体验表-带进度条'!K347</f>
        <v>金币</v>
      </c>
      <c r="I347" s="38">
        <f>'体验表-带进度条'!L347</f>
        <v>9</v>
      </c>
      <c r="J347" s="21">
        <f>'体验表-带进度条'!M347</f>
        <v>7140000</v>
      </c>
      <c r="K347" s="14">
        <f>'体验表-带进度条'!N347</f>
        <v>9148050</v>
      </c>
      <c r="L347" s="22">
        <f>'体验表-带进度条'!O347</f>
        <v>9.14805</v>
      </c>
      <c r="M347" s="30">
        <f>'体验表-带进度条'!X347</f>
        <v>9148050</v>
      </c>
      <c r="N347" s="23">
        <f>'体验表-带进度条'!AA347</f>
        <v>9.14805</v>
      </c>
      <c r="O347" s="72">
        <f>'体验表-带进度条'!AB347</f>
        <v>1.28123949579832</v>
      </c>
    </row>
    <row r="348" spans="1:15">
      <c r="A348" s="13">
        <f>'体验表-带进度条'!B348</f>
        <v>3</v>
      </c>
      <c r="B348" s="14">
        <f>'体验表-带进度条'!E348</f>
        <v>0</v>
      </c>
      <c r="C348" s="14" t="str">
        <f>'体验表-带进度条'!F348</f>
        <v/>
      </c>
      <c r="D348" s="14">
        <f>'体验表-带进度条'!G348</f>
        <v>0</v>
      </c>
      <c r="E348" s="16">
        <f>'体验表-带进度条'!H348</f>
        <v>0</v>
      </c>
      <c r="F348" s="17">
        <f>'体验表-带进度条'!I348</f>
        <v>0</v>
      </c>
      <c r="G348" s="14">
        <f>'体验表-带进度条'!J348</f>
        <v>0</v>
      </c>
      <c r="H348" s="19" t="str">
        <f>'体验表-带进度条'!K348</f>
        <v>记牌器1个</v>
      </c>
      <c r="I348" s="38">
        <f>'体验表-带进度条'!L348</f>
        <v>3</v>
      </c>
      <c r="J348" s="21">
        <f>'体验表-带进度条'!M348</f>
        <v>1</v>
      </c>
      <c r="K348" s="14">
        <f>'体验表-带进度条'!N348</f>
        <v>0</v>
      </c>
      <c r="L348" s="22">
        <f>'体验表-带进度条'!O348</f>
        <v>0</v>
      </c>
      <c r="M348" s="30">
        <f>'体验表-带进度条'!X348</f>
        <v>0</v>
      </c>
      <c r="N348" s="23">
        <f>'体验表-带进度条'!AA348</f>
        <v>0</v>
      </c>
      <c r="O348" s="72">
        <f>'体验表-带进度条'!AB348</f>
        <v>0</v>
      </c>
    </row>
    <row r="349" spans="1:15">
      <c r="A349" s="13">
        <f>'体验表-带进度条'!B349</f>
        <v>4</v>
      </c>
      <c r="B349" s="14">
        <f>'体验表-带进度条'!E349</f>
        <v>0</v>
      </c>
      <c r="C349" s="14" t="str">
        <f>'体验表-带进度条'!F349</f>
        <v/>
      </c>
      <c r="D349" s="14">
        <f>'体验表-带进度条'!G349</f>
        <v>0</v>
      </c>
      <c r="E349" s="16">
        <f>'体验表-带进度条'!H349</f>
        <v>0</v>
      </c>
      <c r="F349" s="17">
        <f>'体验表-带进度条'!I349</f>
        <v>0</v>
      </c>
      <c r="G349" s="14">
        <f>'体验表-带进度条'!J349</f>
        <v>0.1</v>
      </c>
      <c r="H349" s="19" t="str">
        <f>'体验表-带进度条'!K349</f>
        <v>金币</v>
      </c>
      <c r="I349" s="38">
        <f>'体验表-带进度条'!L349</f>
        <v>17</v>
      </c>
      <c r="J349" s="21">
        <f>'体验表-带进度条'!M349</f>
        <v>2008050</v>
      </c>
      <c r="K349" s="14">
        <f>'体验表-带进度条'!N349</f>
        <v>0</v>
      </c>
      <c r="L349" s="22">
        <f>'体验表-带进度条'!O349</f>
        <v>0</v>
      </c>
      <c r="M349" s="30">
        <f>'体验表-带进度条'!X349</f>
        <v>0</v>
      </c>
      <c r="N349" s="23">
        <f>'体验表-带进度条'!AA349</f>
        <v>0</v>
      </c>
      <c r="O349" s="72">
        <f>'体验表-带进度条'!AB349</f>
        <v>0</v>
      </c>
    </row>
    <row r="350" spans="1:15">
      <c r="A350" s="13">
        <f>'体验表-带进度条'!B350</f>
        <v>5</v>
      </c>
      <c r="B350" s="14">
        <f>'体验表-带进度条'!E350</f>
        <v>0</v>
      </c>
      <c r="C350" s="14" t="str">
        <f>'体验表-带进度条'!F350</f>
        <v/>
      </c>
      <c r="D350" s="14">
        <f>'体验表-带进度条'!G350</f>
        <v>0</v>
      </c>
      <c r="E350" s="16">
        <f>'体验表-带进度条'!H350</f>
        <v>0</v>
      </c>
      <c r="F350" s="17">
        <f>'体验表-带进度条'!I350</f>
        <v>0</v>
      </c>
      <c r="G350" s="14">
        <f>'体验表-带进度条'!J350</f>
        <v>0</v>
      </c>
      <c r="H350" s="19" t="str">
        <f>'体验表-带进度条'!K350</f>
        <v>卡包2星</v>
      </c>
      <c r="I350" s="38">
        <f>'体验表-带进度条'!L350</f>
        <v>4</v>
      </c>
      <c r="J350" s="21">
        <f>'体验表-带进度条'!M350</f>
        <v>1</v>
      </c>
      <c r="K350" s="14">
        <f>'体验表-带进度条'!N350</f>
        <v>0</v>
      </c>
      <c r="L350" s="22">
        <f>'体验表-带进度条'!O350</f>
        <v>0</v>
      </c>
      <c r="M350" s="30">
        <f>'体验表-带进度条'!X350</f>
        <v>0</v>
      </c>
      <c r="N350" s="23">
        <f>'体验表-带进度条'!AA350</f>
        <v>0</v>
      </c>
      <c r="O350" s="72">
        <f>'体验表-带进度条'!AB350</f>
        <v>0</v>
      </c>
    </row>
    <row r="351" spans="1:15">
      <c r="A351" s="13">
        <f>'体验表-带进度条'!B351</f>
        <v>6</v>
      </c>
      <c r="B351" s="14">
        <f>'体验表-带进度条'!E351</f>
        <v>0</v>
      </c>
      <c r="C351" s="14" t="str">
        <f>'体验表-带进度条'!F351</f>
        <v/>
      </c>
      <c r="D351" s="14">
        <f>'体验表-带进度条'!G351</f>
        <v>0</v>
      </c>
      <c r="E351" s="16">
        <f>'体验表-带进度条'!H351</f>
        <v>0</v>
      </c>
      <c r="F351" s="17">
        <f>'体验表-带进度条'!I351</f>
        <v>0</v>
      </c>
      <c r="G351" s="14">
        <f>'体验表-带进度条'!J351</f>
        <v>0</v>
      </c>
      <c r="H351" s="19" t="str">
        <f>'体验表-带进度条'!K351</f>
        <v>老虎机抽奖券</v>
      </c>
      <c r="I351" s="38">
        <f>'体验表-带进度条'!L351</f>
        <v>3</v>
      </c>
      <c r="J351" s="21">
        <f>'体验表-带进度条'!M351</f>
        <v>5</v>
      </c>
      <c r="K351" s="14">
        <f>'体验表-带进度条'!N351</f>
        <v>0</v>
      </c>
      <c r="L351" s="22">
        <f>'体验表-带进度条'!O351</f>
        <v>0</v>
      </c>
      <c r="M351" s="30">
        <f>'体验表-带进度条'!X351</f>
        <v>0</v>
      </c>
      <c r="N351" s="23">
        <f>'体验表-带进度条'!AA351</f>
        <v>0</v>
      </c>
      <c r="O351" s="72">
        <f>'体验表-带进度条'!AB351</f>
        <v>0</v>
      </c>
    </row>
    <row r="352" spans="1:15">
      <c r="A352" s="13">
        <f>'体验表-带进度条'!B352</f>
        <v>7</v>
      </c>
      <c r="B352" s="14">
        <f>'体验表-带进度条'!E352</f>
        <v>0</v>
      </c>
      <c r="C352" s="14" t="str">
        <f>'体验表-带进度条'!F352</f>
        <v/>
      </c>
      <c r="D352" s="14">
        <f>'体验表-带进度条'!G352</f>
        <v>0</v>
      </c>
      <c r="E352" s="16">
        <f>'体验表-带进度条'!H352</f>
        <v>0</v>
      </c>
      <c r="F352" s="17">
        <f>'体验表-带进度条'!I352</f>
        <v>0</v>
      </c>
      <c r="G352" s="14">
        <f>'体验表-带进度条'!J352</f>
        <v>0</v>
      </c>
      <c r="H352" s="19" t="str">
        <f>'体验表-带进度条'!K352</f>
        <v>大奖赛复活券</v>
      </c>
      <c r="I352" s="38">
        <f>'体验表-带进度条'!L352</f>
        <v>3</v>
      </c>
      <c r="J352" s="21">
        <f>'体验表-带进度条'!M352</f>
        <v>1</v>
      </c>
      <c r="K352" s="14">
        <f>'体验表-带进度条'!N352</f>
        <v>0</v>
      </c>
      <c r="L352" s="22">
        <f>'体验表-带进度条'!O352</f>
        <v>0</v>
      </c>
      <c r="M352" s="30">
        <f>'体验表-带进度条'!X352</f>
        <v>0</v>
      </c>
      <c r="N352" s="23">
        <f>'体验表-带进度条'!AA352</f>
        <v>0</v>
      </c>
      <c r="O352" s="72">
        <f>'体验表-带进度条'!AB352</f>
        <v>0</v>
      </c>
    </row>
    <row r="353" spans="1:15">
      <c r="A353" s="13">
        <f>'体验表-带进度条'!B353</f>
        <v>8</v>
      </c>
      <c r="B353" s="14">
        <f>'体验表-带进度条'!E353</f>
        <v>7.99</v>
      </c>
      <c r="C353" s="14">
        <f>'体验表-带进度条'!F353</f>
        <v>129</v>
      </c>
      <c r="D353" s="14">
        <f>'体验表-带进度条'!G353</f>
        <v>10320000</v>
      </c>
      <c r="E353" s="16">
        <f>'体验表-带进度条'!H353</f>
        <v>17460000</v>
      </c>
      <c r="F353" s="17">
        <f>'体验表-带进度条'!I353</f>
        <v>13.98</v>
      </c>
      <c r="G353" s="14">
        <f>'体验表-带进度条'!J353</f>
        <v>0.12</v>
      </c>
      <c r="H353" s="19" t="str">
        <f>'体验表-带进度条'!K353</f>
        <v>金币</v>
      </c>
      <c r="I353" s="38">
        <f>'体验表-带进度条'!L353</f>
        <v>9</v>
      </c>
      <c r="J353" s="21">
        <f>'体验表-带进度条'!M353</f>
        <v>10320000</v>
      </c>
      <c r="K353" s="14">
        <f>'体验表-带进度条'!N353</f>
        <v>10721610</v>
      </c>
      <c r="L353" s="22">
        <f>'体验表-带进度条'!O353</f>
        <v>10.72161</v>
      </c>
      <c r="M353" s="30">
        <f>'体验表-带进度条'!X353</f>
        <v>20948400</v>
      </c>
      <c r="N353" s="23">
        <f>'体验表-带进度条'!AA353</f>
        <v>20.9484</v>
      </c>
      <c r="O353" s="72">
        <f>'体验表-带进度条'!AB353</f>
        <v>1.19979381443299</v>
      </c>
    </row>
    <row r="354" spans="1:15">
      <c r="A354" s="13">
        <f>'体验表-带进度条'!B354</f>
        <v>9</v>
      </c>
      <c r="B354" s="14">
        <f>'体验表-带进度条'!E354</f>
        <v>0</v>
      </c>
      <c r="C354" s="14" t="str">
        <f>'体验表-带进度条'!F354</f>
        <v/>
      </c>
      <c r="D354" s="14">
        <f>'体验表-带进度条'!G354</f>
        <v>0</v>
      </c>
      <c r="E354" s="16">
        <f>'体验表-带进度条'!H354</f>
        <v>0</v>
      </c>
      <c r="F354" s="17">
        <f>'体验表-带进度条'!I354</f>
        <v>0</v>
      </c>
      <c r="G354" s="14">
        <f>'体验表-带进度条'!J354</f>
        <v>0</v>
      </c>
      <c r="H354" s="19" t="str">
        <f>'体验表-带进度条'!K354</f>
        <v>记牌器1个</v>
      </c>
      <c r="I354" s="38">
        <f>'体验表-带进度条'!L354</f>
        <v>3</v>
      </c>
      <c r="J354" s="21">
        <f>'体验表-带进度条'!M354</f>
        <v>2</v>
      </c>
      <c r="K354" s="14">
        <f>'体验表-带进度条'!N354</f>
        <v>0</v>
      </c>
      <c r="L354" s="22">
        <f>'体验表-带进度条'!O354</f>
        <v>0</v>
      </c>
      <c r="M354" s="30">
        <f>'体验表-带进度条'!X354</f>
        <v>0</v>
      </c>
      <c r="N354" s="23">
        <f>'体验表-带进度条'!AA354</f>
        <v>0</v>
      </c>
      <c r="O354" s="72">
        <f>'体验表-带进度条'!AB354</f>
        <v>0</v>
      </c>
    </row>
    <row r="355" spans="1:15">
      <c r="A355" s="13">
        <f>'体验表-带进度条'!B355</f>
        <v>10</v>
      </c>
      <c r="B355" s="14">
        <f>'体验表-带进度条'!E355</f>
        <v>0</v>
      </c>
      <c r="C355" s="14" t="str">
        <f>'体验表-带进度条'!F355</f>
        <v/>
      </c>
      <c r="D355" s="14">
        <f>'体验表-带进度条'!G355</f>
        <v>0</v>
      </c>
      <c r="E355" s="16">
        <f>'体验表-带进度条'!H355</f>
        <v>0</v>
      </c>
      <c r="F355" s="17">
        <f>'体验表-带进度条'!I355</f>
        <v>0</v>
      </c>
      <c r="G355" s="14">
        <f>'体验表-带进度条'!J355</f>
        <v>0.02</v>
      </c>
      <c r="H355" s="19" t="str">
        <f>'体验表-带进度条'!K355</f>
        <v>金币</v>
      </c>
      <c r="I355" s="38">
        <f>'体验表-带进度条'!L355</f>
        <v>17</v>
      </c>
      <c r="J355" s="21">
        <f>'体验表-带进度条'!M355</f>
        <v>401610</v>
      </c>
      <c r="K355" s="14">
        <f>'体验表-带进度条'!N355</f>
        <v>0</v>
      </c>
      <c r="L355" s="22">
        <f>'体验表-带进度条'!O355</f>
        <v>0</v>
      </c>
      <c r="M355" s="30">
        <f>'体验表-带进度条'!X355</f>
        <v>0</v>
      </c>
      <c r="N355" s="23">
        <f>'体验表-带进度条'!AA355</f>
        <v>0</v>
      </c>
      <c r="O355" s="72">
        <f>'体验表-带进度条'!AB355</f>
        <v>0</v>
      </c>
    </row>
    <row r="356" spans="1:15">
      <c r="A356" s="13">
        <f>'体验表-带进度条'!B356</f>
        <v>11</v>
      </c>
      <c r="B356" s="14">
        <f>'体验表-带进度条'!E356</f>
        <v>0</v>
      </c>
      <c r="C356" s="14" t="str">
        <f>'体验表-带进度条'!F356</f>
        <v/>
      </c>
      <c r="D356" s="14">
        <f>'体验表-带进度条'!G356</f>
        <v>0</v>
      </c>
      <c r="E356" s="16">
        <f>'体验表-带进度条'!H356</f>
        <v>0</v>
      </c>
      <c r="F356" s="17">
        <f>'体验表-带进度条'!I356</f>
        <v>0</v>
      </c>
      <c r="G356" s="14">
        <f>'体验表-带进度条'!J356</f>
        <v>0</v>
      </c>
      <c r="H356" s="19" t="str">
        <f>'体验表-带进度条'!K356</f>
        <v>卡包3星</v>
      </c>
      <c r="I356" s="38">
        <f>'体验表-带进度条'!L356</f>
        <v>4</v>
      </c>
      <c r="J356" s="21">
        <f>'体验表-带进度条'!M356</f>
        <v>1</v>
      </c>
      <c r="K356" s="14">
        <f>'体验表-带进度条'!N356</f>
        <v>0</v>
      </c>
      <c r="L356" s="22">
        <f>'体验表-带进度条'!O356</f>
        <v>0</v>
      </c>
      <c r="M356" s="30">
        <f>'体验表-带进度条'!X356</f>
        <v>0</v>
      </c>
      <c r="N356" s="23">
        <f>'体验表-带进度条'!AA356</f>
        <v>0</v>
      </c>
      <c r="O356" s="72">
        <f>'体验表-带进度条'!AB356</f>
        <v>0</v>
      </c>
    </row>
    <row r="357" spans="1:15">
      <c r="A357" s="13">
        <f>'体验表-带进度条'!B357</f>
        <v>12</v>
      </c>
      <c r="B357" s="14">
        <f>'体验表-带进度条'!E357</f>
        <v>0</v>
      </c>
      <c r="C357" s="14" t="str">
        <f>'体验表-带进度条'!F357</f>
        <v/>
      </c>
      <c r="D357" s="14">
        <f>'体验表-带进度条'!G357</f>
        <v>0</v>
      </c>
      <c r="E357" s="16">
        <f>'体验表-带进度条'!H357</f>
        <v>0</v>
      </c>
      <c r="F357" s="17">
        <f>'体验表-带进度条'!I357</f>
        <v>0</v>
      </c>
      <c r="G357" s="14">
        <f>'体验表-带进度条'!J357</f>
        <v>0</v>
      </c>
      <c r="H357" s="19" t="str">
        <f>'体验表-带进度条'!K357</f>
        <v>老虎机抽奖券</v>
      </c>
      <c r="I357" s="38">
        <f>'体验表-带进度条'!L357</f>
        <v>3</v>
      </c>
      <c r="J357" s="21">
        <f>'体验表-带进度条'!M357</f>
        <v>10</v>
      </c>
      <c r="K357" s="14">
        <f>'体验表-带进度条'!N357</f>
        <v>0</v>
      </c>
      <c r="L357" s="22">
        <f>'体验表-带进度条'!O357</f>
        <v>0</v>
      </c>
      <c r="M357" s="30">
        <f>'体验表-带进度条'!X357</f>
        <v>0</v>
      </c>
      <c r="N357" s="23">
        <f>'体验表-带进度条'!AA357</f>
        <v>0</v>
      </c>
      <c r="O357" s="72">
        <f>'体验表-带进度条'!AB357</f>
        <v>0</v>
      </c>
    </row>
    <row r="358" spans="1:15">
      <c r="A358" s="13">
        <f>'体验表-带进度条'!B358</f>
        <v>13</v>
      </c>
      <c r="B358" s="14">
        <f>'体验表-带进度条'!E358</f>
        <v>0</v>
      </c>
      <c r="C358" s="14" t="str">
        <f>'体验表-带进度条'!F358</f>
        <v/>
      </c>
      <c r="D358" s="14">
        <f>'体验表-带进度条'!G358</f>
        <v>0</v>
      </c>
      <c r="E358" s="16">
        <f>'体验表-带进度条'!H358</f>
        <v>0</v>
      </c>
      <c r="F358" s="17">
        <f>'体验表-带进度条'!I358</f>
        <v>0</v>
      </c>
      <c r="G358" s="14">
        <f>'体验表-带进度条'!J358</f>
        <v>0</v>
      </c>
      <c r="H358" s="19" t="str">
        <f>'体验表-带进度条'!K358</f>
        <v>大奖赛报名券</v>
      </c>
      <c r="I358" s="38">
        <f>'体验表-带进度条'!L358</f>
        <v>3</v>
      </c>
      <c r="J358" s="21">
        <f>'体验表-带进度条'!M358</f>
        <v>1</v>
      </c>
      <c r="K358" s="14">
        <f>'体验表-带进度条'!N358</f>
        <v>0</v>
      </c>
      <c r="L358" s="22">
        <f>'体验表-带进度条'!O358</f>
        <v>0</v>
      </c>
      <c r="M358" s="30">
        <f>'体验表-带进度条'!X358</f>
        <v>0</v>
      </c>
      <c r="N358" s="23">
        <f>'体验表-带进度条'!AA358</f>
        <v>0</v>
      </c>
      <c r="O358" s="72">
        <f>'体验表-带进度条'!AB358</f>
        <v>0</v>
      </c>
    </row>
    <row r="359" spans="1:15">
      <c r="A359" s="13">
        <f>'体验表-带进度条'!B359</f>
        <v>14</v>
      </c>
      <c r="B359" s="14">
        <f>'体验表-带进度条'!E359</f>
        <v>9.99</v>
      </c>
      <c r="C359" s="14">
        <f>'体验表-带进度条'!F359</f>
        <v>139</v>
      </c>
      <c r="D359" s="14">
        <f>'体验表-带进度条'!G359</f>
        <v>13900000</v>
      </c>
      <c r="E359" s="16">
        <f>'体验表-带进度条'!H359</f>
        <v>31360000</v>
      </c>
      <c r="F359" s="17">
        <f>'体验表-带进度条'!I359</f>
        <v>23.97</v>
      </c>
      <c r="G359" s="14">
        <f>'体验表-带进度条'!J359</f>
        <v>0</v>
      </c>
      <c r="H359" s="19" t="str">
        <f>'体验表-带进度条'!K359</f>
        <v>金币</v>
      </c>
      <c r="I359" s="38">
        <f>'体验表-带进度条'!L359</f>
        <v>9</v>
      </c>
      <c r="J359" s="21">
        <f>'体验表-带进度条'!M359</f>
        <v>13900000</v>
      </c>
      <c r="K359" s="14">
        <f>'体验表-带进度条'!N359</f>
        <v>15908050</v>
      </c>
      <c r="L359" s="22">
        <f>'体验表-带进度条'!O359</f>
        <v>15.90805</v>
      </c>
      <c r="M359" s="30">
        <f>'体验表-带进度条'!X359</f>
        <v>36856450</v>
      </c>
      <c r="N359" s="23">
        <f>'体验表-带进度条'!AA359</f>
        <v>36.85645</v>
      </c>
      <c r="O359" s="72">
        <f>'体验表-带进度条'!AB359</f>
        <v>1.17526945153061</v>
      </c>
    </row>
    <row r="360" spans="1:15">
      <c r="A360" s="13">
        <f>'体验表-带进度条'!B360</f>
        <v>15</v>
      </c>
      <c r="B360" s="14">
        <f>'体验表-带进度条'!E360</f>
        <v>0</v>
      </c>
      <c r="C360" s="14" t="str">
        <f>'体验表-带进度条'!F360</f>
        <v/>
      </c>
      <c r="D360" s="14">
        <f>'体验表-带进度条'!G360</f>
        <v>0</v>
      </c>
      <c r="E360" s="16">
        <f>'体验表-带进度条'!H360</f>
        <v>0</v>
      </c>
      <c r="F360" s="17">
        <f>'体验表-带进度条'!I360</f>
        <v>0</v>
      </c>
      <c r="G360" s="14">
        <f>'体验表-带进度条'!J360</f>
        <v>0</v>
      </c>
      <c r="H360" s="19" t="str">
        <f>'体验表-带进度条'!K360</f>
        <v>记牌器1个</v>
      </c>
      <c r="I360" s="38">
        <f>'体验表-带进度条'!L360</f>
        <v>3</v>
      </c>
      <c r="J360" s="21">
        <f>'体验表-带进度条'!M360</f>
        <v>3</v>
      </c>
      <c r="K360" s="14">
        <f>'体验表-带进度条'!N360</f>
        <v>0</v>
      </c>
      <c r="L360" s="22">
        <f>'体验表-带进度条'!O360</f>
        <v>0</v>
      </c>
      <c r="M360" s="30">
        <f>'体验表-带进度条'!X360</f>
        <v>0</v>
      </c>
      <c r="N360" s="23">
        <f>'体验表-带进度条'!AA360</f>
        <v>0</v>
      </c>
      <c r="O360" s="72">
        <f>'体验表-带进度条'!AB360</f>
        <v>0</v>
      </c>
    </row>
    <row r="361" spans="1:15">
      <c r="A361" s="13">
        <f>'体验表-带进度条'!B361</f>
        <v>16</v>
      </c>
      <c r="B361" s="14">
        <f>'体验表-带进度条'!E361</f>
        <v>0</v>
      </c>
      <c r="C361" s="14" t="str">
        <f>'体验表-带进度条'!F361</f>
        <v/>
      </c>
      <c r="D361" s="14">
        <f>'体验表-带进度条'!G361</f>
        <v>0</v>
      </c>
      <c r="E361" s="16">
        <f>'体验表-带进度条'!H361</f>
        <v>0</v>
      </c>
      <c r="F361" s="17">
        <f>'体验表-带进度条'!I361</f>
        <v>0</v>
      </c>
      <c r="G361" s="14">
        <f>'体验表-带进度条'!J361</f>
        <v>0.1</v>
      </c>
      <c r="H361" s="19" t="str">
        <f>'体验表-带进度条'!K361</f>
        <v>金币</v>
      </c>
      <c r="I361" s="38">
        <f>'体验表-带进度条'!L361</f>
        <v>17</v>
      </c>
      <c r="J361" s="21">
        <f>'体验表-带进度条'!M361</f>
        <v>2008050</v>
      </c>
      <c r="K361" s="14">
        <f>'体验表-带进度条'!N361</f>
        <v>0</v>
      </c>
      <c r="L361" s="22">
        <f>'体验表-带进度条'!O361</f>
        <v>0</v>
      </c>
      <c r="M361" s="30">
        <f>'体验表-带进度条'!X361</f>
        <v>0</v>
      </c>
      <c r="N361" s="23">
        <f>'体验表-带进度条'!AA361</f>
        <v>0</v>
      </c>
      <c r="O361" s="72">
        <f>'体验表-带进度条'!AB361</f>
        <v>0</v>
      </c>
    </row>
    <row r="362" spans="1:15">
      <c r="A362" s="13">
        <f>'体验表-带进度条'!B362</f>
        <v>17</v>
      </c>
      <c r="B362" s="14">
        <f>'体验表-带进度条'!E362</f>
        <v>0</v>
      </c>
      <c r="C362" s="14" t="str">
        <f>'体验表-带进度条'!F362</f>
        <v/>
      </c>
      <c r="D362" s="14">
        <f>'体验表-带进度条'!G362</f>
        <v>0</v>
      </c>
      <c r="E362" s="16">
        <f>'体验表-带进度条'!H362</f>
        <v>0</v>
      </c>
      <c r="F362" s="17">
        <f>'体验表-带进度条'!I362</f>
        <v>0</v>
      </c>
      <c r="G362" s="14">
        <f>'体验表-带进度条'!J362</f>
        <v>0</v>
      </c>
      <c r="H362" s="19" t="str">
        <f>'体验表-带进度条'!K362</f>
        <v>卡包4星</v>
      </c>
      <c r="I362" s="38">
        <f>'体验表-带进度条'!L362</f>
        <v>4</v>
      </c>
      <c r="J362" s="21">
        <f>'体验表-带进度条'!M362</f>
        <v>1</v>
      </c>
      <c r="K362" s="14">
        <f>'体验表-带进度条'!N362</f>
        <v>0</v>
      </c>
      <c r="L362" s="22">
        <f>'体验表-带进度条'!O362</f>
        <v>0</v>
      </c>
      <c r="M362" s="30">
        <f>'体验表-带进度条'!X362</f>
        <v>0</v>
      </c>
      <c r="N362" s="23">
        <f>'体验表-带进度条'!AA362</f>
        <v>0</v>
      </c>
      <c r="O362" s="72">
        <f>'体验表-带进度条'!AB362</f>
        <v>0</v>
      </c>
    </row>
    <row r="363" spans="1:15">
      <c r="A363" s="13">
        <f>'体验表-带进度条'!B363</f>
        <v>18</v>
      </c>
      <c r="B363" s="14">
        <f>'体验表-带进度条'!E363</f>
        <v>0</v>
      </c>
      <c r="C363" s="14" t="str">
        <f>'体验表-带进度条'!F363</f>
        <v/>
      </c>
      <c r="D363" s="14">
        <f>'体验表-带进度条'!G363</f>
        <v>0</v>
      </c>
      <c r="E363" s="16">
        <f>'体验表-带进度条'!H363</f>
        <v>0</v>
      </c>
      <c r="F363" s="17">
        <f>'体验表-带进度条'!I363</f>
        <v>0</v>
      </c>
      <c r="G363" s="14">
        <f>'体验表-带进度条'!J363</f>
        <v>0</v>
      </c>
      <c r="H363" s="19" t="str">
        <f>'体验表-带进度条'!K363</f>
        <v>老虎机抽奖券</v>
      </c>
      <c r="I363" s="38">
        <f>'体验表-带进度条'!L363</f>
        <v>3</v>
      </c>
      <c r="J363" s="21">
        <f>'体验表-带进度条'!M363</f>
        <v>15</v>
      </c>
      <c r="K363" s="14">
        <f>'体验表-带进度条'!N363</f>
        <v>0</v>
      </c>
      <c r="L363" s="22">
        <f>'体验表-带进度条'!O363</f>
        <v>0</v>
      </c>
      <c r="M363" s="30">
        <f>'体验表-带进度条'!X363</f>
        <v>0</v>
      </c>
      <c r="N363" s="23">
        <f>'体验表-带进度条'!AA363</f>
        <v>0</v>
      </c>
      <c r="O363" s="72">
        <f>'体验表-带进度条'!AB363</f>
        <v>0</v>
      </c>
    </row>
    <row r="364" spans="1:15">
      <c r="A364" s="13">
        <f>'体验表-带进度条'!B364</f>
        <v>19</v>
      </c>
      <c r="B364" s="14">
        <f>'体验表-带进度条'!E364</f>
        <v>0</v>
      </c>
      <c r="C364" s="14" t="str">
        <f>'体验表-带进度条'!F364</f>
        <v/>
      </c>
      <c r="D364" s="14">
        <f>'体验表-带进度条'!G364</f>
        <v>0</v>
      </c>
      <c r="E364" s="16">
        <f>'体验表-带进度条'!H364</f>
        <v>0</v>
      </c>
      <c r="F364" s="17">
        <f>'体验表-带进度条'!I364</f>
        <v>0</v>
      </c>
      <c r="G364" s="14">
        <f>'体验表-带进度条'!J364</f>
        <v>0</v>
      </c>
      <c r="H364" s="19" t="str">
        <f>'体验表-带进度条'!K364</f>
        <v>大奖赛复活券</v>
      </c>
      <c r="I364" s="38">
        <f>'体验表-带进度条'!L364</f>
        <v>3</v>
      </c>
      <c r="J364" s="21">
        <f>'体验表-带进度条'!M364</f>
        <v>1</v>
      </c>
      <c r="K364" s="14">
        <f>'体验表-带进度条'!N364</f>
        <v>0</v>
      </c>
      <c r="L364" s="22">
        <f>'体验表-带进度条'!O364</f>
        <v>0</v>
      </c>
      <c r="M364" s="30">
        <f>'体验表-带进度条'!X364</f>
        <v>0</v>
      </c>
      <c r="N364" s="23">
        <f>'体验表-带进度条'!AA364</f>
        <v>0</v>
      </c>
      <c r="O364" s="72">
        <f>'体验表-带进度条'!AB364</f>
        <v>0</v>
      </c>
    </row>
    <row r="365" spans="1:15">
      <c r="A365" s="13">
        <f>'体验表-带进度条'!B365</f>
        <v>20</v>
      </c>
      <c r="B365" s="14">
        <f>'体验表-带进度条'!E365</f>
        <v>12.99</v>
      </c>
      <c r="C365" s="14">
        <f>'体验表-带进度条'!F365</f>
        <v>149</v>
      </c>
      <c r="D365" s="14">
        <f>'体验表-带进度条'!G365</f>
        <v>19370000</v>
      </c>
      <c r="E365" s="16">
        <f>'体验表-带进度条'!H365</f>
        <v>50730000</v>
      </c>
      <c r="F365" s="17">
        <f>'体验表-带进度条'!I365</f>
        <v>36.96</v>
      </c>
      <c r="G365" s="14">
        <f>'体验表-带进度条'!J365</f>
        <v>0.24</v>
      </c>
      <c r="H365" s="19" t="str">
        <f>'体验表-带进度条'!K365</f>
        <v>金币</v>
      </c>
      <c r="I365" s="38">
        <f>'体验表-带进度条'!L365</f>
        <v>9</v>
      </c>
      <c r="J365" s="21">
        <f>'体验表-带进度条'!M365</f>
        <v>19370000</v>
      </c>
      <c r="K365" s="14">
        <f>'体验表-带进度条'!N365</f>
        <v>20976440</v>
      </c>
      <c r="L365" s="22">
        <f>'体验表-带进度条'!O365</f>
        <v>20.97644</v>
      </c>
      <c r="M365" s="30">
        <f>'体验表-带进度条'!X365</f>
        <v>59990370</v>
      </c>
      <c r="N365" s="23">
        <f>'体验表-带进度条'!AA365</f>
        <v>59.99037</v>
      </c>
      <c r="O365" s="72">
        <f>'体验表-带进度条'!AB365</f>
        <v>1.18254228267297</v>
      </c>
    </row>
    <row r="366" spans="1:15">
      <c r="A366" s="13">
        <f>'体验表-带进度条'!B366</f>
        <v>21</v>
      </c>
      <c r="B366" s="14">
        <f>'体验表-带进度条'!E366</f>
        <v>0</v>
      </c>
      <c r="C366" s="14" t="str">
        <f>'体验表-带进度条'!F366</f>
        <v/>
      </c>
      <c r="D366" s="14">
        <f>'体验表-带进度条'!G366</f>
        <v>0</v>
      </c>
      <c r="E366" s="16">
        <f>'体验表-带进度条'!H366</f>
        <v>0</v>
      </c>
      <c r="F366" s="17">
        <f>'体验表-带进度条'!I366</f>
        <v>0</v>
      </c>
      <c r="G366" s="14">
        <f>'体验表-带进度条'!J366</f>
        <v>0</v>
      </c>
      <c r="H366" s="19" t="str">
        <f>'体验表-带进度条'!K366</f>
        <v>记牌器1个</v>
      </c>
      <c r="I366" s="38">
        <f>'体验表-带进度条'!L366</f>
        <v>3</v>
      </c>
      <c r="J366" s="21">
        <f>'体验表-带进度条'!M366</f>
        <v>4</v>
      </c>
      <c r="K366" s="14">
        <f>'体验表-带进度条'!N366</f>
        <v>0</v>
      </c>
      <c r="L366" s="22">
        <f>'体验表-带进度条'!O366</f>
        <v>0</v>
      </c>
      <c r="M366" s="30">
        <f>'体验表-带进度条'!X366</f>
        <v>0</v>
      </c>
      <c r="N366" s="23">
        <f>'体验表-带进度条'!AA366</f>
        <v>0</v>
      </c>
      <c r="O366" s="72">
        <f>'体验表-带进度条'!AB366</f>
        <v>0</v>
      </c>
    </row>
    <row r="367" spans="1:15">
      <c r="A367" s="13">
        <f>'体验表-带进度条'!B367</f>
        <v>22</v>
      </c>
      <c r="B367" s="14">
        <f>'体验表-带进度条'!E367</f>
        <v>0</v>
      </c>
      <c r="C367" s="14" t="str">
        <f>'体验表-带进度条'!F367</f>
        <v/>
      </c>
      <c r="D367" s="14">
        <f>'体验表-带进度条'!G367</f>
        <v>0</v>
      </c>
      <c r="E367" s="16">
        <f>'体验表-带进度条'!H367</f>
        <v>0</v>
      </c>
      <c r="F367" s="17">
        <f>'体验表-带进度条'!I367</f>
        <v>0</v>
      </c>
      <c r="G367" s="14">
        <f>'体验表-带进度条'!J367</f>
        <v>0.08</v>
      </c>
      <c r="H367" s="19" t="str">
        <f>'体验表-带进度条'!K367</f>
        <v>金币</v>
      </c>
      <c r="I367" s="38">
        <f>'体验表-带进度条'!L367</f>
        <v>17</v>
      </c>
      <c r="J367" s="21">
        <f>'体验表-带进度条'!M367</f>
        <v>1606440</v>
      </c>
      <c r="K367" s="14">
        <f>'体验表-带进度条'!N367</f>
        <v>0</v>
      </c>
      <c r="L367" s="22">
        <f>'体验表-带进度条'!O367</f>
        <v>0</v>
      </c>
      <c r="M367" s="30">
        <f>'体验表-带进度条'!X367</f>
        <v>0</v>
      </c>
      <c r="N367" s="23">
        <f>'体验表-带进度条'!AA367</f>
        <v>0</v>
      </c>
      <c r="O367" s="72">
        <f>'体验表-带进度条'!AB367</f>
        <v>0</v>
      </c>
    </row>
    <row r="368" spans="1:15">
      <c r="A368" s="13">
        <f>'体验表-带进度条'!B368</f>
        <v>23</v>
      </c>
      <c r="B368" s="14">
        <f>'体验表-带进度条'!E368</f>
        <v>0</v>
      </c>
      <c r="C368" s="14" t="str">
        <f>'体验表-带进度条'!F368</f>
        <v/>
      </c>
      <c r="D368" s="14">
        <f>'体验表-带进度条'!G368</f>
        <v>0</v>
      </c>
      <c r="E368" s="16">
        <f>'体验表-带进度条'!H368</f>
        <v>0</v>
      </c>
      <c r="F368" s="17">
        <f>'体验表-带进度条'!I368</f>
        <v>0</v>
      </c>
      <c r="G368" s="14">
        <f>'体验表-带进度条'!J368</f>
        <v>0</v>
      </c>
      <c r="H368" s="19" t="str">
        <f>'体验表-带进度条'!K368</f>
        <v>卡包4星</v>
      </c>
      <c r="I368" s="38">
        <f>'体验表-带进度条'!L368</f>
        <v>4</v>
      </c>
      <c r="J368" s="21">
        <f>'体验表-带进度条'!M368</f>
        <v>1</v>
      </c>
      <c r="K368" s="14">
        <f>'体验表-带进度条'!N368</f>
        <v>0</v>
      </c>
      <c r="L368" s="22">
        <f>'体验表-带进度条'!O368</f>
        <v>0</v>
      </c>
      <c r="M368" s="30">
        <f>'体验表-带进度条'!X368</f>
        <v>0</v>
      </c>
      <c r="N368" s="23">
        <f>'体验表-带进度条'!AA368</f>
        <v>0</v>
      </c>
      <c r="O368" s="72">
        <f>'体验表-带进度条'!AB368</f>
        <v>0</v>
      </c>
    </row>
    <row r="369" spans="1:15">
      <c r="A369" s="13">
        <f>'体验表-带进度条'!B369</f>
        <v>24</v>
      </c>
      <c r="B369" s="14">
        <f>'体验表-带进度条'!E369</f>
        <v>0</v>
      </c>
      <c r="C369" s="14" t="str">
        <f>'体验表-带进度条'!F369</f>
        <v/>
      </c>
      <c r="D369" s="14">
        <f>'体验表-带进度条'!G369</f>
        <v>0</v>
      </c>
      <c r="E369" s="16">
        <f>'体验表-带进度条'!H369</f>
        <v>0</v>
      </c>
      <c r="F369" s="17">
        <f>'体验表-带进度条'!I369</f>
        <v>0</v>
      </c>
      <c r="G369" s="14">
        <f>'体验表-带进度条'!J369</f>
        <v>0</v>
      </c>
      <c r="H369" s="19" t="str">
        <f>'体验表-带进度条'!K369</f>
        <v>老虎机抽奖券</v>
      </c>
      <c r="I369" s="38">
        <f>'体验表-带进度条'!L369</f>
        <v>3</v>
      </c>
      <c r="J369" s="21">
        <f>'体验表-带进度条'!M369</f>
        <v>20</v>
      </c>
      <c r="K369" s="14">
        <f>'体验表-带进度条'!N369</f>
        <v>0</v>
      </c>
      <c r="L369" s="22">
        <f>'体验表-带进度条'!O369</f>
        <v>0</v>
      </c>
      <c r="M369" s="30">
        <f>'体验表-带进度条'!X369</f>
        <v>0</v>
      </c>
      <c r="N369" s="23">
        <f>'体验表-带进度条'!AA369</f>
        <v>0</v>
      </c>
      <c r="O369" s="72">
        <f>'体验表-带进度条'!AB369</f>
        <v>0</v>
      </c>
    </row>
    <row r="370" spans="1:15">
      <c r="A370" s="13">
        <f>'体验表-带进度条'!B370</f>
        <v>25</v>
      </c>
      <c r="B370" s="14">
        <f>'体验表-带进度条'!E370</f>
        <v>0</v>
      </c>
      <c r="C370" s="14" t="str">
        <f>'体验表-带进度条'!F370</f>
        <v/>
      </c>
      <c r="D370" s="14">
        <f>'体验表-带进度条'!G370</f>
        <v>0</v>
      </c>
      <c r="E370" s="16">
        <f>'体验表-带进度条'!H370</f>
        <v>0</v>
      </c>
      <c r="F370" s="17">
        <f>'体验表-带进度条'!I370</f>
        <v>0</v>
      </c>
      <c r="G370" s="14">
        <f>'体验表-带进度条'!J370</f>
        <v>0</v>
      </c>
      <c r="H370" s="19" t="str">
        <f>'体验表-带进度条'!K370</f>
        <v>大奖赛报名券</v>
      </c>
      <c r="I370" s="38">
        <f>'体验表-带进度条'!L370</f>
        <v>3</v>
      </c>
      <c r="J370" s="21">
        <f>'体验表-带进度条'!M370</f>
        <v>1</v>
      </c>
      <c r="K370" s="14">
        <f>'体验表-带进度条'!N370</f>
        <v>0</v>
      </c>
      <c r="L370" s="22">
        <f>'体验表-带进度条'!O370</f>
        <v>0</v>
      </c>
      <c r="M370" s="30">
        <f>'体验表-带进度条'!X370</f>
        <v>0</v>
      </c>
      <c r="N370" s="23">
        <f>'体验表-带进度条'!AA370</f>
        <v>0</v>
      </c>
      <c r="O370" s="72">
        <f>'体验表-带进度条'!AB370</f>
        <v>0</v>
      </c>
    </row>
    <row r="371" spans="1:15">
      <c r="A371" s="13">
        <f>'体验表-带进度条'!B371</f>
        <v>26</v>
      </c>
      <c r="B371" s="14">
        <f>'体验表-带进度条'!E371</f>
        <v>14.99</v>
      </c>
      <c r="C371" s="14">
        <f>'体验表-带进度条'!F371</f>
        <v>154</v>
      </c>
      <c r="D371" s="14">
        <f>'体验表-带进度条'!G371</f>
        <v>23100000</v>
      </c>
      <c r="E371" s="16">
        <f>'体验表-带进度条'!H371</f>
        <v>73830000</v>
      </c>
      <c r="F371" s="17">
        <f>'体验表-带进度条'!I371</f>
        <v>51.95</v>
      </c>
      <c r="G371" s="14">
        <f>'体验表-带进度条'!J371</f>
        <v>0</v>
      </c>
      <c r="H371" s="19" t="str">
        <f>'体验表-带进度条'!K371</f>
        <v>金币</v>
      </c>
      <c r="I371" s="38">
        <f>'体验表-带进度条'!L371</f>
        <v>9</v>
      </c>
      <c r="J371" s="21">
        <f>'体验表-带进度条'!M371</f>
        <v>23100000</v>
      </c>
      <c r="K371" s="14">
        <f>'体验表-带进度条'!N371</f>
        <v>24104025</v>
      </c>
      <c r="L371" s="22">
        <f>'体验表-带进度条'!O371</f>
        <v>24.104025</v>
      </c>
      <c r="M371" s="30">
        <f>'体验表-带进度条'!X371</f>
        <v>84094395</v>
      </c>
      <c r="N371" s="23">
        <f>'体验表-带进度条'!AA371</f>
        <v>84.094395</v>
      </c>
      <c r="O371" s="72">
        <f>'体验表-带进度条'!AB371</f>
        <v>1.13902742787485</v>
      </c>
    </row>
    <row r="372" spans="1:15">
      <c r="A372" s="13">
        <f>'体验表-带进度条'!B372</f>
        <v>27</v>
      </c>
      <c r="B372" s="14">
        <f>'体验表-带进度条'!E372</f>
        <v>0</v>
      </c>
      <c r="C372" s="14" t="str">
        <f>'体验表-带进度条'!F372</f>
        <v/>
      </c>
      <c r="D372" s="14">
        <f>'体验表-带进度条'!G372</f>
        <v>0</v>
      </c>
      <c r="E372" s="16">
        <f>'体验表-带进度条'!H372</f>
        <v>0</v>
      </c>
      <c r="F372" s="17">
        <f>'体验表-带进度条'!I372</f>
        <v>0</v>
      </c>
      <c r="G372" s="14">
        <f>'体验表-带进度条'!J372</f>
        <v>0</v>
      </c>
      <c r="H372" s="19" t="str">
        <f>'体验表-带进度条'!K372</f>
        <v>记牌器1个</v>
      </c>
      <c r="I372" s="38">
        <f>'体验表-带进度条'!L372</f>
        <v>3</v>
      </c>
      <c r="J372" s="21">
        <f>'体验表-带进度条'!M372</f>
        <v>5</v>
      </c>
      <c r="K372" s="14">
        <f>'体验表-带进度条'!N372</f>
        <v>0</v>
      </c>
      <c r="L372" s="22">
        <f>'体验表-带进度条'!O372</f>
        <v>0</v>
      </c>
      <c r="M372" s="30">
        <f>'体验表-带进度条'!X372</f>
        <v>0</v>
      </c>
      <c r="N372" s="23">
        <f>'体验表-带进度条'!AA372</f>
        <v>0</v>
      </c>
      <c r="O372" s="72">
        <f>'体验表-带进度条'!AB372</f>
        <v>0</v>
      </c>
    </row>
    <row r="373" spans="1:15">
      <c r="A373" s="13">
        <f>'体验表-带进度条'!B373</f>
        <v>28</v>
      </c>
      <c r="B373" s="14">
        <f>'体验表-带进度条'!E373</f>
        <v>0</v>
      </c>
      <c r="C373" s="14" t="str">
        <f>'体验表-带进度条'!F373</f>
        <v/>
      </c>
      <c r="D373" s="14">
        <f>'体验表-带进度条'!G373</f>
        <v>0</v>
      </c>
      <c r="E373" s="16">
        <f>'体验表-带进度条'!H373</f>
        <v>0</v>
      </c>
      <c r="F373" s="17">
        <f>'体验表-带进度条'!I373</f>
        <v>0</v>
      </c>
      <c r="G373" s="14">
        <f>'体验表-带进度条'!J373</f>
        <v>0.05</v>
      </c>
      <c r="H373" s="19" t="str">
        <f>'体验表-带进度条'!K373</f>
        <v>金币</v>
      </c>
      <c r="I373" s="38">
        <f>'体验表-带进度条'!L373</f>
        <v>17</v>
      </c>
      <c r="J373" s="21">
        <f>'体验表-带进度条'!M373</f>
        <v>1004025</v>
      </c>
      <c r="K373" s="14">
        <f>'体验表-带进度条'!N373</f>
        <v>0</v>
      </c>
      <c r="L373" s="22">
        <f>'体验表-带进度条'!O373</f>
        <v>0</v>
      </c>
      <c r="M373" s="30">
        <f>'体验表-带进度条'!X373</f>
        <v>0</v>
      </c>
      <c r="N373" s="23">
        <f>'体验表-带进度条'!AA373</f>
        <v>0</v>
      </c>
      <c r="O373" s="72">
        <f>'体验表-带进度条'!AB373</f>
        <v>0</v>
      </c>
    </row>
    <row r="374" spans="1:15">
      <c r="A374" s="13">
        <f>'体验表-带进度条'!B374</f>
        <v>29</v>
      </c>
      <c r="B374" s="14">
        <f>'体验表-带进度条'!E374</f>
        <v>0</v>
      </c>
      <c r="C374" s="14" t="str">
        <f>'体验表-带进度条'!F374</f>
        <v/>
      </c>
      <c r="D374" s="14">
        <f>'体验表-带进度条'!G374</f>
        <v>0</v>
      </c>
      <c r="E374" s="16">
        <f>'体验表-带进度条'!H374</f>
        <v>0</v>
      </c>
      <c r="F374" s="17">
        <f>'体验表-带进度条'!I374</f>
        <v>0</v>
      </c>
      <c r="G374" s="14">
        <f>'体验表-带进度条'!J374</f>
        <v>0</v>
      </c>
      <c r="H374" s="19" t="str">
        <f>'体验表-带进度条'!K374</f>
        <v>卡包5星</v>
      </c>
      <c r="I374" s="38">
        <f>'体验表-带进度条'!L374</f>
        <v>4</v>
      </c>
      <c r="J374" s="21">
        <f>'体验表-带进度条'!M374</f>
        <v>1</v>
      </c>
      <c r="K374" s="14">
        <f>'体验表-带进度条'!N374</f>
        <v>0</v>
      </c>
      <c r="L374" s="22">
        <f>'体验表-带进度条'!O374</f>
        <v>0</v>
      </c>
      <c r="M374" s="30">
        <f>'体验表-带进度条'!X374</f>
        <v>0</v>
      </c>
      <c r="N374" s="23">
        <f>'体验表-带进度条'!AA374</f>
        <v>0</v>
      </c>
      <c r="O374" s="72">
        <f>'体验表-带进度条'!AB374</f>
        <v>0</v>
      </c>
    </row>
    <row r="375" spans="1:15">
      <c r="A375" s="13">
        <f>'体验表-带进度条'!B375</f>
        <v>30</v>
      </c>
      <c r="B375" s="14">
        <f>'体验表-带进度条'!E375</f>
        <v>0</v>
      </c>
      <c r="C375" s="14" t="str">
        <f>'体验表-带进度条'!F375</f>
        <v/>
      </c>
      <c r="D375" s="14">
        <f>'体验表-带进度条'!G375</f>
        <v>0</v>
      </c>
      <c r="E375" s="16">
        <f>'体验表-带进度条'!H375</f>
        <v>0</v>
      </c>
      <c r="F375" s="17">
        <f>'体验表-带进度条'!I375</f>
        <v>0</v>
      </c>
      <c r="G375" s="14">
        <f>'体验表-带进度条'!J375</f>
        <v>0</v>
      </c>
      <c r="H375" s="19" t="str">
        <f>'体验表-带进度条'!K375</f>
        <v>老虎机抽奖券</v>
      </c>
      <c r="I375" s="38">
        <f>'体验表-带进度条'!L375</f>
        <v>3</v>
      </c>
      <c r="J375" s="21">
        <f>'体验表-带进度条'!M375</f>
        <v>25</v>
      </c>
      <c r="K375" s="14">
        <f>'体验表-带进度条'!N375</f>
        <v>0</v>
      </c>
      <c r="L375" s="22">
        <f>'体验表-带进度条'!O375</f>
        <v>0</v>
      </c>
      <c r="M375" s="30">
        <f>'体验表-带进度条'!X375</f>
        <v>0</v>
      </c>
      <c r="N375" s="23">
        <f>'体验表-带进度条'!AA375</f>
        <v>0</v>
      </c>
      <c r="O375" s="72">
        <f>'体验表-带进度条'!AB375</f>
        <v>0</v>
      </c>
    </row>
    <row r="376" spans="1:15">
      <c r="A376" s="13">
        <f>'体验表-带进度条'!B376</f>
        <v>31</v>
      </c>
      <c r="B376" s="14">
        <f>'体验表-带进度条'!E376</f>
        <v>0</v>
      </c>
      <c r="C376" s="14" t="str">
        <f>'体验表-带进度条'!F376</f>
        <v/>
      </c>
      <c r="D376" s="14">
        <f>'体验表-带进度条'!G376</f>
        <v>0</v>
      </c>
      <c r="E376" s="16">
        <f>'体验表-带进度条'!H376</f>
        <v>0</v>
      </c>
      <c r="F376" s="17">
        <f>'体验表-带进度条'!I376</f>
        <v>0</v>
      </c>
      <c r="G376" s="14">
        <f>'体验表-带进度条'!J376</f>
        <v>0</v>
      </c>
      <c r="H376" s="19" t="str">
        <f>'体验表-带进度条'!K376</f>
        <v>大奖赛复活券</v>
      </c>
      <c r="I376" s="38">
        <f>'体验表-带进度条'!L376</f>
        <v>3</v>
      </c>
      <c r="J376" s="21">
        <f>'体验表-带进度条'!M376</f>
        <v>1</v>
      </c>
      <c r="K376" s="14">
        <f>'体验表-带进度条'!N376</f>
        <v>0</v>
      </c>
      <c r="L376" s="22">
        <f>'体验表-带进度条'!O376</f>
        <v>0</v>
      </c>
      <c r="M376" s="30">
        <f>'体验表-带进度条'!X376</f>
        <v>0</v>
      </c>
      <c r="N376" s="23">
        <f>'体验表-带进度条'!AA376</f>
        <v>0</v>
      </c>
      <c r="O376" s="72">
        <f>'体验表-带进度条'!AB376</f>
        <v>0</v>
      </c>
    </row>
    <row r="377" spans="1:15">
      <c r="A377" s="13">
        <f>'体验表-带进度条'!B377</f>
        <v>32</v>
      </c>
      <c r="B377" s="14">
        <f>'体验表-带进度条'!E377</f>
        <v>17.99</v>
      </c>
      <c r="C377" s="14">
        <f>'体验表-带进度条'!F377</f>
        <v>158</v>
      </c>
      <c r="D377" s="14">
        <f>'体验表-带进度条'!G377</f>
        <v>28440000</v>
      </c>
      <c r="E377" s="16">
        <f>'体验表-带进度条'!H377</f>
        <v>102270000</v>
      </c>
      <c r="F377" s="17">
        <f>'体验表-带进度条'!I377</f>
        <v>69.94</v>
      </c>
      <c r="G377" s="14">
        <f>'体验表-带进度条'!J377</f>
        <v>0</v>
      </c>
      <c r="H377" s="19" t="str">
        <f>'体验表-带进度条'!K377</f>
        <v>金币</v>
      </c>
      <c r="I377" s="38">
        <f>'体验表-带进度条'!L377</f>
        <v>9</v>
      </c>
      <c r="J377" s="21">
        <f>'体验表-带进度条'!M377</f>
        <v>28440000</v>
      </c>
      <c r="K377" s="14">
        <f>'体验表-带进度条'!N377</f>
        <v>30849660</v>
      </c>
      <c r="L377" s="22">
        <f>'体验表-带进度条'!O377</f>
        <v>30.84966</v>
      </c>
      <c r="M377" s="30">
        <f>'体验表-带进度条'!X377</f>
        <v>114944055</v>
      </c>
      <c r="N377" s="23">
        <f>'体验表-带进度条'!AA377</f>
        <v>114.944055</v>
      </c>
      <c r="O377" s="72">
        <f>'体验表-带进度条'!AB377</f>
        <v>1.12392739806395</v>
      </c>
    </row>
    <row r="378" spans="1:15">
      <c r="A378" s="13">
        <f>'体验表-带进度条'!B378</f>
        <v>33</v>
      </c>
      <c r="B378" s="14">
        <f>'体验表-带进度条'!E378</f>
        <v>0</v>
      </c>
      <c r="C378" s="14" t="str">
        <f>'体验表-带进度条'!F378</f>
        <v/>
      </c>
      <c r="D378" s="14">
        <f>'体验表-带进度条'!G378</f>
        <v>0</v>
      </c>
      <c r="E378" s="16">
        <f>'体验表-带进度条'!H378</f>
        <v>0</v>
      </c>
      <c r="F378" s="17">
        <f>'体验表-带进度条'!I378</f>
        <v>0</v>
      </c>
      <c r="G378" s="14">
        <f>'体验表-带进度条'!J378</f>
        <v>0</v>
      </c>
      <c r="H378" s="19" t="str">
        <f>'体验表-带进度条'!K378</f>
        <v>记牌器1个</v>
      </c>
      <c r="I378" s="38">
        <f>'体验表-带进度条'!L378</f>
        <v>3</v>
      </c>
      <c r="J378" s="21">
        <f>'体验表-带进度条'!M378</f>
        <v>6</v>
      </c>
      <c r="K378" s="14">
        <f>'体验表-带进度条'!N378</f>
        <v>0</v>
      </c>
      <c r="L378" s="22">
        <f>'体验表-带进度条'!O378</f>
        <v>0</v>
      </c>
      <c r="M378" s="30">
        <f>'体验表-带进度条'!X378</f>
        <v>0</v>
      </c>
      <c r="N378" s="23">
        <f>'体验表-带进度条'!AA378</f>
        <v>0</v>
      </c>
      <c r="O378" s="72">
        <f>'体验表-带进度条'!AB378</f>
        <v>0</v>
      </c>
    </row>
    <row r="379" spans="1:15">
      <c r="A379" s="13">
        <f>'体验表-带进度条'!B379</f>
        <v>34</v>
      </c>
      <c r="B379" s="14">
        <f>'体验表-带进度条'!E379</f>
        <v>0</v>
      </c>
      <c r="C379" s="14" t="str">
        <f>'体验表-带进度条'!F379</f>
        <v/>
      </c>
      <c r="D379" s="14">
        <f>'体验表-带进度条'!G379</f>
        <v>0</v>
      </c>
      <c r="E379" s="16">
        <f>'体验表-带进度条'!H379</f>
        <v>0</v>
      </c>
      <c r="F379" s="17">
        <f>'体验表-带进度条'!I379</f>
        <v>0</v>
      </c>
      <c r="G379" s="14">
        <f>'体验表-带进度条'!J379</f>
        <v>0.12</v>
      </c>
      <c r="H379" s="19" t="str">
        <f>'体验表-带进度条'!K379</f>
        <v>金币</v>
      </c>
      <c r="I379" s="38">
        <f>'体验表-带进度条'!L379</f>
        <v>17</v>
      </c>
      <c r="J379" s="21">
        <f>'体验表-带进度条'!M379</f>
        <v>2409660</v>
      </c>
      <c r="K379" s="14">
        <f>'体验表-带进度条'!N379</f>
        <v>0</v>
      </c>
      <c r="L379" s="22">
        <f>'体验表-带进度条'!O379</f>
        <v>0</v>
      </c>
      <c r="M379" s="30">
        <f>'体验表-带进度条'!X379</f>
        <v>0</v>
      </c>
      <c r="N379" s="23">
        <f>'体验表-带进度条'!AA379</f>
        <v>0</v>
      </c>
      <c r="O379" s="72">
        <f>'体验表-带进度条'!AB379</f>
        <v>0</v>
      </c>
    </row>
    <row r="380" spans="1:15">
      <c r="A380" s="13">
        <f>'体验表-带进度条'!B380</f>
        <v>35</v>
      </c>
      <c r="B380" s="14">
        <f>'体验表-带进度条'!E380</f>
        <v>0</v>
      </c>
      <c r="C380" s="14" t="str">
        <f>'体验表-带进度条'!F380</f>
        <v/>
      </c>
      <c r="D380" s="14">
        <f>'体验表-带进度条'!G380</f>
        <v>0</v>
      </c>
      <c r="E380" s="16">
        <f>'体验表-带进度条'!H380</f>
        <v>0</v>
      </c>
      <c r="F380" s="17">
        <f>'体验表-带进度条'!I380</f>
        <v>0</v>
      </c>
      <c r="G380" s="14">
        <f>'体验表-带进度条'!J380</f>
        <v>0</v>
      </c>
      <c r="H380" s="19" t="str">
        <f>'体验表-带进度条'!K380</f>
        <v>卡包5星</v>
      </c>
      <c r="I380" s="38">
        <f>'体验表-带进度条'!L380</f>
        <v>4</v>
      </c>
      <c r="J380" s="21">
        <f>'体验表-带进度条'!M380</f>
        <v>1</v>
      </c>
      <c r="K380" s="14">
        <f>'体验表-带进度条'!N380</f>
        <v>0</v>
      </c>
      <c r="L380" s="22">
        <f>'体验表-带进度条'!O380</f>
        <v>0</v>
      </c>
      <c r="M380" s="30">
        <f>'体验表-带进度条'!X380</f>
        <v>0</v>
      </c>
      <c r="N380" s="23">
        <f>'体验表-带进度条'!AA380</f>
        <v>0</v>
      </c>
      <c r="O380" s="72">
        <f>'体验表-带进度条'!AB380</f>
        <v>0</v>
      </c>
    </row>
    <row r="381" spans="1:15">
      <c r="A381" s="13">
        <f>'体验表-带进度条'!B381</f>
        <v>36</v>
      </c>
      <c r="B381" s="14">
        <f>'体验表-带进度条'!E381</f>
        <v>0</v>
      </c>
      <c r="C381" s="14" t="str">
        <f>'体验表-带进度条'!F381</f>
        <v/>
      </c>
      <c r="D381" s="14">
        <f>'体验表-带进度条'!G381</f>
        <v>0</v>
      </c>
      <c r="E381" s="16">
        <f>'体验表-带进度条'!H381</f>
        <v>0</v>
      </c>
      <c r="F381" s="17">
        <f>'体验表-带进度条'!I381</f>
        <v>0</v>
      </c>
      <c r="G381" s="14">
        <f>'体验表-带进度条'!J381</f>
        <v>0</v>
      </c>
      <c r="H381" s="19" t="str">
        <f>'体验表-带进度条'!K381</f>
        <v>老虎机抽奖券</v>
      </c>
      <c r="I381" s="38">
        <f>'体验表-带进度条'!L381</f>
        <v>3</v>
      </c>
      <c r="J381" s="21">
        <f>'体验表-带进度条'!M381</f>
        <v>30</v>
      </c>
      <c r="K381" s="14">
        <f>'体验表-带进度条'!N381</f>
        <v>0</v>
      </c>
      <c r="L381" s="22">
        <f>'体验表-带进度条'!O381</f>
        <v>0</v>
      </c>
      <c r="M381" s="30">
        <f>'体验表-带进度条'!X381</f>
        <v>0</v>
      </c>
      <c r="N381" s="23">
        <f>'体验表-带进度条'!AA381</f>
        <v>0</v>
      </c>
      <c r="O381" s="72">
        <f>'体验表-带进度条'!AB381</f>
        <v>0</v>
      </c>
    </row>
    <row r="382" spans="1:15">
      <c r="A382" s="13">
        <f>'体验表-带进度条'!B382</f>
        <v>37</v>
      </c>
      <c r="B382" s="14">
        <f>'体验表-带进度条'!E382</f>
        <v>0</v>
      </c>
      <c r="C382" s="14" t="str">
        <f>'体验表-带进度条'!F382</f>
        <v/>
      </c>
      <c r="D382" s="14">
        <f>'体验表-带进度条'!G382</f>
        <v>0</v>
      </c>
      <c r="E382" s="16">
        <f>'体验表-带进度条'!H382</f>
        <v>0</v>
      </c>
      <c r="F382" s="17">
        <f>'体验表-带进度条'!I382</f>
        <v>0</v>
      </c>
      <c r="G382" s="14">
        <f>'体验表-带进度条'!J382</f>
        <v>0</v>
      </c>
      <c r="H382" s="19" t="str">
        <f>'体验表-带进度条'!K382</f>
        <v>大奖赛报名券</v>
      </c>
      <c r="I382" s="38">
        <f>'体验表-带进度条'!L382</f>
        <v>3</v>
      </c>
      <c r="J382" s="21">
        <f>'体验表-带进度条'!M382</f>
        <v>1</v>
      </c>
      <c r="K382" s="14">
        <f>'体验表-带进度条'!N382</f>
        <v>0</v>
      </c>
      <c r="L382" s="22">
        <f>'体验表-带进度条'!O382</f>
        <v>0</v>
      </c>
      <c r="M382" s="30">
        <f>'体验表-带进度条'!X382</f>
        <v>0</v>
      </c>
      <c r="N382" s="23">
        <f>'体验表-带进度条'!AA382</f>
        <v>0</v>
      </c>
      <c r="O382" s="72">
        <f>'体验表-带进度条'!AB382</f>
        <v>0</v>
      </c>
    </row>
    <row r="383" spans="1:15">
      <c r="A383" s="13">
        <f>'体验表-带进度条'!B383</f>
        <v>38</v>
      </c>
      <c r="B383" s="14">
        <f>'体验表-带进度条'!E383</f>
        <v>19.99</v>
      </c>
      <c r="C383" s="14">
        <f>'体验表-带进度条'!F383</f>
        <v>158</v>
      </c>
      <c r="D383" s="14">
        <f>'体验表-带进度条'!G383</f>
        <v>31600000</v>
      </c>
      <c r="E383" s="16">
        <f>'体验表-带进度条'!H383</f>
        <v>133870000</v>
      </c>
      <c r="F383" s="17">
        <f>'体验表-带进度条'!I383</f>
        <v>89.93</v>
      </c>
      <c r="G383" s="14">
        <f>'体验表-带进度条'!J383</f>
        <v>0.45</v>
      </c>
      <c r="H383" s="19" t="str">
        <f>'体验表-带进度条'!K383</f>
        <v>金币</v>
      </c>
      <c r="I383" s="38">
        <f>'体验表-带进度条'!L383</f>
        <v>9</v>
      </c>
      <c r="J383" s="21">
        <f>'体验表-带进度条'!M383</f>
        <v>31600000</v>
      </c>
      <c r="K383" s="14">
        <f>'体验表-带进度条'!N383</f>
        <v>34009660</v>
      </c>
      <c r="L383" s="22">
        <f>'体验表-带进度条'!O383</f>
        <v>34.00966</v>
      </c>
      <c r="M383" s="30">
        <f>'体验表-带进度条'!X383</f>
        <v>152998990</v>
      </c>
      <c r="N383" s="23">
        <f>'体验表-带进度条'!AA383</f>
        <v>152.99899</v>
      </c>
      <c r="O383" s="72">
        <f>'体验表-带进度条'!AB383</f>
        <v>1.14289228355868</v>
      </c>
    </row>
    <row r="384" spans="1:15">
      <c r="A384" s="13">
        <f>'体验表-带进度条'!B384</f>
        <v>39</v>
      </c>
      <c r="B384" s="14">
        <f>'体验表-带进度条'!E384</f>
        <v>0</v>
      </c>
      <c r="C384" s="14" t="str">
        <f>'体验表-带进度条'!F384</f>
        <v/>
      </c>
      <c r="D384" s="14">
        <f>'体验表-带进度条'!G384</f>
        <v>0</v>
      </c>
      <c r="E384" s="16">
        <f>'体验表-带进度条'!H384</f>
        <v>0</v>
      </c>
      <c r="F384" s="17">
        <f>'体验表-带进度条'!I384</f>
        <v>0</v>
      </c>
      <c r="G384" s="14">
        <f>'体验表-带进度条'!J384</f>
        <v>0</v>
      </c>
      <c r="H384" s="19" t="str">
        <f>'体验表-带进度条'!K384</f>
        <v>记牌器1个</v>
      </c>
      <c r="I384" s="38">
        <f>'体验表-带进度条'!L384</f>
        <v>3</v>
      </c>
      <c r="J384" s="21">
        <f>'体验表-带进度条'!M384</f>
        <v>7</v>
      </c>
      <c r="K384" s="14">
        <f>'体验表-带进度条'!N384</f>
        <v>0</v>
      </c>
      <c r="L384" s="22">
        <f>'体验表-带进度条'!O384</f>
        <v>0</v>
      </c>
      <c r="M384" s="30">
        <f>'体验表-带进度条'!X384</f>
        <v>0</v>
      </c>
      <c r="N384" s="23">
        <f>'体验表-带进度条'!AA384</f>
        <v>0</v>
      </c>
      <c r="O384" s="72">
        <f>'体验表-带进度条'!AB384</f>
        <v>0</v>
      </c>
    </row>
    <row r="385" spans="1:15">
      <c r="A385" s="13">
        <f>'体验表-带进度条'!B385</f>
        <v>40</v>
      </c>
      <c r="B385" s="14">
        <f>'体验表-带进度条'!E385</f>
        <v>0</v>
      </c>
      <c r="C385" s="14" t="str">
        <f>'体验表-带进度条'!F385</f>
        <v/>
      </c>
      <c r="D385" s="14">
        <f>'体验表-带进度条'!G385</f>
        <v>0</v>
      </c>
      <c r="E385" s="16">
        <f>'体验表-带进度条'!H385</f>
        <v>0</v>
      </c>
      <c r="F385" s="17">
        <f>'体验表-带进度条'!I385</f>
        <v>0</v>
      </c>
      <c r="G385" s="14">
        <f>'体验表-带进度条'!J385</f>
        <v>0.12</v>
      </c>
      <c r="H385" s="19" t="str">
        <f>'体验表-带进度条'!K385</f>
        <v>金币</v>
      </c>
      <c r="I385" s="38">
        <f>'体验表-带进度条'!L385</f>
        <v>17</v>
      </c>
      <c r="J385" s="21">
        <f>'体验表-带进度条'!M385</f>
        <v>2409660</v>
      </c>
      <c r="K385" s="14">
        <f>'体验表-带进度条'!N385</f>
        <v>0</v>
      </c>
      <c r="L385" s="22">
        <f>'体验表-带进度条'!O385</f>
        <v>0</v>
      </c>
      <c r="M385" s="30">
        <f>'体验表-带进度条'!X385</f>
        <v>0</v>
      </c>
      <c r="N385" s="23">
        <f>'体验表-带进度条'!AA385</f>
        <v>0</v>
      </c>
      <c r="O385" s="72">
        <f>'体验表-带进度条'!AB385</f>
        <v>0</v>
      </c>
    </row>
    <row r="386" spans="1:15">
      <c r="A386" s="13">
        <f>'体验表-带进度条'!B386</f>
        <v>41</v>
      </c>
      <c r="B386" s="14">
        <f>'体验表-带进度条'!E386</f>
        <v>0</v>
      </c>
      <c r="C386" s="14" t="str">
        <f>'体验表-带进度条'!F386</f>
        <v/>
      </c>
      <c r="D386" s="14">
        <f>'体验表-带进度条'!G386</f>
        <v>0</v>
      </c>
      <c r="E386" s="16">
        <f>'体验表-带进度条'!H386</f>
        <v>0</v>
      </c>
      <c r="F386" s="17">
        <f>'体验表-带进度条'!I386</f>
        <v>0</v>
      </c>
      <c r="G386" s="14">
        <f>'体验表-带进度条'!J386</f>
        <v>0</v>
      </c>
      <c r="H386" s="19" t="str">
        <f>'体验表-带进度条'!K386</f>
        <v>卡包fun卡</v>
      </c>
      <c r="I386" s="38">
        <f>'体验表-带进度条'!L386</f>
        <v>4</v>
      </c>
      <c r="J386" s="21">
        <f>'体验表-带进度条'!M386</f>
        <v>1</v>
      </c>
      <c r="K386" s="14">
        <f>'体验表-带进度条'!N386</f>
        <v>0</v>
      </c>
      <c r="L386" s="22">
        <f>'体验表-带进度条'!O386</f>
        <v>0</v>
      </c>
      <c r="M386" s="30">
        <f>'体验表-带进度条'!X386</f>
        <v>0</v>
      </c>
      <c r="N386" s="23">
        <f>'体验表-带进度条'!AA386</f>
        <v>0</v>
      </c>
      <c r="O386" s="72">
        <f>'体验表-带进度条'!AB386</f>
        <v>0</v>
      </c>
    </row>
    <row r="387" spans="1:15">
      <c r="A387" s="13">
        <f>'体验表-带进度条'!B387</f>
        <v>42</v>
      </c>
      <c r="B387" s="14">
        <f>'体验表-带进度条'!E387</f>
        <v>0</v>
      </c>
      <c r="C387" s="14" t="str">
        <f>'体验表-带进度条'!F387</f>
        <v/>
      </c>
      <c r="D387" s="14">
        <f>'体验表-带进度条'!G387</f>
        <v>0</v>
      </c>
      <c r="E387" s="16">
        <f>'体验表-带进度条'!H387</f>
        <v>0</v>
      </c>
      <c r="F387" s="17">
        <f>'体验表-带进度条'!I387</f>
        <v>0</v>
      </c>
      <c r="G387" s="14">
        <f>'体验表-带进度条'!J387</f>
        <v>0</v>
      </c>
      <c r="H387" s="19" t="str">
        <f>'体验表-带进度条'!K387</f>
        <v>老虎机抽奖券</v>
      </c>
      <c r="I387" s="38">
        <f>'体验表-带进度条'!L387</f>
        <v>3</v>
      </c>
      <c r="J387" s="21">
        <f>'体验表-带进度条'!M387</f>
        <v>35</v>
      </c>
      <c r="K387" s="14">
        <f>'体验表-带进度条'!N387</f>
        <v>0</v>
      </c>
      <c r="L387" s="22">
        <f>'体验表-带进度条'!O387</f>
        <v>0</v>
      </c>
      <c r="M387" s="30">
        <f>'体验表-带进度条'!X387</f>
        <v>0</v>
      </c>
      <c r="N387" s="23">
        <f>'体验表-带进度条'!AA387</f>
        <v>0</v>
      </c>
      <c r="O387" s="72">
        <f>'体验表-带进度条'!AB387</f>
        <v>0</v>
      </c>
    </row>
    <row r="388" spans="1:15">
      <c r="A388" s="13">
        <f>'体验表-带进度条'!B388</f>
        <v>43</v>
      </c>
      <c r="B388" s="14">
        <f>'体验表-带进度条'!E388</f>
        <v>0</v>
      </c>
      <c r="C388" s="14" t="str">
        <f>'体验表-带进度条'!F388</f>
        <v/>
      </c>
      <c r="D388" s="14">
        <f>'体验表-带进度条'!G388</f>
        <v>0</v>
      </c>
      <c r="E388" s="16">
        <f>'体验表-带进度条'!H388</f>
        <v>0</v>
      </c>
      <c r="F388" s="17">
        <f>'体验表-带进度条'!I388</f>
        <v>0</v>
      </c>
      <c r="G388" s="14">
        <f>'体验表-带进度条'!J388</f>
        <v>0</v>
      </c>
      <c r="H388" s="19" t="str">
        <f>'体验表-带进度条'!K388</f>
        <v>大奖赛复活券</v>
      </c>
      <c r="I388" s="38">
        <f>'体验表-带进度条'!L388</f>
        <v>3</v>
      </c>
      <c r="J388" s="21">
        <f>'体验表-带进度条'!M388</f>
        <v>1</v>
      </c>
      <c r="K388" s="14">
        <f>'体验表-带进度条'!N388</f>
        <v>0</v>
      </c>
      <c r="L388" s="22">
        <f>'体验表-带进度条'!O388</f>
        <v>0</v>
      </c>
      <c r="M388" s="30">
        <f>'体验表-带进度条'!X388</f>
        <v>0</v>
      </c>
      <c r="N388" s="23">
        <f>'体验表-带进度条'!AA388</f>
        <v>0</v>
      </c>
      <c r="O388" s="72">
        <f>'体验表-带进度条'!AB388</f>
        <v>0</v>
      </c>
    </row>
    <row r="389" spans="1:15">
      <c r="A389" s="13">
        <f>'体验表-带进度条'!B389</f>
        <v>1</v>
      </c>
      <c r="B389" s="14">
        <f>'体验表-带进度条'!E389</f>
        <v>0</v>
      </c>
      <c r="C389" s="14" t="str">
        <f>'体验表-带进度条'!F389</f>
        <v/>
      </c>
      <c r="D389" s="14">
        <f>'体验表-带进度条'!G389</f>
        <v>0</v>
      </c>
      <c r="E389" s="16">
        <f>'体验表-带进度条'!H389</f>
        <v>0</v>
      </c>
      <c r="F389" s="17">
        <f>'体验表-带进度条'!I389</f>
        <v>0</v>
      </c>
      <c r="G389" s="14">
        <f>'体验表-带进度条'!J389</f>
        <v>0</v>
      </c>
      <c r="H389" s="19" t="str">
        <f>'体验表-带进度条'!K389</f>
        <v>金币</v>
      </c>
      <c r="I389" s="38">
        <f>'体验表-带进度条'!L389</f>
        <v>1</v>
      </c>
      <c r="J389" s="21">
        <f>'体验表-带进度条'!M389</f>
        <v>5000</v>
      </c>
      <c r="K389" s="14">
        <f>'体验表-带进度条'!N389</f>
        <v>0</v>
      </c>
      <c r="L389" s="22">
        <f>'体验表-带进度条'!O389</f>
        <v>0</v>
      </c>
      <c r="M389" s="30">
        <f>'体验表-带进度条'!X389</f>
        <v>0</v>
      </c>
      <c r="N389" s="23">
        <f>'体验表-带进度条'!AA389</f>
        <v>0</v>
      </c>
      <c r="O389" s="72">
        <f>'体验表-带进度条'!AB389</f>
        <v>0</v>
      </c>
    </row>
    <row r="390" spans="1:15">
      <c r="A390" s="13">
        <f>'体验表-带进度条'!B390</f>
        <v>2</v>
      </c>
      <c r="B390" s="14">
        <f>'体验表-带进度条'!E390</f>
        <v>5.99</v>
      </c>
      <c r="C390" s="14">
        <f>'体验表-带进度条'!F390</f>
        <v>119</v>
      </c>
      <c r="D390" s="14">
        <f>'体验表-带进度条'!G390</f>
        <v>7140000</v>
      </c>
      <c r="E390" s="16">
        <f>'体验表-带进度条'!H390</f>
        <v>7140000</v>
      </c>
      <c r="F390" s="17">
        <f>'体验表-带进度条'!I390</f>
        <v>5.99</v>
      </c>
      <c r="G390" s="14">
        <f>'体验表-带进度条'!J390</f>
        <v>0</v>
      </c>
      <c r="H390" s="19" t="str">
        <f>'体验表-带进度条'!K390</f>
        <v>金币</v>
      </c>
      <c r="I390" s="38">
        <f>'体验表-带进度条'!L390</f>
        <v>9</v>
      </c>
      <c r="J390" s="21">
        <f>'体验表-带进度条'!M390</f>
        <v>7140000</v>
      </c>
      <c r="K390" s="14">
        <f>'体验表-带进度条'!N390</f>
        <v>9148050</v>
      </c>
      <c r="L390" s="22">
        <f>'体验表-带进度条'!O390</f>
        <v>9.14805</v>
      </c>
      <c r="M390" s="30">
        <f>'体验表-带进度条'!X390</f>
        <v>9148050</v>
      </c>
      <c r="N390" s="23">
        <f>'体验表-带进度条'!AA390</f>
        <v>9.14805</v>
      </c>
      <c r="O390" s="72">
        <f>'体验表-带进度条'!AB390</f>
        <v>1.28123949579832</v>
      </c>
    </row>
    <row r="391" spans="1:15">
      <c r="A391" s="13">
        <f>'体验表-带进度条'!B391</f>
        <v>3</v>
      </c>
      <c r="B391" s="14">
        <f>'体验表-带进度条'!E391</f>
        <v>0</v>
      </c>
      <c r="C391" s="14" t="str">
        <f>'体验表-带进度条'!F391</f>
        <v/>
      </c>
      <c r="D391" s="14">
        <f>'体验表-带进度条'!G391</f>
        <v>0</v>
      </c>
      <c r="E391" s="16">
        <f>'体验表-带进度条'!H391</f>
        <v>0</v>
      </c>
      <c r="F391" s="17">
        <f>'体验表-带进度条'!I391</f>
        <v>0</v>
      </c>
      <c r="G391" s="14">
        <f>'体验表-带进度条'!J391</f>
        <v>0</v>
      </c>
      <c r="H391" s="19" t="str">
        <f>'体验表-带进度条'!K391</f>
        <v>记牌器1个</v>
      </c>
      <c r="I391" s="38">
        <f>'体验表-带进度条'!L391</f>
        <v>3</v>
      </c>
      <c r="J391" s="21">
        <f>'体验表-带进度条'!M391</f>
        <v>1</v>
      </c>
      <c r="K391" s="14">
        <f>'体验表-带进度条'!N391</f>
        <v>0</v>
      </c>
      <c r="L391" s="22">
        <f>'体验表-带进度条'!O391</f>
        <v>0</v>
      </c>
      <c r="M391" s="30">
        <f>'体验表-带进度条'!X391</f>
        <v>0</v>
      </c>
      <c r="N391" s="23">
        <f>'体验表-带进度条'!AA391</f>
        <v>0</v>
      </c>
      <c r="O391" s="72">
        <f>'体验表-带进度条'!AB391</f>
        <v>0</v>
      </c>
    </row>
    <row r="392" spans="1:15">
      <c r="A392" s="13">
        <f>'体验表-带进度条'!B392</f>
        <v>4</v>
      </c>
      <c r="B392" s="14">
        <f>'体验表-带进度条'!E392</f>
        <v>0</v>
      </c>
      <c r="C392" s="14" t="str">
        <f>'体验表-带进度条'!F392</f>
        <v/>
      </c>
      <c r="D392" s="14">
        <f>'体验表-带进度条'!G392</f>
        <v>0</v>
      </c>
      <c r="E392" s="16">
        <f>'体验表-带进度条'!H392</f>
        <v>0</v>
      </c>
      <c r="F392" s="17">
        <f>'体验表-带进度条'!I392</f>
        <v>0</v>
      </c>
      <c r="G392" s="14">
        <f>'体验表-带进度条'!J392</f>
        <v>0.1</v>
      </c>
      <c r="H392" s="19" t="str">
        <f>'体验表-带进度条'!K392</f>
        <v>金币</v>
      </c>
      <c r="I392" s="38">
        <f>'体验表-带进度条'!L392</f>
        <v>17</v>
      </c>
      <c r="J392" s="21">
        <f>'体验表-带进度条'!M392</f>
        <v>2008050</v>
      </c>
      <c r="K392" s="14">
        <f>'体验表-带进度条'!N392</f>
        <v>0</v>
      </c>
      <c r="L392" s="22">
        <f>'体验表-带进度条'!O392</f>
        <v>0</v>
      </c>
      <c r="M392" s="30">
        <f>'体验表-带进度条'!X392</f>
        <v>0</v>
      </c>
      <c r="N392" s="23">
        <f>'体验表-带进度条'!AA392</f>
        <v>0</v>
      </c>
      <c r="O392" s="72">
        <f>'体验表-带进度条'!AB392</f>
        <v>0</v>
      </c>
    </row>
    <row r="393" spans="1:15">
      <c r="A393" s="13">
        <f>'体验表-带进度条'!B393</f>
        <v>5</v>
      </c>
      <c r="B393" s="14">
        <f>'体验表-带进度条'!E393</f>
        <v>0</v>
      </c>
      <c r="C393" s="14" t="str">
        <f>'体验表-带进度条'!F393</f>
        <v/>
      </c>
      <c r="D393" s="14">
        <f>'体验表-带进度条'!G393</f>
        <v>0</v>
      </c>
      <c r="E393" s="16">
        <f>'体验表-带进度条'!H393</f>
        <v>0</v>
      </c>
      <c r="F393" s="17">
        <f>'体验表-带进度条'!I393</f>
        <v>0</v>
      </c>
      <c r="G393" s="14">
        <f>'体验表-带进度条'!J393</f>
        <v>0</v>
      </c>
      <c r="H393" s="19" t="str">
        <f>'体验表-带进度条'!K393</f>
        <v>卡包2星</v>
      </c>
      <c r="I393" s="38">
        <f>'体验表-带进度条'!L393</f>
        <v>4</v>
      </c>
      <c r="J393" s="21">
        <f>'体验表-带进度条'!M393</f>
        <v>1</v>
      </c>
      <c r="K393" s="14">
        <f>'体验表-带进度条'!N393</f>
        <v>0</v>
      </c>
      <c r="L393" s="22">
        <f>'体验表-带进度条'!O393</f>
        <v>0</v>
      </c>
      <c r="M393" s="30">
        <f>'体验表-带进度条'!X393</f>
        <v>0</v>
      </c>
      <c r="N393" s="23">
        <f>'体验表-带进度条'!AA393</f>
        <v>0</v>
      </c>
      <c r="O393" s="72">
        <f>'体验表-带进度条'!AB393</f>
        <v>0</v>
      </c>
    </row>
    <row r="394" spans="1:15">
      <c r="A394" s="13">
        <f>'体验表-带进度条'!B394</f>
        <v>6</v>
      </c>
      <c r="B394" s="14">
        <f>'体验表-带进度条'!E394</f>
        <v>0</v>
      </c>
      <c r="C394" s="14" t="str">
        <f>'体验表-带进度条'!F394</f>
        <v/>
      </c>
      <c r="D394" s="14">
        <f>'体验表-带进度条'!G394</f>
        <v>0</v>
      </c>
      <c r="E394" s="16">
        <f>'体验表-带进度条'!H394</f>
        <v>0</v>
      </c>
      <c r="F394" s="17">
        <f>'体验表-带进度条'!I394</f>
        <v>0</v>
      </c>
      <c r="G394" s="14">
        <f>'体验表-带进度条'!J394</f>
        <v>0</v>
      </c>
      <c r="H394" s="19" t="str">
        <f>'体验表-带进度条'!K394</f>
        <v>老虎机抽奖券</v>
      </c>
      <c r="I394" s="38">
        <f>'体验表-带进度条'!L394</f>
        <v>3</v>
      </c>
      <c r="J394" s="21">
        <f>'体验表-带进度条'!M394</f>
        <v>5</v>
      </c>
      <c r="K394" s="14">
        <f>'体验表-带进度条'!N394</f>
        <v>0</v>
      </c>
      <c r="L394" s="22">
        <f>'体验表-带进度条'!O394</f>
        <v>0</v>
      </c>
      <c r="M394" s="30">
        <f>'体验表-带进度条'!X394</f>
        <v>0</v>
      </c>
      <c r="N394" s="23">
        <f>'体验表-带进度条'!AA394</f>
        <v>0</v>
      </c>
      <c r="O394" s="72">
        <f>'体验表-带进度条'!AB394</f>
        <v>0</v>
      </c>
    </row>
    <row r="395" spans="1:15">
      <c r="A395" s="13">
        <f>'体验表-带进度条'!B395</f>
        <v>7</v>
      </c>
      <c r="B395" s="14">
        <f>'体验表-带进度条'!E395</f>
        <v>0</v>
      </c>
      <c r="C395" s="14" t="str">
        <f>'体验表-带进度条'!F395</f>
        <v/>
      </c>
      <c r="D395" s="14">
        <f>'体验表-带进度条'!G395</f>
        <v>0</v>
      </c>
      <c r="E395" s="16">
        <f>'体验表-带进度条'!H395</f>
        <v>0</v>
      </c>
      <c r="F395" s="17">
        <f>'体验表-带进度条'!I395</f>
        <v>0</v>
      </c>
      <c r="G395" s="14">
        <f>'体验表-带进度条'!J395</f>
        <v>0</v>
      </c>
      <c r="H395" s="19" t="str">
        <f>'体验表-带进度条'!K395</f>
        <v>大奖赛复活券</v>
      </c>
      <c r="I395" s="38">
        <f>'体验表-带进度条'!L395</f>
        <v>3</v>
      </c>
      <c r="J395" s="21">
        <f>'体验表-带进度条'!M395</f>
        <v>1</v>
      </c>
      <c r="K395" s="14">
        <f>'体验表-带进度条'!N395</f>
        <v>0</v>
      </c>
      <c r="L395" s="22">
        <f>'体验表-带进度条'!O395</f>
        <v>0</v>
      </c>
      <c r="M395" s="30">
        <f>'体验表-带进度条'!X395</f>
        <v>0</v>
      </c>
      <c r="N395" s="23">
        <f>'体验表-带进度条'!AA395</f>
        <v>0</v>
      </c>
      <c r="O395" s="72">
        <f>'体验表-带进度条'!AB395</f>
        <v>0</v>
      </c>
    </row>
    <row r="396" spans="1:15">
      <c r="A396" s="13">
        <f>'体验表-带进度条'!B396</f>
        <v>8</v>
      </c>
      <c r="B396" s="14">
        <f>'体验表-带进度条'!E396</f>
        <v>7.99</v>
      </c>
      <c r="C396" s="14">
        <f>'体验表-带进度条'!F396</f>
        <v>129</v>
      </c>
      <c r="D396" s="14">
        <f>'体验表-带进度条'!G396</f>
        <v>10320000</v>
      </c>
      <c r="E396" s="16">
        <f>'体验表-带进度条'!H396</f>
        <v>17460000</v>
      </c>
      <c r="F396" s="17">
        <f>'体验表-带进度条'!I396</f>
        <v>13.98</v>
      </c>
      <c r="G396" s="14">
        <f>'体验表-带进度条'!J396</f>
        <v>0.12</v>
      </c>
      <c r="H396" s="19" t="str">
        <f>'体验表-带进度条'!K396</f>
        <v>金币</v>
      </c>
      <c r="I396" s="38">
        <f>'体验表-带进度条'!L396</f>
        <v>9</v>
      </c>
      <c r="J396" s="21">
        <f>'体验表-带进度条'!M396</f>
        <v>10320000</v>
      </c>
      <c r="K396" s="14">
        <f>'体验表-带进度条'!N396</f>
        <v>10721610</v>
      </c>
      <c r="L396" s="22">
        <f>'体验表-带进度条'!O396</f>
        <v>10.72161</v>
      </c>
      <c r="M396" s="30">
        <f>'体验表-带进度条'!X396</f>
        <v>20948400</v>
      </c>
      <c r="N396" s="23">
        <f>'体验表-带进度条'!AA396</f>
        <v>20.9484</v>
      </c>
      <c r="O396" s="72">
        <f>'体验表-带进度条'!AB396</f>
        <v>1.19979381443299</v>
      </c>
    </row>
    <row r="397" spans="1:15">
      <c r="A397" s="13">
        <f>'体验表-带进度条'!B397</f>
        <v>9</v>
      </c>
      <c r="B397" s="14">
        <f>'体验表-带进度条'!E397</f>
        <v>0</v>
      </c>
      <c r="C397" s="14" t="str">
        <f>'体验表-带进度条'!F397</f>
        <v/>
      </c>
      <c r="D397" s="14">
        <f>'体验表-带进度条'!G397</f>
        <v>0</v>
      </c>
      <c r="E397" s="16">
        <f>'体验表-带进度条'!H397</f>
        <v>0</v>
      </c>
      <c r="F397" s="17">
        <f>'体验表-带进度条'!I397</f>
        <v>0</v>
      </c>
      <c r="G397" s="14">
        <f>'体验表-带进度条'!J397</f>
        <v>0</v>
      </c>
      <c r="H397" s="19" t="str">
        <f>'体验表-带进度条'!K397</f>
        <v>记牌器1个</v>
      </c>
      <c r="I397" s="38">
        <f>'体验表-带进度条'!L397</f>
        <v>3</v>
      </c>
      <c r="J397" s="21">
        <f>'体验表-带进度条'!M397</f>
        <v>2</v>
      </c>
      <c r="K397" s="14">
        <f>'体验表-带进度条'!N397</f>
        <v>0</v>
      </c>
      <c r="L397" s="22">
        <f>'体验表-带进度条'!O397</f>
        <v>0</v>
      </c>
      <c r="M397" s="30">
        <f>'体验表-带进度条'!X397</f>
        <v>0</v>
      </c>
      <c r="N397" s="23">
        <f>'体验表-带进度条'!AA397</f>
        <v>0</v>
      </c>
      <c r="O397" s="72">
        <f>'体验表-带进度条'!AB397</f>
        <v>0</v>
      </c>
    </row>
    <row r="398" spans="1:15">
      <c r="A398" s="13">
        <f>'体验表-带进度条'!B398</f>
        <v>10</v>
      </c>
      <c r="B398" s="14">
        <f>'体验表-带进度条'!E398</f>
        <v>0</v>
      </c>
      <c r="C398" s="14" t="str">
        <f>'体验表-带进度条'!F398</f>
        <v/>
      </c>
      <c r="D398" s="14">
        <f>'体验表-带进度条'!G398</f>
        <v>0</v>
      </c>
      <c r="E398" s="16">
        <f>'体验表-带进度条'!H398</f>
        <v>0</v>
      </c>
      <c r="F398" s="17">
        <f>'体验表-带进度条'!I398</f>
        <v>0</v>
      </c>
      <c r="G398" s="14">
        <f>'体验表-带进度条'!J398</f>
        <v>0.02</v>
      </c>
      <c r="H398" s="19" t="str">
        <f>'体验表-带进度条'!K398</f>
        <v>金币</v>
      </c>
      <c r="I398" s="38">
        <f>'体验表-带进度条'!L398</f>
        <v>17</v>
      </c>
      <c r="J398" s="21">
        <f>'体验表-带进度条'!M398</f>
        <v>401610</v>
      </c>
      <c r="K398" s="14">
        <f>'体验表-带进度条'!N398</f>
        <v>0</v>
      </c>
      <c r="L398" s="22">
        <f>'体验表-带进度条'!O398</f>
        <v>0</v>
      </c>
      <c r="M398" s="30">
        <f>'体验表-带进度条'!X398</f>
        <v>0</v>
      </c>
      <c r="N398" s="23">
        <f>'体验表-带进度条'!AA398</f>
        <v>0</v>
      </c>
      <c r="O398" s="72">
        <f>'体验表-带进度条'!AB398</f>
        <v>0</v>
      </c>
    </row>
    <row r="399" spans="1:15">
      <c r="A399" s="13">
        <f>'体验表-带进度条'!B399</f>
        <v>11</v>
      </c>
      <c r="B399" s="14">
        <f>'体验表-带进度条'!E399</f>
        <v>0</v>
      </c>
      <c r="C399" s="14" t="str">
        <f>'体验表-带进度条'!F399</f>
        <v/>
      </c>
      <c r="D399" s="14">
        <f>'体验表-带进度条'!G399</f>
        <v>0</v>
      </c>
      <c r="E399" s="16">
        <f>'体验表-带进度条'!H399</f>
        <v>0</v>
      </c>
      <c r="F399" s="17">
        <f>'体验表-带进度条'!I399</f>
        <v>0</v>
      </c>
      <c r="G399" s="14">
        <f>'体验表-带进度条'!J399</f>
        <v>0</v>
      </c>
      <c r="H399" s="19" t="str">
        <f>'体验表-带进度条'!K399</f>
        <v>卡包3星</v>
      </c>
      <c r="I399" s="38">
        <f>'体验表-带进度条'!L399</f>
        <v>4</v>
      </c>
      <c r="J399" s="21">
        <f>'体验表-带进度条'!M399</f>
        <v>1</v>
      </c>
      <c r="K399" s="14">
        <f>'体验表-带进度条'!N399</f>
        <v>0</v>
      </c>
      <c r="L399" s="22">
        <f>'体验表-带进度条'!O399</f>
        <v>0</v>
      </c>
      <c r="M399" s="30">
        <f>'体验表-带进度条'!X399</f>
        <v>0</v>
      </c>
      <c r="N399" s="23">
        <f>'体验表-带进度条'!AA399</f>
        <v>0</v>
      </c>
      <c r="O399" s="72">
        <f>'体验表-带进度条'!AB399</f>
        <v>0</v>
      </c>
    </row>
    <row r="400" spans="1:15">
      <c r="A400" s="13">
        <f>'体验表-带进度条'!B400</f>
        <v>12</v>
      </c>
      <c r="B400" s="14">
        <f>'体验表-带进度条'!E400</f>
        <v>0</v>
      </c>
      <c r="C400" s="14" t="str">
        <f>'体验表-带进度条'!F400</f>
        <v/>
      </c>
      <c r="D400" s="14">
        <f>'体验表-带进度条'!G400</f>
        <v>0</v>
      </c>
      <c r="E400" s="16">
        <f>'体验表-带进度条'!H400</f>
        <v>0</v>
      </c>
      <c r="F400" s="17">
        <f>'体验表-带进度条'!I400</f>
        <v>0</v>
      </c>
      <c r="G400" s="14">
        <f>'体验表-带进度条'!J400</f>
        <v>0</v>
      </c>
      <c r="H400" s="19" t="str">
        <f>'体验表-带进度条'!K400</f>
        <v>老虎机抽奖券</v>
      </c>
      <c r="I400" s="38">
        <f>'体验表-带进度条'!L400</f>
        <v>3</v>
      </c>
      <c r="J400" s="21">
        <f>'体验表-带进度条'!M400</f>
        <v>10</v>
      </c>
      <c r="K400" s="14">
        <f>'体验表-带进度条'!N400</f>
        <v>0</v>
      </c>
      <c r="L400" s="22">
        <f>'体验表-带进度条'!O400</f>
        <v>0</v>
      </c>
      <c r="M400" s="30">
        <f>'体验表-带进度条'!X400</f>
        <v>0</v>
      </c>
      <c r="N400" s="23">
        <f>'体验表-带进度条'!AA400</f>
        <v>0</v>
      </c>
      <c r="O400" s="72">
        <f>'体验表-带进度条'!AB400</f>
        <v>0</v>
      </c>
    </row>
    <row r="401" spans="1:15">
      <c r="A401" s="13">
        <f>'体验表-带进度条'!B401</f>
        <v>13</v>
      </c>
      <c r="B401" s="14">
        <f>'体验表-带进度条'!E401</f>
        <v>0</v>
      </c>
      <c r="C401" s="14" t="str">
        <f>'体验表-带进度条'!F401</f>
        <v/>
      </c>
      <c r="D401" s="14">
        <f>'体验表-带进度条'!G401</f>
        <v>0</v>
      </c>
      <c r="E401" s="16">
        <f>'体验表-带进度条'!H401</f>
        <v>0</v>
      </c>
      <c r="F401" s="17">
        <f>'体验表-带进度条'!I401</f>
        <v>0</v>
      </c>
      <c r="G401" s="14">
        <f>'体验表-带进度条'!J401</f>
        <v>0</v>
      </c>
      <c r="H401" s="19" t="str">
        <f>'体验表-带进度条'!K401</f>
        <v>大奖赛报名券</v>
      </c>
      <c r="I401" s="38">
        <f>'体验表-带进度条'!L401</f>
        <v>3</v>
      </c>
      <c r="J401" s="21">
        <f>'体验表-带进度条'!M401</f>
        <v>1</v>
      </c>
      <c r="K401" s="14">
        <f>'体验表-带进度条'!N401</f>
        <v>0</v>
      </c>
      <c r="L401" s="22">
        <f>'体验表-带进度条'!O401</f>
        <v>0</v>
      </c>
      <c r="M401" s="30">
        <f>'体验表-带进度条'!X401</f>
        <v>0</v>
      </c>
      <c r="N401" s="23">
        <f>'体验表-带进度条'!AA401</f>
        <v>0</v>
      </c>
      <c r="O401" s="72">
        <f>'体验表-带进度条'!AB401</f>
        <v>0</v>
      </c>
    </row>
    <row r="402" spans="1:15">
      <c r="A402" s="13">
        <f>'体验表-带进度条'!B402</f>
        <v>14</v>
      </c>
      <c r="B402" s="14">
        <f>'体验表-带进度条'!E402</f>
        <v>9.99</v>
      </c>
      <c r="C402" s="14">
        <f>'体验表-带进度条'!F402</f>
        <v>139</v>
      </c>
      <c r="D402" s="14">
        <f>'体验表-带进度条'!G402</f>
        <v>13900000</v>
      </c>
      <c r="E402" s="16">
        <f>'体验表-带进度条'!H402</f>
        <v>31360000</v>
      </c>
      <c r="F402" s="17">
        <f>'体验表-带进度条'!I402</f>
        <v>23.97</v>
      </c>
      <c r="G402" s="14">
        <f>'体验表-带进度条'!J402</f>
        <v>0</v>
      </c>
      <c r="H402" s="19" t="str">
        <f>'体验表-带进度条'!K402</f>
        <v>金币</v>
      </c>
      <c r="I402" s="38">
        <f>'体验表-带进度条'!L402</f>
        <v>9</v>
      </c>
      <c r="J402" s="21">
        <f>'体验表-带进度条'!M402</f>
        <v>13900000</v>
      </c>
      <c r="K402" s="14">
        <f>'体验表-带进度条'!N402</f>
        <v>15908050</v>
      </c>
      <c r="L402" s="22">
        <f>'体验表-带进度条'!O402</f>
        <v>15.90805</v>
      </c>
      <c r="M402" s="30">
        <f>'体验表-带进度条'!X402</f>
        <v>36856450</v>
      </c>
      <c r="N402" s="23">
        <f>'体验表-带进度条'!AA402</f>
        <v>36.85645</v>
      </c>
      <c r="O402" s="72">
        <f>'体验表-带进度条'!AB402</f>
        <v>1.17526945153061</v>
      </c>
    </row>
    <row r="403" spans="1:15">
      <c r="A403" s="13">
        <f>'体验表-带进度条'!B403</f>
        <v>15</v>
      </c>
      <c r="B403" s="14">
        <f>'体验表-带进度条'!E403</f>
        <v>0</v>
      </c>
      <c r="C403" s="14" t="str">
        <f>'体验表-带进度条'!F403</f>
        <v/>
      </c>
      <c r="D403" s="14">
        <f>'体验表-带进度条'!G403</f>
        <v>0</v>
      </c>
      <c r="E403" s="16">
        <f>'体验表-带进度条'!H403</f>
        <v>0</v>
      </c>
      <c r="F403" s="17">
        <f>'体验表-带进度条'!I403</f>
        <v>0</v>
      </c>
      <c r="G403" s="14">
        <f>'体验表-带进度条'!J403</f>
        <v>0</v>
      </c>
      <c r="H403" s="19" t="str">
        <f>'体验表-带进度条'!K403</f>
        <v>记牌器1个</v>
      </c>
      <c r="I403" s="38">
        <f>'体验表-带进度条'!L403</f>
        <v>3</v>
      </c>
      <c r="J403" s="21">
        <f>'体验表-带进度条'!M403</f>
        <v>3</v>
      </c>
      <c r="K403" s="14">
        <f>'体验表-带进度条'!N403</f>
        <v>0</v>
      </c>
      <c r="L403" s="22">
        <f>'体验表-带进度条'!O403</f>
        <v>0</v>
      </c>
      <c r="M403" s="30">
        <f>'体验表-带进度条'!X403</f>
        <v>0</v>
      </c>
      <c r="N403" s="23">
        <f>'体验表-带进度条'!AA403</f>
        <v>0</v>
      </c>
      <c r="O403" s="72">
        <f>'体验表-带进度条'!AB403</f>
        <v>0</v>
      </c>
    </row>
    <row r="404" spans="1:15">
      <c r="A404" s="13">
        <f>'体验表-带进度条'!B404</f>
        <v>16</v>
      </c>
      <c r="B404" s="14">
        <f>'体验表-带进度条'!E404</f>
        <v>0</v>
      </c>
      <c r="C404" s="14" t="str">
        <f>'体验表-带进度条'!F404</f>
        <v/>
      </c>
      <c r="D404" s="14">
        <f>'体验表-带进度条'!G404</f>
        <v>0</v>
      </c>
      <c r="E404" s="16">
        <f>'体验表-带进度条'!H404</f>
        <v>0</v>
      </c>
      <c r="F404" s="17">
        <f>'体验表-带进度条'!I404</f>
        <v>0</v>
      </c>
      <c r="G404" s="14">
        <f>'体验表-带进度条'!J404</f>
        <v>0.1</v>
      </c>
      <c r="H404" s="19" t="str">
        <f>'体验表-带进度条'!K404</f>
        <v>金币</v>
      </c>
      <c r="I404" s="38">
        <f>'体验表-带进度条'!L404</f>
        <v>17</v>
      </c>
      <c r="J404" s="21">
        <f>'体验表-带进度条'!M404</f>
        <v>2008050</v>
      </c>
      <c r="K404" s="14">
        <f>'体验表-带进度条'!N404</f>
        <v>0</v>
      </c>
      <c r="L404" s="22">
        <f>'体验表-带进度条'!O404</f>
        <v>0</v>
      </c>
      <c r="M404" s="30">
        <f>'体验表-带进度条'!X404</f>
        <v>0</v>
      </c>
      <c r="N404" s="23">
        <f>'体验表-带进度条'!AA404</f>
        <v>0</v>
      </c>
      <c r="O404" s="72">
        <f>'体验表-带进度条'!AB404</f>
        <v>0</v>
      </c>
    </row>
    <row r="405" spans="1:15">
      <c r="A405" s="13">
        <f>'体验表-带进度条'!B405</f>
        <v>17</v>
      </c>
      <c r="B405" s="14">
        <f>'体验表-带进度条'!E405</f>
        <v>0</v>
      </c>
      <c r="C405" s="14" t="str">
        <f>'体验表-带进度条'!F405</f>
        <v/>
      </c>
      <c r="D405" s="14">
        <f>'体验表-带进度条'!G405</f>
        <v>0</v>
      </c>
      <c r="E405" s="16">
        <f>'体验表-带进度条'!H405</f>
        <v>0</v>
      </c>
      <c r="F405" s="17">
        <f>'体验表-带进度条'!I405</f>
        <v>0</v>
      </c>
      <c r="G405" s="14">
        <f>'体验表-带进度条'!J405</f>
        <v>0</v>
      </c>
      <c r="H405" s="19" t="str">
        <f>'体验表-带进度条'!K405</f>
        <v>卡包4星</v>
      </c>
      <c r="I405" s="38">
        <f>'体验表-带进度条'!L405</f>
        <v>4</v>
      </c>
      <c r="J405" s="21">
        <f>'体验表-带进度条'!M405</f>
        <v>1</v>
      </c>
      <c r="K405" s="14">
        <f>'体验表-带进度条'!N405</f>
        <v>0</v>
      </c>
      <c r="L405" s="22">
        <f>'体验表-带进度条'!O405</f>
        <v>0</v>
      </c>
      <c r="M405" s="30">
        <f>'体验表-带进度条'!X405</f>
        <v>0</v>
      </c>
      <c r="N405" s="23">
        <f>'体验表-带进度条'!AA405</f>
        <v>0</v>
      </c>
      <c r="O405" s="72">
        <f>'体验表-带进度条'!AB405</f>
        <v>0</v>
      </c>
    </row>
    <row r="406" spans="1:15">
      <c r="A406" s="13">
        <f>'体验表-带进度条'!B406</f>
        <v>18</v>
      </c>
      <c r="B406" s="14">
        <f>'体验表-带进度条'!E406</f>
        <v>0</v>
      </c>
      <c r="C406" s="14" t="str">
        <f>'体验表-带进度条'!F406</f>
        <v/>
      </c>
      <c r="D406" s="14">
        <f>'体验表-带进度条'!G406</f>
        <v>0</v>
      </c>
      <c r="E406" s="16">
        <f>'体验表-带进度条'!H406</f>
        <v>0</v>
      </c>
      <c r="F406" s="17">
        <f>'体验表-带进度条'!I406</f>
        <v>0</v>
      </c>
      <c r="G406" s="14">
        <f>'体验表-带进度条'!J406</f>
        <v>0</v>
      </c>
      <c r="H406" s="19" t="str">
        <f>'体验表-带进度条'!K406</f>
        <v>老虎机抽奖券</v>
      </c>
      <c r="I406" s="38">
        <f>'体验表-带进度条'!L406</f>
        <v>3</v>
      </c>
      <c r="J406" s="21">
        <f>'体验表-带进度条'!M406</f>
        <v>15</v>
      </c>
      <c r="K406" s="14">
        <f>'体验表-带进度条'!N406</f>
        <v>0</v>
      </c>
      <c r="L406" s="22">
        <f>'体验表-带进度条'!O406</f>
        <v>0</v>
      </c>
      <c r="M406" s="30">
        <f>'体验表-带进度条'!X406</f>
        <v>0</v>
      </c>
      <c r="N406" s="23">
        <f>'体验表-带进度条'!AA406</f>
        <v>0</v>
      </c>
      <c r="O406" s="72">
        <f>'体验表-带进度条'!AB406</f>
        <v>0</v>
      </c>
    </row>
    <row r="407" spans="1:15">
      <c r="A407" s="13">
        <f>'体验表-带进度条'!B407</f>
        <v>19</v>
      </c>
      <c r="B407" s="14">
        <f>'体验表-带进度条'!E407</f>
        <v>0</v>
      </c>
      <c r="C407" s="14" t="str">
        <f>'体验表-带进度条'!F407</f>
        <v/>
      </c>
      <c r="D407" s="14">
        <f>'体验表-带进度条'!G407</f>
        <v>0</v>
      </c>
      <c r="E407" s="16">
        <f>'体验表-带进度条'!H407</f>
        <v>0</v>
      </c>
      <c r="F407" s="17">
        <f>'体验表-带进度条'!I407</f>
        <v>0</v>
      </c>
      <c r="G407" s="14">
        <f>'体验表-带进度条'!J407</f>
        <v>0</v>
      </c>
      <c r="H407" s="19" t="str">
        <f>'体验表-带进度条'!K407</f>
        <v>大奖赛复活券</v>
      </c>
      <c r="I407" s="38">
        <f>'体验表-带进度条'!L407</f>
        <v>3</v>
      </c>
      <c r="J407" s="21">
        <f>'体验表-带进度条'!M407</f>
        <v>1</v>
      </c>
      <c r="K407" s="14">
        <f>'体验表-带进度条'!N407</f>
        <v>0</v>
      </c>
      <c r="L407" s="22">
        <f>'体验表-带进度条'!O407</f>
        <v>0</v>
      </c>
      <c r="M407" s="30">
        <f>'体验表-带进度条'!X407</f>
        <v>0</v>
      </c>
      <c r="N407" s="23">
        <f>'体验表-带进度条'!AA407</f>
        <v>0</v>
      </c>
      <c r="O407" s="72">
        <f>'体验表-带进度条'!AB407</f>
        <v>0</v>
      </c>
    </row>
    <row r="408" spans="1:15">
      <c r="A408" s="13">
        <f>'体验表-带进度条'!B408</f>
        <v>20</v>
      </c>
      <c r="B408" s="14">
        <f>'体验表-带进度条'!E408</f>
        <v>12.99</v>
      </c>
      <c r="C408" s="14">
        <f>'体验表-带进度条'!F408</f>
        <v>149</v>
      </c>
      <c r="D408" s="14">
        <f>'体验表-带进度条'!G408</f>
        <v>19370000</v>
      </c>
      <c r="E408" s="16">
        <f>'体验表-带进度条'!H408</f>
        <v>50730000</v>
      </c>
      <c r="F408" s="17">
        <f>'体验表-带进度条'!I408</f>
        <v>36.96</v>
      </c>
      <c r="G408" s="14">
        <f>'体验表-带进度条'!J408</f>
        <v>0.24</v>
      </c>
      <c r="H408" s="19" t="str">
        <f>'体验表-带进度条'!K408</f>
        <v>金币</v>
      </c>
      <c r="I408" s="38">
        <f>'体验表-带进度条'!L408</f>
        <v>9</v>
      </c>
      <c r="J408" s="21">
        <f>'体验表-带进度条'!M408</f>
        <v>19370000</v>
      </c>
      <c r="K408" s="14">
        <f>'体验表-带进度条'!N408</f>
        <v>20976440</v>
      </c>
      <c r="L408" s="22">
        <f>'体验表-带进度条'!O408</f>
        <v>20.97644</v>
      </c>
      <c r="M408" s="30">
        <f>'体验表-带进度条'!X408</f>
        <v>59990370</v>
      </c>
      <c r="N408" s="23">
        <f>'体验表-带进度条'!AA408</f>
        <v>59.99037</v>
      </c>
      <c r="O408" s="72">
        <f>'体验表-带进度条'!AB408</f>
        <v>1.18254228267297</v>
      </c>
    </row>
    <row r="409" spans="1:15">
      <c r="A409" s="13">
        <f>'体验表-带进度条'!B409</f>
        <v>21</v>
      </c>
      <c r="B409" s="14">
        <f>'体验表-带进度条'!E409</f>
        <v>0</v>
      </c>
      <c r="C409" s="14" t="str">
        <f>'体验表-带进度条'!F409</f>
        <v/>
      </c>
      <c r="D409" s="14">
        <f>'体验表-带进度条'!G409</f>
        <v>0</v>
      </c>
      <c r="E409" s="16">
        <f>'体验表-带进度条'!H409</f>
        <v>0</v>
      </c>
      <c r="F409" s="17">
        <f>'体验表-带进度条'!I409</f>
        <v>0</v>
      </c>
      <c r="G409" s="14">
        <f>'体验表-带进度条'!J409</f>
        <v>0</v>
      </c>
      <c r="H409" s="19" t="str">
        <f>'体验表-带进度条'!K409</f>
        <v>记牌器1个</v>
      </c>
      <c r="I409" s="38">
        <f>'体验表-带进度条'!L409</f>
        <v>3</v>
      </c>
      <c r="J409" s="21">
        <f>'体验表-带进度条'!M409</f>
        <v>4</v>
      </c>
      <c r="K409" s="14">
        <f>'体验表-带进度条'!N409</f>
        <v>0</v>
      </c>
      <c r="L409" s="22">
        <f>'体验表-带进度条'!O409</f>
        <v>0</v>
      </c>
      <c r="M409" s="30">
        <f>'体验表-带进度条'!X409</f>
        <v>0</v>
      </c>
      <c r="N409" s="23">
        <f>'体验表-带进度条'!AA409</f>
        <v>0</v>
      </c>
      <c r="O409" s="72">
        <f>'体验表-带进度条'!AB409</f>
        <v>0</v>
      </c>
    </row>
    <row r="410" spans="1:15">
      <c r="A410" s="13">
        <f>'体验表-带进度条'!B410</f>
        <v>22</v>
      </c>
      <c r="B410" s="14">
        <f>'体验表-带进度条'!E410</f>
        <v>0</v>
      </c>
      <c r="C410" s="14" t="str">
        <f>'体验表-带进度条'!F410</f>
        <v/>
      </c>
      <c r="D410" s="14">
        <f>'体验表-带进度条'!G410</f>
        <v>0</v>
      </c>
      <c r="E410" s="16">
        <f>'体验表-带进度条'!H410</f>
        <v>0</v>
      </c>
      <c r="F410" s="17">
        <f>'体验表-带进度条'!I410</f>
        <v>0</v>
      </c>
      <c r="G410" s="14">
        <f>'体验表-带进度条'!J410</f>
        <v>0.08</v>
      </c>
      <c r="H410" s="19" t="str">
        <f>'体验表-带进度条'!K410</f>
        <v>金币</v>
      </c>
      <c r="I410" s="38">
        <f>'体验表-带进度条'!L410</f>
        <v>17</v>
      </c>
      <c r="J410" s="21">
        <f>'体验表-带进度条'!M410</f>
        <v>1606440</v>
      </c>
      <c r="K410" s="14">
        <f>'体验表-带进度条'!N410</f>
        <v>0</v>
      </c>
      <c r="L410" s="22">
        <f>'体验表-带进度条'!O410</f>
        <v>0</v>
      </c>
      <c r="M410" s="30">
        <f>'体验表-带进度条'!X410</f>
        <v>0</v>
      </c>
      <c r="N410" s="23">
        <f>'体验表-带进度条'!AA410</f>
        <v>0</v>
      </c>
      <c r="O410" s="72">
        <f>'体验表-带进度条'!AB410</f>
        <v>0</v>
      </c>
    </row>
    <row r="411" spans="1:15">
      <c r="A411" s="13">
        <f>'体验表-带进度条'!B411</f>
        <v>23</v>
      </c>
      <c r="B411" s="14">
        <f>'体验表-带进度条'!E411</f>
        <v>0</v>
      </c>
      <c r="C411" s="14" t="str">
        <f>'体验表-带进度条'!F411</f>
        <v/>
      </c>
      <c r="D411" s="14">
        <f>'体验表-带进度条'!G411</f>
        <v>0</v>
      </c>
      <c r="E411" s="16">
        <f>'体验表-带进度条'!H411</f>
        <v>0</v>
      </c>
      <c r="F411" s="17">
        <f>'体验表-带进度条'!I411</f>
        <v>0</v>
      </c>
      <c r="G411" s="14">
        <f>'体验表-带进度条'!J411</f>
        <v>0</v>
      </c>
      <c r="H411" s="19" t="str">
        <f>'体验表-带进度条'!K411</f>
        <v>卡包4星</v>
      </c>
      <c r="I411" s="38">
        <f>'体验表-带进度条'!L411</f>
        <v>4</v>
      </c>
      <c r="J411" s="21">
        <f>'体验表-带进度条'!M411</f>
        <v>1</v>
      </c>
      <c r="K411" s="14">
        <f>'体验表-带进度条'!N411</f>
        <v>0</v>
      </c>
      <c r="L411" s="22">
        <f>'体验表-带进度条'!O411</f>
        <v>0</v>
      </c>
      <c r="M411" s="30">
        <f>'体验表-带进度条'!X411</f>
        <v>0</v>
      </c>
      <c r="N411" s="23">
        <f>'体验表-带进度条'!AA411</f>
        <v>0</v>
      </c>
      <c r="O411" s="72">
        <f>'体验表-带进度条'!AB411</f>
        <v>0</v>
      </c>
    </row>
    <row r="412" spans="1:15">
      <c r="A412" s="13">
        <f>'体验表-带进度条'!B412</f>
        <v>24</v>
      </c>
      <c r="B412" s="14">
        <f>'体验表-带进度条'!E412</f>
        <v>0</v>
      </c>
      <c r="C412" s="14" t="str">
        <f>'体验表-带进度条'!F412</f>
        <v/>
      </c>
      <c r="D412" s="14">
        <f>'体验表-带进度条'!G412</f>
        <v>0</v>
      </c>
      <c r="E412" s="16">
        <f>'体验表-带进度条'!H412</f>
        <v>0</v>
      </c>
      <c r="F412" s="17">
        <f>'体验表-带进度条'!I412</f>
        <v>0</v>
      </c>
      <c r="G412" s="14">
        <f>'体验表-带进度条'!J412</f>
        <v>0</v>
      </c>
      <c r="H412" s="19" t="str">
        <f>'体验表-带进度条'!K412</f>
        <v>老虎机抽奖券</v>
      </c>
      <c r="I412" s="38">
        <f>'体验表-带进度条'!L412</f>
        <v>3</v>
      </c>
      <c r="J412" s="21">
        <f>'体验表-带进度条'!M412</f>
        <v>20</v>
      </c>
      <c r="K412" s="14">
        <f>'体验表-带进度条'!N412</f>
        <v>0</v>
      </c>
      <c r="L412" s="22">
        <f>'体验表-带进度条'!O412</f>
        <v>0</v>
      </c>
      <c r="M412" s="30">
        <f>'体验表-带进度条'!X412</f>
        <v>0</v>
      </c>
      <c r="N412" s="23">
        <f>'体验表-带进度条'!AA412</f>
        <v>0</v>
      </c>
      <c r="O412" s="72">
        <f>'体验表-带进度条'!AB412</f>
        <v>0</v>
      </c>
    </row>
    <row r="413" spans="1:15">
      <c r="A413" s="13">
        <f>'体验表-带进度条'!B413</f>
        <v>25</v>
      </c>
      <c r="B413" s="14">
        <f>'体验表-带进度条'!E413</f>
        <v>0</v>
      </c>
      <c r="C413" s="14" t="str">
        <f>'体验表-带进度条'!F413</f>
        <v/>
      </c>
      <c r="D413" s="14">
        <f>'体验表-带进度条'!G413</f>
        <v>0</v>
      </c>
      <c r="E413" s="16">
        <f>'体验表-带进度条'!H413</f>
        <v>0</v>
      </c>
      <c r="F413" s="17">
        <f>'体验表-带进度条'!I413</f>
        <v>0</v>
      </c>
      <c r="G413" s="14">
        <f>'体验表-带进度条'!J413</f>
        <v>0</v>
      </c>
      <c r="H413" s="19" t="str">
        <f>'体验表-带进度条'!K413</f>
        <v>大奖赛报名券</v>
      </c>
      <c r="I413" s="38">
        <f>'体验表-带进度条'!L413</f>
        <v>3</v>
      </c>
      <c r="J413" s="21">
        <f>'体验表-带进度条'!M413</f>
        <v>1</v>
      </c>
      <c r="K413" s="14">
        <f>'体验表-带进度条'!N413</f>
        <v>0</v>
      </c>
      <c r="L413" s="22">
        <f>'体验表-带进度条'!O413</f>
        <v>0</v>
      </c>
      <c r="M413" s="30">
        <f>'体验表-带进度条'!X413</f>
        <v>0</v>
      </c>
      <c r="N413" s="23">
        <f>'体验表-带进度条'!AA413</f>
        <v>0</v>
      </c>
      <c r="O413" s="72">
        <f>'体验表-带进度条'!AB413</f>
        <v>0</v>
      </c>
    </row>
    <row r="414" spans="1:15">
      <c r="A414" s="13">
        <f>'体验表-带进度条'!B414</f>
        <v>26</v>
      </c>
      <c r="B414" s="14">
        <f>'体验表-带进度条'!E414</f>
        <v>14.99</v>
      </c>
      <c r="C414" s="14">
        <f>'体验表-带进度条'!F414</f>
        <v>154</v>
      </c>
      <c r="D414" s="14">
        <f>'体验表-带进度条'!G414</f>
        <v>23100000</v>
      </c>
      <c r="E414" s="16">
        <f>'体验表-带进度条'!H414</f>
        <v>73830000</v>
      </c>
      <c r="F414" s="17">
        <f>'体验表-带进度条'!I414</f>
        <v>51.95</v>
      </c>
      <c r="G414" s="14">
        <f>'体验表-带进度条'!J414</f>
        <v>0</v>
      </c>
      <c r="H414" s="19" t="str">
        <f>'体验表-带进度条'!K414</f>
        <v>金币</v>
      </c>
      <c r="I414" s="38">
        <f>'体验表-带进度条'!L414</f>
        <v>9</v>
      </c>
      <c r="J414" s="21">
        <f>'体验表-带进度条'!M414</f>
        <v>23100000</v>
      </c>
      <c r="K414" s="14">
        <f>'体验表-带进度条'!N414</f>
        <v>24104025</v>
      </c>
      <c r="L414" s="22">
        <f>'体验表-带进度条'!O414</f>
        <v>24.104025</v>
      </c>
      <c r="M414" s="30">
        <f>'体验表-带进度条'!X414</f>
        <v>84094395</v>
      </c>
      <c r="N414" s="23">
        <f>'体验表-带进度条'!AA414</f>
        <v>84.094395</v>
      </c>
      <c r="O414" s="72">
        <f>'体验表-带进度条'!AB414</f>
        <v>1.13902742787485</v>
      </c>
    </row>
    <row r="415" spans="1:15">
      <c r="A415" s="13">
        <f>'体验表-带进度条'!B415</f>
        <v>27</v>
      </c>
      <c r="B415" s="14">
        <f>'体验表-带进度条'!E415</f>
        <v>0</v>
      </c>
      <c r="C415" s="14" t="str">
        <f>'体验表-带进度条'!F415</f>
        <v/>
      </c>
      <c r="D415" s="14">
        <f>'体验表-带进度条'!G415</f>
        <v>0</v>
      </c>
      <c r="E415" s="16">
        <f>'体验表-带进度条'!H415</f>
        <v>0</v>
      </c>
      <c r="F415" s="17">
        <f>'体验表-带进度条'!I415</f>
        <v>0</v>
      </c>
      <c r="G415" s="14">
        <f>'体验表-带进度条'!J415</f>
        <v>0</v>
      </c>
      <c r="H415" s="19" t="str">
        <f>'体验表-带进度条'!K415</f>
        <v>记牌器1个</v>
      </c>
      <c r="I415" s="38">
        <f>'体验表-带进度条'!L415</f>
        <v>3</v>
      </c>
      <c r="J415" s="21">
        <f>'体验表-带进度条'!M415</f>
        <v>5</v>
      </c>
      <c r="K415" s="14">
        <f>'体验表-带进度条'!N415</f>
        <v>0</v>
      </c>
      <c r="L415" s="22">
        <f>'体验表-带进度条'!O415</f>
        <v>0</v>
      </c>
      <c r="M415" s="30">
        <f>'体验表-带进度条'!X415</f>
        <v>0</v>
      </c>
      <c r="N415" s="23">
        <f>'体验表-带进度条'!AA415</f>
        <v>0</v>
      </c>
      <c r="O415" s="72">
        <f>'体验表-带进度条'!AB415</f>
        <v>0</v>
      </c>
    </row>
    <row r="416" spans="1:15">
      <c r="A416" s="13">
        <f>'体验表-带进度条'!B416</f>
        <v>28</v>
      </c>
      <c r="B416" s="14">
        <f>'体验表-带进度条'!E416</f>
        <v>0</v>
      </c>
      <c r="C416" s="14" t="str">
        <f>'体验表-带进度条'!F416</f>
        <v/>
      </c>
      <c r="D416" s="14">
        <f>'体验表-带进度条'!G416</f>
        <v>0</v>
      </c>
      <c r="E416" s="16">
        <f>'体验表-带进度条'!H416</f>
        <v>0</v>
      </c>
      <c r="F416" s="17">
        <f>'体验表-带进度条'!I416</f>
        <v>0</v>
      </c>
      <c r="G416" s="14">
        <f>'体验表-带进度条'!J416</f>
        <v>0.05</v>
      </c>
      <c r="H416" s="19" t="str">
        <f>'体验表-带进度条'!K416</f>
        <v>金币</v>
      </c>
      <c r="I416" s="38">
        <f>'体验表-带进度条'!L416</f>
        <v>17</v>
      </c>
      <c r="J416" s="21">
        <f>'体验表-带进度条'!M416</f>
        <v>1004025</v>
      </c>
      <c r="K416" s="14">
        <f>'体验表-带进度条'!N416</f>
        <v>0</v>
      </c>
      <c r="L416" s="22">
        <f>'体验表-带进度条'!O416</f>
        <v>0</v>
      </c>
      <c r="M416" s="30">
        <f>'体验表-带进度条'!X416</f>
        <v>0</v>
      </c>
      <c r="N416" s="23">
        <f>'体验表-带进度条'!AA416</f>
        <v>0</v>
      </c>
      <c r="O416" s="72">
        <f>'体验表-带进度条'!AB416</f>
        <v>0</v>
      </c>
    </row>
    <row r="417" spans="1:15">
      <c r="A417" s="13">
        <f>'体验表-带进度条'!B417</f>
        <v>29</v>
      </c>
      <c r="B417" s="14">
        <f>'体验表-带进度条'!E417</f>
        <v>0</v>
      </c>
      <c r="C417" s="14" t="str">
        <f>'体验表-带进度条'!F417</f>
        <v/>
      </c>
      <c r="D417" s="14">
        <f>'体验表-带进度条'!G417</f>
        <v>0</v>
      </c>
      <c r="E417" s="16">
        <f>'体验表-带进度条'!H417</f>
        <v>0</v>
      </c>
      <c r="F417" s="17">
        <f>'体验表-带进度条'!I417</f>
        <v>0</v>
      </c>
      <c r="G417" s="14">
        <f>'体验表-带进度条'!J417</f>
        <v>0</v>
      </c>
      <c r="H417" s="19" t="str">
        <f>'体验表-带进度条'!K417</f>
        <v>卡包5星</v>
      </c>
      <c r="I417" s="38">
        <f>'体验表-带进度条'!L417</f>
        <v>4</v>
      </c>
      <c r="J417" s="21">
        <f>'体验表-带进度条'!M417</f>
        <v>1</v>
      </c>
      <c r="K417" s="14">
        <f>'体验表-带进度条'!N417</f>
        <v>0</v>
      </c>
      <c r="L417" s="22">
        <f>'体验表-带进度条'!O417</f>
        <v>0</v>
      </c>
      <c r="M417" s="30">
        <f>'体验表-带进度条'!X417</f>
        <v>0</v>
      </c>
      <c r="N417" s="23">
        <f>'体验表-带进度条'!AA417</f>
        <v>0</v>
      </c>
      <c r="O417" s="72">
        <f>'体验表-带进度条'!AB417</f>
        <v>0</v>
      </c>
    </row>
    <row r="418" spans="1:15">
      <c r="A418" s="13">
        <f>'体验表-带进度条'!B418</f>
        <v>30</v>
      </c>
      <c r="B418" s="14">
        <f>'体验表-带进度条'!E418</f>
        <v>0</v>
      </c>
      <c r="C418" s="14" t="str">
        <f>'体验表-带进度条'!F418</f>
        <v/>
      </c>
      <c r="D418" s="14">
        <f>'体验表-带进度条'!G418</f>
        <v>0</v>
      </c>
      <c r="E418" s="16">
        <f>'体验表-带进度条'!H418</f>
        <v>0</v>
      </c>
      <c r="F418" s="17">
        <f>'体验表-带进度条'!I418</f>
        <v>0</v>
      </c>
      <c r="G418" s="14">
        <f>'体验表-带进度条'!J418</f>
        <v>0</v>
      </c>
      <c r="H418" s="19" t="str">
        <f>'体验表-带进度条'!K418</f>
        <v>老虎机抽奖券</v>
      </c>
      <c r="I418" s="38">
        <f>'体验表-带进度条'!L418</f>
        <v>3</v>
      </c>
      <c r="J418" s="21">
        <f>'体验表-带进度条'!M418</f>
        <v>25</v>
      </c>
      <c r="K418" s="14">
        <f>'体验表-带进度条'!N418</f>
        <v>0</v>
      </c>
      <c r="L418" s="22">
        <f>'体验表-带进度条'!O418</f>
        <v>0</v>
      </c>
      <c r="M418" s="30">
        <f>'体验表-带进度条'!X418</f>
        <v>0</v>
      </c>
      <c r="N418" s="23">
        <f>'体验表-带进度条'!AA418</f>
        <v>0</v>
      </c>
      <c r="O418" s="72">
        <f>'体验表-带进度条'!AB418</f>
        <v>0</v>
      </c>
    </row>
    <row r="419" spans="1:15">
      <c r="A419" s="13">
        <f>'体验表-带进度条'!B419</f>
        <v>31</v>
      </c>
      <c r="B419" s="14">
        <f>'体验表-带进度条'!E419</f>
        <v>0</v>
      </c>
      <c r="C419" s="14" t="str">
        <f>'体验表-带进度条'!F419</f>
        <v/>
      </c>
      <c r="D419" s="14">
        <f>'体验表-带进度条'!G419</f>
        <v>0</v>
      </c>
      <c r="E419" s="16">
        <f>'体验表-带进度条'!H419</f>
        <v>0</v>
      </c>
      <c r="F419" s="17">
        <f>'体验表-带进度条'!I419</f>
        <v>0</v>
      </c>
      <c r="G419" s="14">
        <f>'体验表-带进度条'!J419</f>
        <v>0</v>
      </c>
      <c r="H419" s="19" t="str">
        <f>'体验表-带进度条'!K419</f>
        <v>大奖赛复活券</v>
      </c>
      <c r="I419" s="38">
        <f>'体验表-带进度条'!L419</f>
        <v>3</v>
      </c>
      <c r="J419" s="21">
        <f>'体验表-带进度条'!M419</f>
        <v>1</v>
      </c>
      <c r="K419" s="14">
        <f>'体验表-带进度条'!N419</f>
        <v>0</v>
      </c>
      <c r="L419" s="22">
        <f>'体验表-带进度条'!O419</f>
        <v>0</v>
      </c>
      <c r="M419" s="30">
        <f>'体验表-带进度条'!X419</f>
        <v>0</v>
      </c>
      <c r="N419" s="23">
        <f>'体验表-带进度条'!AA419</f>
        <v>0</v>
      </c>
      <c r="O419" s="72">
        <f>'体验表-带进度条'!AB419</f>
        <v>0</v>
      </c>
    </row>
    <row r="420" spans="1:15">
      <c r="A420" s="13">
        <f>'体验表-带进度条'!B420</f>
        <v>32</v>
      </c>
      <c r="B420" s="14">
        <f>'体验表-带进度条'!E420</f>
        <v>17.99</v>
      </c>
      <c r="C420" s="14">
        <f>'体验表-带进度条'!F420</f>
        <v>158</v>
      </c>
      <c r="D420" s="14">
        <f>'体验表-带进度条'!G420</f>
        <v>28440000</v>
      </c>
      <c r="E420" s="16">
        <f>'体验表-带进度条'!H420</f>
        <v>102270000</v>
      </c>
      <c r="F420" s="17">
        <f>'体验表-带进度条'!I420</f>
        <v>69.94</v>
      </c>
      <c r="G420" s="14">
        <f>'体验表-带进度条'!J420</f>
        <v>0</v>
      </c>
      <c r="H420" s="19" t="str">
        <f>'体验表-带进度条'!K420</f>
        <v>金币</v>
      </c>
      <c r="I420" s="38">
        <f>'体验表-带进度条'!L420</f>
        <v>9</v>
      </c>
      <c r="J420" s="21">
        <f>'体验表-带进度条'!M420</f>
        <v>28440000</v>
      </c>
      <c r="K420" s="14">
        <f>'体验表-带进度条'!N420</f>
        <v>30849660</v>
      </c>
      <c r="L420" s="22">
        <f>'体验表-带进度条'!O420</f>
        <v>30.84966</v>
      </c>
      <c r="M420" s="30">
        <f>'体验表-带进度条'!X420</f>
        <v>114944055</v>
      </c>
      <c r="N420" s="23">
        <f>'体验表-带进度条'!AA420</f>
        <v>114.944055</v>
      </c>
      <c r="O420" s="72">
        <f>'体验表-带进度条'!AB420</f>
        <v>1.12392739806395</v>
      </c>
    </row>
    <row r="421" spans="1:15">
      <c r="A421" s="13">
        <f>'体验表-带进度条'!B421</f>
        <v>33</v>
      </c>
      <c r="B421" s="14">
        <f>'体验表-带进度条'!E421</f>
        <v>0</v>
      </c>
      <c r="C421" s="14" t="str">
        <f>'体验表-带进度条'!F421</f>
        <v/>
      </c>
      <c r="D421" s="14">
        <f>'体验表-带进度条'!G421</f>
        <v>0</v>
      </c>
      <c r="E421" s="16">
        <f>'体验表-带进度条'!H421</f>
        <v>0</v>
      </c>
      <c r="F421" s="17">
        <f>'体验表-带进度条'!I421</f>
        <v>0</v>
      </c>
      <c r="G421" s="14">
        <f>'体验表-带进度条'!J421</f>
        <v>0</v>
      </c>
      <c r="H421" s="19" t="str">
        <f>'体验表-带进度条'!K421</f>
        <v>记牌器1个</v>
      </c>
      <c r="I421" s="38">
        <f>'体验表-带进度条'!L421</f>
        <v>3</v>
      </c>
      <c r="J421" s="21">
        <f>'体验表-带进度条'!M421</f>
        <v>6</v>
      </c>
      <c r="K421" s="14">
        <f>'体验表-带进度条'!N421</f>
        <v>0</v>
      </c>
      <c r="L421" s="22">
        <f>'体验表-带进度条'!O421</f>
        <v>0</v>
      </c>
      <c r="M421" s="30">
        <f>'体验表-带进度条'!X421</f>
        <v>0</v>
      </c>
      <c r="N421" s="23">
        <f>'体验表-带进度条'!AA421</f>
        <v>0</v>
      </c>
      <c r="O421" s="72">
        <f>'体验表-带进度条'!AB421</f>
        <v>0</v>
      </c>
    </row>
    <row r="422" spans="1:15">
      <c r="A422" s="13">
        <f>'体验表-带进度条'!B422</f>
        <v>34</v>
      </c>
      <c r="B422" s="14">
        <f>'体验表-带进度条'!E422</f>
        <v>0</v>
      </c>
      <c r="C422" s="14" t="str">
        <f>'体验表-带进度条'!F422</f>
        <v/>
      </c>
      <c r="D422" s="14">
        <f>'体验表-带进度条'!G422</f>
        <v>0</v>
      </c>
      <c r="E422" s="16">
        <f>'体验表-带进度条'!H422</f>
        <v>0</v>
      </c>
      <c r="F422" s="17">
        <f>'体验表-带进度条'!I422</f>
        <v>0</v>
      </c>
      <c r="G422" s="14">
        <f>'体验表-带进度条'!J422</f>
        <v>0.12</v>
      </c>
      <c r="H422" s="19" t="str">
        <f>'体验表-带进度条'!K422</f>
        <v>金币</v>
      </c>
      <c r="I422" s="38">
        <f>'体验表-带进度条'!L422</f>
        <v>17</v>
      </c>
      <c r="J422" s="21">
        <f>'体验表-带进度条'!M422</f>
        <v>2409660</v>
      </c>
      <c r="K422" s="14">
        <f>'体验表-带进度条'!N422</f>
        <v>0</v>
      </c>
      <c r="L422" s="22">
        <f>'体验表-带进度条'!O422</f>
        <v>0</v>
      </c>
      <c r="M422" s="30">
        <f>'体验表-带进度条'!X422</f>
        <v>0</v>
      </c>
      <c r="N422" s="23">
        <f>'体验表-带进度条'!AA422</f>
        <v>0</v>
      </c>
      <c r="O422" s="72">
        <f>'体验表-带进度条'!AB422</f>
        <v>0</v>
      </c>
    </row>
    <row r="423" spans="1:15">
      <c r="A423" s="13">
        <f>'体验表-带进度条'!B423</f>
        <v>35</v>
      </c>
      <c r="B423" s="14">
        <f>'体验表-带进度条'!E423</f>
        <v>0</v>
      </c>
      <c r="C423" s="14" t="str">
        <f>'体验表-带进度条'!F423</f>
        <v/>
      </c>
      <c r="D423" s="14">
        <f>'体验表-带进度条'!G423</f>
        <v>0</v>
      </c>
      <c r="E423" s="16">
        <f>'体验表-带进度条'!H423</f>
        <v>0</v>
      </c>
      <c r="F423" s="17">
        <f>'体验表-带进度条'!I423</f>
        <v>0</v>
      </c>
      <c r="G423" s="14">
        <f>'体验表-带进度条'!J423</f>
        <v>0</v>
      </c>
      <c r="H423" s="19" t="str">
        <f>'体验表-带进度条'!K423</f>
        <v>卡包5星</v>
      </c>
      <c r="I423" s="38">
        <f>'体验表-带进度条'!L423</f>
        <v>4</v>
      </c>
      <c r="J423" s="21">
        <f>'体验表-带进度条'!M423</f>
        <v>1</v>
      </c>
      <c r="K423" s="14">
        <f>'体验表-带进度条'!N423</f>
        <v>0</v>
      </c>
      <c r="L423" s="22">
        <f>'体验表-带进度条'!O423</f>
        <v>0</v>
      </c>
      <c r="M423" s="30">
        <f>'体验表-带进度条'!X423</f>
        <v>0</v>
      </c>
      <c r="N423" s="23">
        <f>'体验表-带进度条'!AA423</f>
        <v>0</v>
      </c>
      <c r="O423" s="72">
        <f>'体验表-带进度条'!AB423</f>
        <v>0</v>
      </c>
    </row>
    <row r="424" spans="1:15">
      <c r="A424" s="13">
        <f>'体验表-带进度条'!B424</f>
        <v>36</v>
      </c>
      <c r="B424" s="14">
        <f>'体验表-带进度条'!E424</f>
        <v>0</v>
      </c>
      <c r="C424" s="14" t="str">
        <f>'体验表-带进度条'!F424</f>
        <v/>
      </c>
      <c r="D424" s="14">
        <f>'体验表-带进度条'!G424</f>
        <v>0</v>
      </c>
      <c r="E424" s="16">
        <f>'体验表-带进度条'!H424</f>
        <v>0</v>
      </c>
      <c r="F424" s="17">
        <f>'体验表-带进度条'!I424</f>
        <v>0</v>
      </c>
      <c r="G424" s="14">
        <f>'体验表-带进度条'!J424</f>
        <v>0</v>
      </c>
      <c r="H424" s="19" t="str">
        <f>'体验表-带进度条'!K424</f>
        <v>老虎机抽奖券</v>
      </c>
      <c r="I424" s="38">
        <f>'体验表-带进度条'!L424</f>
        <v>3</v>
      </c>
      <c r="J424" s="21">
        <f>'体验表-带进度条'!M424</f>
        <v>30</v>
      </c>
      <c r="K424" s="14">
        <f>'体验表-带进度条'!N424</f>
        <v>0</v>
      </c>
      <c r="L424" s="22">
        <f>'体验表-带进度条'!O424</f>
        <v>0</v>
      </c>
      <c r="M424" s="30">
        <f>'体验表-带进度条'!X424</f>
        <v>0</v>
      </c>
      <c r="N424" s="23">
        <f>'体验表-带进度条'!AA424</f>
        <v>0</v>
      </c>
      <c r="O424" s="72">
        <f>'体验表-带进度条'!AB424</f>
        <v>0</v>
      </c>
    </row>
    <row r="425" spans="1:15">
      <c r="A425" s="13">
        <f>'体验表-带进度条'!B425</f>
        <v>37</v>
      </c>
      <c r="B425" s="14">
        <f>'体验表-带进度条'!E425</f>
        <v>0</v>
      </c>
      <c r="C425" s="14" t="str">
        <f>'体验表-带进度条'!F425</f>
        <v/>
      </c>
      <c r="D425" s="14">
        <f>'体验表-带进度条'!G425</f>
        <v>0</v>
      </c>
      <c r="E425" s="16">
        <f>'体验表-带进度条'!H425</f>
        <v>0</v>
      </c>
      <c r="F425" s="17">
        <f>'体验表-带进度条'!I425</f>
        <v>0</v>
      </c>
      <c r="G425" s="14">
        <f>'体验表-带进度条'!J425</f>
        <v>0</v>
      </c>
      <c r="H425" s="19" t="str">
        <f>'体验表-带进度条'!K425</f>
        <v>大奖赛报名券</v>
      </c>
      <c r="I425" s="38">
        <f>'体验表-带进度条'!L425</f>
        <v>3</v>
      </c>
      <c r="J425" s="21">
        <f>'体验表-带进度条'!M425</f>
        <v>1</v>
      </c>
      <c r="K425" s="14">
        <f>'体验表-带进度条'!N425</f>
        <v>0</v>
      </c>
      <c r="L425" s="22">
        <f>'体验表-带进度条'!O425</f>
        <v>0</v>
      </c>
      <c r="M425" s="30">
        <f>'体验表-带进度条'!X425</f>
        <v>0</v>
      </c>
      <c r="N425" s="23">
        <f>'体验表-带进度条'!AA425</f>
        <v>0</v>
      </c>
      <c r="O425" s="72">
        <f>'体验表-带进度条'!AB425</f>
        <v>0</v>
      </c>
    </row>
    <row r="426" spans="1:15">
      <c r="A426" s="13">
        <f>'体验表-带进度条'!B426</f>
        <v>38</v>
      </c>
      <c r="B426" s="14">
        <f>'体验表-带进度条'!E426</f>
        <v>19.99</v>
      </c>
      <c r="C426" s="14">
        <f>'体验表-带进度条'!F426</f>
        <v>158</v>
      </c>
      <c r="D426" s="14">
        <f>'体验表-带进度条'!G426</f>
        <v>31600000</v>
      </c>
      <c r="E426" s="16">
        <f>'体验表-带进度条'!H426</f>
        <v>133870000</v>
      </c>
      <c r="F426" s="17">
        <f>'体验表-带进度条'!I426</f>
        <v>89.93</v>
      </c>
      <c r="G426" s="14">
        <f>'体验表-带进度条'!J426</f>
        <v>0.45</v>
      </c>
      <c r="H426" s="19" t="str">
        <f>'体验表-带进度条'!K426</f>
        <v>金币</v>
      </c>
      <c r="I426" s="38">
        <f>'体验表-带进度条'!L426</f>
        <v>9</v>
      </c>
      <c r="J426" s="21">
        <f>'体验表-带进度条'!M426</f>
        <v>31600000</v>
      </c>
      <c r="K426" s="14">
        <f>'体验表-带进度条'!N426</f>
        <v>34009660</v>
      </c>
      <c r="L426" s="22">
        <f>'体验表-带进度条'!O426</f>
        <v>34.00966</v>
      </c>
      <c r="M426" s="30">
        <f>'体验表-带进度条'!X426</f>
        <v>152998990</v>
      </c>
      <c r="N426" s="23">
        <f>'体验表-带进度条'!AA426</f>
        <v>152.99899</v>
      </c>
      <c r="O426" s="72">
        <f>'体验表-带进度条'!AB426</f>
        <v>1.14289228355868</v>
      </c>
    </row>
    <row r="427" spans="1:15">
      <c r="A427" s="13">
        <f>'体验表-带进度条'!B427</f>
        <v>39</v>
      </c>
      <c r="B427" s="14">
        <f>'体验表-带进度条'!E427</f>
        <v>0</v>
      </c>
      <c r="C427" s="14" t="str">
        <f>'体验表-带进度条'!F427</f>
        <v/>
      </c>
      <c r="D427" s="14">
        <f>'体验表-带进度条'!G427</f>
        <v>0</v>
      </c>
      <c r="E427" s="16">
        <f>'体验表-带进度条'!H427</f>
        <v>0</v>
      </c>
      <c r="F427" s="17">
        <f>'体验表-带进度条'!I427</f>
        <v>0</v>
      </c>
      <c r="G427" s="14">
        <f>'体验表-带进度条'!J427</f>
        <v>0</v>
      </c>
      <c r="H427" s="19" t="str">
        <f>'体验表-带进度条'!K427</f>
        <v>记牌器1个</v>
      </c>
      <c r="I427" s="38">
        <f>'体验表-带进度条'!L427</f>
        <v>3</v>
      </c>
      <c r="J427" s="21">
        <f>'体验表-带进度条'!M427</f>
        <v>7</v>
      </c>
      <c r="K427" s="14">
        <f>'体验表-带进度条'!N427</f>
        <v>0</v>
      </c>
      <c r="L427" s="22">
        <f>'体验表-带进度条'!O427</f>
        <v>0</v>
      </c>
      <c r="M427" s="30">
        <f>'体验表-带进度条'!X427</f>
        <v>0</v>
      </c>
      <c r="N427" s="23">
        <f>'体验表-带进度条'!AA427</f>
        <v>0</v>
      </c>
      <c r="O427" s="72">
        <f>'体验表-带进度条'!AB427</f>
        <v>0</v>
      </c>
    </row>
    <row r="428" spans="1:15">
      <c r="A428" s="13">
        <f>'体验表-带进度条'!B428</f>
        <v>40</v>
      </c>
      <c r="B428" s="14">
        <f>'体验表-带进度条'!E428</f>
        <v>0</v>
      </c>
      <c r="C428" s="14" t="str">
        <f>'体验表-带进度条'!F428</f>
        <v/>
      </c>
      <c r="D428" s="14">
        <f>'体验表-带进度条'!G428</f>
        <v>0</v>
      </c>
      <c r="E428" s="16">
        <f>'体验表-带进度条'!H428</f>
        <v>0</v>
      </c>
      <c r="F428" s="17">
        <f>'体验表-带进度条'!I428</f>
        <v>0</v>
      </c>
      <c r="G428" s="14">
        <f>'体验表-带进度条'!J428</f>
        <v>0.12</v>
      </c>
      <c r="H428" s="19" t="str">
        <f>'体验表-带进度条'!K428</f>
        <v>金币</v>
      </c>
      <c r="I428" s="38">
        <f>'体验表-带进度条'!L428</f>
        <v>17</v>
      </c>
      <c r="J428" s="21">
        <f>'体验表-带进度条'!M428</f>
        <v>2409660</v>
      </c>
      <c r="K428" s="14">
        <f>'体验表-带进度条'!N428</f>
        <v>0</v>
      </c>
      <c r="L428" s="22">
        <f>'体验表-带进度条'!O428</f>
        <v>0</v>
      </c>
      <c r="M428" s="30">
        <f>'体验表-带进度条'!X428</f>
        <v>0</v>
      </c>
      <c r="N428" s="23">
        <f>'体验表-带进度条'!AA428</f>
        <v>0</v>
      </c>
      <c r="O428" s="72">
        <f>'体验表-带进度条'!AB428</f>
        <v>0</v>
      </c>
    </row>
    <row r="429" spans="1:15">
      <c r="A429" s="13">
        <f>'体验表-带进度条'!B429</f>
        <v>41</v>
      </c>
      <c r="B429" s="14">
        <f>'体验表-带进度条'!E429</f>
        <v>0</v>
      </c>
      <c r="C429" s="14" t="str">
        <f>'体验表-带进度条'!F429</f>
        <v/>
      </c>
      <c r="D429" s="14">
        <f>'体验表-带进度条'!G429</f>
        <v>0</v>
      </c>
      <c r="E429" s="16">
        <f>'体验表-带进度条'!H429</f>
        <v>0</v>
      </c>
      <c r="F429" s="17">
        <f>'体验表-带进度条'!I429</f>
        <v>0</v>
      </c>
      <c r="G429" s="14">
        <f>'体验表-带进度条'!J429</f>
        <v>0</v>
      </c>
      <c r="H429" s="19" t="str">
        <f>'体验表-带进度条'!K429</f>
        <v>卡包fun卡</v>
      </c>
      <c r="I429" s="38">
        <f>'体验表-带进度条'!L429</f>
        <v>4</v>
      </c>
      <c r="J429" s="21">
        <f>'体验表-带进度条'!M429</f>
        <v>1</v>
      </c>
      <c r="K429" s="14">
        <f>'体验表-带进度条'!N429</f>
        <v>0</v>
      </c>
      <c r="L429" s="22">
        <f>'体验表-带进度条'!O429</f>
        <v>0</v>
      </c>
      <c r="M429" s="30">
        <f>'体验表-带进度条'!X429</f>
        <v>0</v>
      </c>
      <c r="N429" s="23">
        <f>'体验表-带进度条'!AA429</f>
        <v>0</v>
      </c>
      <c r="O429" s="72">
        <f>'体验表-带进度条'!AB429</f>
        <v>0</v>
      </c>
    </row>
    <row r="430" spans="1:15">
      <c r="A430" s="13">
        <f>'体验表-带进度条'!B430</f>
        <v>42</v>
      </c>
      <c r="B430" s="14">
        <f>'体验表-带进度条'!E430</f>
        <v>0</v>
      </c>
      <c r="C430" s="14" t="str">
        <f>'体验表-带进度条'!F430</f>
        <v/>
      </c>
      <c r="D430" s="14">
        <f>'体验表-带进度条'!G430</f>
        <v>0</v>
      </c>
      <c r="E430" s="16">
        <f>'体验表-带进度条'!H430</f>
        <v>0</v>
      </c>
      <c r="F430" s="17">
        <f>'体验表-带进度条'!I430</f>
        <v>0</v>
      </c>
      <c r="G430" s="14">
        <f>'体验表-带进度条'!J430</f>
        <v>0</v>
      </c>
      <c r="H430" s="19" t="str">
        <f>'体验表-带进度条'!K430</f>
        <v>老虎机抽奖券</v>
      </c>
      <c r="I430" s="38">
        <f>'体验表-带进度条'!L430</f>
        <v>3</v>
      </c>
      <c r="J430" s="21">
        <f>'体验表-带进度条'!M430</f>
        <v>35</v>
      </c>
      <c r="K430" s="14">
        <f>'体验表-带进度条'!N430</f>
        <v>0</v>
      </c>
      <c r="L430" s="22">
        <f>'体验表-带进度条'!O430</f>
        <v>0</v>
      </c>
      <c r="M430" s="30">
        <f>'体验表-带进度条'!X430</f>
        <v>0</v>
      </c>
      <c r="N430" s="23">
        <f>'体验表-带进度条'!AA430</f>
        <v>0</v>
      </c>
      <c r="O430" s="72">
        <f>'体验表-带进度条'!AB430</f>
        <v>0</v>
      </c>
    </row>
    <row r="431" spans="1:15">
      <c r="A431" s="13">
        <f>'体验表-带进度条'!B431</f>
        <v>43</v>
      </c>
      <c r="B431" s="14">
        <f>'体验表-带进度条'!E431</f>
        <v>0</v>
      </c>
      <c r="C431" s="14" t="str">
        <f>'体验表-带进度条'!F431</f>
        <v/>
      </c>
      <c r="D431" s="14">
        <f>'体验表-带进度条'!G431</f>
        <v>0</v>
      </c>
      <c r="E431" s="16">
        <f>'体验表-带进度条'!H431</f>
        <v>0</v>
      </c>
      <c r="F431" s="17">
        <f>'体验表-带进度条'!I431</f>
        <v>0</v>
      </c>
      <c r="G431" s="14">
        <f>'体验表-带进度条'!J431</f>
        <v>0</v>
      </c>
      <c r="H431" s="19" t="str">
        <f>'体验表-带进度条'!K431</f>
        <v>大奖赛复活券</v>
      </c>
      <c r="I431" s="38">
        <f>'体验表-带进度条'!L431</f>
        <v>3</v>
      </c>
      <c r="J431" s="21">
        <f>'体验表-带进度条'!M431</f>
        <v>1</v>
      </c>
      <c r="K431" s="14">
        <f>'体验表-带进度条'!N431</f>
        <v>0</v>
      </c>
      <c r="L431" s="22">
        <f>'体验表-带进度条'!O431</f>
        <v>0</v>
      </c>
      <c r="M431" s="30">
        <f>'体验表-带进度条'!X431</f>
        <v>0</v>
      </c>
      <c r="N431" s="23">
        <f>'体验表-带进度条'!AA431</f>
        <v>0</v>
      </c>
      <c r="O431" s="72">
        <f>'体验表-带进度条'!AB431</f>
        <v>0</v>
      </c>
    </row>
    <row r="432" spans="1:15">
      <c r="A432" s="13">
        <f>'体验表-带进度条'!B432</f>
        <v>1</v>
      </c>
      <c r="B432" s="14">
        <f>'体验表-带进度条'!E432</f>
        <v>0</v>
      </c>
      <c r="C432" s="14" t="str">
        <f>'体验表-带进度条'!F432</f>
        <v/>
      </c>
      <c r="D432" s="14">
        <f>'体验表-带进度条'!G432</f>
        <v>0</v>
      </c>
      <c r="E432" s="16">
        <f>'体验表-带进度条'!H432</f>
        <v>0</v>
      </c>
      <c r="F432" s="17">
        <f>'体验表-带进度条'!I432</f>
        <v>0</v>
      </c>
      <c r="G432" s="14">
        <f>'体验表-带进度条'!J432</f>
        <v>0</v>
      </c>
      <c r="H432" s="19" t="str">
        <f>'体验表-带进度条'!K432</f>
        <v>金币</v>
      </c>
      <c r="I432" s="38">
        <f>'体验表-带进度条'!L432</f>
        <v>1</v>
      </c>
      <c r="J432" s="21">
        <f>'体验表-带进度条'!M432</f>
        <v>5000</v>
      </c>
      <c r="K432" s="14">
        <f>'体验表-带进度条'!N432</f>
        <v>0</v>
      </c>
      <c r="L432" s="22">
        <f>'体验表-带进度条'!O432</f>
        <v>0</v>
      </c>
      <c r="M432" s="30">
        <f>'体验表-带进度条'!X432</f>
        <v>0</v>
      </c>
      <c r="N432" s="23">
        <f>'体验表-带进度条'!AA432</f>
        <v>0</v>
      </c>
      <c r="O432" s="72">
        <f>'体验表-带进度条'!AB432</f>
        <v>0</v>
      </c>
    </row>
    <row r="433" spans="1:15">
      <c r="A433" s="13">
        <f>'体验表-带进度条'!B433</f>
        <v>2</v>
      </c>
      <c r="B433" s="14">
        <f>'体验表-带进度条'!E433</f>
        <v>5.99</v>
      </c>
      <c r="C433" s="14">
        <f>'体验表-带进度条'!F433</f>
        <v>119</v>
      </c>
      <c r="D433" s="14">
        <f>'体验表-带进度条'!G433</f>
        <v>7140000</v>
      </c>
      <c r="E433" s="16">
        <f>'体验表-带进度条'!H433</f>
        <v>7140000</v>
      </c>
      <c r="F433" s="17">
        <f>'体验表-带进度条'!I433</f>
        <v>5.99</v>
      </c>
      <c r="G433" s="14">
        <f>'体验表-带进度条'!J433</f>
        <v>0</v>
      </c>
      <c r="H433" s="19" t="str">
        <f>'体验表-带进度条'!K433</f>
        <v>金币</v>
      </c>
      <c r="I433" s="38">
        <f>'体验表-带进度条'!L433</f>
        <v>9</v>
      </c>
      <c r="J433" s="21">
        <f>'体验表-带进度条'!M433</f>
        <v>7140000</v>
      </c>
      <c r="K433" s="14">
        <f>'体验表-带进度条'!N433</f>
        <v>9148050</v>
      </c>
      <c r="L433" s="22">
        <f>'体验表-带进度条'!O433</f>
        <v>9.14805</v>
      </c>
      <c r="M433" s="30">
        <f>'体验表-带进度条'!X433</f>
        <v>9148050</v>
      </c>
      <c r="N433" s="23">
        <f>'体验表-带进度条'!AA433</f>
        <v>9.14805</v>
      </c>
      <c r="O433" s="72">
        <f>'体验表-带进度条'!AB433</f>
        <v>1.28123949579832</v>
      </c>
    </row>
    <row r="434" spans="1:15">
      <c r="A434" s="13">
        <f>'体验表-带进度条'!B434</f>
        <v>3</v>
      </c>
      <c r="B434" s="14">
        <f>'体验表-带进度条'!E434</f>
        <v>0</v>
      </c>
      <c r="C434" s="14" t="str">
        <f>'体验表-带进度条'!F434</f>
        <v/>
      </c>
      <c r="D434" s="14">
        <f>'体验表-带进度条'!G434</f>
        <v>0</v>
      </c>
      <c r="E434" s="16">
        <f>'体验表-带进度条'!H434</f>
        <v>0</v>
      </c>
      <c r="F434" s="17">
        <f>'体验表-带进度条'!I434</f>
        <v>0</v>
      </c>
      <c r="G434" s="14">
        <f>'体验表-带进度条'!J434</f>
        <v>0</v>
      </c>
      <c r="H434" s="19" t="str">
        <f>'体验表-带进度条'!K434</f>
        <v>记牌器1个</v>
      </c>
      <c r="I434" s="38">
        <f>'体验表-带进度条'!L434</f>
        <v>3</v>
      </c>
      <c r="J434" s="21">
        <f>'体验表-带进度条'!M434</f>
        <v>1</v>
      </c>
      <c r="K434" s="14">
        <f>'体验表-带进度条'!N434</f>
        <v>0</v>
      </c>
      <c r="L434" s="22">
        <f>'体验表-带进度条'!O434</f>
        <v>0</v>
      </c>
      <c r="M434" s="30">
        <f>'体验表-带进度条'!X434</f>
        <v>0</v>
      </c>
      <c r="N434" s="23">
        <f>'体验表-带进度条'!AA434</f>
        <v>0</v>
      </c>
      <c r="O434" s="72">
        <f>'体验表-带进度条'!AB434</f>
        <v>0</v>
      </c>
    </row>
    <row r="435" spans="1:15">
      <c r="A435" s="13">
        <f>'体验表-带进度条'!B435</f>
        <v>4</v>
      </c>
      <c r="B435" s="14">
        <f>'体验表-带进度条'!E435</f>
        <v>0</v>
      </c>
      <c r="C435" s="14" t="str">
        <f>'体验表-带进度条'!F435</f>
        <v/>
      </c>
      <c r="D435" s="14">
        <f>'体验表-带进度条'!G435</f>
        <v>0</v>
      </c>
      <c r="E435" s="16">
        <f>'体验表-带进度条'!H435</f>
        <v>0</v>
      </c>
      <c r="F435" s="17">
        <f>'体验表-带进度条'!I435</f>
        <v>0</v>
      </c>
      <c r="G435" s="14">
        <f>'体验表-带进度条'!J435</f>
        <v>0.1</v>
      </c>
      <c r="H435" s="19" t="str">
        <f>'体验表-带进度条'!K435</f>
        <v>金币</v>
      </c>
      <c r="I435" s="38">
        <f>'体验表-带进度条'!L435</f>
        <v>17</v>
      </c>
      <c r="J435" s="21">
        <f>'体验表-带进度条'!M435</f>
        <v>2008050</v>
      </c>
      <c r="K435" s="14">
        <f>'体验表-带进度条'!N435</f>
        <v>0</v>
      </c>
      <c r="L435" s="22">
        <f>'体验表-带进度条'!O435</f>
        <v>0</v>
      </c>
      <c r="M435" s="30">
        <f>'体验表-带进度条'!X435</f>
        <v>0</v>
      </c>
      <c r="N435" s="23">
        <f>'体验表-带进度条'!AA435</f>
        <v>0</v>
      </c>
      <c r="O435" s="72">
        <f>'体验表-带进度条'!AB435</f>
        <v>0</v>
      </c>
    </row>
    <row r="436" spans="1:15">
      <c r="A436" s="13">
        <f>'体验表-带进度条'!B436</f>
        <v>5</v>
      </c>
      <c r="B436" s="14">
        <f>'体验表-带进度条'!E436</f>
        <v>0</v>
      </c>
      <c r="C436" s="14" t="str">
        <f>'体验表-带进度条'!F436</f>
        <v/>
      </c>
      <c r="D436" s="14">
        <f>'体验表-带进度条'!G436</f>
        <v>0</v>
      </c>
      <c r="E436" s="16">
        <f>'体验表-带进度条'!H436</f>
        <v>0</v>
      </c>
      <c r="F436" s="17">
        <f>'体验表-带进度条'!I436</f>
        <v>0</v>
      </c>
      <c r="G436" s="14">
        <f>'体验表-带进度条'!J436</f>
        <v>0</v>
      </c>
      <c r="H436" s="19" t="str">
        <f>'体验表-带进度条'!K436</f>
        <v>卡包2星</v>
      </c>
      <c r="I436" s="38">
        <f>'体验表-带进度条'!L436</f>
        <v>4</v>
      </c>
      <c r="J436" s="21">
        <f>'体验表-带进度条'!M436</f>
        <v>1</v>
      </c>
      <c r="K436" s="14">
        <f>'体验表-带进度条'!N436</f>
        <v>0</v>
      </c>
      <c r="L436" s="22">
        <f>'体验表-带进度条'!O436</f>
        <v>0</v>
      </c>
      <c r="M436" s="30">
        <f>'体验表-带进度条'!X436</f>
        <v>0</v>
      </c>
      <c r="N436" s="23">
        <f>'体验表-带进度条'!AA436</f>
        <v>0</v>
      </c>
      <c r="O436" s="72">
        <f>'体验表-带进度条'!AB436</f>
        <v>0</v>
      </c>
    </row>
    <row r="437" spans="1:15">
      <c r="A437" s="13">
        <f>'体验表-带进度条'!B437</f>
        <v>6</v>
      </c>
      <c r="B437" s="14">
        <f>'体验表-带进度条'!E437</f>
        <v>0</v>
      </c>
      <c r="C437" s="14" t="str">
        <f>'体验表-带进度条'!F437</f>
        <v/>
      </c>
      <c r="D437" s="14">
        <f>'体验表-带进度条'!G437</f>
        <v>0</v>
      </c>
      <c r="E437" s="16">
        <f>'体验表-带进度条'!H437</f>
        <v>0</v>
      </c>
      <c r="F437" s="17">
        <f>'体验表-带进度条'!I437</f>
        <v>0</v>
      </c>
      <c r="G437" s="14">
        <f>'体验表-带进度条'!J437</f>
        <v>0</v>
      </c>
      <c r="H437" s="19" t="str">
        <f>'体验表-带进度条'!K437</f>
        <v>老虎机抽奖券</v>
      </c>
      <c r="I437" s="38">
        <f>'体验表-带进度条'!L437</f>
        <v>3</v>
      </c>
      <c r="J437" s="21">
        <f>'体验表-带进度条'!M437</f>
        <v>5</v>
      </c>
      <c r="K437" s="14">
        <f>'体验表-带进度条'!N437</f>
        <v>0</v>
      </c>
      <c r="L437" s="22">
        <f>'体验表-带进度条'!O437</f>
        <v>0</v>
      </c>
      <c r="M437" s="30">
        <f>'体验表-带进度条'!X437</f>
        <v>0</v>
      </c>
      <c r="N437" s="23">
        <f>'体验表-带进度条'!AA437</f>
        <v>0</v>
      </c>
      <c r="O437" s="72">
        <f>'体验表-带进度条'!AB437</f>
        <v>0</v>
      </c>
    </row>
    <row r="438" spans="1:15">
      <c r="A438" s="13">
        <f>'体验表-带进度条'!B438</f>
        <v>7</v>
      </c>
      <c r="B438" s="14">
        <f>'体验表-带进度条'!E438</f>
        <v>0</v>
      </c>
      <c r="C438" s="14" t="str">
        <f>'体验表-带进度条'!F438</f>
        <v/>
      </c>
      <c r="D438" s="14">
        <f>'体验表-带进度条'!G438</f>
        <v>0</v>
      </c>
      <c r="E438" s="16">
        <f>'体验表-带进度条'!H438</f>
        <v>0</v>
      </c>
      <c r="F438" s="17">
        <f>'体验表-带进度条'!I438</f>
        <v>0</v>
      </c>
      <c r="G438" s="14">
        <f>'体验表-带进度条'!J438</f>
        <v>0</v>
      </c>
      <c r="H438" s="19" t="str">
        <f>'体验表-带进度条'!K438</f>
        <v>大奖赛复活券</v>
      </c>
      <c r="I438" s="38">
        <f>'体验表-带进度条'!L438</f>
        <v>3</v>
      </c>
      <c r="J438" s="21">
        <f>'体验表-带进度条'!M438</f>
        <v>1</v>
      </c>
      <c r="K438" s="14">
        <f>'体验表-带进度条'!N438</f>
        <v>0</v>
      </c>
      <c r="L438" s="22">
        <f>'体验表-带进度条'!O438</f>
        <v>0</v>
      </c>
      <c r="M438" s="30">
        <f>'体验表-带进度条'!X438</f>
        <v>0</v>
      </c>
      <c r="N438" s="23">
        <f>'体验表-带进度条'!AA438</f>
        <v>0</v>
      </c>
      <c r="O438" s="72">
        <f>'体验表-带进度条'!AB438</f>
        <v>0</v>
      </c>
    </row>
    <row r="439" spans="1:15">
      <c r="A439" s="13">
        <f>'体验表-带进度条'!B439</f>
        <v>8</v>
      </c>
      <c r="B439" s="14">
        <f>'体验表-带进度条'!E439</f>
        <v>7.99</v>
      </c>
      <c r="C439" s="14">
        <f>'体验表-带进度条'!F439</f>
        <v>129</v>
      </c>
      <c r="D439" s="14">
        <f>'体验表-带进度条'!G439</f>
        <v>10320000</v>
      </c>
      <c r="E439" s="16">
        <f>'体验表-带进度条'!H439</f>
        <v>17460000</v>
      </c>
      <c r="F439" s="17">
        <f>'体验表-带进度条'!I439</f>
        <v>13.98</v>
      </c>
      <c r="G439" s="14">
        <f>'体验表-带进度条'!J439</f>
        <v>0.12</v>
      </c>
      <c r="H439" s="19" t="str">
        <f>'体验表-带进度条'!K439</f>
        <v>金币</v>
      </c>
      <c r="I439" s="38">
        <f>'体验表-带进度条'!L439</f>
        <v>9</v>
      </c>
      <c r="J439" s="21">
        <f>'体验表-带进度条'!M439</f>
        <v>10320000</v>
      </c>
      <c r="K439" s="14">
        <f>'体验表-带进度条'!N439</f>
        <v>10721610</v>
      </c>
      <c r="L439" s="22">
        <f>'体验表-带进度条'!O439</f>
        <v>10.72161</v>
      </c>
      <c r="M439" s="30">
        <f>'体验表-带进度条'!X439</f>
        <v>20948400</v>
      </c>
      <c r="N439" s="23">
        <f>'体验表-带进度条'!AA439</f>
        <v>20.9484</v>
      </c>
      <c r="O439" s="72">
        <f>'体验表-带进度条'!AB439</f>
        <v>1.19979381443299</v>
      </c>
    </row>
    <row r="440" spans="1:15">
      <c r="A440" s="13">
        <f>'体验表-带进度条'!B440</f>
        <v>9</v>
      </c>
      <c r="B440" s="14">
        <f>'体验表-带进度条'!E440</f>
        <v>0</v>
      </c>
      <c r="C440" s="14" t="str">
        <f>'体验表-带进度条'!F440</f>
        <v/>
      </c>
      <c r="D440" s="14">
        <f>'体验表-带进度条'!G440</f>
        <v>0</v>
      </c>
      <c r="E440" s="16">
        <f>'体验表-带进度条'!H440</f>
        <v>0</v>
      </c>
      <c r="F440" s="17">
        <f>'体验表-带进度条'!I440</f>
        <v>0</v>
      </c>
      <c r="G440" s="14">
        <f>'体验表-带进度条'!J440</f>
        <v>0</v>
      </c>
      <c r="H440" s="19" t="str">
        <f>'体验表-带进度条'!K440</f>
        <v>记牌器1个</v>
      </c>
      <c r="I440" s="38">
        <f>'体验表-带进度条'!L440</f>
        <v>3</v>
      </c>
      <c r="J440" s="21">
        <f>'体验表-带进度条'!M440</f>
        <v>2</v>
      </c>
      <c r="K440" s="14">
        <f>'体验表-带进度条'!N440</f>
        <v>0</v>
      </c>
      <c r="L440" s="22">
        <f>'体验表-带进度条'!O440</f>
        <v>0</v>
      </c>
      <c r="M440" s="30">
        <f>'体验表-带进度条'!X440</f>
        <v>0</v>
      </c>
      <c r="N440" s="23">
        <f>'体验表-带进度条'!AA440</f>
        <v>0</v>
      </c>
      <c r="O440" s="72">
        <f>'体验表-带进度条'!AB440</f>
        <v>0</v>
      </c>
    </row>
    <row r="441" spans="1:15">
      <c r="A441" s="13">
        <f>'体验表-带进度条'!B441</f>
        <v>10</v>
      </c>
      <c r="B441" s="14">
        <f>'体验表-带进度条'!E441</f>
        <v>0</v>
      </c>
      <c r="C441" s="14" t="str">
        <f>'体验表-带进度条'!F441</f>
        <v/>
      </c>
      <c r="D441" s="14">
        <f>'体验表-带进度条'!G441</f>
        <v>0</v>
      </c>
      <c r="E441" s="16">
        <f>'体验表-带进度条'!H441</f>
        <v>0</v>
      </c>
      <c r="F441" s="17">
        <f>'体验表-带进度条'!I441</f>
        <v>0</v>
      </c>
      <c r="G441" s="14">
        <f>'体验表-带进度条'!J441</f>
        <v>0.02</v>
      </c>
      <c r="H441" s="19" t="str">
        <f>'体验表-带进度条'!K441</f>
        <v>金币</v>
      </c>
      <c r="I441" s="38">
        <f>'体验表-带进度条'!L441</f>
        <v>17</v>
      </c>
      <c r="J441" s="21">
        <f>'体验表-带进度条'!M441</f>
        <v>401610</v>
      </c>
      <c r="K441" s="14">
        <f>'体验表-带进度条'!N441</f>
        <v>0</v>
      </c>
      <c r="L441" s="22">
        <f>'体验表-带进度条'!O441</f>
        <v>0</v>
      </c>
      <c r="M441" s="30">
        <f>'体验表-带进度条'!X441</f>
        <v>0</v>
      </c>
      <c r="N441" s="23">
        <f>'体验表-带进度条'!AA441</f>
        <v>0</v>
      </c>
      <c r="O441" s="72">
        <f>'体验表-带进度条'!AB441</f>
        <v>0</v>
      </c>
    </row>
    <row r="442" spans="1:15">
      <c r="A442" s="13">
        <f>'体验表-带进度条'!B442</f>
        <v>11</v>
      </c>
      <c r="B442" s="14">
        <f>'体验表-带进度条'!E442</f>
        <v>0</v>
      </c>
      <c r="C442" s="14" t="str">
        <f>'体验表-带进度条'!F442</f>
        <v/>
      </c>
      <c r="D442" s="14">
        <f>'体验表-带进度条'!G442</f>
        <v>0</v>
      </c>
      <c r="E442" s="16">
        <f>'体验表-带进度条'!H442</f>
        <v>0</v>
      </c>
      <c r="F442" s="17">
        <f>'体验表-带进度条'!I442</f>
        <v>0</v>
      </c>
      <c r="G442" s="14">
        <f>'体验表-带进度条'!J442</f>
        <v>0</v>
      </c>
      <c r="H442" s="19" t="str">
        <f>'体验表-带进度条'!K442</f>
        <v>卡包3星</v>
      </c>
      <c r="I442" s="38">
        <f>'体验表-带进度条'!L442</f>
        <v>4</v>
      </c>
      <c r="J442" s="21">
        <f>'体验表-带进度条'!M442</f>
        <v>1</v>
      </c>
      <c r="K442" s="14">
        <f>'体验表-带进度条'!N442</f>
        <v>0</v>
      </c>
      <c r="L442" s="22">
        <f>'体验表-带进度条'!O442</f>
        <v>0</v>
      </c>
      <c r="M442" s="30">
        <f>'体验表-带进度条'!X442</f>
        <v>0</v>
      </c>
      <c r="N442" s="23">
        <f>'体验表-带进度条'!AA442</f>
        <v>0</v>
      </c>
      <c r="O442" s="72">
        <f>'体验表-带进度条'!AB442</f>
        <v>0</v>
      </c>
    </row>
    <row r="443" spans="1:15">
      <c r="A443" s="13">
        <f>'体验表-带进度条'!B443</f>
        <v>12</v>
      </c>
      <c r="B443" s="14">
        <f>'体验表-带进度条'!E443</f>
        <v>0</v>
      </c>
      <c r="C443" s="14" t="str">
        <f>'体验表-带进度条'!F443</f>
        <v/>
      </c>
      <c r="D443" s="14">
        <f>'体验表-带进度条'!G443</f>
        <v>0</v>
      </c>
      <c r="E443" s="16">
        <f>'体验表-带进度条'!H443</f>
        <v>0</v>
      </c>
      <c r="F443" s="17">
        <f>'体验表-带进度条'!I443</f>
        <v>0</v>
      </c>
      <c r="G443" s="14">
        <f>'体验表-带进度条'!J443</f>
        <v>0</v>
      </c>
      <c r="H443" s="19" t="str">
        <f>'体验表-带进度条'!K443</f>
        <v>老虎机抽奖券</v>
      </c>
      <c r="I443" s="38">
        <f>'体验表-带进度条'!L443</f>
        <v>3</v>
      </c>
      <c r="J443" s="21">
        <f>'体验表-带进度条'!M443</f>
        <v>10</v>
      </c>
      <c r="K443" s="14">
        <f>'体验表-带进度条'!N443</f>
        <v>0</v>
      </c>
      <c r="L443" s="22">
        <f>'体验表-带进度条'!O443</f>
        <v>0</v>
      </c>
      <c r="M443" s="30">
        <f>'体验表-带进度条'!X443</f>
        <v>0</v>
      </c>
      <c r="N443" s="23">
        <f>'体验表-带进度条'!AA443</f>
        <v>0</v>
      </c>
      <c r="O443" s="72">
        <f>'体验表-带进度条'!AB443</f>
        <v>0</v>
      </c>
    </row>
    <row r="444" spans="1:15">
      <c r="A444" s="13">
        <f>'体验表-带进度条'!B444</f>
        <v>13</v>
      </c>
      <c r="B444" s="14">
        <f>'体验表-带进度条'!E444</f>
        <v>0</v>
      </c>
      <c r="C444" s="14" t="str">
        <f>'体验表-带进度条'!F444</f>
        <v/>
      </c>
      <c r="D444" s="14">
        <f>'体验表-带进度条'!G444</f>
        <v>0</v>
      </c>
      <c r="E444" s="16">
        <f>'体验表-带进度条'!H444</f>
        <v>0</v>
      </c>
      <c r="F444" s="17">
        <f>'体验表-带进度条'!I444</f>
        <v>0</v>
      </c>
      <c r="G444" s="14">
        <f>'体验表-带进度条'!J444</f>
        <v>0</v>
      </c>
      <c r="H444" s="19" t="str">
        <f>'体验表-带进度条'!K444</f>
        <v>大奖赛报名券</v>
      </c>
      <c r="I444" s="38">
        <f>'体验表-带进度条'!L444</f>
        <v>3</v>
      </c>
      <c r="J444" s="21">
        <f>'体验表-带进度条'!M444</f>
        <v>1</v>
      </c>
      <c r="K444" s="14">
        <f>'体验表-带进度条'!N444</f>
        <v>0</v>
      </c>
      <c r="L444" s="22">
        <f>'体验表-带进度条'!O444</f>
        <v>0</v>
      </c>
      <c r="M444" s="30">
        <f>'体验表-带进度条'!X444</f>
        <v>0</v>
      </c>
      <c r="N444" s="23">
        <f>'体验表-带进度条'!AA444</f>
        <v>0</v>
      </c>
      <c r="O444" s="72">
        <f>'体验表-带进度条'!AB444</f>
        <v>0</v>
      </c>
    </row>
    <row r="445" spans="1:15">
      <c r="A445" s="13">
        <f>'体验表-带进度条'!B445</f>
        <v>14</v>
      </c>
      <c r="B445" s="14">
        <f>'体验表-带进度条'!E445</f>
        <v>9.99</v>
      </c>
      <c r="C445" s="14">
        <f>'体验表-带进度条'!F445</f>
        <v>139</v>
      </c>
      <c r="D445" s="14">
        <f>'体验表-带进度条'!G445</f>
        <v>13900000</v>
      </c>
      <c r="E445" s="16">
        <f>'体验表-带进度条'!H445</f>
        <v>31360000</v>
      </c>
      <c r="F445" s="17">
        <f>'体验表-带进度条'!I445</f>
        <v>23.97</v>
      </c>
      <c r="G445" s="14">
        <f>'体验表-带进度条'!J445</f>
        <v>0</v>
      </c>
      <c r="H445" s="19" t="str">
        <f>'体验表-带进度条'!K445</f>
        <v>金币</v>
      </c>
      <c r="I445" s="38">
        <f>'体验表-带进度条'!L445</f>
        <v>9</v>
      </c>
      <c r="J445" s="21">
        <f>'体验表-带进度条'!M445</f>
        <v>13900000</v>
      </c>
      <c r="K445" s="14">
        <f>'体验表-带进度条'!N445</f>
        <v>15908050</v>
      </c>
      <c r="L445" s="22">
        <f>'体验表-带进度条'!O445</f>
        <v>15.90805</v>
      </c>
      <c r="M445" s="30">
        <f>'体验表-带进度条'!X445</f>
        <v>36856450</v>
      </c>
      <c r="N445" s="23">
        <f>'体验表-带进度条'!AA445</f>
        <v>36.85645</v>
      </c>
      <c r="O445" s="72">
        <f>'体验表-带进度条'!AB445</f>
        <v>1.17526945153061</v>
      </c>
    </row>
    <row r="446" spans="1:15">
      <c r="A446" s="13">
        <f>'体验表-带进度条'!B446</f>
        <v>15</v>
      </c>
      <c r="B446" s="14">
        <f>'体验表-带进度条'!E446</f>
        <v>0</v>
      </c>
      <c r="C446" s="14" t="str">
        <f>'体验表-带进度条'!F446</f>
        <v/>
      </c>
      <c r="D446" s="14">
        <f>'体验表-带进度条'!G446</f>
        <v>0</v>
      </c>
      <c r="E446" s="16">
        <f>'体验表-带进度条'!H446</f>
        <v>0</v>
      </c>
      <c r="F446" s="17">
        <f>'体验表-带进度条'!I446</f>
        <v>0</v>
      </c>
      <c r="G446" s="14">
        <f>'体验表-带进度条'!J446</f>
        <v>0</v>
      </c>
      <c r="H446" s="19" t="str">
        <f>'体验表-带进度条'!K446</f>
        <v>记牌器1个</v>
      </c>
      <c r="I446" s="38">
        <f>'体验表-带进度条'!L446</f>
        <v>3</v>
      </c>
      <c r="J446" s="21">
        <f>'体验表-带进度条'!M446</f>
        <v>3</v>
      </c>
      <c r="K446" s="14">
        <f>'体验表-带进度条'!N446</f>
        <v>0</v>
      </c>
      <c r="L446" s="22">
        <f>'体验表-带进度条'!O446</f>
        <v>0</v>
      </c>
      <c r="M446" s="30">
        <f>'体验表-带进度条'!X446</f>
        <v>0</v>
      </c>
      <c r="N446" s="23">
        <f>'体验表-带进度条'!AA446</f>
        <v>0</v>
      </c>
      <c r="O446" s="72">
        <f>'体验表-带进度条'!AB446</f>
        <v>0</v>
      </c>
    </row>
    <row r="447" spans="1:15">
      <c r="A447" s="13">
        <f>'体验表-带进度条'!B447</f>
        <v>16</v>
      </c>
      <c r="B447" s="14">
        <f>'体验表-带进度条'!E447</f>
        <v>0</v>
      </c>
      <c r="C447" s="14" t="str">
        <f>'体验表-带进度条'!F447</f>
        <v/>
      </c>
      <c r="D447" s="14">
        <f>'体验表-带进度条'!G447</f>
        <v>0</v>
      </c>
      <c r="E447" s="16">
        <f>'体验表-带进度条'!H447</f>
        <v>0</v>
      </c>
      <c r="F447" s="17">
        <f>'体验表-带进度条'!I447</f>
        <v>0</v>
      </c>
      <c r="G447" s="14">
        <f>'体验表-带进度条'!J447</f>
        <v>0.1</v>
      </c>
      <c r="H447" s="19" t="str">
        <f>'体验表-带进度条'!K447</f>
        <v>金币</v>
      </c>
      <c r="I447" s="38">
        <f>'体验表-带进度条'!L447</f>
        <v>17</v>
      </c>
      <c r="J447" s="21">
        <f>'体验表-带进度条'!M447</f>
        <v>2008050</v>
      </c>
      <c r="K447" s="14">
        <f>'体验表-带进度条'!N447</f>
        <v>0</v>
      </c>
      <c r="L447" s="22">
        <f>'体验表-带进度条'!O447</f>
        <v>0</v>
      </c>
      <c r="M447" s="30">
        <f>'体验表-带进度条'!X447</f>
        <v>0</v>
      </c>
      <c r="N447" s="23">
        <f>'体验表-带进度条'!AA447</f>
        <v>0</v>
      </c>
      <c r="O447" s="72">
        <f>'体验表-带进度条'!AB447</f>
        <v>0</v>
      </c>
    </row>
    <row r="448" spans="1:15">
      <c r="A448" s="13">
        <f>'体验表-带进度条'!B448</f>
        <v>17</v>
      </c>
      <c r="B448" s="14">
        <f>'体验表-带进度条'!E448</f>
        <v>0</v>
      </c>
      <c r="C448" s="14" t="str">
        <f>'体验表-带进度条'!F448</f>
        <v/>
      </c>
      <c r="D448" s="14">
        <f>'体验表-带进度条'!G448</f>
        <v>0</v>
      </c>
      <c r="E448" s="16">
        <f>'体验表-带进度条'!H448</f>
        <v>0</v>
      </c>
      <c r="F448" s="17">
        <f>'体验表-带进度条'!I448</f>
        <v>0</v>
      </c>
      <c r="G448" s="14">
        <f>'体验表-带进度条'!J448</f>
        <v>0</v>
      </c>
      <c r="H448" s="19" t="str">
        <f>'体验表-带进度条'!K448</f>
        <v>卡包4星</v>
      </c>
      <c r="I448" s="38">
        <f>'体验表-带进度条'!L448</f>
        <v>4</v>
      </c>
      <c r="J448" s="21">
        <f>'体验表-带进度条'!M448</f>
        <v>1</v>
      </c>
      <c r="K448" s="14">
        <f>'体验表-带进度条'!N448</f>
        <v>0</v>
      </c>
      <c r="L448" s="22">
        <f>'体验表-带进度条'!O448</f>
        <v>0</v>
      </c>
      <c r="M448" s="30">
        <f>'体验表-带进度条'!X448</f>
        <v>0</v>
      </c>
      <c r="N448" s="23">
        <f>'体验表-带进度条'!AA448</f>
        <v>0</v>
      </c>
      <c r="O448" s="72">
        <f>'体验表-带进度条'!AB448</f>
        <v>0</v>
      </c>
    </row>
    <row r="449" spans="1:15">
      <c r="A449" s="13">
        <f>'体验表-带进度条'!B449</f>
        <v>18</v>
      </c>
      <c r="B449" s="14">
        <f>'体验表-带进度条'!E449</f>
        <v>0</v>
      </c>
      <c r="C449" s="14" t="str">
        <f>'体验表-带进度条'!F449</f>
        <v/>
      </c>
      <c r="D449" s="14">
        <f>'体验表-带进度条'!G449</f>
        <v>0</v>
      </c>
      <c r="E449" s="16">
        <f>'体验表-带进度条'!H449</f>
        <v>0</v>
      </c>
      <c r="F449" s="17">
        <f>'体验表-带进度条'!I449</f>
        <v>0</v>
      </c>
      <c r="G449" s="14">
        <f>'体验表-带进度条'!J449</f>
        <v>0</v>
      </c>
      <c r="H449" s="19" t="str">
        <f>'体验表-带进度条'!K449</f>
        <v>老虎机抽奖券</v>
      </c>
      <c r="I449" s="38">
        <f>'体验表-带进度条'!L449</f>
        <v>3</v>
      </c>
      <c r="J449" s="21">
        <f>'体验表-带进度条'!M449</f>
        <v>15</v>
      </c>
      <c r="K449" s="14">
        <f>'体验表-带进度条'!N449</f>
        <v>0</v>
      </c>
      <c r="L449" s="22">
        <f>'体验表-带进度条'!O449</f>
        <v>0</v>
      </c>
      <c r="M449" s="30">
        <f>'体验表-带进度条'!X449</f>
        <v>0</v>
      </c>
      <c r="N449" s="23">
        <f>'体验表-带进度条'!AA449</f>
        <v>0</v>
      </c>
      <c r="O449" s="72">
        <f>'体验表-带进度条'!AB449</f>
        <v>0</v>
      </c>
    </row>
    <row r="450" spans="1:15">
      <c r="A450" s="13">
        <f>'体验表-带进度条'!B450</f>
        <v>19</v>
      </c>
      <c r="B450" s="14">
        <f>'体验表-带进度条'!E450</f>
        <v>0</v>
      </c>
      <c r="C450" s="14" t="str">
        <f>'体验表-带进度条'!F450</f>
        <v/>
      </c>
      <c r="D450" s="14">
        <f>'体验表-带进度条'!G450</f>
        <v>0</v>
      </c>
      <c r="E450" s="16">
        <f>'体验表-带进度条'!H450</f>
        <v>0</v>
      </c>
      <c r="F450" s="17">
        <f>'体验表-带进度条'!I450</f>
        <v>0</v>
      </c>
      <c r="G450" s="14">
        <f>'体验表-带进度条'!J450</f>
        <v>0</v>
      </c>
      <c r="H450" s="19" t="str">
        <f>'体验表-带进度条'!K450</f>
        <v>大奖赛复活券</v>
      </c>
      <c r="I450" s="38">
        <f>'体验表-带进度条'!L450</f>
        <v>3</v>
      </c>
      <c r="J450" s="21">
        <f>'体验表-带进度条'!M450</f>
        <v>1</v>
      </c>
      <c r="K450" s="14">
        <f>'体验表-带进度条'!N450</f>
        <v>0</v>
      </c>
      <c r="L450" s="22">
        <f>'体验表-带进度条'!O450</f>
        <v>0</v>
      </c>
      <c r="M450" s="30">
        <f>'体验表-带进度条'!X450</f>
        <v>0</v>
      </c>
      <c r="N450" s="23">
        <f>'体验表-带进度条'!AA450</f>
        <v>0</v>
      </c>
      <c r="O450" s="72">
        <f>'体验表-带进度条'!AB450</f>
        <v>0</v>
      </c>
    </row>
    <row r="451" spans="1:15">
      <c r="A451" s="13">
        <f>'体验表-带进度条'!B451</f>
        <v>20</v>
      </c>
      <c r="B451" s="14">
        <f>'体验表-带进度条'!E451</f>
        <v>12.99</v>
      </c>
      <c r="C451" s="14">
        <f>'体验表-带进度条'!F451</f>
        <v>149</v>
      </c>
      <c r="D451" s="14">
        <f>'体验表-带进度条'!G451</f>
        <v>19370000</v>
      </c>
      <c r="E451" s="16">
        <f>'体验表-带进度条'!H451</f>
        <v>50730000</v>
      </c>
      <c r="F451" s="17">
        <f>'体验表-带进度条'!I451</f>
        <v>36.96</v>
      </c>
      <c r="G451" s="14">
        <f>'体验表-带进度条'!J451</f>
        <v>0.24</v>
      </c>
      <c r="H451" s="19" t="str">
        <f>'体验表-带进度条'!K451</f>
        <v>金币</v>
      </c>
      <c r="I451" s="38">
        <f>'体验表-带进度条'!L451</f>
        <v>9</v>
      </c>
      <c r="J451" s="21">
        <f>'体验表-带进度条'!M451</f>
        <v>19370000</v>
      </c>
      <c r="K451" s="14">
        <f>'体验表-带进度条'!N451</f>
        <v>20976440</v>
      </c>
      <c r="L451" s="22">
        <f>'体验表-带进度条'!O451</f>
        <v>20.97644</v>
      </c>
      <c r="M451" s="30">
        <f>'体验表-带进度条'!X451</f>
        <v>59990370</v>
      </c>
      <c r="N451" s="23">
        <f>'体验表-带进度条'!AA451</f>
        <v>59.99037</v>
      </c>
      <c r="O451" s="72">
        <f>'体验表-带进度条'!AB451</f>
        <v>1.18254228267297</v>
      </c>
    </row>
    <row r="452" spans="1:15">
      <c r="A452" s="13">
        <f>'体验表-带进度条'!B452</f>
        <v>21</v>
      </c>
      <c r="B452" s="14">
        <f>'体验表-带进度条'!E452</f>
        <v>0</v>
      </c>
      <c r="C452" s="14" t="str">
        <f>'体验表-带进度条'!F452</f>
        <v/>
      </c>
      <c r="D452" s="14">
        <f>'体验表-带进度条'!G452</f>
        <v>0</v>
      </c>
      <c r="E452" s="16">
        <f>'体验表-带进度条'!H452</f>
        <v>0</v>
      </c>
      <c r="F452" s="17">
        <f>'体验表-带进度条'!I452</f>
        <v>0</v>
      </c>
      <c r="G452" s="14">
        <f>'体验表-带进度条'!J452</f>
        <v>0</v>
      </c>
      <c r="H452" s="19" t="str">
        <f>'体验表-带进度条'!K452</f>
        <v>记牌器1个</v>
      </c>
      <c r="I452" s="38">
        <f>'体验表-带进度条'!L452</f>
        <v>3</v>
      </c>
      <c r="J452" s="21">
        <f>'体验表-带进度条'!M452</f>
        <v>4</v>
      </c>
      <c r="K452" s="14">
        <f>'体验表-带进度条'!N452</f>
        <v>0</v>
      </c>
      <c r="L452" s="22">
        <f>'体验表-带进度条'!O452</f>
        <v>0</v>
      </c>
      <c r="M452" s="30">
        <f>'体验表-带进度条'!X452</f>
        <v>0</v>
      </c>
      <c r="N452" s="23">
        <f>'体验表-带进度条'!AA452</f>
        <v>0</v>
      </c>
      <c r="O452" s="72">
        <f>'体验表-带进度条'!AB452</f>
        <v>0</v>
      </c>
    </row>
    <row r="453" spans="1:15">
      <c r="A453" s="13">
        <f>'体验表-带进度条'!B453</f>
        <v>22</v>
      </c>
      <c r="B453" s="14">
        <f>'体验表-带进度条'!E453</f>
        <v>0</v>
      </c>
      <c r="C453" s="14" t="str">
        <f>'体验表-带进度条'!F453</f>
        <v/>
      </c>
      <c r="D453" s="14">
        <f>'体验表-带进度条'!G453</f>
        <v>0</v>
      </c>
      <c r="E453" s="16">
        <f>'体验表-带进度条'!H453</f>
        <v>0</v>
      </c>
      <c r="F453" s="17">
        <f>'体验表-带进度条'!I453</f>
        <v>0</v>
      </c>
      <c r="G453" s="14">
        <f>'体验表-带进度条'!J453</f>
        <v>0.08</v>
      </c>
      <c r="H453" s="19" t="str">
        <f>'体验表-带进度条'!K453</f>
        <v>金币</v>
      </c>
      <c r="I453" s="38">
        <f>'体验表-带进度条'!L453</f>
        <v>17</v>
      </c>
      <c r="J453" s="21">
        <f>'体验表-带进度条'!M453</f>
        <v>1606440</v>
      </c>
      <c r="K453" s="14">
        <f>'体验表-带进度条'!N453</f>
        <v>0</v>
      </c>
      <c r="L453" s="22">
        <f>'体验表-带进度条'!O453</f>
        <v>0</v>
      </c>
      <c r="M453" s="30">
        <f>'体验表-带进度条'!X453</f>
        <v>0</v>
      </c>
      <c r="N453" s="23">
        <f>'体验表-带进度条'!AA453</f>
        <v>0</v>
      </c>
      <c r="O453" s="72">
        <f>'体验表-带进度条'!AB453</f>
        <v>0</v>
      </c>
    </row>
    <row r="454" spans="1:15">
      <c r="A454" s="13">
        <f>'体验表-带进度条'!B454</f>
        <v>23</v>
      </c>
      <c r="B454" s="14">
        <f>'体验表-带进度条'!E454</f>
        <v>0</v>
      </c>
      <c r="C454" s="14" t="str">
        <f>'体验表-带进度条'!F454</f>
        <v/>
      </c>
      <c r="D454" s="14">
        <f>'体验表-带进度条'!G454</f>
        <v>0</v>
      </c>
      <c r="E454" s="16">
        <f>'体验表-带进度条'!H454</f>
        <v>0</v>
      </c>
      <c r="F454" s="17">
        <f>'体验表-带进度条'!I454</f>
        <v>0</v>
      </c>
      <c r="G454" s="14">
        <f>'体验表-带进度条'!J454</f>
        <v>0</v>
      </c>
      <c r="H454" s="19" t="str">
        <f>'体验表-带进度条'!K454</f>
        <v>卡包4星</v>
      </c>
      <c r="I454" s="38">
        <f>'体验表-带进度条'!L454</f>
        <v>4</v>
      </c>
      <c r="J454" s="21">
        <f>'体验表-带进度条'!M454</f>
        <v>1</v>
      </c>
      <c r="K454" s="14">
        <f>'体验表-带进度条'!N454</f>
        <v>0</v>
      </c>
      <c r="L454" s="22">
        <f>'体验表-带进度条'!O454</f>
        <v>0</v>
      </c>
      <c r="M454" s="30">
        <f>'体验表-带进度条'!X454</f>
        <v>0</v>
      </c>
      <c r="N454" s="23">
        <f>'体验表-带进度条'!AA454</f>
        <v>0</v>
      </c>
      <c r="O454" s="72">
        <f>'体验表-带进度条'!AB454</f>
        <v>0</v>
      </c>
    </row>
    <row r="455" spans="1:15">
      <c r="A455" s="13">
        <f>'体验表-带进度条'!B455</f>
        <v>24</v>
      </c>
      <c r="B455" s="14">
        <f>'体验表-带进度条'!E455</f>
        <v>0</v>
      </c>
      <c r="C455" s="14" t="str">
        <f>'体验表-带进度条'!F455</f>
        <v/>
      </c>
      <c r="D455" s="14">
        <f>'体验表-带进度条'!G455</f>
        <v>0</v>
      </c>
      <c r="E455" s="16">
        <f>'体验表-带进度条'!H455</f>
        <v>0</v>
      </c>
      <c r="F455" s="17">
        <f>'体验表-带进度条'!I455</f>
        <v>0</v>
      </c>
      <c r="G455" s="14">
        <f>'体验表-带进度条'!J455</f>
        <v>0</v>
      </c>
      <c r="H455" s="19" t="str">
        <f>'体验表-带进度条'!K455</f>
        <v>老虎机抽奖券</v>
      </c>
      <c r="I455" s="38">
        <f>'体验表-带进度条'!L455</f>
        <v>3</v>
      </c>
      <c r="J455" s="21">
        <f>'体验表-带进度条'!M455</f>
        <v>20</v>
      </c>
      <c r="K455" s="14">
        <f>'体验表-带进度条'!N455</f>
        <v>0</v>
      </c>
      <c r="L455" s="22">
        <f>'体验表-带进度条'!O455</f>
        <v>0</v>
      </c>
      <c r="M455" s="30">
        <f>'体验表-带进度条'!X455</f>
        <v>0</v>
      </c>
      <c r="N455" s="23">
        <f>'体验表-带进度条'!AA455</f>
        <v>0</v>
      </c>
      <c r="O455" s="72">
        <f>'体验表-带进度条'!AB455</f>
        <v>0</v>
      </c>
    </row>
    <row r="456" spans="1:15">
      <c r="A456" s="13">
        <f>'体验表-带进度条'!B456</f>
        <v>25</v>
      </c>
      <c r="B456" s="14">
        <f>'体验表-带进度条'!E456</f>
        <v>0</v>
      </c>
      <c r="C456" s="14" t="str">
        <f>'体验表-带进度条'!F456</f>
        <v/>
      </c>
      <c r="D456" s="14">
        <f>'体验表-带进度条'!G456</f>
        <v>0</v>
      </c>
      <c r="E456" s="16">
        <f>'体验表-带进度条'!H456</f>
        <v>0</v>
      </c>
      <c r="F456" s="17">
        <f>'体验表-带进度条'!I456</f>
        <v>0</v>
      </c>
      <c r="G456" s="14">
        <f>'体验表-带进度条'!J456</f>
        <v>0</v>
      </c>
      <c r="H456" s="19" t="str">
        <f>'体验表-带进度条'!K456</f>
        <v>大奖赛报名券</v>
      </c>
      <c r="I456" s="38">
        <f>'体验表-带进度条'!L456</f>
        <v>3</v>
      </c>
      <c r="J456" s="21">
        <f>'体验表-带进度条'!M456</f>
        <v>1</v>
      </c>
      <c r="K456" s="14">
        <f>'体验表-带进度条'!N456</f>
        <v>0</v>
      </c>
      <c r="L456" s="22">
        <f>'体验表-带进度条'!O456</f>
        <v>0</v>
      </c>
      <c r="M456" s="30">
        <f>'体验表-带进度条'!X456</f>
        <v>0</v>
      </c>
      <c r="N456" s="23">
        <f>'体验表-带进度条'!AA456</f>
        <v>0</v>
      </c>
      <c r="O456" s="72">
        <f>'体验表-带进度条'!AB456</f>
        <v>0</v>
      </c>
    </row>
    <row r="457" spans="1:15">
      <c r="A457" s="13">
        <f>'体验表-带进度条'!B457</f>
        <v>26</v>
      </c>
      <c r="B457" s="14">
        <f>'体验表-带进度条'!E457</f>
        <v>14.99</v>
      </c>
      <c r="C457" s="14">
        <f>'体验表-带进度条'!F457</f>
        <v>154</v>
      </c>
      <c r="D457" s="14">
        <f>'体验表-带进度条'!G457</f>
        <v>23100000</v>
      </c>
      <c r="E457" s="16">
        <f>'体验表-带进度条'!H457</f>
        <v>73830000</v>
      </c>
      <c r="F457" s="17">
        <f>'体验表-带进度条'!I457</f>
        <v>51.95</v>
      </c>
      <c r="G457" s="14">
        <f>'体验表-带进度条'!J457</f>
        <v>0</v>
      </c>
      <c r="H457" s="19" t="str">
        <f>'体验表-带进度条'!K457</f>
        <v>金币</v>
      </c>
      <c r="I457" s="38">
        <f>'体验表-带进度条'!L457</f>
        <v>9</v>
      </c>
      <c r="J457" s="21">
        <f>'体验表-带进度条'!M457</f>
        <v>23100000</v>
      </c>
      <c r="K457" s="14">
        <f>'体验表-带进度条'!N457</f>
        <v>24104025</v>
      </c>
      <c r="L457" s="22">
        <f>'体验表-带进度条'!O457</f>
        <v>24.104025</v>
      </c>
      <c r="M457" s="30">
        <f>'体验表-带进度条'!X457</f>
        <v>84094395</v>
      </c>
      <c r="N457" s="23">
        <f>'体验表-带进度条'!AA457</f>
        <v>84.094395</v>
      </c>
      <c r="O457" s="72">
        <f>'体验表-带进度条'!AB457</f>
        <v>1.13902742787485</v>
      </c>
    </row>
    <row r="458" spans="1:15">
      <c r="A458" s="13">
        <f>'体验表-带进度条'!B458</f>
        <v>27</v>
      </c>
      <c r="B458" s="14">
        <f>'体验表-带进度条'!E458</f>
        <v>0</v>
      </c>
      <c r="C458" s="14" t="str">
        <f>'体验表-带进度条'!F458</f>
        <v/>
      </c>
      <c r="D458" s="14">
        <f>'体验表-带进度条'!G458</f>
        <v>0</v>
      </c>
      <c r="E458" s="16">
        <f>'体验表-带进度条'!H458</f>
        <v>0</v>
      </c>
      <c r="F458" s="17">
        <f>'体验表-带进度条'!I458</f>
        <v>0</v>
      </c>
      <c r="G458" s="14">
        <f>'体验表-带进度条'!J458</f>
        <v>0</v>
      </c>
      <c r="H458" s="19" t="str">
        <f>'体验表-带进度条'!K458</f>
        <v>记牌器1个</v>
      </c>
      <c r="I458" s="38">
        <f>'体验表-带进度条'!L458</f>
        <v>3</v>
      </c>
      <c r="J458" s="21">
        <f>'体验表-带进度条'!M458</f>
        <v>5</v>
      </c>
      <c r="K458" s="14">
        <f>'体验表-带进度条'!N458</f>
        <v>0</v>
      </c>
      <c r="L458" s="22">
        <f>'体验表-带进度条'!O458</f>
        <v>0</v>
      </c>
      <c r="M458" s="30">
        <f>'体验表-带进度条'!X458</f>
        <v>0</v>
      </c>
      <c r="N458" s="23">
        <f>'体验表-带进度条'!AA458</f>
        <v>0</v>
      </c>
      <c r="O458" s="72">
        <f>'体验表-带进度条'!AB458</f>
        <v>0</v>
      </c>
    </row>
    <row r="459" spans="1:15">
      <c r="A459" s="13">
        <f>'体验表-带进度条'!B459</f>
        <v>28</v>
      </c>
      <c r="B459" s="14">
        <f>'体验表-带进度条'!E459</f>
        <v>0</v>
      </c>
      <c r="C459" s="14" t="str">
        <f>'体验表-带进度条'!F459</f>
        <v/>
      </c>
      <c r="D459" s="14">
        <f>'体验表-带进度条'!G459</f>
        <v>0</v>
      </c>
      <c r="E459" s="16">
        <f>'体验表-带进度条'!H459</f>
        <v>0</v>
      </c>
      <c r="F459" s="17">
        <f>'体验表-带进度条'!I459</f>
        <v>0</v>
      </c>
      <c r="G459" s="14">
        <f>'体验表-带进度条'!J459</f>
        <v>0.05</v>
      </c>
      <c r="H459" s="19" t="str">
        <f>'体验表-带进度条'!K459</f>
        <v>金币</v>
      </c>
      <c r="I459" s="38">
        <f>'体验表-带进度条'!L459</f>
        <v>17</v>
      </c>
      <c r="J459" s="21">
        <f>'体验表-带进度条'!M459</f>
        <v>1004025</v>
      </c>
      <c r="K459" s="14">
        <f>'体验表-带进度条'!N459</f>
        <v>0</v>
      </c>
      <c r="L459" s="22">
        <f>'体验表-带进度条'!O459</f>
        <v>0</v>
      </c>
      <c r="M459" s="30">
        <f>'体验表-带进度条'!X459</f>
        <v>0</v>
      </c>
      <c r="N459" s="23">
        <f>'体验表-带进度条'!AA459</f>
        <v>0</v>
      </c>
      <c r="O459" s="72">
        <f>'体验表-带进度条'!AB459</f>
        <v>0</v>
      </c>
    </row>
    <row r="460" spans="1:15">
      <c r="A460" s="13">
        <f>'体验表-带进度条'!B460</f>
        <v>29</v>
      </c>
      <c r="B460" s="14">
        <f>'体验表-带进度条'!E460</f>
        <v>0</v>
      </c>
      <c r="C460" s="14" t="str">
        <f>'体验表-带进度条'!F460</f>
        <v/>
      </c>
      <c r="D460" s="14">
        <f>'体验表-带进度条'!G460</f>
        <v>0</v>
      </c>
      <c r="E460" s="16">
        <f>'体验表-带进度条'!H460</f>
        <v>0</v>
      </c>
      <c r="F460" s="17">
        <f>'体验表-带进度条'!I460</f>
        <v>0</v>
      </c>
      <c r="G460" s="14">
        <f>'体验表-带进度条'!J460</f>
        <v>0</v>
      </c>
      <c r="H460" s="19" t="str">
        <f>'体验表-带进度条'!K460</f>
        <v>卡包5星</v>
      </c>
      <c r="I460" s="38">
        <f>'体验表-带进度条'!L460</f>
        <v>4</v>
      </c>
      <c r="J460" s="21">
        <f>'体验表-带进度条'!M460</f>
        <v>1</v>
      </c>
      <c r="K460" s="14">
        <f>'体验表-带进度条'!N460</f>
        <v>0</v>
      </c>
      <c r="L460" s="22">
        <f>'体验表-带进度条'!O460</f>
        <v>0</v>
      </c>
      <c r="M460" s="30">
        <f>'体验表-带进度条'!X460</f>
        <v>0</v>
      </c>
      <c r="N460" s="23">
        <f>'体验表-带进度条'!AA460</f>
        <v>0</v>
      </c>
      <c r="O460" s="72">
        <f>'体验表-带进度条'!AB460</f>
        <v>0</v>
      </c>
    </row>
    <row r="461" spans="1:15">
      <c r="A461" s="13">
        <f>'体验表-带进度条'!B461</f>
        <v>30</v>
      </c>
      <c r="B461" s="14">
        <f>'体验表-带进度条'!E461</f>
        <v>0</v>
      </c>
      <c r="C461" s="14" t="str">
        <f>'体验表-带进度条'!F461</f>
        <v/>
      </c>
      <c r="D461" s="14">
        <f>'体验表-带进度条'!G461</f>
        <v>0</v>
      </c>
      <c r="E461" s="16">
        <f>'体验表-带进度条'!H461</f>
        <v>0</v>
      </c>
      <c r="F461" s="17">
        <f>'体验表-带进度条'!I461</f>
        <v>0</v>
      </c>
      <c r="G461" s="14">
        <f>'体验表-带进度条'!J461</f>
        <v>0</v>
      </c>
      <c r="H461" s="19" t="str">
        <f>'体验表-带进度条'!K461</f>
        <v>老虎机抽奖券</v>
      </c>
      <c r="I461" s="38">
        <f>'体验表-带进度条'!L461</f>
        <v>3</v>
      </c>
      <c r="J461" s="21">
        <f>'体验表-带进度条'!M461</f>
        <v>25</v>
      </c>
      <c r="K461" s="14">
        <f>'体验表-带进度条'!N461</f>
        <v>0</v>
      </c>
      <c r="L461" s="22">
        <f>'体验表-带进度条'!O461</f>
        <v>0</v>
      </c>
      <c r="M461" s="30">
        <f>'体验表-带进度条'!X461</f>
        <v>0</v>
      </c>
      <c r="N461" s="23">
        <f>'体验表-带进度条'!AA461</f>
        <v>0</v>
      </c>
      <c r="O461" s="72">
        <f>'体验表-带进度条'!AB461</f>
        <v>0</v>
      </c>
    </row>
    <row r="462" spans="1:15">
      <c r="A462" s="13">
        <f>'体验表-带进度条'!B462</f>
        <v>31</v>
      </c>
      <c r="B462" s="14">
        <f>'体验表-带进度条'!E462</f>
        <v>0</v>
      </c>
      <c r="C462" s="14" t="str">
        <f>'体验表-带进度条'!F462</f>
        <v/>
      </c>
      <c r="D462" s="14">
        <f>'体验表-带进度条'!G462</f>
        <v>0</v>
      </c>
      <c r="E462" s="16">
        <f>'体验表-带进度条'!H462</f>
        <v>0</v>
      </c>
      <c r="F462" s="17">
        <f>'体验表-带进度条'!I462</f>
        <v>0</v>
      </c>
      <c r="G462" s="14">
        <f>'体验表-带进度条'!J462</f>
        <v>0</v>
      </c>
      <c r="H462" s="19" t="str">
        <f>'体验表-带进度条'!K462</f>
        <v>大奖赛复活券</v>
      </c>
      <c r="I462" s="38">
        <f>'体验表-带进度条'!L462</f>
        <v>3</v>
      </c>
      <c r="J462" s="21">
        <f>'体验表-带进度条'!M462</f>
        <v>1</v>
      </c>
      <c r="K462" s="14">
        <f>'体验表-带进度条'!N462</f>
        <v>0</v>
      </c>
      <c r="L462" s="22">
        <f>'体验表-带进度条'!O462</f>
        <v>0</v>
      </c>
      <c r="M462" s="30">
        <f>'体验表-带进度条'!X462</f>
        <v>0</v>
      </c>
      <c r="N462" s="23">
        <f>'体验表-带进度条'!AA462</f>
        <v>0</v>
      </c>
      <c r="O462" s="72">
        <f>'体验表-带进度条'!AB462</f>
        <v>0</v>
      </c>
    </row>
    <row r="463" spans="1:15">
      <c r="A463" s="13">
        <f>'体验表-带进度条'!B463</f>
        <v>32</v>
      </c>
      <c r="B463" s="14">
        <f>'体验表-带进度条'!E463</f>
        <v>17.99</v>
      </c>
      <c r="C463" s="14">
        <f>'体验表-带进度条'!F463</f>
        <v>158</v>
      </c>
      <c r="D463" s="14">
        <f>'体验表-带进度条'!G463</f>
        <v>28440000</v>
      </c>
      <c r="E463" s="16">
        <f>'体验表-带进度条'!H463</f>
        <v>102270000</v>
      </c>
      <c r="F463" s="17">
        <f>'体验表-带进度条'!I463</f>
        <v>69.94</v>
      </c>
      <c r="G463" s="14">
        <f>'体验表-带进度条'!J463</f>
        <v>0</v>
      </c>
      <c r="H463" s="19" t="str">
        <f>'体验表-带进度条'!K463</f>
        <v>金币</v>
      </c>
      <c r="I463" s="38">
        <f>'体验表-带进度条'!L463</f>
        <v>9</v>
      </c>
      <c r="J463" s="21">
        <f>'体验表-带进度条'!M463</f>
        <v>28440000</v>
      </c>
      <c r="K463" s="14">
        <f>'体验表-带进度条'!N463</f>
        <v>30849660</v>
      </c>
      <c r="L463" s="22">
        <f>'体验表-带进度条'!O463</f>
        <v>30.84966</v>
      </c>
      <c r="M463" s="30">
        <f>'体验表-带进度条'!X463</f>
        <v>114944055</v>
      </c>
      <c r="N463" s="23">
        <f>'体验表-带进度条'!AA463</f>
        <v>114.944055</v>
      </c>
      <c r="O463" s="72">
        <f>'体验表-带进度条'!AB463</f>
        <v>1.12392739806395</v>
      </c>
    </row>
    <row r="464" spans="1:15">
      <c r="A464" s="13">
        <f>'体验表-带进度条'!B464</f>
        <v>33</v>
      </c>
      <c r="B464" s="14">
        <f>'体验表-带进度条'!E464</f>
        <v>0</v>
      </c>
      <c r="C464" s="14" t="str">
        <f>'体验表-带进度条'!F464</f>
        <v/>
      </c>
      <c r="D464" s="14">
        <f>'体验表-带进度条'!G464</f>
        <v>0</v>
      </c>
      <c r="E464" s="16">
        <f>'体验表-带进度条'!H464</f>
        <v>0</v>
      </c>
      <c r="F464" s="17">
        <f>'体验表-带进度条'!I464</f>
        <v>0</v>
      </c>
      <c r="G464" s="14">
        <f>'体验表-带进度条'!J464</f>
        <v>0</v>
      </c>
      <c r="H464" s="19" t="str">
        <f>'体验表-带进度条'!K464</f>
        <v>记牌器1个</v>
      </c>
      <c r="I464" s="38">
        <f>'体验表-带进度条'!L464</f>
        <v>3</v>
      </c>
      <c r="J464" s="21">
        <f>'体验表-带进度条'!M464</f>
        <v>6</v>
      </c>
      <c r="K464" s="14">
        <f>'体验表-带进度条'!N464</f>
        <v>0</v>
      </c>
      <c r="L464" s="22">
        <f>'体验表-带进度条'!O464</f>
        <v>0</v>
      </c>
      <c r="M464" s="30">
        <f>'体验表-带进度条'!X464</f>
        <v>0</v>
      </c>
      <c r="N464" s="23">
        <f>'体验表-带进度条'!AA464</f>
        <v>0</v>
      </c>
      <c r="O464" s="72">
        <f>'体验表-带进度条'!AB464</f>
        <v>0</v>
      </c>
    </row>
    <row r="465" spans="1:15">
      <c r="A465" s="13">
        <f>'体验表-带进度条'!B465</f>
        <v>34</v>
      </c>
      <c r="B465" s="14">
        <f>'体验表-带进度条'!E465</f>
        <v>0</v>
      </c>
      <c r="C465" s="14" t="str">
        <f>'体验表-带进度条'!F465</f>
        <v/>
      </c>
      <c r="D465" s="14">
        <f>'体验表-带进度条'!G465</f>
        <v>0</v>
      </c>
      <c r="E465" s="16">
        <f>'体验表-带进度条'!H465</f>
        <v>0</v>
      </c>
      <c r="F465" s="17">
        <f>'体验表-带进度条'!I465</f>
        <v>0</v>
      </c>
      <c r="G465" s="14">
        <f>'体验表-带进度条'!J465</f>
        <v>0.12</v>
      </c>
      <c r="H465" s="19" t="str">
        <f>'体验表-带进度条'!K465</f>
        <v>金币</v>
      </c>
      <c r="I465" s="38">
        <f>'体验表-带进度条'!L465</f>
        <v>17</v>
      </c>
      <c r="J465" s="21">
        <f>'体验表-带进度条'!M465</f>
        <v>2409660</v>
      </c>
      <c r="K465" s="14">
        <f>'体验表-带进度条'!N465</f>
        <v>0</v>
      </c>
      <c r="L465" s="22">
        <f>'体验表-带进度条'!O465</f>
        <v>0</v>
      </c>
      <c r="M465" s="30">
        <f>'体验表-带进度条'!X465</f>
        <v>0</v>
      </c>
      <c r="N465" s="23">
        <f>'体验表-带进度条'!AA465</f>
        <v>0</v>
      </c>
      <c r="O465" s="72">
        <f>'体验表-带进度条'!AB465</f>
        <v>0</v>
      </c>
    </row>
    <row r="466" spans="1:15">
      <c r="A466" s="13">
        <f>'体验表-带进度条'!B466</f>
        <v>35</v>
      </c>
      <c r="B466" s="14">
        <f>'体验表-带进度条'!E466</f>
        <v>0</v>
      </c>
      <c r="C466" s="14" t="str">
        <f>'体验表-带进度条'!F466</f>
        <v/>
      </c>
      <c r="D466" s="14">
        <f>'体验表-带进度条'!G466</f>
        <v>0</v>
      </c>
      <c r="E466" s="16">
        <f>'体验表-带进度条'!H466</f>
        <v>0</v>
      </c>
      <c r="F466" s="17">
        <f>'体验表-带进度条'!I466</f>
        <v>0</v>
      </c>
      <c r="G466" s="14">
        <f>'体验表-带进度条'!J466</f>
        <v>0</v>
      </c>
      <c r="H466" s="19" t="str">
        <f>'体验表-带进度条'!K466</f>
        <v>卡包5星</v>
      </c>
      <c r="I466" s="38">
        <f>'体验表-带进度条'!L466</f>
        <v>4</v>
      </c>
      <c r="J466" s="21">
        <f>'体验表-带进度条'!M466</f>
        <v>1</v>
      </c>
      <c r="K466" s="14">
        <f>'体验表-带进度条'!N466</f>
        <v>0</v>
      </c>
      <c r="L466" s="22">
        <f>'体验表-带进度条'!O466</f>
        <v>0</v>
      </c>
      <c r="M466" s="30">
        <f>'体验表-带进度条'!X466</f>
        <v>0</v>
      </c>
      <c r="N466" s="23">
        <f>'体验表-带进度条'!AA466</f>
        <v>0</v>
      </c>
      <c r="O466" s="72">
        <f>'体验表-带进度条'!AB466</f>
        <v>0</v>
      </c>
    </row>
    <row r="467" spans="1:15">
      <c r="A467" s="13">
        <f>'体验表-带进度条'!B467</f>
        <v>36</v>
      </c>
      <c r="B467" s="14">
        <f>'体验表-带进度条'!E467</f>
        <v>0</v>
      </c>
      <c r="C467" s="14" t="str">
        <f>'体验表-带进度条'!F467</f>
        <v/>
      </c>
      <c r="D467" s="14">
        <f>'体验表-带进度条'!G467</f>
        <v>0</v>
      </c>
      <c r="E467" s="16">
        <f>'体验表-带进度条'!H467</f>
        <v>0</v>
      </c>
      <c r="F467" s="17">
        <f>'体验表-带进度条'!I467</f>
        <v>0</v>
      </c>
      <c r="G467" s="14">
        <f>'体验表-带进度条'!J467</f>
        <v>0</v>
      </c>
      <c r="H467" s="19" t="str">
        <f>'体验表-带进度条'!K467</f>
        <v>老虎机抽奖券</v>
      </c>
      <c r="I467" s="38">
        <f>'体验表-带进度条'!L467</f>
        <v>3</v>
      </c>
      <c r="J467" s="21">
        <f>'体验表-带进度条'!M467</f>
        <v>30</v>
      </c>
      <c r="K467" s="14">
        <f>'体验表-带进度条'!N467</f>
        <v>0</v>
      </c>
      <c r="L467" s="22">
        <f>'体验表-带进度条'!O467</f>
        <v>0</v>
      </c>
      <c r="M467" s="30">
        <f>'体验表-带进度条'!X467</f>
        <v>0</v>
      </c>
      <c r="N467" s="23">
        <f>'体验表-带进度条'!AA467</f>
        <v>0</v>
      </c>
      <c r="O467" s="72">
        <f>'体验表-带进度条'!AB467</f>
        <v>0</v>
      </c>
    </row>
    <row r="468" spans="1:15">
      <c r="A468" s="13">
        <f>'体验表-带进度条'!B468</f>
        <v>37</v>
      </c>
      <c r="B468" s="14">
        <f>'体验表-带进度条'!E468</f>
        <v>0</v>
      </c>
      <c r="C468" s="14" t="str">
        <f>'体验表-带进度条'!F468</f>
        <v/>
      </c>
      <c r="D468" s="14">
        <f>'体验表-带进度条'!G468</f>
        <v>0</v>
      </c>
      <c r="E468" s="16">
        <f>'体验表-带进度条'!H468</f>
        <v>0</v>
      </c>
      <c r="F468" s="17">
        <f>'体验表-带进度条'!I468</f>
        <v>0</v>
      </c>
      <c r="G468" s="14">
        <f>'体验表-带进度条'!J468</f>
        <v>0</v>
      </c>
      <c r="H468" s="19" t="str">
        <f>'体验表-带进度条'!K468</f>
        <v>大奖赛报名券</v>
      </c>
      <c r="I468" s="38">
        <f>'体验表-带进度条'!L468</f>
        <v>3</v>
      </c>
      <c r="J468" s="21">
        <f>'体验表-带进度条'!M468</f>
        <v>1</v>
      </c>
      <c r="K468" s="14">
        <f>'体验表-带进度条'!N468</f>
        <v>0</v>
      </c>
      <c r="L468" s="22">
        <f>'体验表-带进度条'!O468</f>
        <v>0</v>
      </c>
      <c r="M468" s="30">
        <f>'体验表-带进度条'!X468</f>
        <v>0</v>
      </c>
      <c r="N468" s="23">
        <f>'体验表-带进度条'!AA468</f>
        <v>0</v>
      </c>
      <c r="O468" s="72">
        <f>'体验表-带进度条'!AB468</f>
        <v>0</v>
      </c>
    </row>
    <row r="469" spans="1:15">
      <c r="A469" s="13">
        <f>'体验表-带进度条'!B469</f>
        <v>38</v>
      </c>
      <c r="B469" s="14">
        <f>'体验表-带进度条'!E469</f>
        <v>19.99</v>
      </c>
      <c r="C469" s="14">
        <f>'体验表-带进度条'!F469</f>
        <v>158</v>
      </c>
      <c r="D469" s="14">
        <f>'体验表-带进度条'!G469</f>
        <v>31600000</v>
      </c>
      <c r="E469" s="16">
        <f>'体验表-带进度条'!H469</f>
        <v>133870000</v>
      </c>
      <c r="F469" s="17">
        <f>'体验表-带进度条'!I469</f>
        <v>89.93</v>
      </c>
      <c r="G469" s="14">
        <f>'体验表-带进度条'!J469</f>
        <v>0.45</v>
      </c>
      <c r="H469" s="19" t="str">
        <f>'体验表-带进度条'!K469</f>
        <v>金币</v>
      </c>
      <c r="I469" s="38">
        <f>'体验表-带进度条'!L469</f>
        <v>9</v>
      </c>
      <c r="J469" s="21">
        <f>'体验表-带进度条'!M469</f>
        <v>31600000</v>
      </c>
      <c r="K469" s="14">
        <f>'体验表-带进度条'!N469</f>
        <v>34009660</v>
      </c>
      <c r="L469" s="22">
        <f>'体验表-带进度条'!O469</f>
        <v>34.00966</v>
      </c>
      <c r="M469" s="30">
        <f>'体验表-带进度条'!X469</f>
        <v>152998990</v>
      </c>
      <c r="N469" s="23">
        <f>'体验表-带进度条'!AA469</f>
        <v>152.99899</v>
      </c>
      <c r="O469" s="72">
        <f>'体验表-带进度条'!AB469</f>
        <v>1.14289228355868</v>
      </c>
    </row>
    <row r="470" spans="1:15">
      <c r="A470" s="13">
        <f>'体验表-带进度条'!B470</f>
        <v>39</v>
      </c>
      <c r="B470" s="14">
        <f>'体验表-带进度条'!E470</f>
        <v>0</v>
      </c>
      <c r="C470" s="14" t="str">
        <f>'体验表-带进度条'!F470</f>
        <v/>
      </c>
      <c r="D470" s="14">
        <f>'体验表-带进度条'!G470</f>
        <v>0</v>
      </c>
      <c r="E470" s="16">
        <f>'体验表-带进度条'!H470</f>
        <v>0</v>
      </c>
      <c r="F470" s="17">
        <f>'体验表-带进度条'!I470</f>
        <v>0</v>
      </c>
      <c r="G470" s="14">
        <f>'体验表-带进度条'!J470</f>
        <v>0</v>
      </c>
      <c r="H470" s="19" t="str">
        <f>'体验表-带进度条'!K470</f>
        <v>记牌器1个</v>
      </c>
      <c r="I470" s="38">
        <f>'体验表-带进度条'!L470</f>
        <v>3</v>
      </c>
      <c r="J470" s="21">
        <f>'体验表-带进度条'!M470</f>
        <v>7</v>
      </c>
      <c r="K470" s="14">
        <f>'体验表-带进度条'!N470</f>
        <v>0</v>
      </c>
      <c r="L470" s="22">
        <f>'体验表-带进度条'!O470</f>
        <v>0</v>
      </c>
      <c r="M470" s="30">
        <f>'体验表-带进度条'!X470</f>
        <v>0</v>
      </c>
      <c r="N470" s="23">
        <f>'体验表-带进度条'!AA470</f>
        <v>0</v>
      </c>
      <c r="O470" s="72">
        <f>'体验表-带进度条'!AB470</f>
        <v>0</v>
      </c>
    </row>
    <row r="471" spans="1:15">
      <c r="A471" s="13">
        <f>'体验表-带进度条'!B471</f>
        <v>40</v>
      </c>
      <c r="B471" s="14">
        <f>'体验表-带进度条'!E471</f>
        <v>0</v>
      </c>
      <c r="C471" s="14" t="str">
        <f>'体验表-带进度条'!F471</f>
        <v/>
      </c>
      <c r="D471" s="14">
        <f>'体验表-带进度条'!G471</f>
        <v>0</v>
      </c>
      <c r="E471" s="16">
        <f>'体验表-带进度条'!H471</f>
        <v>0</v>
      </c>
      <c r="F471" s="17">
        <f>'体验表-带进度条'!I471</f>
        <v>0</v>
      </c>
      <c r="G471" s="14">
        <f>'体验表-带进度条'!J471</f>
        <v>0.12</v>
      </c>
      <c r="H471" s="19" t="str">
        <f>'体验表-带进度条'!K471</f>
        <v>金币</v>
      </c>
      <c r="I471" s="38">
        <f>'体验表-带进度条'!L471</f>
        <v>17</v>
      </c>
      <c r="J471" s="21">
        <f>'体验表-带进度条'!M471</f>
        <v>2409660</v>
      </c>
      <c r="K471" s="14">
        <f>'体验表-带进度条'!N471</f>
        <v>0</v>
      </c>
      <c r="L471" s="22">
        <f>'体验表-带进度条'!O471</f>
        <v>0</v>
      </c>
      <c r="M471" s="30">
        <f>'体验表-带进度条'!X471</f>
        <v>0</v>
      </c>
      <c r="N471" s="23">
        <f>'体验表-带进度条'!AA471</f>
        <v>0</v>
      </c>
      <c r="O471" s="72">
        <f>'体验表-带进度条'!AB471</f>
        <v>0</v>
      </c>
    </row>
    <row r="472" spans="1:15">
      <c r="A472" s="13">
        <f>'体验表-带进度条'!B472</f>
        <v>41</v>
      </c>
      <c r="B472" s="14">
        <f>'体验表-带进度条'!E472</f>
        <v>0</v>
      </c>
      <c r="C472" s="14" t="str">
        <f>'体验表-带进度条'!F472</f>
        <v/>
      </c>
      <c r="D472" s="14">
        <f>'体验表-带进度条'!G472</f>
        <v>0</v>
      </c>
      <c r="E472" s="16">
        <f>'体验表-带进度条'!H472</f>
        <v>0</v>
      </c>
      <c r="F472" s="17">
        <f>'体验表-带进度条'!I472</f>
        <v>0</v>
      </c>
      <c r="G472" s="14">
        <f>'体验表-带进度条'!J472</f>
        <v>0</v>
      </c>
      <c r="H472" s="19" t="str">
        <f>'体验表-带进度条'!K472</f>
        <v>卡包fun卡</v>
      </c>
      <c r="I472" s="38">
        <f>'体验表-带进度条'!L472</f>
        <v>4</v>
      </c>
      <c r="J472" s="21">
        <f>'体验表-带进度条'!M472</f>
        <v>1</v>
      </c>
      <c r="K472" s="14">
        <f>'体验表-带进度条'!N472</f>
        <v>0</v>
      </c>
      <c r="L472" s="22">
        <f>'体验表-带进度条'!O472</f>
        <v>0</v>
      </c>
      <c r="M472" s="30">
        <f>'体验表-带进度条'!X472</f>
        <v>0</v>
      </c>
      <c r="N472" s="23">
        <f>'体验表-带进度条'!AA472</f>
        <v>0</v>
      </c>
      <c r="O472" s="72">
        <f>'体验表-带进度条'!AB472</f>
        <v>0</v>
      </c>
    </row>
    <row r="473" spans="1:15">
      <c r="A473" s="13">
        <f>'体验表-带进度条'!B473</f>
        <v>42</v>
      </c>
      <c r="B473" s="14">
        <f>'体验表-带进度条'!E473</f>
        <v>0</v>
      </c>
      <c r="C473" s="14" t="str">
        <f>'体验表-带进度条'!F473</f>
        <v/>
      </c>
      <c r="D473" s="14">
        <f>'体验表-带进度条'!G473</f>
        <v>0</v>
      </c>
      <c r="E473" s="16">
        <f>'体验表-带进度条'!H473</f>
        <v>0</v>
      </c>
      <c r="F473" s="17">
        <f>'体验表-带进度条'!I473</f>
        <v>0</v>
      </c>
      <c r="G473" s="14">
        <f>'体验表-带进度条'!J473</f>
        <v>0</v>
      </c>
      <c r="H473" s="19" t="str">
        <f>'体验表-带进度条'!K473</f>
        <v>老虎机抽奖券</v>
      </c>
      <c r="I473" s="38">
        <f>'体验表-带进度条'!L473</f>
        <v>3</v>
      </c>
      <c r="J473" s="21">
        <f>'体验表-带进度条'!M473</f>
        <v>35</v>
      </c>
      <c r="K473" s="14">
        <f>'体验表-带进度条'!N473</f>
        <v>0</v>
      </c>
      <c r="L473" s="22">
        <f>'体验表-带进度条'!O473</f>
        <v>0</v>
      </c>
      <c r="M473" s="30">
        <f>'体验表-带进度条'!X473</f>
        <v>0</v>
      </c>
      <c r="N473" s="23">
        <f>'体验表-带进度条'!AA473</f>
        <v>0</v>
      </c>
      <c r="O473" s="72">
        <f>'体验表-带进度条'!AB473</f>
        <v>0</v>
      </c>
    </row>
    <row r="474" spans="1:15">
      <c r="A474" s="13">
        <f>'体验表-带进度条'!B474</f>
        <v>43</v>
      </c>
      <c r="B474" s="14">
        <f>'体验表-带进度条'!E474</f>
        <v>0</v>
      </c>
      <c r="C474" s="14" t="str">
        <f>'体验表-带进度条'!F474</f>
        <v/>
      </c>
      <c r="D474" s="14">
        <f>'体验表-带进度条'!G474</f>
        <v>0</v>
      </c>
      <c r="E474" s="16">
        <f>'体验表-带进度条'!H474</f>
        <v>0</v>
      </c>
      <c r="F474" s="17">
        <f>'体验表-带进度条'!I474</f>
        <v>0</v>
      </c>
      <c r="G474" s="14">
        <f>'体验表-带进度条'!J474</f>
        <v>0</v>
      </c>
      <c r="H474" s="19" t="str">
        <f>'体验表-带进度条'!K474</f>
        <v>大奖赛复活券</v>
      </c>
      <c r="I474" s="38">
        <f>'体验表-带进度条'!L474</f>
        <v>3</v>
      </c>
      <c r="J474" s="21">
        <f>'体验表-带进度条'!M474</f>
        <v>1</v>
      </c>
      <c r="K474" s="14">
        <f>'体验表-带进度条'!N474</f>
        <v>0</v>
      </c>
      <c r="L474" s="22">
        <f>'体验表-带进度条'!O474</f>
        <v>0</v>
      </c>
      <c r="M474" s="30">
        <f>'体验表-带进度条'!X474</f>
        <v>0</v>
      </c>
      <c r="N474" s="23">
        <f>'体验表-带进度条'!AA474</f>
        <v>0</v>
      </c>
      <c r="O474" s="72">
        <f>'体验表-带进度条'!AB474</f>
        <v>0</v>
      </c>
    </row>
    <row r="475" spans="1:15">
      <c r="D475" s="14"/>
      <c r="E475" s="16"/>
      <c r="F475" s="17"/>
      <c r="G475" s="14"/>
      <c r="H475" s="19"/>
      <c r="I475" s="38"/>
      <c r="J475" s="21"/>
      <c r="K475" s="14"/>
      <c r="L475" s="22"/>
      <c r="M475" s="30"/>
      <c r="N475" s="23"/>
      <c r="O475" s="7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8"/>
  <sheetViews>
    <sheetView workbookViewId="0">
      <selection activeCell="A1" sqref="A1"/>
    </sheetView>
  </sheetViews>
  <sheetFormatPr defaultColWidth="9" defaultRowHeight="13.5"/>
  <cols>
    <col min="1" max="1" width="5.375" style="1" customWidth="1"/>
    <col min="2" max="2" width="5.75833333333333" style="1" customWidth="1"/>
    <col min="3" max="3" width="7.875" style="1" customWidth="1"/>
    <col min="4" max="4" width="11.125" style="1" customWidth="1"/>
    <col min="5" max="5" width="11.125" style="2" customWidth="1"/>
    <col min="6" max="6" width="7.875" style="3" customWidth="1"/>
    <col min="7" max="7" width="9.89166666666667" style="70" customWidth="1"/>
    <col min="8" max="8" width="11.2583333333333" style="5" customWidth="1"/>
    <col min="9" max="9" width="14.5166666666667" style="6" customWidth="1"/>
    <col min="10" max="10" width="13.125" style="7" customWidth="1"/>
    <col min="11" max="11" width="11.125" style="1" customWidth="1"/>
    <col min="12" max="12" width="7.875" style="8" customWidth="1"/>
    <col min="13" max="13" width="11.125" style="9" customWidth="1"/>
    <col min="14" max="14" width="7.875" style="10" customWidth="1"/>
    <col min="15" max="16" width="7.69166666666667" style="11" customWidth="1"/>
    <col min="17" max="17" width="11.125" style="11" customWidth="1"/>
    <col min="23" max="23" width="10.375" customWidth="1"/>
  </cols>
  <sheetData>
    <row r="1" ht="84" spans="1:23">
      <c r="A1" s="13" t="str">
        <f>'体验表-带进度条'!B1</f>
        <v>序列</v>
      </c>
      <c r="B1" s="14">
        <f>'体验表-带进度条'!E1</f>
        <v>0</v>
      </c>
      <c r="C1" s="14" t="str">
        <f>'体验表-带进度条'!F1</f>
        <v>档位膨胀</v>
      </c>
      <c r="D1" s="15" t="str">
        <f>'体验表-带进度条'!G1</f>
        <v>基础金币</v>
      </c>
      <c r="E1" s="16" t="str">
        <f>'体验表-带进度条'!H1</f>
        <v>合计金币</v>
      </c>
      <c r="F1" s="17" t="str">
        <f>'体验表-带进度条'!I1</f>
        <v>合计美金</v>
      </c>
      <c r="G1" s="71" t="str">
        <f>'体验表-带进度条'!J1</f>
        <v>优惠比例</v>
      </c>
      <c r="H1" s="19" t="str">
        <f>'体验表-带进度条'!K1</f>
        <v>奖励类型</v>
      </c>
      <c r="I1" s="20" t="str">
        <f>'体验表-带进度条'!L1</f>
        <v>奖励类型
1金币
2钻石
3道具
4卡包
9美金(查表)
17美金金币</v>
      </c>
      <c r="J1" s="21" t="str">
        <f>'体验表-带进度条'!M1</f>
        <v>数量</v>
      </c>
      <c r="K1" s="14" t="str">
        <f>'体验表-带进度条'!N1</f>
        <v>档位金币</v>
      </c>
      <c r="L1" s="22" t="str">
        <f>'体验表-带进度条'!O1</f>
        <v>档位美金</v>
      </c>
      <c r="M1" s="16" t="str">
        <f>'体验表-带进度条'!X1</f>
        <v>合计金币</v>
      </c>
      <c r="N1" s="23" t="str">
        <f>'体验表-带进度条'!AA1</f>
        <v>合计美金</v>
      </c>
      <c r="O1" s="72" t="str">
        <f>'体验表-带进度条'!AB1</f>
        <v>折扣</v>
      </c>
      <c r="P1" s="72"/>
      <c r="Q1" s="72" t="str">
        <f>'体验表-带进度条'!AD1</f>
        <v>总计美金</v>
      </c>
      <c r="R1" s="42"/>
      <c r="S1" s="73" t="s">
        <v>0</v>
      </c>
      <c r="T1" s="15" t="s">
        <v>532</v>
      </c>
      <c r="V1" s="28" t="s">
        <v>533</v>
      </c>
      <c r="W1" s="28" t="s">
        <v>534</v>
      </c>
    </row>
    <row r="2" spans="1:23">
      <c r="A2" s="13">
        <f>'体验表-带进度条'!B2</f>
        <v>1</v>
      </c>
      <c r="B2" s="14">
        <f>'体验表-带进度条'!E2</f>
        <v>0</v>
      </c>
      <c r="C2" s="14" t="str">
        <f>'体验表-带进度条'!F2</f>
        <v/>
      </c>
      <c r="D2" s="14">
        <f>'体验表-带进度条'!G2</f>
        <v>0</v>
      </c>
      <c r="E2" s="16">
        <f>'体验表-带进度条'!H2</f>
        <v>0</v>
      </c>
      <c r="F2" s="17">
        <f>'体验表-带进度条'!I2</f>
        <v>0</v>
      </c>
      <c r="G2" s="71">
        <f>'体验表-带进度条'!J2</f>
        <v>0</v>
      </c>
      <c r="H2" s="14" t="str">
        <f>'体验表-带进度条'!K2</f>
        <v>金币</v>
      </c>
      <c r="I2" s="29">
        <f>'体验表-带进度条'!L2</f>
        <v>1</v>
      </c>
      <c r="J2" s="21">
        <f>'体验表-带进度条'!M2</f>
        <v>5000</v>
      </c>
      <c r="K2" s="14">
        <f>'体验表-带进度条'!N2</f>
        <v>0</v>
      </c>
      <c r="L2" s="22">
        <f>'体验表-带进度条'!O2</f>
        <v>0</v>
      </c>
      <c r="M2" s="30">
        <f>'体验表-带进度条'!X2</f>
        <v>0</v>
      </c>
      <c r="N2" s="23">
        <f>'体验表-带进度条'!AA2</f>
        <v>0</v>
      </c>
      <c r="O2" s="72">
        <f>'体验表-带进度条'!AB2</f>
        <v>0</v>
      </c>
      <c r="P2" s="72"/>
      <c r="Q2" s="74">
        <f>'体验表-带进度条'!AD2</f>
        <v>46.93</v>
      </c>
      <c r="R2" s="42"/>
      <c r="S2" s="73">
        <v>99</v>
      </c>
      <c r="T2" s="15">
        <v>100</v>
      </c>
      <c r="V2" s="32">
        <v>0</v>
      </c>
      <c r="W2" s="33">
        <v>1000000</v>
      </c>
    </row>
    <row r="3" spans="1:23">
      <c r="A3" s="34">
        <f>'体验表-带进度条'!B3</f>
        <v>2</v>
      </c>
      <c r="B3" s="35">
        <f>'体验表-带进度条'!E3</f>
        <v>2.99</v>
      </c>
      <c r="C3" s="14">
        <f>'体验表-带进度条'!F3</f>
        <v>109</v>
      </c>
      <c r="D3" s="36">
        <f>'体验表-带进度条'!G3</f>
        <v>3270000</v>
      </c>
      <c r="E3" s="37">
        <f>'体验表-带进度条'!H3</f>
        <v>3270000</v>
      </c>
      <c r="F3" s="17">
        <f>'体验表-带进度条'!I3</f>
        <v>2.99</v>
      </c>
      <c r="G3" s="71">
        <f>'体验表-带进度条'!J3</f>
        <v>0</v>
      </c>
      <c r="H3" s="14" t="str">
        <f>'体验表-带进度条'!K3</f>
        <v>金币</v>
      </c>
      <c r="I3" s="29">
        <f>'体验表-带进度条'!L3</f>
        <v>9</v>
      </c>
      <c r="J3" s="21">
        <f>'体验表-带进度条'!M3</f>
        <v>3270000</v>
      </c>
      <c r="K3" s="36">
        <f>'体验表-带进度条'!N3</f>
        <v>4168950</v>
      </c>
      <c r="L3" s="22">
        <f>'体验表-带进度条'!O3</f>
        <v>4.16895</v>
      </c>
      <c r="M3" s="37">
        <f>'体验表-带进度条'!X3</f>
        <v>4168950</v>
      </c>
      <c r="N3" s="23">
        <f>'体验表-带进度条'!AA3</f>
        <v>4.16895</v>
      </c>
      <c r="O3" s="72">
        <f>'体验表-带进度条'!AB3</f>
        <v>1.27490825688073</v>
      </c>
      <c r="P3" s="72"/>
      <c r="Q3" s="72" t="str">
        <f>'体验表-带进度条'!AD3</f>
        <v>总优惠比例</v>
      </c>
      <c r="R3" s="42"/>
      <c r="S3" s="73">
        <v>199</v>
      </c>
      <c r="T3" s="15">
        <v>100</v>
      </c>
      <c r="V3" s="32">
        <v>1</v>
      </c>
      <c r="W3" s="33">
        <v>1250000</v>
      </c>
    </row>
    <row r="4" spans="1:23">
      <c r="A4" s="13">
        <f>'体验表-带进度条'!B4</f>
        <v>3</v>
      </c>
      <c r="B4" s="14">
        <f>'体验表-带进度条'!E4</f>
        <v>0</v>
      </c>
      <c r="C4" s="14" t="str">
        <f>'体验表-带进度条'!F4</f>
        <v/>
      </c>
      <c r="D4" s="14">
        <f>'体验表-带进度条'!G4</f>
        <v>0</v>
      </c>
      <c r="E4" s="16">
        <f>'体验表-带进度条'!H4</f>
        <v>0</v>
      </c>
      <c r="F4" s="17">
        <f>'体验表-带进度条'!I4</f>
        <v>0</v>
      </c>
      <c r="G4" s="71">
        <f>'体验表-带进度条'!J4</f>
        <v>0</v>
      </c>
      <c r="H4" s="19" t="str">
        <f>'体验表-带进度条'!K4</f>
        <v>记牌器1个</v>
      </c>
      <c r="I4" s="38">
        <f>'体验表-带进度条'!L4</f>
        <v>3</v>
      </c>
      <c r="J4" s="21">
        <f>'体验表-带进度条'!M4</f>
        <v>1</v>
      </c>
      <c r="K4" s="14">
        <f>'体验表-带进度条'!N4</f>
        <v>0</v>
      </c>
      <c r="L4" s="22">
        <f>'体验表-带进度条'!O4</f>
        <v>0</v>
      </c>
      <c r="M4" s="30">
        <f>'体验表-带进度条'!X4</f>
        <v>0</v>
      </c>
      <c r="N4" s="23">
        <f>'体验表-带进度条'!AA4</f>
        <v>0</v>
      </c>
      <c r="O4" s="72">
        <f>'体验表-带进度条'!AB4</f>
        <v>0</v>
      </c>
      <c r="P4" s="72"/>
      <c r="Q4" s="72">
        <f>'体验表-带进度条'!AD4</f>
        <v>1.15</v>
      </c>
      <c r="R4" s="42"/>
      <c r="S4" s="73">
        <v>299</v>
      </c>
      <c r="T4" s="15">
        <v>109</v>
      </c>
      <c r="V4" s="32">
        <v>2</v>
      </c>
      <c r="W4" s="33">
        <v>1500000</v>
      </c>
    </row>
    <row r="5" spans="1:23">
      <c r="A5" s="13">
        <f>'体验表-带进度条'!B5</f>
        <v>4</v>
      </c>
      <c r="B5" s="14">
        <f>'体验表-带进度条'!E5</f>
        <v>0</v>
      </c>
      <c r="C5" s="14" t="str">
        <f>'体验表-带进度条'!F5</f>
        <v/>
      </c>
      <c r="D5" s="14">
        <f>'体验表-带进度条'!G5</f>
        <v>0</v>
      </c>
      <c r="E5" s="16">
        <f>'体验表-带进度条'!H5</f>
        <v>0</v>
      </c>
      <c r="F5" s="17">
        <f>'体验表-带进度条'!I5</f>
        <v>0</v>
      </c>
      <c r="G5" s="71">
        <f>'体验表-带进度条'!J5</f>
        <v>0.1</v>
      </c>
      <c r="H5" s="19" t="str">
        <f>'体验表-带进度条'!K5</f>
        <v>金币</v>
      </c>
      <c r="I5" s="38">
        <f>'体验表-带进度条'!L5</f>
        <v>17</v>
      </c>
      <c r="J5" s="21">
        <f>'体验表-带进度条'!M5</f>
        <v>898949.999999999</v>
      </c>
      <c r="K5" s="14">
        <f>'体验表-带进度条'!N5</f>
        <v>0</v>
      </c>
      <c r="L5" s="22">
        <f>'体验表-带进度条'!O5</f>
        <v>0</v>
      </c>
      <c r="M5" s="30">
        <f>'体验表-带进度条'!X5</f>
        <v>0</v>
      </c>
      <c r="N5" s="23">
        <f>'体验表-带进度条'!AA5</f>
        <v>0</v>
      </c>
      <c r="O5" s="72">
        <f>'体验表-带进度条'!AB5</f>
        <v>0</v>
      </c>
      <c r="P5" s="72"/>
      <c r="Q5" s="72" t="str">
        <f>'体验表-带进度条'!AD5</f>
        <v>优惠金币</v>
      </c>
      <c r="R5" s="42"/>
      <c r="S5" s="73">
        <v>399</v>
      </c>
      <c r="T5" s="15">
        <v>114</v>
      </c>
      <c r="V5" s="32">
        <v>3</v>
      </c>
      <c r="W5" s="33">
        <v>1750000</v>
      </c>
    </row>
    <row r="6" spans="1:23">
      <c r="A6" s="13">
        <f>'体验表-带进度条'!B6</f>
        <v>5</v>
      </c>
      <c r="B6" s="14">
        <f>'体验表-带进度条'!E6</f>
        <v>0</v>
      </c>
      <c r="C6" s="14" t="str">
        <f>'体验表-带进度条'!F6</f>
        <v/>
      </c>
      <c r="D6" s="14">
        <f>'体验表-带进度条'!G6</f>
        <v>0</v>
      </c>
      <c r="E6" s="16">
        <f>'体验表-带进度条'!H6</f>
        <v>0</v>
      </c>
      <c r="F6" s="17">
        <f>'体验表-带进度条'!I6</f>
        <v>0</v>
      </c>
      <c r="G6" s="71">
        <f>'体验表-带进度条'!J6</f>
        <v>0</v>
      </c>
      <c r="H6" s="19" t="str">
        <f>'体验表-带进度条'!K6</f>
        <v>卡包2星</v>
      </c>
      <c r="I6" s="38">
        <f>'体验表-带进度条'!L6</f>
        <v>4</v>
      </c>
      <c r="J6" s="21">
        <f>'体验表-带进度条'!M6</f>
        <v>1</v>
      </c>
      <c r="K6" s="14">
        <f>'体验表-带进度条'!N6</f>
        <v>0</v>
      </c>
      <c r="L6" s="22">
        <f>'体验表-带进度条'!O6</f>
        <v>0</v>
      </c>
      <c r="M6" s="30">
        <f>'体验表-带进度条'!X6</f>
        <v>0</v>
      </c>
      <c r="N6" s="23">
        <f>'体验表-带进度条'!AA6</f>
        <v>0</v>
      </c>
      <c r="O6" s="72">
        <f>'体验表-带进度条'!AB6</f>
        <v>0</v>
      </c>
      <c r="P6" s="72"/>
      <c r="Q6" s="75">
        <f>'体验表-带进度条'!AD6</f>
        <v>8989499.99999999</v>
      </c>
      <c r="R6" s="42"/>
      <c r="S6" s="73">
        <v>499</v>
      </c>
      <c r="T6" s="15">
        <v>119</v>
      </c>
      <c r="V6" s="32">
        <v>4</v>
      </c>
      <c r="W6" s="33">
        <v>2000000</v>
      </c>
    </row>
    <row r="7" spans="1:23">
      <c r="A7" s="13">
        <f>'体验表-带进度条'!B7</f>
        <v>6</v>
      </c>
      <c r="B7" s="14">
        <f>'体验表-带进度条'!E7</f>
        <v>0</v>
      </c>
      <c r="C7" s="14" t="str">
        <f>'体验表-带进度条'!F7</f>
        <v/>
      </c>
      <c r="D7" s="14">
        <f>'体验表-带进度条'!G7</f>
        <v>0</v>
      </c>
      <c r="E7" s="16">
        <f>'体验表-带进度条'!H7</f>
        <v>0</v>
      </c>
      <c r="F7" s="17">
        <f>'体验表-带进度条'!I7</f>
        <v>0</v>
      </c>
      <c r="G7" s="71">
        <f>'体验表-带进度条'!J7</f>
        <v>0</v>
      </c>
      <c r="H7" s="19" t="str">
        <f>'体验表-带进度条'!K7</f>
        <v>老虎机抽奖券</v>
      </c>
      <c r="I7" s="38">
        <f>'体验表-带进度条'!L7</f>
        <v>3</v>
      </c>
      <c r="J7" s="21">
        <f>'体验表-带进度条'!M7</f>
        <v>5</v>
      </c>
      <c r="K7" s="14">
        <f>'体验表-带进度条'!N7</f>
        <v>0</v>
      </c>
      <c r="L7" s="22">
        <f>'体验表-带进度条'!O7</f>
        <v>0</v>
      </c>
      <c r="M7" s="30">
        <f>'体验表-带进度条'!X7</f>
        <v>0</v>
      </c>
      <c r="N7" s="23">
        <f>'体验表-带进度条'!AA7</f>
        <v>0</v>
      </c>
      <c r="O7" s="72">
        <f>'体验表-带进度条'!AB7</f>
        <v>0</v>
      </c>
      <c r="P7" s="72"/>
      <c r="Q7" s="72" t="str">
        <f>'体验表-带进度条'!AD7</f>
        <v>总优惠进度</v>
      </c>
      <c r="R7" s="42"/>
      <c r="S7" s="73">
        <v>599</v>
      </c>
      <c r="T7" s="15">
        <v>119</v>
      </c>
      <c r="V7" s="32">
        <v>5</v>
      </c>
      <c r="W7" s="33">
        <v>2250000</v>
      </c>
    </row>
    <row r="8" spans="1:23">
      <c r="A8" s="13">
        <f>'体验表-带进度条'!B8</f>
        <v>7</v>
      </c>
      <c r="B8" s="14">
        <f>'体验表-带进度条'!E8</f>
        <v>0</v>
      </c>
      <c r="C8" s="14" t="str">
        <f>'体验表-带进度条'!F8</f>
        <v/>
      </c>
      <c r="D8" s="14">
        <f>'体验表-带进度条'!G8</f>
        <v>0</v>
      </c>
      <c r="E8" s="16">
        <f>'体验表-带进度条'!H8</f>
        <v>0</v>
      </c>
      <c r="F8" s="17">
        <f>'体验表-带进度条'!I8</f>
        <v>0</v>
      </c>
      <c r="G8" s="71">
        <f>'体验表-带进度条'!J8</f>
        <v>0</v>
      </c>
      <c r="H8" s="19" t="str">
        <f>'体验表-带进度条'!K8</f>
        <v>大奖赛复活券</v>
      </c>
      <c r="I8" s="38">
        <f>'体验表-带进度条'!L8</f>
        <v>3</v>
      </c>
      <c r="J8" s="21">
        <f>'体验表-带进度条'!M8</f>
        <v>1</v>
      </c>
      <c r="K8" s="14">
        <f>'体验表-带进度条'!N8</f>
        <v>0</v>
      </c>
      <c r="L8" s="22">
        <f>'体验表-带进度条'!O8</f>
        <v>0</v>
      </c>
      <c r="M8" s="30">
        <f>'体验表-带进度条'!X8</f>
        <v>0</v>
      </c>
      <c r="N8" s="23">
        <f>'体验表-带进度条'!AA8</f>
        <v>0</v>
      </c>
      <c r="O8" s="72">
        <f>'体验表-带进度条'!AB8</f>
        <v>0</v>
      </c>
      <c r="P8" s="72"/>
      <c r="Q8" s="72">
        <f>'体验表-带进度条'!AD8</f>
        <v>1.34</v>
      </c>
      <c r="R8" s="42"/>
      <c r="S8" s="73">
        <v>699</v>
      </c>
      <c r="T8" s="15">
        <v>124</v>
      </c>
      <c r="V8" s="32">
        <v>6</v>
      </c>
      <c r="W8" s="33">
        <v>2500000</v>
      </c>
    </row>
    <row r="9" spans="1:23">
      <c r="A9" s="34">
        <f>'体验表-带进度条'!B9</f>
        <v>8</v>
      </c>
      <c r="B9" s="14">
        <f>'体验表-带进度条'!E9</f>
        <v>3.99</v>
      </c>
      <c r="C9" s="14">
        <f>'体验表-带进度条'!F9</f>
        <v>114</v>
      </c>
      <c r="D9" s="36">
        <f>'体验表-带进度条'!G9</f>
        <v>4560000</v>
      </c>
      <c r="E9" s="37">
        <f>'体验表-带进度条'!H9</f>
        <v>7830000</v>
      </c>
      <c r="F9" s="17">
        <f>'体验表-带进度条'!I9</f>
        <v>6.98</v>
      </c>
      <c r="G9" s="71">
        <f>'体验表-带进度条'!J9</f>
        <v>0.12</v>
      </c>
      <c r="H9" s="14" t="str">
        <f>'体验表-带进度条'!K9</f>
        <v>金币</v>
      </c>
      <c r="I9" s="29">
        <f>'体验表-带进度条'!L9</f>
        <v>9</v>
      </c>
      <c r="J9" s="21">
        <f>'体验表-带进度条'!M9</f>
        <v>4560000</v>
      </c>
      <c r="K9" s="36">
        <f>'体验表-带进度条'!N9</f>
        <v>4739790</v>
      </c>
      <c r="L9" s="22">
        <f>'体验表-带进度条'!O9</f>
        <v>4.73979</v>
      </c>
      <c r="M9" s="37">
        <f>'体验表-带进度条'!X9</f>
        <v>9987480</v>
      </c>
      <c r="N9" s="23">
        <f>'体验表-带进度条'!AA9</f>
        <v>9.98748</v>
      </c>
      <c r="O9" s="72">
        <f>'体验表-带进度条'!AB9</f>
        <v>1.27554022988506</v>
      </c>
      <c r="P9" s="72"/>
      <c r="Q9" s="72"/>
      <c r="R9" s="42"/>
      <c r="S9" s="73">
        <v>799</v>
      </c>
      <c r="T9" s="15">
        <v>129</v>
      </c>
      <c r="V9" s="32">
        <v>7</v>
      </c>
      <c r="W9" s="33">
        <v>2500000</v>
      </c>
    </row>
    <row r="10" spans="1:23">
      <c r="A10" s="13">
        <f>'体验表-带进度条'!B10</f>
        <v>9</v>
      </c>
      <c r="B10" s="14">
        <f>'体验表-带进度条'!E10</f>
        <v>0</v>
      </c>
      <c r="C10" s="14" t="str">
        <f>'体验表-带进度条'!F10</f>
        <v/>
      </c>
      <c r="D10" s="14">
        <f>'体验表-带进度条'!G10</f>
        <v>0</v>
      </c>
      <c r="E10" s="16">
        <f>'体验表-带进度条'!H10</f>
        <v>0</v>
      </c>
      <c r="F10" s="17">
        <f>'体验表-带进度条'!I10</f>
        <v>0</v>
      </c>
      <c r="G10" s="71">
        <f>'体验表-带进度条'!J10</f>
        <v>0</v>
      </c>
      <c r="H10" s="19" t="str">
        <f>'体验表-带进度条'!K10</f>
        <v>记牌器1个</v>
      </c>
      <c r="I10" s="38">
        <f>'体验表-带进度条'!L10</f>
        <v>3</v>
      </c>
      <c r="J10" s="21">
        <f>'体验表-带进度条'!M10</f>
        <v>2</v>
      </c>
      <c r="K10" s="14">
        <f>'体验表-带进度条'!N10</f>
        <v>0</v>
      </c>
      <c r="L10" s="22">
        <f>'体验表-带进度条'!O10</f>
        <v>0</v>
      </c>
      <c r="M10" s="30">
        <f>'体验表-带进度条'!X10</f>
        <v>0</v>
      </c>
      <c r="N10" s="23">
        <f>'体验表-带进度条'!AA10</f>
        <v>0</v>
      </c>
      <c r="O10" s="72">
        <f>'体验表-带进度条'!AB10</f>
        <v>0</v>
      </c>
      <c r="P10" s="72"/>
      <c r="Q10" s="72"/>
      <c r="R10" s="42"/>
      <c r="S10" s="73">
        <v>899</v>
      </c>
      <c r="T10" s="15">
        <v>134</v>
      </c>
      <c r="V10" s="32">
        <v>8</v>
      </c>
      <c r="W10" s="33">
        <v>2500000</v>
      </c>
    </row>
    <row r="11" spans="1:23">
      <c r="A11" s="13">
        <f>'体验表-带进度条'!B11</f>
        <v>10</v>
      </c>
      <c r="B11" s="14">
        <f>'体验表-带进度条'!E11</f>
        <v>0</v>
      </c>
      <c r="C11" s="14" t="str">
        <f>'体验表-带进度条'!F11</f>
        <v/>
      </c>
      <c r="D11" s="14">
        <f>'体验表-带进度条'!G11</f>
        <v>0</v>
      </c>
      <c r="E11" s="16">
        <f>'体验表-带进度条'!H11</f>
        <v>0</v>
      </c>
      <c r="F11" s="17">
        <f>'体验表-带进度条'!I11</f>
        <v>0</v>
      </c>
      <c r="G11" s="71">
        <f>'体验表-带进度条'!J11</f>
        <v>0.02</v>
      </c>
      <c r="H11" s="19" t="str">
        <f>'体验表-带进度条'!K11</f>
        <v>金币</v>
      </c>
      <c r="I11" s="38">
        <f>'体验表-带进度条'!L11</f>
        <v>17</v>
      </c>
      <c r="J11" s="21">
        <f>'体验表-带进度条'!M11</f>
        <v>179790</v>
      </c>
      <c r="K11" s="14">
        <f>'体验表-带进度条'!N11</f>
        <v>0</v>
      </c>
      <c r="L11" s="22">
        <f>'体验表-带进度条'!O11</f>
        <v>0</v>
      </c>
      <c r="M11" s="30">
        <f>'体验表-带进度条'!X11</f>
        <v>0</v>
      </c>
      <c r="N11" s="23">
        <f>'体验表-带进度条'!AA11</f>
        <v>0</v>
      </c>
      <c r="O11" s="72">
        <f>'体验表-带进度条'!AB11</f>
        <v>0</v>
      </c>
      <c r="P11" s="72"/>
      <c r="Q11" s="72"/>
      <c r="R11" s="42"/>
      <c r="S11" s="73">
        <v>999</v>
      </c>
      <c r="T11" s="15">
        <v>139</v>
      </c>
      <c r="V11" s="32">
        <v>9</v>
      </c>
      <c r="W11" s="33">
        <v>2500000</v>
      </c>
    </row>
    <row r="12" spans="1:23">
      <c r="A12" s="13">
        <f>'体验表-带进度条'!B12</f>
        <v>11</v>
      </c>
      <c r="B12" s="14">
        <f>'体验表-带进度条'!E12</f>
        <v>0</v>
      </c>
      <c r="C12" s="14" t="str">
        <f>'体验表-带进度条'!F12</f>
        <v/>
      </c>
      <c r="D12" s="14">
        <f>'体验表-带进度条'!G12</f>
        <v>0</v>
      </c>
      <c r="E12" s="16">
        <f>'体验表-带进度条'!H12</f>
        <v>0</v>
      </c>
      <c r="F12" s="17">
        <f>'体验表-带进度条'!I12</f>
        <v>0</v>
      </c>
      <c r="G12" s="71">
        <f>'体验表-带进度条'!J12</f>
        <v>0</v>
      </c>
      <c r="H12" s="19" t="str">
        <f>'体验表-带进度条'!K12</f>
        <v>卡包3星</v>
      </c>
      <c r="I12" s="38">
        <f>'体验表-带进度条'!L12</f>
        <v>4</v>
      </c>
      <c r="J12" s="21">
        <f>'体验表-带进度条'!M12</f>
        <v>1</v>
      </c>
      <c r="K12" s="14">
        <f>'体验表-带进度条'!N12</f>
        <v>0</v>
      </c>
      <c r="L12" s="22">
        <f>'体验表-带进度条'!O12</f>
        <v>0</v>
      </c>
      <c r="M12" s="30">
        <f>'体验表-带进度条'!X12</f>
        <v>0</v>
      </c>
      <c r="N12" s="23">
        <f>'体验表-带进度条'!AA12</f>
        <v>0</v>
      </c>
      <c r="O12" s="72">
        <f>'体验表-带进度条'!AB12</f>
        <v>0</v>
      </c>
      <c r="P12" s="72"/>
      <c r="Q12" s="72"/>
      <c r="R12" s="42"/>
      <c r="S12" s="73">
        <v>1099</v>
      </c>
      <c r="T12" s="15">
        <v>142</v>
      </c>
      <c r="V12" s="32">
        <v>10</v>
      </c>
      <c r="W12" s="33">
        <v>2500000</v>
      </c>
    </row>
    <row r="13" spans="1:23">
      <c r="A13" s="13">
        <f>'体验表-带进度条'!B13</f>
        <v>12</v>
      </c>
      <c r="B13" s="14">
        <f>'体验表-带进度条'!E13</f>
        <v>0</v>
      </c>
      <c r="C13" s="14" t="str">
        <f>'体验表-带进度条'!F13</f>
        <v/>
      </c>
      <c r="D13" s="14">
        <f>'体验表-带进度条'!G13</f>
        <v>0</v>
      </c>
      <c r="E13" s="16">
        <f>'体验表-带进度条'!H13</f>
        <v>0</v>
      </c>
      <c r="F13" s="17">
        <f>'体验表-带进度条'!I13</f>
        <v>0</v>
      </c>
      <c r="G13" s="71">
        <f>'体验表-带进度条'!J13</f>
        <v>0</v>
      </c>
      <c r="H13" s="19" t="str">
        <f>'体验表-带进度条'!K13</f>
        <v>老虎机抽奖券</v>
      </c>
      <c r="I13" s="38">
        <f>'体验表-带进度条'!L13</f>
        <v>3</v>
      </c>
      <c r="J13" s="21">
        <f>'体验表-带进度条'!M13</f>
        <v>10</v>
      </c>
      <c r="K13" s="14">
        <f>'体验表-带进度条'!N13</f>
        <v>0</v>
      </c>
      <c r="L13" s="22">
        <f>'体验表-带进度条'!O13</f>
        <v>0</v>
      </c>
      <c r="M13" s="30">
        <f>'体验表-带进度条'!X13</f>
        <v>0</v>
      </c>
      <c r="N13" s="23">
        <f>'体验表-带进度条'!AA13</f>
        <v>0</v>
      </c>
      <c r="O13" s="72">
        <f>'体验表-带进度条'!AB13</f>
        <v>0</v>
      </c>
      <c r="P13" s="72"/>
      <c r="Q13" s="72"/>
      <c r="R13" s="42"/>
      <c r="S13" s="73">
        <v>1199</v>
      </c>
      <c r="T13" s="15">
        <v>146</v>
      </c>
      <c r="V13" s="32">
        <v>11</v>
      </c>
      <c r="W13" s="33">
        <v>2500000</v>
      </c>
    </row>
    <row r="14" spans="1:23">
      <c r="A14" s="13">
        <f>'体验表-带进度条'!B14</f>
        <v>13</v>
      </c>
      <c r="B14" s="14">
        <f>'体验表-带进度条'!E14</f>
        <v>0</v>
      </c>
      <c r="C14" s="14" t="str">
        <f>'体验表-带进度条'!F14</f>
        <v/>
      </c>
      <c r="D14" s="14">
        <f>'体验表-带进度条'!G14</f>
        <v>0</v>
      </c>
      <c r="E14" s="16">
        <f>'体验表-带进度条'!H14</f>
        <v>0</v>
      </c>
      <c r="F14" s="17">
        <f>'体验表-带进度条'!I14</f>
        <v>0</v>
      </c>
      <c r="G14" s="71">
        <f>'体验表-带进度条'!J14</f>
        <v>0</v>
      </c>
      <c r="H14" s="19" t="str">
        <f>'体验表-带进度条'!K14</f>
        <v>大奖赛报名券</v>
      </c>
      <c r="I14" s="38">
        <f>'体验表-带进度条'!L14</f>
        <v>3</v>
      </c>
      <c r="J14" s="21">
        <f>'体验表-带进度条'!M14</f>
        <v>1</v>
      </c>
      <c r="K14" s="14">
        <f>'体验表-带进度条'!N14</f>
        <v>0</v>
      </c>
      <c r="L14" s="22">
        <f>'体验表-带进度条'!O14</f>
        <v>0</v>
      </c>
      <c r="M14" s="30">
        <f>'体验表-带进度条'!X14</f>
        <v>0</v>
      </c>
      <c r="N14" s="23">
        <f>'体验表-带进度条'!AA14</f>
        <v>0</v>
      </c>
      <c r="O14" s="72">
        <f>'体验表-带进度条'!AB14</f>
        <v>0</v>
      </c>
      <c r="P14" s="72"/>
      <c r="Q14" s="72"/>
      <c r="R14" s="42"/>
      <c r="S14" s="73">
        <v>1299</v>
      </c>
      <c r="T14" s="15">
        <v>149</v>
      </c>
      <c r="V14" s="32">
        <v>12</v>
      </c>
      <c r="W14" s="33">
        <v>2500000</v>
      </c>
    </row>
    <row r="15" spans="1:23">
      <c r="A15" s="34">
        <f>'体验表-带进度条'!B15</f>
        <v>14</v>
      </c>
      <c r="B15" s="14">
        <f>'体验表-带进度条'!E15</f>
        <v>5.99</v>
      </c>
      <c r="C15" s="14">
        <f>'体验表-带进度条'!F15</f>
        <v>119</v>
      </c>
      <c r="D15" s="36">
        <f>'体验表-带进度条'!G15</f>
        <v>7140000</v>
      </c>
      <c r="E15" s="37">
        <f>'体验表-带进度条'!H15</f>
        <v>14970000</v>
      </c>
      <c r="F15" s="17">
        <f>'体验表-带进度条'!I15</f>
        <v>12.97</v>
      </c>
      <c r="G15" s="71">
        <f>'体验表-带进度条'!J15</f>
        <v>0</v>
      </c>
      <c r="H15" s="14" t="str">
        <f>'体验表-带进度条'!K15</f>
        <v>金币</v>
      </c>
      <c r="I15" s="29">
        <f>'体验表-带进度条'!L15</f>
        <v>9</v>
      </c>
      <c r="J15" s="21">
        <f>'体验表-带进度条'!M15</f>
        <v>7140000</v>
      </c>
      <c r="K15" s="36">
        <f>'体验表-带进度条'!N15</f>
        <v>7589475</v>
      </c>
      <c r="L15" s="22">
        <f>'体验表-带进度条'!O15</f>
        <v>7.589475</v>
      </c>
      <c r="M15" s="37">
        <f>'体验表-带进度条'!X15</f>
        <v>17576955</v>
      </c>
      <c r="N15" s="23">
        <f>'体验表-带进度条'!AA15</f>
        <v>17.576955</v>
      </c>
      <c r="O15" s="72">
        <f>'体验表-带进度条'!AB15</f>
        <v>1.17414529058116</v>
      </c>
      <c r="P15" s="72"/>
      <c r="Q15" s="72"/>
      <c r="R15" s="42"/>
      <c r="S15" s="73">
        <v>1399</v>
      </c>
      <c r="T15" s="15">
        <v>151</v>
      </c>
      <c r="V15" s="32">
        <v>13</v>
      </c>
      <c r="W15" s="33">
        <v>2500000</v>
      </c>
    </row>
    <row r="16" spans="1:23">
      <c r="A16" s="13">
        <f>'体验表-带进度条'!B16</f>
        <v>15</v>
      </c>
      <c r="B16" s="14">
        <f>'体验表-带进度条'!E16</f>
        <v>0</v>
      </c>
      <c r="C16" s="14" t="str">
        <f>'体验表-带进度条'!F16</f>
        <v/>
      </c>
      <c r="D16" s="14">
        <f>'体验表-带进度条'!G16</f>
        <v>0</v>
      </c>
      <c r="E16" s="16">
        <f>'体验表-带进度条'!H16</f>
        <v>0</v>
      </c>
      <c r="F16" s="17">
        <f>'体验表-带进度条'!I16</f>
        <v>0</v>
      </c>
      <c r="G16" s="71">
        <f>'体验表-带进度条'!J16</f>
        <v>0</v>
      </c>
      <c r="H16" s="19" t="str">
        <f>'体验表-带进度条'!K16</f>
        <v>记牌器1个</v>
      </c>
      <c r="I16" s="38">
        <f>'体验表-带进度条'!L16</f>
        <v>3</v>
      </c>
      <c r="J16" s="21">
        <f>'体验表-带进度条'!M16</f>
        <v>3</v>
      </c>
      <c r="K16" s="14">
        <f>'体验表-带进度条'!N16</f>
        <v>0</v>
      </c>
      <c r="L16" s="22">
        <f>'体验表-带进度条'!O16</f>
        <v>0</v>
      </c>
      <c r="M16" s="30">
        <f>'体验表-带进度条'!X16</f>
        <v>0</v>
      </c>
      <c r="N16" s="23">
        <f>'体验表-带进度条'!AA16</f>
        <v>0</v>
      </c>
      <c r="O16" s="72">
        <f>'体验表-带进度条'!AB16</f>
        <v>0</v>
      </c>
      <c r="P16" s="72"/>
      <c r="Q16" s="72"/>
      <c r="R16" s="42"/>
      <c r="S16" s="73">
        <v>1499</v>
      </c>
      <c r="T16" s="15">
        <v>154</v>
      </c>
      <c r="V16" s="32">
        <v>14</v>
      </c>
      <c r="W16" s="33">
        <v>2500000</v>
      </c>
    </row>
    <row r="17" spans="1:23">
      <c r="A17" s="13">
        <f>'体验表-带进度条'!B17</f>
        <v>16</v>
      </c>
      <c r="B17" s="14">
        <f>'体验表-带进度条'!E17</f>
        <v>0</v>
      </c>
      <c r="C17" s="14" t="str">
        <f>'体验表-带进度条'!F17</f>
        <v/>
      </c>
      <c r="D17" s="14">
        <f>'体验表-带进度条'!G17</f>
        <v>0</v>
      </c>
      <c r="E17" s="16">
        <f>'体验表-带进度条'!H17</f>
        <v>0</v>
      </c>
      <c r="F17" s="17">
        <f>'体验表-带进度条'!I17</f>
        <v>0</v>
      </c>
      <c r="G17" s="71">
        <f>'体验表-带进度条'!J17</f>
        <v>0.05</v>
      </c>
      <c r="H17" s="19" t="str">
        <f>'体验表-带进度条'!K17</f>
        <v>金币</v>
      </c>
      <c r="I17" s="38">
        <f>'体验表-带进度条'!L17</f>
        <v>17</v>
      </c>
      <c r="J17" s="21">
        <f>'体验表-带进度条'!M17</f>
        <v>449475</v>
      </c>
      <c r="K17" s="14">
        <f>'体验表-带进度条'!N17</f>
        <v>0</v>
      </c>
      <c r="L17" s="22">
        <f>'体验表-带进度条'!O17</f>
        <v>0</v>
      </c>
      <c r="M17" s="30">
        <f>'体验表-带进度条'!X17</f>
        <v>0</v>
      </c>
      <c r="N17" s="23">
        <f>'体验表-带进度条'!AA17</f>
        <v>0</v>
      </c>
      <c r="O17" s="72">
        <f>'体验表-带进度条'!AB17</f>
        <v>0</v>
      </c>
      <c r="P17" s="72"/>
      <c r="Q17" s="72"/>
      <c r="R17" s="42"/>
      <c r="S17" s="73">
        <v>1799</v>
      </c>
      <c r="T17" s="15">
        <v>158</v>
      </c>
      <c r="V17" s="76">
        <v>15</v>
      </c>
      <c r="W17" s="77">
        <v>2500000</v>
      </c>
    </row>
    <row r="18" spans="1:23">
      <c r="A18" s="13">
        <f>'体验表-带进度条'!B18</f>
        <v>17</v>
      </c>
      <c r="B18" s="14">
        <f>'体验表-带进度条'!E18</f>
        <v>0</v>
      </c>
      <c r="C18" s="14" t="str">
        <f>'体验表-带进度条'!F18</f>
        <v/>
      </c>
      <c r="D18" s="14">
        <f>'体验表-带进度条'!G18</f>
        <v>0</v>
      </c>
      <c r="E18" s="16">
        <f>'体验表-带进度条'!H18</f>
        <v>0</v>
      </c>
      <c r="F18" s="17">
        <f>'体验表-带进度条'!I18</f>
        <v>0</v>
      </c>
      <c r="G18" s="71">
        <f>'体验表-带进度条'!J18</f>
        <v>0</v>
      </c>
      <c r="H18" s="19" t="str">
        <f>'体验表-带进度条'!K18</f>
        <v>卡包4星</v>
      </c>
      <c r="I18" s="38">
        <f>'体验表-带进度条'!L18</f>
        <v>4</v>
      </c>
      <c r="J18" s="21">
        <f>'体验表-带进度条'!M18</f>
        <v>1</v>
      </c>
      <c r="K18" s="14">
        <f>'体验表-带进度条'!N18</f>
        <v>0</v>
      </c>
      <c r="L18" s="22">
        <f>'体验表-带进度条'!O18</f>
        <v>0</v>
      </c>
      <c r="M18" s="30">
        <f>'体验表-带进度条'!X18</f>
        <v>0</v>
      </c>
      <c r="N18" s="23">
        <f>'体验表-带进度条'!AA18</f>
        <v>0</v>
      </c>
      <c r="O18" s="72">
        <f>'体验表-带进度条'!AB18</f>
        <v>0</v>
      </c>
      <c r="P18" s="72"/>
      <c r="Q18" s="72"/>
      <c r="R18" s="42"/>
      <c r="S18" s="73">
        <v>1999</v>
      </c>
      <c r="T18" s="15">
        <v>158</v>
      </c>
      <c r="V18" s="42"/>
      <c r="W18" s="42"/>
    </row>
    <row r="19" spans="1:23">
      <c r="A19" s="13">
        <f>'体验表-带进度条'!B19</f>
        <v>18</v>
      </c>
      <c r="B19" s="14">
        <f>'体验表-带进度条'!E19</f>
        <v>0</v>
      </c>
      <c r="C19" s="14" t="str">
        <f>'体验表-带进度条'!F19</f>
        <v/>
      </c>
      <c r="D19" s="14">
        <f>'体验表-带进度条'!G19</f>
        <v>0</v>
      </c>
      <c r="E19" s="16">
        <f>'体验表-带进度条'!H19</f>
        <v>0</v>
      </c>
      <c r="F19" s="17">
        <f>'体验表-带进度条'!I19</f>
        <v>0</v>
      </c>
      <c r="G19" s="71">
        <f>'体验表-带进度条'!J19</f>
        <v>0</v>
      </c>
      <c r="H19" s="19" t="str">
        <f>'体验表-带进度条'!K19</f>
        <v>老虎机抽奖券</v>
      </c>
      <c r="I19" s="38">
        <f>'体验表-带进度条'!L19</f>
        <v>3</v>
      </c>
      <c r="J19" s="21">
        <f>'体验表-带进度条'!M19</f>
        <v>15</v>
      </c>
      <c r="K19" s="14">
        <f>'体验表-带进度条'!N19</f>
        <v>0</v>
      </c>
      <c r="L19" s="22">
        <f>'体验表-带进度条'!O19</f>
        <v>0</v>
      </c>
      <c r="M19" s="30">
        <f>'体验表-带进度条'!X19</f>
        <v>0</v>
      </c>
      <c r="N19" s="23">
        <f>'体验表-带进度条'!AA19</f>
        <v>0</v>
      </c>
      <c r="O19" s="72">
        <f>'体验表-带进度条'!AB19</f>
        <v>0</v>
      </c>
      <c r="P19" s="72"/>
      <c r="Q19" s="72"/>
      <c r="R19" s="42"/>
      <c r="S19" s="73">
        <v>2499</v>
      </c>
      <c r="T19" s="15">
        <v>163</v>
      </c>
      <c r="V19" s="42"/>
      <c r="W19" s="42"/>
    </row>
    <row r="20" spans="1:23">
      <c r="A20" s="13">
        <f>'体验表-带进度条'!B20</f>
        <v>19</v>
      </c>
      <c r="B20" s="14">
        <f>'体验表-带进度条'!E20</f>
        <v>0</v>
      </c>
      <c r="C20" s="14" t="str">
        <f>'体验表-带进度条'!F20</f>
        <v/>
      </c>
      <c r="D20" s="14">
        <f>'体验表-带进度条'!G20</f>
        <v>0</v>
      </c>
      <c r="E20" s="16">
        <f>'体验表-带进度条'!H20</f>
        <v>0</v>
      </c>
      <c r="F20" s="17">
        <f>'体验表-带进度条'!I20</f>
        <v>0</v>
      </c>
      <c r="G20" s="71">
        <f>'体验表-带进度条'!J20</f>
        <v>0</v>
      </c>
      <c r="H20" s="19" t="str">
        <f>'体验表-带进度条'!K20</f>
        <v>大奖赛复活券</v>
      </c>
      <c r="I20" s="38">
        <f>'体验表-带进度条'!L20</f>
        <v>3</v>
      </c>
      <c r="J20" s="21">
        <f>'体验表-带进度条'!M20</f>
        <v>1</v>
      </c>
      <c r="K20" s="14">
        <f>'体验表-带进度条'!N20</f>
        <v>0</v>
      </c>
      <c r="L20" s="22">
        <f>'体验表-带进度条'!O20</f>
        <v>0</v>
      </c>
      <c r="M20" s="30">
        <f>'体验表-带进度条'!X20</f>
        <v>0</v>
      </c>
      <c r="N20" s="23">
        <f>'体验表-带进度条'!AA20</f>
        <v>0</v>
      </c>
      <c r="O20" s="72">
        <f>'体验表-带进度条'!AB20</f>
        <v>0</v>
      </c>
      <c r="P20" s="72"/>
      <c r="Q20" s="72"/>
      <c r="R20" s="42"/>
      <c r="S20" s="73">
        <v>2999</v>
      </c>
      <c r="T20" s="15">
        <v>163</v>
      </c>
      <c r="V20" s="42"/>
      <c r="W20" s="42"/>
    </row>
    <row r="21" spans="1:23">
      <c r="A21" s="34">
        <f>'体验表-带进度条'!B21</f>
        <v>20</v>
      </c>
      <c r="B21" s="14">
        <f>'体验表-带进度条'!E21</f>
        <v>6.99</v>
      </c>
      <c r="C21" s="14">
        <f>'体验表-带进度条'!F21</f>
        <v>124</v>
      </c>
      <c r="D21" s="36">
        <f>'体验表-带进度条'!G21</f>
        <v>8680000</v>
      </c>
      <c r="E21" s="37">
        <f>'体验表-带进度条'!H21</f>
        <v>23650000</v>
      </c>
      <c r="F21" s="17">
        <f>'体验表-带进度条'!I21</f>
        <v>19.96</v>
      </c>
      <c r="G21" s="71">
        <f>'体验表-带进度条'!J21</f>
        <v>0.24</v>
      </c>
      <c r="H21" s="14" t="str">
        <f>'体验表-带进度条'!K21</f>
        <v>金币</v>
      </c>
      <c r="I21" s="29">
        <f>'体验表-带进度条'!L21</f>
        <v>9</v>
      </c>
      <c r="J21" s="21">
        <f>'体验表-带进度条'!M21</f>
        <v>8680000</v>
      </c>
      <c r="K21" s="36">
        <f>'体验表-带进度条'!N21</f>
        <v>9399160</v>
      </c>
      <c r="L21" s="22">
        <f>'体验表-带进度条'!O21</f>
        <v>9.39916</v>
      </c>
      <c r="M21" s="37">
        <f>'体验表-带进度条'!X21</f>
        <v>29133595</v>
      </c>
      <c r="N21" s="23">
        <f>'体验表-带进度条'!AA21</f>
        <v>29.133595</v>
      </c>
      <c r="O21" s="72">
        <f>'体验表-带进度条'!AB21</f>
        <v>1.2318644820296</v>
      </c>
      <c r="P21" s="72"/>
      <c r="Q21" s="72"/>
      <c r="R21" s="42"/>
      <c r="S21" s="73">
        <v>3499</v>
      </c>
      <c r="T21" s="15">
        <v>168</v>
      </c>
      <c r="V21" s="42"/>
      <c r="W21" s="42"/>
    </row>
    <row r="22" spans="1:23">
      <c r="A22" s="13">
        <f>'体验表-带进度条'!B22</f>
        <v>21</v>
      </c>
      <c r="B22" s="14">
        <f>'体验表-带进度条'!E22</f>
        <v>0</v>
      </c>
      <c r="C22" s="14" t="str">
        <f>'体验表-带进度条'!F22</f>
        <v/>
      </c>
      <c r="D22" s="14">
        <f>'体验表-带进度条'!G22</f>
        <v>0</v>
      </c>
      <c r="E22" s="16">
        <f>'体验表-带进度条'!H22</f>
        <v>0</v>
      </c>
      <c r="F22" s="17">
        <f>'体验表-带进度条'!I22</f>
        <v>0</v>
      </c>
      <c r="G22" s="71">
        <f>'体验表-带进度条'!J22</f>
        <v>0</v>
      </c>
      <c r="H22" s="19" t="str">
        <f>'体验表-带进度条'!K22</f>
        <v>记牌器1个</v>
      </c>
      <c r="I22" s="38">
        <f>'体验表-带进度条'!L22</f>
        <v>3</v>
      </c>
      <c r="J22" s="21">
        <f>'体验表-带进度条'!M22</f>
        <v>4</v>
      </c>
      <c r="K22" s="14">
        <f>'体验表-带进度条'!N22</f>
        <v>0</v>
      </c>
      <c r="L22" s="22">
        <f>'体验表-带进度条'!O22</f>
        <v>0</v>
      </c>
      <c r="M22" s="30">
        <f>'体验表-带进度条'!X22</f>
        <v>0</v>
      </c>
      <c r="N22" s="23">
        <f>'体验表-带进度条'!AA22</f>
        <v>0</v>
      </c>
      <c r="O22" s="72">
        <f>'体验表-带进度条'!AB22</f>
        <v>0</v>
      </c>
      <c r="P22" s="72"/>
      <c r="Q22" s="72"/>
      <c r="R22" s="42"/>
      <c r="S22" s="73">
        <v>3999</v>
      </c>
      <c r="T22" s="15">
        <v>173</v>
      </c>
      <c r="V22" s="42"/>
      <c r="W22" s="42"/>
    </row>
    <row r="23" spans="1:23">
      <c r="A23" s="13">
        <f>'体验表-带进度条'!B23</f>
        <v>22</v>
      </c>
      <c r="B23" s="14">
        <f>'体验表-带进度条'!E23</f>
        <v>0</v>
      </c>
      <c r="C23" s="14" t="str">
        <f>'体验表-带进度条'!F23</f>
        <v/>
      </c>
      <c r="D23" s="14">
        <f>'体验表-带进度条'!G23</f>
        <v>0</v>
      </c>
      <c r="E23" s="16">
        <f>'体验表-带进度条'!H23</f>
        <v>0</v>
      </c>
      <c r="F23" s="17">
        <f>'体验表-带进度条'!I23</f>
        <v>0</v>
      </c>
      <c r="G23" s="71">
        <f>'体验表-带进度条'!J23</f>
        <v>0.08</v>
      </c>
      <c r="H23" s="19" t="str">
        <f>'体验表-带进度条'!K23</f>
        <v>金币</v>
      </c>
      <c r="I23" s="38">
        <f>'体验表-带进度条'!L23</f>
        <v>17</v>
      </c>
      <c r="J23" s="21">
        <f>'体验表-带进度条'!M23</f>
        <v>719160</v>
      </c>
      <c r="K23" s="14">
        <f>'体验表-带进度条'!N23</f>
        <v>0</v>
      </c>
      <c r="L23" s="22">
        <f>'体验表-带进度条'!O23</f>
        <v>0</v>
      </c>
      <c r="M23" s="30">
        <f>'体验表-带进度条'!X23</f>
        <v>0</v>
      </c>
      <c r="N23" s="23">
        <f>'体验表-带进度条'!AA23</f>
        <v>0</v>
      </c>
      <c r="O23" s="72">
        <f>'体验表-带进度条'!AB23</f>
        <v>0</v>
      </c>
      <c r="P23" s="72"/>
      <c r="Q23" s="72"/>
      <c r="R23" s="42"/>
      <c r="S23" s="73">
        <v>4499</v>
      </c>
      <c r="T23" s="15">
        <v>178</v>
      </c>
      <c r="V23" s="42"/>
      <c r="W23" s="42"/>
    </row>
    <row r="24" spans="1:23">
      <c r="A24" s="13">
        <f>'体验表-带进度条'!B24</f>
        <v>23</v>
      </c>
      <c r="B24" s="14">
        <f>'体验表-带进度条'!E24</f>
        <v>0</v>
      </c>
      <c r="C24" s="14" t="str">
        <f>'体验表-带进度条'!F24</f>
        <v/>
      </c>
      <c r="D24" s="14">
        <f>'体验表-带进度条'!G24</f>
        <v>0</v>
      </c>
      <c r="E24" s="16">
        <f>'体验表-带进度条'!H24</f>
        <v>0</v>
      </c>
      <c r="F24" s="17">
        <f>'体验表-带进度条'!I24</f>
        <v>0</v>
      </c>
      <c r="G24" s="71">
        <f>'体验表-带进度条'!J24</f>
        <v>0</v>
      </c>
      <c r="H24" s="19" t="str">
        <f>'体验表-带进度条'!K24</f>
        <v>卡包4星</v>
      </c>
      <c r="I24" s="38">
        <f>'体验表-带进度条'!L24</f>
        <v>4</v>
      </c>
      <c r="J24" s="21">
        <f>'体验表-带进度条'!M24</f>
        <v>1</v>
      </c>
      <c r="K24" s="14">
        <f>'体验表-带进度条'!N24</f>
        <v>0</v>
      </c>
      <c r="L24" s="22">
        <f>'体验表-带进度条'!O24</f>
        <v>0</v>
      </c>
      <c r="M24" s="30">
        <f>'体验表-带进度条'!X24</f>
        <v>0</v>
      </c>
      <c r="N24" s="23">
        <f>'体验表-带进度条'!AA24</f>
        <v>0</v>
      </c>
      <c r="O24" s="72">
        <f>'体验表-带进度条'!AB24</f>
        <v>0</v>
      </c>
      <c r="P24" s="72"/>
      <c r="Q24" s="72"/>
      <c r="R24" s="42"/>
      <c r="S24" s="73">
        <v>4999</v>
      </c>
      <c r="T24" s="15">
        <v>178</v>
      </c>
      <c r="V24" s="42"/>
      <c r="W24" s="42"/>
    </row>
    <row r="25" spans="1:23">
      <c r="A25" s="13">
        <f>'体验表-带进度条'!B25</f>
        <v>24</v>
      </c>
      <c r="B25" s="14">
        <f>'体验表-带进度条'!E25</f>
        <v>0</v>
      </c>
      <c r="C25" s="14" t="str">
        <f>'体验表-带进度条'!F25</f>
        <v/>
      </c>
      <c r="D25" s="14">
        <f>'体验表-带进度条'!G25</f>
        <v>0</v>
      </c>
      <c r="E25" s="16">
        <f>'体验表-带进度条'!H25</f>
        <v>0</v>
      </c>
      <c r="F25" s="17">
        <f>'体验表-带进度条'!I25</f>
        <v>0</v>
      </c>
      <c r="G25" s="71">
        <f>'体验表-带进度条'!J25</f>
        <v>0</v>
      </c>
      <c r="H25" s="19" t="str">
        <f>'体验表-带进度条'!K25</f>
        <v>老虎机抽奖券</v>
      </c>
      <c r="I25" s="38">
        <f>'体验表-带进度条'!L25</f>
        <v>3</v>
      </c>
      <c r="J25" s="21">
        <f>'体验表-带进度条'!M25</f>
        <v>20</v>
      </c>
      <c r="K25" s="14">
        <f>'体验表-带进度条'!N25</f>
        <v>0</v>
      </c>
      <c r="L25" s="22">
        <f>'体验表-带进度条'!O25</f>
        <v>0</v>
      </c>
      <c r="M25" s="30">
        <f>'体验表-带进度条'!X25</f>
        <v>0</v>
      </c>
      <c r="N25" s="23">
        <f>'体验表-带进度条'!AA25</f>
        <v>0</v>
      </c>
      <c r="O25" s="72">
        <f>'体验表-带进度条'!AB25</f>
        <v>0</v>
      </c>
      <c r="P25" s="72"/>
      <c r="Q25" s="72"/>
      <c r="R25" s="42"/>
      <c r="S25" s="73">
        <v>5499</v>
      </c>
      <c r="T25" s="15">
        <v>178</v>
      </c>
      <c r="V25" s="42"/>
      <c r="W25" s="42"/>
    </row>
    <row r="26" spans="1:23">
      <c r="A26" s="13">
        <f>'体验表-带进度条'!B26</f>
        <v>25</v>
      </c>
      <c r="B26" s="14">
        <f>'体验表-带进度条'!E26</f>
        <v>0</v>
      </c>
      <c r="C26" s="14" t="str">
        <f>'体验表-带进度条'!F26</f>
        <v/>
      </c>
      <c r="D26" s="14">
        <f>'体验表-带进度条'!G26</f>
        <v>0</v>
      </c>
      <c r="E26" s="16">
        <f>'体验表-带进度条'!H26</f>
        <v>0</v>
      </c>
      <c r="F26" s="17">
        <f>'体验表-带进度条'!I26</f>
        <v>0</v>
      </c>
      <c r="G26" s="71">
        <f>'体验表-带进度条'!J26</f>
        <v>0</v>
      </c>
      <c r="H26" s="19" t="str">
        <f>'体验表-带进度条'!K26</f>
        <v>大奖赛报名券</v>
      </c>
      <c r="I26" s="38">
        <f>'体验表-带进度条'!L26</f>
        <v>3</v>
      </c>
      <c r="J26" s="21">
        <f>'体验表-带进度条'!M26</f>
        <v>1</v>
      </c>
      <c r="K26" s="14">
        <f>'体验表-带进度条'!N26</f>
        <v>0</v>
      </c>
      <c r="L26" s="22">
        <f>'体验表-带进度条'!O26</f>
        <v>0</v>
      </c>
      <c r="M26" s="30">
        <f>'体验表-带进度条'!X26</f>
        <v>0</v>
      </c>
      <c r="N26" s="23">
        <f>'体验表-带进度条'!AA26</f>
        <v>0</v>
      </c>
      <c r="O26" s="72">
        <f>'体验表-带进度条'!AB26</f>
        <v>0</v>
      </c>
      <c r="P26" s="72"/>
      <c r="Q26" s="72"/>
      <c r="R26" s="42"/>
      <c r="S26" s="73">
        <v>5999</v>
      </c>
      <c r="T26" s="15">
        <v>183</v>
      </c>
      <c r="V26" s="42"/>
      <c r="W26" s="42"/>
    </row>
    <row r="27" spans="1:23">
      <c r="A27" s="34">
        <f>'体验表-带进度条'!B27</f>
        <v>26</v>
      </c>
      <c r="B27" s="14">
        <f>'体验表-带进度条'!E27</f>
        <v>7.99</v>
      </c>
      <c r="C27" s="14">
        <f>'体验表-带进度条'!F27</f>
        <v>129</v>
      </c>
      <c r="D27" s="36">
        <f>'体验表-带进度条'!G27</f>
        <v>10320000</v>
      </c>
      <c r="E27" s="37">
        <f>'体验表-带进度条'!H27</f>
        <v>33970000</v>
      </c>
      <c r="F27" s="17">
        <f>'体验表-带进度条'!I27</f>
        <v>27.95</v>
      </c>
      <c r="G27" s="71">
        <f>'体验表-带进度条'!J27</f>
        <v>0</v>
      </c>
      <c r="H27" s="14" t="str">
        <f>'体验表-带进度条'!K27</f>
        <v>金币</v>
      </c>
      <c r="I27" s="29">
        <f>'体验表-带进度条'!L27</f>
        <v>9</v>
      </c>
      <c r="J27" s="21">
        <f>'体验表-带进度条'!M27</f>
        <v>10320000</v>
      </c>
      <c r="K27" s="36">
        <f>'体验表-带进度条'!N27</f>
        <v>10679580</v>
      </c>
      <c r="L27" s="22">
        <f>'体验表-带进度条'!O27</f>
        <v>10.67958</v>
      </c>
      <c r="M27" s="37">
        <f>'体验表-带进度条'!X27</f>
        <v>39813175</v>
      </c>
      <c r="N27" s="23">
        <f>'体验表-带进度条'!AA27</f>
        <v>39.813175</v>
      </c>
      <c r="O27" s="72">
        <f>'体验表-带进度条'!AB27</f>
        <v>1.17200986164263</v>
      </c>
      <c r="P27" s="72"/>
      <c r="Q27" s="72"/>
      <c r="R27" s="42"/>
      <c r="S27" s="73">
        <v>6999</v>
      </c>
      <c r="T27" s="15">
        <v>183</v>
      </c>
      <c r="V27" s="42"/>
      <c r="W27" s="42"/>
    </row>
    <row r="28" spans="1:23">
      <c r="A28" s="13">
        <f>'体验表-带进度条'!B28</f>
        <v>27</v>
      </c>
      <c r="B28" s="14">
        <f>'体验表-带进度条'!E28</f>
        <v>0</v>
      </c>
      <c r="C28" s="14" t="str">
        <f>'体验表-带进度条'!F28</f>
        <v/>
      </c>
      <c r="D28" s="14">
        <f>'体验表-带进度条'!G28</f>
        <v>0</v>
      </c>
      <c r="E28" s="16">
        <f>'体验表-带进度条'!H28</f>
        <v>0</v>
      </c>
      <c r="F28" s="17">
        <f>'体验表-带进度条'!I28</f>
        <v>0</v>
      </c>
      <c r="G28" s="71">
        <f>'体验表-带进度条'!J28</f>
        <v>0</v>
      </c>
      <c r="H28" s="19" t="str">
        <f>'体验表-带进度条'!K28</f>
        <v>记牌器1个</v>
      </c>
      <c r="I28" s="38">
        <f>'体验表-带进度条'!L28</f>
        <v>3</v>
      </c>
      <c r="J28" s="21">
        <f>'体验表-带进度条'!M28</f>
        <v>5</v>
      </c>
      <c r="K28" s="14">
        <f>'体验表-带进度条'!N28</f>
        <v>0</v>
      </c>
      <c r="L28" s="22">
        <f>'体验表-带进度条'!O28</f>
        <v>0</v>
      </c>
      <c r="M28" s="30">
        <f>'体验表-带进度条'!X28</f>
        <v>0</v>
      </c>
      <c r="N28" s="23">
        <f>'体验表-带进度条'!AA28</f>
        <v>0</v>
      </c>
      <c r="O28" s="72">
        <f>'体验表-带进度条'!AB28</f>
        <v>0</v>
      </c>
      <c r="P28" s="72"/>
      <c r="Q28" s="72"/>
      <c r="R28" s="42"/>
      <c r="S28" s="73">
        <v>7499</v>
      </c>
      <c r="T28" s="15">
        <v>188</v>
      </c>
      <c r="V28" s="42"/>
      <c r="W28" s="42"/>
    </row>
    <row r="29" spans="1:23">
      <c r="A29" s="13">
        <f>'体验表-带进度条'!B29</f>
        <v>28</v>
      </c>
      <c r="B29" s="14">
        <f>'体验表-带进度条'!E29</f>
        <v>0</v>
      </c>
      <c r="C29" s="14" t="str">
        <f>'体验表-带进度条'!F29</f>
        <v/>
      </c>
      <c r="D29" s="14">
        <f>'体验表-带进度条'!G29</f>
        <v>0</v>
      </c>
      <c r="E29" s="16">
        <f>'体验表-带进度条'!H29</f>
        <v>0</v>
      </c>
      <c r="F29" s="17">
        <f>'体验表-带进度条'!I29</f>
        <v>0</v>
      </c>
      <c r="G29" s="71">
        <f>'体验表-带进度条'!J29</f>
        <v>0.04</v>
      </c>
      <c r="H29" s="19" t="str">
        <f>'体验表-带进度条'!K29</f>
        <v>金币</v>
      </c>
      <c r="I29" s="38">
        <f>'体验表-带进度条'!L29</f>
        <v>17</v>
      </c>
      <c r="J29" s="21">
        <f>'体验表-带进度条'!M29</f>
        <v>359580</v>
      </c>
      <c r="K29" s="14">
        <f>'体验表-带进度条'!N29</f>
        <v>0</v>
      </c>
      <c r="L29" s="22">
        <f>'体验表-带进度条'!O29</f>
        <v>0</v>
      </c>
      <c r="M29" s="30">
        <f>'体验表-带进度条'!X29</f>
        <v>0</v>
      </c>
      <c r="N29" s="23">
        <f>'体验表-带进度条'!AA29</f>
        <v>0</v>
      </c>
      <c r="O29" s="72">
        <f>'体验表-带进度条'!AB29</f>
        <v>0</v>
      </c>
      <c r="P29" s="72"/>
      <c r="Q29" s="72"/>
      <c r="R29" s="42"/>
      <c r="S29" s="73">
        <v>7999</v>
      </c>
      <c r="T29" s="15">
        <v>188</v>
      </c>
      <c r="V29" s="42"/>
      <c r="W29" s="42"/>
    </row>
    <row r="30" spans="1:23">
      <c r="A30" s="13">
        <f>'体验表-带进度条'!B30</f>
        <v>29</v>
      </c>
      <c r="B30" s="14">
        <f>'体验表-带进度条'!E30</f>
        <v>0</v>
      </c>
      <c r="C30" s="14" t="str">
        <f>'体验表-带进度条'!F30</f>
        <v/>
      </c>
      <c r="D30" s="14">
        <f>'体验表-带进度条'!G30</f>
        <v>0</v>
      </c>
      <c r="E30" s="16">
        <f>'体验表-带进度条'!H30</f>
        <v>0</v>
      </c>
      <c r="F30" s="17">
        <f>'体验表-带进度条'!I30</f>
        <v>0</v>
      </c>
      <c r="G30" s="71">
        <f>'体验表-带进度条'!J30</f>
        <v>0</v>
      </c>
      <c r="H30" s="19" t="str">
        <f>'体验表-带进度条'!K30</f>
        <v>卡包5星</v>
      </c>
      <c r="I30" s="38">
        <f>'体验表-带进度条'!L30</f>
        <v>4</v>
      </c>
      <c r="J30" s="21">
        <f>'体验表-带进度条'!M30</f>
        <v>1</v>
      </c>
      <c r="K30" s="14">
        <f>'体验表-带进度条'!N30</f>
        <v>0</v>
      </c>
      <c r="L30" s="22">
        <f>'体验表-带进度条'!O30</f>
        <v>0</v>
      </c>
      <c r="M30" s="30">
        <f>'体验表-带进度条'!X30</f>
        <v>0</v>
      </c>
      <c r="N30" s="23">
        <f>'体验表-带进度条'!AA30</f>
        <v>0</v>
      </c>
      <c r="O30" s="72">
        <f>'体验表-带进度条'!AB30</f>
        <v>0</v>
      </c>
      <c r="P30" s="72"/>
      <c r="Q30" s="72"/>
      <c r="R30" s="42"/>
      <c r="S30" s="73">
        <v>8999</v>
      </c>
      <c r="T30" s="15">
        <v>193</v>
      </c>
      <c r="V30" s="42"/>
      <c r="W30" s="42"/>
    </row>
    <row r="31" spans="1:23">
      <c r="A31" s="13">
        <f>'体验表-带进度条'!B31</f>
        <v>30</v>
      </c>
      <c r="B31" s="14">
        <f>'体验表-带进度条'!E31</f>
        <v>0</v>
      </c>
      <c r="C31" s="14" t="str">
        <f>'体验表-带进度条'!F31</f>
        <v/>
      </c>
      <c r="D31" s="14">
        <f>'体验表-带进度条'!G31</f>
        <v>0</v>
      </c>
      <c r="E31" s="16">
        <f>'体验表-带进度条'!H31</f>
        <v>0</v>
      </c>
      <c r="F31" s="17">
        <f>'体验表-带进度条'!I31</f>
        <v>0</v>
      </c>
      <c r="G31" s="71">
        <f>'体验表-带进度条'!J31</f>
        <v>0</v>
      </c>
      <c r="H31" s="19" t="str">
        <f>'体验表-带进度条'!K31</f>
        <v>老虎机抽奖券</v>
      </c>
      <c r="I31" s="38">
        <f>'体验表-带进度条'!L31</f>
        <v>3</v>
      </c>
      <c r="J31" s="21">
        <f>'体验表-带进度条'!M31</f>
        <v>25</v>
      </c>
      <c r="K31" s="14">
        <f>'体验表-带进度条'!N31</f>
        <v>0</v>
      </c>
      <c r="L31" s="22">
        <f>'体验表-带进度条'!O31</f>
        <v>0</v>
      </c>
      <c r="M31" s="30">
        <f>'体验表-带进度条'!X31</f>
        <v>0</v>
      </c>
      <c r="N31" s="23">
        <f>'体验表-带进度条'!AA31</f>
        <v>0</v>
      </c>
      <c r="O31" s="72">
        <f>'体验表-带进度条'!AB31</f>
        <v>0</v>
      </c>
      <c r="P31" s="72"/>
      <c r="Q31" s="72"/>
      <c r="R31" s="42"/>
      <c r="S31" s="73">
        <v>9999</v>
      </c>
      <c r="T31" s="15">
        <v>200</v>
      </c>
      <c r="V31" s="42"/>
      <c r="W31" s="42"/>
    </row>
    <row r="32" spans="1:23">
      <c r="A32" s="13">
        <f>'体验表-带进度条'!B32</f>
        <v>31</v>
      </c>
      <c r="B32" s="14">
        <f>'体验表-带进度条'!E32</f>
        <v>0</v>
      </c>
      <c r="C32" s="14" t="str">
        <f>'体验表-带进度条'!F32</f>
        <v/>
      </c>
      <c r="D32" s="14">
        <f>'体验表-带进度条'!G32</f>
        <v>0</v>
      </c>
      <c r="E32" s="16">
        <f>'体验表-带进度条'!H32</f>
        <v>0</v>
      </c>
      <c r="F32" s="17">
        <f>'体验表-带进度条'!I32</f>
        <v>0</v>
      </c>
      <c r="G32" s="71">
        <f>'体验表-带进度条'!J32</f>
        <v>0</v>
      </c>
      <c r="H32" s="19" t="str">
        <f>'体验表-带进度条'!K32</f>
        <v>大奖赛复活券</v>
      </c>
      <c r="I32" s="38">
        <f>'体验表-带进度条'!L32</f>
        <v>3</v>
      </c>
      <c r="J32" s="21">
        <f>'体验表-带进度条'!M32</f>
        <v>1</v>
      </c>
      <c r="K32" s="14">
        <f>'体验表-带进度条'!N32</f>
        <v>0</v>
      </c>
      <c r="L32" s="22">
        <f>'体验表-带进度条'!O32</f>
        <v>0</v>
      </c>
      <c r="M32" s="30">
        <f>'体验表-带进度条'!X32</f>
        <v>0</v>
      </c>
      <c r="N32" s="23">
        <f>'体验表-带进度条'!AA32</f>
        <v>0</v>
      </c>
      <c r="O32" s="72">
        <f>'体验表-带进度条'!AB32</f>
        <v>0</v>
      </c>
      <c r="P32" s="72"/>
      <c r="Q32" s="72"/>
      <c r="R32" s="42"/>
      <c r="V32" s="42"/>
      <c r="W32" s="42"/>
    </row>
    <row r="33" spans="1:23">
      <c r="A33" s="34">
        <f>'体验表-带进度条'!B33</f>
        <v>32</v>
      </c>
      <c r="B33" s="14">
        <f>'体验表-带进度条'!E33</f>
        <v>8.99</v>
      </c>
      <c r="C33" s="14">
        <f>'体验表-带进度条'!F33</f>
        <v>134</v>
      </c>
      <c r="D33" s="36">
        <f>'体验表-带进度条'!G33</f>
        <v>12060000</v>
      </c>
      <c r="E33" s="37">
        <f>'体验表-带进度条'!H33</f>
        <v>46030000</v>
      </c>
      <c r="F33" s="17">
        <f>'体验表-带进度条'!I33</f>
        <v>36.94</v>
      </c>
      <c r="G33" s="71">
        <f>'体验表-带进度条'!J33</f>
        <v>0</v>
      </c>
      <c r="H33" s="14" t="str">
        <f>'体验表-带进度条'!K33</f>
        <v>金币</v>
      </c>
      <c r="I33" s="29">
        <f>'体验表-带进度条'!L33</f>
        <v>9</v>
      </c>
      <c r="J33" s="21">
        <f>'体验表-带进度条'!M33</f>
        <v>12060000</v>
      </c>
      <c r="K33" s="36">
        <f>'体验表-带进度条'!N33</f>
        <v>13138740</v>
      </c>
      <c r="L33" s="22">
        <f>'体验表-带进度条'!O33</f>
        <v>13.13874</v>
      </c>
      <c r="M33" s="37">
        <f>'体验表-带进度条'!X33</f>
        <v>52951915</v>
      </c>
      <c r="N33" s="23">
        <f>'体验表-带进度条'!AA33</f>
        <v>52.951915</v>
      </c>
      <c r="O33" s="72">
        <f>'体验表-带进度条'!AB33</f>
        <v>1.1503783402129</v>
      </c>
      <c r="P33" s="72"/>
      <c r="Q33" s="72"/>
      <c r="R33" s="42"/>
      <c r="V33" s="42"/>
      <c r="W33" s="42"/>
    </row>
    <row r="34" spans="1:23">
      <c r="A34" s="13">
        <f>'体验表-带进度条'!B34</f>
        <v>33</v>
      </c>
      <c r="B34" s="14">
        <f>'体验表-带进度条'!E34</f>
        <v>0</v>
      </c>
      <c r="C34" s="14" t="str">
        <f>'体验表-带进度条'!F34</f>
        <v/>
      </c>
      <c r="D34" s="14">
        <f>'体验表-带进度条'!G34</f>
        <v>0</v>
      </c>
      <c r="E34" s="16">
        <f>'体验表-带进度条'!H34</f>
        <v>0</v>
      </c>
      <c r="F34" s="17">
        <f>'体验表-带进度条'!I34</f>
        <v>0</v>
      </c>
      <c r="G34" s="71">
        <f>'体验表-带进度条'!J34</f>
        <v>0</v>
      </c>
      <c r="H34" s="19" t="str">
        <f>'体验表-带进度条'!K34</f>
        <v>记牌器1个</v>
      </c>
      <c r="I34" s="38">
        <f>'体验表-带进度条'!L34</f>
        <v>3</v>
      </c>
      <c r="J34" s="21">
        <f>'体验表-带进度条'!M34</f>
        <v>6</v>
      </c>
      <c r="K34" s="14">
        <f>'体验表-带进度条'!N34</f>
        <v>0</v>
      </c>
      <c r="L34" s="22">
        <f>'体验表-带进度条'!O34</f>
        <v>0</v>
      </c>
      <c r="M34" s="30">
        <f>'体验表-带进度条'!X34</f>
        <v>0</v>
      </c>
      <c r="N34" s="23">
        <f>'体验表-带进度条'!AA34</f>
        <v>0</v>
      </c>
      <c r="O34" s="72">
        <f>'体验表-带进度条'!AB34</f>
        <v>0</v>
      </c>
      <c r="P34" s="72"/>
      <c r="Q34" s="72"/>
      <c r="R34" s="42"/>
      <c r="V34" s="42"/>
      <c r="W34" s="42"/>
    </row>
    <row r="35" spans="1:23">
      <c r="A35" s="13">
        <f>'体验表-带进度条'!B35</f>
        <v>34</v>
      </c>
      <c r="B35" s="14">
        <f>'体验表-带进度条'!E35</f>
        <v>0</v>
      </c>
      <c r="C35" s="14" t="str">
        <f>'体验表-带进度条'!F35</f>
        <v/>
      </c>
      <c r="D35" s="14">
        <f>'体验表-带进度条'!G35</f>
        <v>0</v>
      </c>
      <c r="E35" s="16">
        <f>'体验表-带进度条'!H35</f>
        <v>0</v>
      </c>
      <c r="F35" s="17">
        <f>'体验表-带进度条'!I35</f>
        <v>0</v>
      </c>
      <c r="G35" s="71">
        <f>'体验表-带进度条'!J35</f>
        <v>0.12</v>
      </c>
      <c r="H35" s="19" t="str">
        <f>'体验表-带进度条'!K35</f>
        <v>金币</v>
      </c>
      <c r="I35" s="38">
        <f>'体验表-带进度条'!L35</f>
        <v>17</v>
      </c>
      <c r="J35" s="21">
        <f>'体验表-带进度条'!M35</f>
        <v>1078740</v>
      </c>
      <c r="K35" s="14">
        <f>'体验表-带进度条'!N35</f>
        <v>0</v>
      </c>
      <c r="L35" s="22">
        <f>'体验表-带进度条'!O35</f>
        <v>0</v>
      </c>
      <c r="M35" s="30">
        <f>'体验表-带进度条'!X35</f>
        <v>0</v>
      </c>
      <c r="N35" s="23">
        <f>'体验表-带进度条'!AA35</f>
        <v>0</v>
      </c>
      <c r="O35" s="72">
        <f>'体验表-带进度条'!AB35</f>
        <v>0</v>
      </c>
      <c r="P35" s="72"/>
      <c r="Q35" s="72"/>
      <c r="R35" s="42"/>
      <c r="V35" s="42"/>
      <c r="W35" s="42"/>
    </row>
    <row r="36" spans="1:23">
      <c r="A36" s="13">
        <f>'体验表-带进度条'!B36</f>
        <v>35</v>
      </c>
      <c r="B36" s="14">
        <f>'体验表-带进度条'!E36</f>
        <v>0</v>
      </c>
      <c r="C36" s="14" t="str">
        <f>'体验表-带进度条'!F36</f>
        <v/>
      </c>
      <c r="D36" s="14">
        <f>'体验表-带进度条'!G36</f>
        <v>0</v>
      </c>
      <c r="E36" s="16">
        <f>'体验表-带进度条'!H36</f>
        <v>0</v>
      </c>
      <c r="F36" s="17">
        <f>'体验表-带进度条'!I36</f>
        <v>0</v>
      </c>
      <c r="G36" s="71">
        <f>'体验表-带进度条'!J36</f>
        <v>0</v>
      </c>
      <c r="H36" s="19" t="str">
        <f>'体验表-带进度条'!K36</f>
        <v>卡包5星</v>
      </c>
      <c r="I36" s="38">
        <f>'体验表-带进度条'!L36</f>
        <v>4</v>
      </c>
      <c r="J36" s="21">
        <f>'体验表-带进度条'!M36</f>
        <v>1</v>
      </c>
      <c r="K36" s="14">
        <f>'体验表-带进度条'!N36</f>
        <v>0</v>
      </c>
      <c r="L36" s="22">
        <f>'体验表-带进度条'!O36</f>
        <v>0</v>
      </c>
      <c r="M36" s="30">
        <f>'体验表-带进度条'!X36</f>
        <v>0</v>
      </c>
      <c r="N36" s="23">
        <f>'体验表-带进度条'!AA36</f>
        <v>0</v>
      </c>
      <c r="O36" s="72">
        <f>'体验表-带进度条'!AB36</f>
        <v>0</v>
      </c>
      <c r="P36" s="72"/>
      <c r="Q36" s="72"/>
      <c r="R36" s="42"/>
      <c r="V36" s="42"/>
      <c r="W36" s="42"/>
    </row>
    <row r="37" spans="1:23">
      <c r="A37" s="13">
        <f>'体验表-带进度条'!B37</f>
        <v>36</v>
      </c>
      <c r="B37" s="14">
        <f>'体验表-带进度条'!E37</f>
        <v>0</v>
      </c>
      <c r="C37" s="14" t="str">
        <f>'体验表-带进度条'!F37</f>
        <v/>
      </c>
      <c r="D37" s="14">
        <f>'体验表-带进度条'!G37</f>
        <v>0</v>
      </c>
      <c r="E37" s="16">
        <f>'体验表-带进度条'!H37</f>
        <v>0</v>
      </c>
      <c r="F37" s="17">
        <f>'体验表-带进度条'!I37</f>
        <v>0</v>
      </c>
      <c r="G37" s="71">
        <f>'体验表-带进度条'!J37</f>
        <v>0</v>
      </c>
      <c r="H37" s="19" t="str">
        <f>'体验表-带进度条'!K37</f>
        <v>老虎机抽奖券</v>
      </c>
      <c r="I37" s="38">
        <f>'体验表-带进度条'!L37</f>
        <v>3</v>
      </c>
      <c r="J37" s="21">
        <f>'体验表-带进度条'!M37</f>
        <v>30</v>
      </c>
      <c r="K37" s="14">
        <f>'体验表-带进度条'!N37</f>
        <v>0</v>
      </c>
      <c r="L37" s="22">
        <f>'体验表-带进度条'!O37</f>
        <v>0</v>
      </c>
      <c r="M37" s="30">
        <f>'体验表-带进度条'!X37</f>
        <v>0</v>
      </c>
      <c r="N37" s="23">
        <f>'体验表-带进度条'!AA37</f>
        <v>0</v>
      </c>
      <c r="O37" s="72">
        <f>'体验表-带进度条'!AB37</f>
        <v>0</v>
      </c>
      <c r="P37" s="72"/>
      <c r="Q37" s="72"/>
      <c r="R37" s="42"/>
      <c r="V37" s="42"/>
      <c r="W37" s="42"/>
    </row>
    <row r="38" spans="1:23">
      <c r="A38" s="13">
        <f>'体验表-带进度条'!B38</f>
        <v>37</v>
      </c>
      <c r="B38" s="14">
        <f>'体验表-带进度条'!E38</f>
        <v>0</v>
      </c>
      <c r="C38" s="14" t="str">
        <f>'体验表-带进度条'!F38</f>
        <v/>
      </c>
      <c r="D38" s="14">
        <f>'体验表-带进度条'!G38</f>
        <v>0</v>
      </c>
      <c r="E38" s="16">
        <f>'体验表-带进度条'!H38</f>
        <v>0</v>
      </c>
      <c r="F38" s="17">
        <f>'体验表-带进度条'!I38</f>
        <v>0</v>
      </c>
      <c r="G38" s="71">
        <f>'体验表-带进度条'!J38</f>
        <v>0</v>
      </c>
      <c r="H38" s="19" t="str">
        <f>'体验表-带进度条'!K38</f>
        <v>大奖赛报名券</v>
      </c>
      <c r="I38" s="38">
        <f>'体验表-带进度条'!L38</f>
        <v>3</v>
      </c>
      <c r="J38" s="21">
        <f>'体验表-带进度条'!M38</f>
        <v>1</v>
      </c>
      <c r="K38" s="14">
        <f>'体验表-带进度条'!N38</f>
        <v>0</v>
      </c>
      <c r="L38" s="22">
        <f>'体验表-带进度条'!O38</f>
        <v>0</v>
      </c>
      <c r="M38" s="30">
        <f>'体验表-带进度条'!X38</f>
        <v>0</v>
      </c>
      <c r="N38" s="23">
        <f>'体验表-带进度条'!AA38</f>
        <v>0</v>
      </c>
      <c r="O38" s="72">
        <f>'体验表-带进度条'!AB38</f>
        <v>0</v>
      </c>
      <c r="P38" s="72"/>
      <c r="Q38" s="72"/>
      <c r="R38" s="42"/>
      <c r="V38" s="42"/>
      <c r="W38" s="42"/>
    </row>
    <row r="39" spans="1:23">
      <c r="A39" s="34">
        <f>'体验表-带进度条'!B39</f>
        <v>38</v>
      </c>
      <c r="B39" s="14">
        <f>'体验表-带进度条'!E39</f>
        <v>9.99</v>
      </c>
      <c r="C39" s="14">
        <f>'体验表-带进度条'!F39</f>
        <v>139</v>
      </c>
      <c r="D39" s="36">
        <f>'体验表-带进度条'!G39</f>
        <v>13900000</v>
      </c>
      <c r="E39" s="37">
        <f>'体验表-带进度条'!H39</f>
        <v>59930000</v>
      </c>
      <c r="F39" s="17">
        <f>'体验表-带进度条'!I39</f>
        <v>46.93</v>
      </c>
      <c r="G39" s="71">
        <f>'体验表-带进度条'!J39</f>
        <v>0.45</v>
      </c>
      <c r="H39" s="14" t="str">
        <f>'体验表-带进度条'!K39</f>
        <v>金币</v>
      </c>
      <c r="I39" s="29">
        <f>'体验表-带进度条'!L39</f>
        <v>9</v>
      </c>
      <c r="J39" s="21">
        <f>'体验表-带进度条'!M39</f>
        <v>13900000</v>
      </c>
      <c r="K39" s="36">
        <f>'体验表-带进度条'!N39</f>
        <v>14978740</v>
      </c>
      <c r="L39" s="22">
        <f>'体验表-带进度条'!O39</f>
        <v>14.97874</v>
      </c>
      <c r="M39" s="37">
        <f>'体验表-带进度条'!X39</f>
        <v>71975930</v>
      </c>
      <c r="N39" s="23">
        <f>'体验表-带进度条'!AA39</f>
        <v>71.97593</v>
      </c>
      <c r="O39" s="72">
        <f>'体验表-带进度条'!AB39</f>
        <v>1.201</v>
      </c>
      <c r="P39" s="72"/>
      <c r="Q39" s="72"/>
      <c r="R39" s="42"/>
      <c r="V39" s="42"/>
      <c r="W39" s="42"/>
    </row>
    <row r="40" spans="1:23">
      <c r="A40" s="13">
        <f>'体验表-带进度条'!B40</f>
        <v>39</v>
      </c>
      <c r="B40" s="14">
        <f>'体验表-带进度条'!E40</f>
        <v>0</v>
      </c>
      <c r="C40" s="14" t="str">
        <f>'体验表-带进度条'!F40</f>
        <v/>
      </c>
      <c r="D40" s="14">
        <f>'体验表-带进度条'!G40</f>
        <v>0</v>
      </c>
      <c r="E40" s="16">
        <f>'体验表-带进度条'!H40</f>
        <v>0</v>
      </c>
      <c r="F40" s="17">
        <f>'体验表-带进度条'!I40</f>
        <v>0</v>
      </c>
      <c r="G40" s="71">
        <f>'体验表-带进度条'!J40</f>
        <v>0</v>
      </c>
      <c r="H40" s="19" t="str">
        <f>'体验表-带进度条'!K40</f>
        <v>记牌器1个</v>
      </c>
      <c r="I40" s="38">
        <f>'体验表-带进度条'!L40</f>
        <v>3</v>
      </c>
      <c r="J40" s="21">
        <f>'体验表-带进度条'!M40</f>
        <v>7</v>
      </c>
      <c r="K40" s="14">
        <f>'体验表-带进度条'!N40</f>
        <v>0</v>
      </c>
      <c r="L40" s="22">
        <f>'体验表-带进度条'!O40</f>
        <v>0</v>
      </c>
      <c r="M40" s="30">
        <f>'体验表-带进度条'!X40</f>
        <v>0</v>
      </c>
      <c r="N40" s="23">
        <f>'体验表-带进度条'!AA40</f>
        <v>0</v>
      </c>
      <c r="O40" s="72">
        <f>'体验表-带进度条'!AB40</f>
        <v>0</v>
      </c>
      <c r="P40" s="72"/>
      <c r="Q40" s="72"/>
      <c r="R40" s="42"/>
      <c r="V40" s="42"/>
      <c r="W40" s="42"/>
    </row>
    <row r="41" spans="1:23">
      <c r="A41" s="13">
        <f>'体验表-带进度条'!B41</f>
        <v>40</v>
      </c>
      <c r="B41" s="14">
        <f>'体验表-带进度条'!E41</f>
        <v>0</v>
      </c>
      <c r="C41" s="14" t="str">
        <f>'体验表-带进度条'!F41</f>
        <v/>
      </c>
      <c r="D41" s="14">
        <f>'体验表-带进度条'!G41</f>
        <v>0</v>
      </c>
      <c r="E41" s="16">
        <f>'体验表-带进度条'!H41</f>
        <v>0</v>
      </c>
      <c r="F41" s="17">
        <f>'体验表-带进度条'!I41</f>
        <v>0</v>
      </c>
      <c r="G41" s="71">
        <f>'体验表-带进度条'!J41</f>
        <v>0.12</v>
      </c>
      <c r="H41" s="19" t="str">
        <f>'体验表-带进度条'!K41</f>
        <v>金币</v>
      </c>
      <c r="I41" s="38">
        <f>'体验表-带进度条'!L41</f>
        <v>17</v>
      </c>
      <c r="J41" s="21">
        <f>'体验表-带进度条'!M41</f>
        <v>1078740</v>
      </c>
      <c r="K41" s="14">
        <f>'体验表-带进度条'!N41</f>
        <v>0</v>
      </c>
      <c r="L41" s="22">
        <f>'体验表-带进度条'!O41</f>
        <v>0</v>
      </c>
      <c r="M41" s="30">
        <f>'体验表-带进度条'!X41</f>
        <v>0</v>
      </c>
      <c r="N41" s="23">
        <f>'体验表-带进度条'!AA41</f>
        <v>0</v>
      </c>
      <c r="O41" s="72">
        <f>'体验表-带进度条'!AB41</f>
        <v>0</v>
      </c>
      <c r="P41" s="72"/>
      <c r="Q41" s="72"/>
      <c r="R41" s="42"/>
      <c r="V41" s="42"/>
      <c r="W41" s="42"/>
    </row>
    <row r="42" spans="1:23">
      <c r="A42" s="13">
        <f>'体验表-带进度条'!B42</f>
        <v>41</v>
      </c>
      <c r="B42" s="14">
        <f>'体验表-带进度条'!E42</f>
        <v>0</v>
      </c>
      <c r="C42" s="14" t="str">
        <f>'体验表-带进度条'!F42</f>
        <v/>
      </c>
      <c r="D42" s="14">
        <f>'体验表-带进度条'!G42</f>
        <v>0</v>
      </c>
      <c r="E42" s="16">
        <f>'体验表-带进度条'!H42</f>
        <v>0</v>
      </c>
      <c r="F42" s="17">
        <f>'体验表-带进度条'!I42</f>
        <v>0</v>
      </c>
      <c r="G42" s="71">
        <f>'体验表-带进度条'!J42</f>
        <v>0</v>
      </c>
      <c r="H42" s="19" t="str">
        <f>'体验表-带进度条'!K42</f>
        <v>卡包fun卡</v>
      </c>
      <c r="I42" s="38">
        <f>'体验表-带进度条'!L42</f>
        <v>4</v>
      </c>
      <c r="J42" s="21">
        <f>'体验表-带进度条'!M42</f>
        <v>1</v>
      </c>
      <c r="K42" s="14">
        <f>'体验表-带进度条'!N42</f>
        <v>0</v>
      </c>
      <c r="L42" s="22">
        <f>'体验表-带进度条'!O42</f>
        <v>0</v>
      </c>
      <c r="M42" s="30">
        <f>'体验表-带进度条'!X42</f>
        <v>0</v>
      </c>
      <c r="N42" s="23">
        <f>'体验表-带进度条'!AA42</f>
        <v>0</v>
      </c>
      <c r="O42" s="72">
        <f>'体验表-带进度条'!AB42</f>
        <v>0</v>
      </c>
      <c r="P42" s="72"/>
      <c r="Q42" s="72"/>
      <c r="R42" s="42"/>
      <c r="V42" s="42"/>
      <c r="W42" s="42"/>
    </row>
    <row r="43" spans="1:23">
      <c r="A43" s="13">
        <f>'体验表-带进度条'!B43</f>
        <v>42</v>
      </c>
      <c r="B43" s="14">
        <f>'体验表-带进度条'!E43</f>
        <v>0</v>
      </c>
      <c r="C43" s="14" t="str">
        <f>'体验表-带进度条'!F43</f>
        <v/>
      </c>
      <c r="D43" s="14">
        <f>'体验表-带进度条'!G43</f>
        <v>0</v>
      </c>
      <c r="E43" s="16">
        <f>'体验表-带进度条'!H43</f>
        <v>0</v>
      </c>
      <c r="F43" s="17">
        <f>'体验表-带进度条'!I43</f>
        <v>0</v>
      </c>
      <c r="G43" s="71">
        <f>'体验表-带进度条'!J43</f>
        <v>0</v>
      </c>
      <c r="H43" s="19" t="str">
        <f>'体验表-带进度条'!K43</f>
        <v>老虎机抽奖券</v>
      </c>
      <c r="I43" s="38">
        <f>'体验表-带进度条'!L43</f>
        <v>3</v>
      </c>
      <c r="J43" s="21">
        <f>'体验表-带进度条'!M43</f>
        <v>35</v>
      </c>
      <c r="K43" s="14">
        <f>'体验表-带进度条'!N43</f>
        <v>0</v>
      </c>
      <c r="L43" s="22">
        <f>'体验表-带进度条'!O43</f>
        <v>0</v>
      </c>
      <c r="M43" s="30">
        <f>'体验表-带进度条'!X43</f>
        <v>0</v>
      </c>
      <c r="N43" s="23">
        <f>'体验表-带进度条'!AA43</f>
        <v>0</v>
      </c>
      <c r="O43" s="72">
        <f>'体验表-带进度条'!AB43</f>
        <v>0</v>
      </c>
      <c r="P43" s="72"/>
      <c r="Q43" s="72"/>
      <c r="R43" s="42"/>
      <c r="V43" s="42"/>
      <c r="W43" s="42"/>
    </row>
    <row r="44" spans="1:23">
      <c r="A44" s="13">
        <f>'体验表-带进度条'!B44</f>
        <v>43</v>
      </c>
      <c r="B44" s="14">
        <f>'体验表-带进度条'!E44</f>
        <v>0</v>
      </c>
      <c r="C44" s="14" t="str">
        <f>'体验表-带进度条'!F44</f>
        <v/>
      </c>
      <c r="D44" s="14">
        <f>'体验表-带进度条'!G44</f>
        <v>0</v>
      </c>
      <c r="E44" s="16">
        <f>'体验表-带进度条'!H44</f>
        <v>0</v>
      </c>
      <c r="F44" s="17">
        <f>'体验表-带进度条'!I44</f>
        <v>0</v>
      </c>
      <c r="G44" s="71">
        <f>'体验表-带进度条'!J44</f>
        <v>0</v>
      </c>
      <c r="H44" s="19" t="str">
        <f>'体验表-带进度条'!K44</f>
        <v>大奖赛复活券</v>
      </c>
      <c r="I44" s="38">
        <f>'体验表-带进度条'!L44</f>
        <v>3</v>
      </c>
      <c r="J44" s="21">
        <f>'体验表-带进度条'!M44</f>
        <v>1</v>
      </c>
      <c r="K44" s="14">
        <f>'体验表-带进度条'!N44</f>
        <v>0</v>
      </c>
      <c r="L44" s="22">
        <f>'体验表-带进度条'!O44</f>
        <v>0</v>
      </c>
      <c r="M44" s="30">
        <f>'体验表-带进度条'!X44</f>
        <v>0</v>
      </c>
      <c r="N44" s="23">
        <f>'体验表-带进度条'!AA44</f>
        <v>0</v>
      </c>
      <c r="O44" s="72">
        <f>'体验表-带进度条'!AB44</f>
        <v>0</v>
      </c>
      <c r="P44" s="72"/>
      <c r="Q44" s="72"/>
      <c r="R44" s="42"/>
      <c r="V44" s="42"/>
      <c r="W44" s="42"/>
    </row>
    <row r="45" spans="1:23">
      <c r="V45" s="42"/>
      <c r="W45" s="42"/>
    </row>
    <row r="46" spans="1:23">
      <c r="V46" s="42"/>
      <c r="W46" s="42"/>
    </row>
    <row r="47" spans="1:23">
      <c r="V47" s="42"/>
      <c r="W47" s="42"/>
    </row>
    <row r="48" spans="1:23">
      <c r="V48" s="42"/>
      <c r="W48" s="42"/>
    </row>
    <row r="49" spans="22:23">
      <c r="V49" s="42"/>
      <c r="W49" s="42"/>
    </row>
    <row r="50" spans="22:23">
      <c r="V50" s="42"/>
      <c r="W50" s="42"/>
    </row>
    <row r="51" spans="22:23">
      <c r="V51" s="42"/>
      <c r="W51" s="42"/>
    </row>
    <row r="52" spans="22:23">
      <c r="V52" s="42"/>
      <c r="W52" s="42"/>
    </row>
    <row r="53" spans="22:23">
      <c r="V53" s="42"/>
      <c r="W53" s="42"/>
    </row>
    <row r="54" spans="22:23">
      <c r="V54" s="42"/>
      <c r="W54" s="42"/>
    </row>
    <row r="55" spans="22:23">
      <c r="V55" s="42"/>
      <c r="W55" s="42"/>
    </row>
    <row r="56" spans="22:23">
      <c r="V56" s="42"/>
      <c r="W56" s="42"/>
    </row>
    <row r="57" spans="22:23">
      <c r="V57" s="42"/>
      <c r="W57" s="42"/>
    </row>
    <row r="58" spans="22:23">
      <c r="V58" s="42"/>
      <c r="W58" s="42"/>
    </row>
    <row r="59" spans="22:23">
      <c r="V59" s="42"/>
      <c r="W59" s="42"/>
    </row>
    <row r="60" spans="22:23">
      <c r="V60" s="42"/>
      <c r="W60" s="42"/>
    </row>
    <row r="61" spans="22:23">
      <c r="V61" s="42"/>
      <c r="W61" s="42"/>
    </row>
    <row r="62" spans="22:23">
      <c r="V62" s="42"/>
      <c r="W62" s="42"/>
    </row>
    <row r="63" spans="22:23">
      <c r="V63" s="42"/>
      <c r="W63" s="42"/>
    </row>
    <row r="64" spans="22:23">
      <c r="V64" s="42"/>
      <c r="W64" s="42"/>
    </row>
    <row r="65" spans="22:23">
      <c r="V65" s="42"/>
      <c r="W65" s="42"/>
    </row>
    <row r="66" spans="22:23">
      <c r="V66" s="42"/>
      <c r="W66" s="42"/>
    </row>
    <row r="67" spans="22:23">
      <c r="V67" s="42"/>
      <c r="W67" s="42"/>
    </row>
    <row r="68" spans="22:23">
      <c r="V68" s="42"/>
      <c r="W68" s="42"/>
    </row>
    <row r="69" spans="22:23">
      <c r="V69" s="42"/>
      <c r="W69" s="42"/>
    </row>
    <row r="70" spans="22:23">
      <c r="V70" s="42"/>
      <c r="W70" s="42"/>
    </row>
    <row r="71" spans="22:23">
      <c r="V71" s="42"/>
      <c r="W71" s="42"/>
    </row>
    <row r="72" spans="22:23">
      <c r="V72" s="42"/>
      <c r="W72" s="42"/>
    </row>
    <row r="73" spans="22:23">
      <c r="V73" s="42"/>
      <c r="W73" s="42"/>
    </row>
    <row r="74" spans="22:23">
      <c r="V74" s="42"/>
      <c r="W74" s="42"/>
    </row>
    <row r="75" spans="22:23">
      <c r="V75" s="42"/>
      <c r="W75" s="42"/>
    </row>
    <row r="76" spans="22:23">
      <c r="V76" s="42"/>
      <c r="W76" s="42"/>
    </row>
    <row r="77" spans="22:23">
      <c r="V77" s="42"/>
      <c r="W77" s="42"/>
    </row>
    <row r="78" spans="22:23">
      <c r="V78" s="42"/>
      <c r="W78" s="42"/>
    </row>
    <row r="79" spans="22:23">
      <c r="V79" s="42"/>
      <c r="W79" s="42"/>
    </row>
    <row r="80" spans="22:23">
      <c r="V80" s="42"/>
      <c r="W80" s="42"/>
    </row>
    <row r="81" spans="22:23">
      <c r="V81" s="42"/>
      <c r="W81" s="42"/>
    </row>
    <row r="82" spans="22:23">
      <c r="V82" s="42"/>
      <c r="W82" s="42"/>
    </row>
    <row r="83" spans="22:23">
      <c r="V83" s="42"/>
      <c r="W83" s="42"/>
    </row>
    <row r="84" spans="22:23">
      <c r="V84" s="42"/>
      <c r="W84" s="42"/>
    </row>
    <row r="85" spans="22:23">
      <c r="V85" s="42"/>
      <c r="W85" s="42"/>
    </row>
    <row r="86" spans="22:23">
      <c r="V86" s="42"/>
      <c r="W86" s="42"/>
    </row>
    <row r="87" spans="22:23">
      <c r="V87" s="42"/>
      <c r="W87" s="42"/>
    </row>
    <row r="88" spans="22:23">
      <c r="V88" s="42"/>
      <c r="W88" s="42"/>
    </row>
    <row r="89" spans="22:23">
      <c r="V89" s="42"/>
      <c r="W89" s="42"/>
    </row>
    <row r="90" spans="22:23">
      <c r="V90" s="42"/>
      <c r="W90" s="42"/>
    </row>
    <row r="91" spans="22:23">
      <c r="V91" s="42"/>
      <c r="W91" s="42"/>
    </row>
    <row r="92" spans="22:23">
      <c r="V92" s="42"/>
      <c r="W92" s="42"/>
    </row>
    <row r="93" spans="22:23">
      <c r="V93" s="42"/>
      <c r="W93" s="42"/>
    </row>
    <row r="94" spans="22:23">
      <c r="V94" s="42"/>
      <c r="W94" s="42"/>
    </row>
    <row r="95" spans="22:23">
      <c r="V95" s="42"/>
      <c r="W95" s="42"/>
    </row>
    <row r="96" spans="22:23">
      <c r="V96" s="42"/>
      <c r="W96" s="42"/>
    </row>
    <row r="97" spans="22:23">
      <c r="V97" s="42"/>
      <c r="W97" s="42"/>
    </row>
    <row r="98" spans="22:23">
      <c r="V98" s="42"/>
      <c r="W98" s="42"/>
    </row>
    <row r="99" spans="22:23">
      <c r="V99" s="42"/>
      <c r="W99" s="42"/>
    </row>
    <row r="100" spans="22:23">
      <c r="V100" s="42"/>
      <c r="W100" s="42"/>
    </row>
    <row r="101" spans="22:23">
      <c r="V101" s="42"/>
      <c r="W101" s="42"/>
    </row>
    <row r="102" spans="22:23">
      <c r="V102" s="42"/>
      <c r="W102" s="42"/>
    </row>
    <row r="103" spans="22:23">
      <c r="V103" s="42"/>
      <c r="W103" s="42"/>
    </row>
    <row r="104" spans="22:23">
      <c r="V104" s="42"/>
      <c r="W104" s="42"/>
    </row>
    <row r="105" spans="22:23">
      <c r="V105" s="42"/>
      <c r="W105" s="42"/>
    </row>
    <row r="106" spans="22:23">
      <c r="V106" s="42"/>
      <c r="W106" s="42"/>
    </row>
    <row r="107" spans="22:23">
      <c r="V107" s="42"/>
      <c r="W107" s="42"/>
    </row>
    <row r="108" spans="22:23">
      <c r="V108" s="42"/>
      <c r="W108" s="42"/>
    </row>
    <row r="109" spans="22:23">
      <c r="V109" s="42"/>
      <c r="W109" s="42"/>
    </row>
    <row r="110" spans="22:23">
      <c r="V110" s="42"/>
      <c r="W110" s="42"/>
    </row>
    <row r="111" spans="22:23">
      <c r="V111" s="42"/>
      <c r="W111" s="42"/>
    </row>
    <row r="112" spans="22:23">
      <c r="V112" s="42"/>
      <c r="W112" s="42"/>
    </row>
    <row r="113" spans="22:23">
      <c r="V113" s="42"/>
      <c r="W113" s="42"/>
    </row>
    <row r="114" spans="22:23">
      <c r="V114" s="42"/>
      <c r="W114" s="42"/>
    </row>
    <row r="115" spans="22:23">
      <c r="V115" s="42"/>
      <c r="W115" s="42"/>
    </row>
    <row r="116" spans="22:23">
      <c r="V116" s="42"/>
      <c r="W116" s="42"/>
    </row>
    <row r="117" spans="22:23">
      <c r="V117" s="42"/>
      <c r="W117" s="42"/>
    </row>
    <row r="118" spans="22:23">
      <c r="V118" s="42"/>
      <c r="W118" s="42"/>
    </row>
    <row r="119" spans="22:23">
      <c r="V119" s="42"/>
      <c r="W119" s="42"/>
    </row>
    <row r="120" spans="22:23">
      <c r="V120" s="42"/>
      <c r="W120" s="42"/>
    </row>
    <row r="121" spans="22:23">
      <c r="V121" s="42"/>
      <c r="W121" s="42"/>
    </row>
    <row r="122" spans="22:23">
      <c r="V122" s="42"/>
      <c r="W122" s="42"/>
    </row>
    <row r="123" spans="22:23">
      <c r="V123" s="42"/>
      <c r="W123" s="42"/>
    </row>
    <row r="124" spans="22:23">
      <c r="V124" s="42"/>
      <c r="W124" s="42"/>
    </row>
    <row r="125" spans="22:23">
      <c r="V125" s="42"/>
      <c r="W125" s="42"/>
    </row>
    <row r="126" spans="22:23">
      <c r="V126" s="42"/>
      <c r="W126" s="42"/>
    </row>
    <row r="127" spans="22:23">
      <c r="V127" s="42"/>
      <c r="W127" s="42"/>
    </row>
    <row r="128" spans="22:23">
      <c r="V128" s="42"/>
      <c r="W128" s="42"/>
    </row>
    <row r="129" spans="22:23">
      <c r="V129" s="42"/>
      <c r="W129" s="42"/>
    </row>
    <row r="130" spans="22:23">
      <c r="V130" s="42"/>
      <c r="W130" s="42"/>
    </row>
    <row r="131" spans="22:23">
      <c r="V131" s="42"/>
      <c r="W131" s="42"/>
    </row>
    <row r="132" spans="22:23">
      <c r="V132" s="42"/>
      <c r="W132" s="42"/>
    </row>
    <row r="133" spans="22:23">
      <c r="V133" s="42"/>
      <c r="W133" s="42"/>
    </row>
    <row r="134" spans="22:23">
      <c r="V134" s="42"/>
      <c r="W134" s="42"/>
    </row>
    <row r="135" spans="22:23">
      <c r="V135" s="42"/>
      <c r="W135" s="42"/>
    </row>
    <row r="136" spans="22:23">
      <c r="V136" s="42"/>
      <c r="W136" s="42"/>
    </row>
    <row r="137" spans="22:23">
      <c r="V137" s="42"/>
      <c r="W137" s="42"/>
    </row>
    <row r="138" spans="22:23">
      <c r="V138" s="42"/>
      <c r="W138" s="42"/>
    </row>
    <row r="139" spans="22:23">
      <c r="V139" s="42"/>
      <c r="W139" s="42"/>
    </row>
    <row r="140" spans="22:23">
      <c r="V140" s="42"/>
      <c r="W140" s="42"/>
    </row>
    <row r="141" spans="22:23">
      <c r="V141" s="42"/>
      <c r="W141" s="42"/>
    </row>
    <row r="142" spans="22:23">
      <c r="V142" s="42"/>
      <c r="W142" s="42"/>
    </row>
    <row r="143" spans="22:23">
      <c r="V143" s="42"/>
      <c r="W143" s="42"/>
    </row>
    <row r="144" spans="22:23">
      <c r="V144" s="42"/>
      <c r="W144" s="42"/>
    </row>
    <row r="145" spans="22:23">
      <c r="V145" s="42"/>
      <c r="W145" s="42"/>
    </row>
    <row r="146" spans="22:23">
      <c r="V146" s="42"/>
      <c r="W146" s="42"/>
    </row>
    <row r="147" spans="22:23">
      <c r="V147" s="42"/>
      <c r="W147" s="42"/>
    </row>
    <row r="148" spans="22:23">
      <c r="V148" s="42"/>
      <c r="W148" s="42"/>
    </row>
    <row r="149" spans="22:23">
      <c r="V149" s="42"/>
      <c r="W149" s="42"/>
    </row>
    <row r="150" spans="22:23">
      <c r="V150" s="42"/>
      <c r="W150" s="42"/>
    </row>
    <row r="151" spans="22:23">
      <c r="V151" s="42"/>
      <c r="W151" s="42"/>
    </row>
    <row r="152" spans="22:23">
      <c r="V152" s="42"/>
      <c r="W152" s="42"/>
    </row>
    <row r="153" spans="22:23">
      <c r="V153" s="42"/>
      <c r="W153" s="42"/>
    </row>
    <row r="154" spans="22:23">
      <c r="V154" s="42"/>
      <c r="W154" s="42"/>
    </row>
    <row r="155" spans="22:23">
      <c r="V155" s="42"/>
      <c r="W155" s="42"/>
    </row>
    <row r="156" spans="22:23">
      <c r="V156" s="42"/>
      <c r="W156" s="42"/>
    </row>
    <row r="157" spans="22:23">
      <c r="V157" s="42"/>
      <c r="W157" s="42"/>
    </row>
    <row r="158" spans="22:23">
      <c r="V158" s="42"/>
      <c r="W158" s="42"/>
    </row>
    <row r="159" spans="22:23">
      <c r="V159" s="42"/>
      <c r="W159" s="42"/>
    </row>
    <row r="160" spans="22:23">
      <c r="V160" s="42"/>
      <c r="W160" s="42"/>
    </row>
    <row r="161" spans="22:23">
      <c r="V161" s="42"/>
      <c r="W161" s="42"/>
    </row>
    <row r="162" spans="22:23">
      <c r="V162" s="42"/>
      <c r="W162" s="42"/>
    </row>
    <row r="163" spans="22:23">
      <c r="V163" s="42"/>
      <c r="W163" s="42"/>
    </row>
    <row r="164" spans="22:23">
      <c r="V164" s="42"/>
      <c r="W164" s="42"/>
    </row>
    <row r="165" spans="22:23">
      <c r="V165" s="42"/>
      <c r="W165" s="42"/>
    </row>
    <row r="166" spans="22:23">
      <c r="V166" s="42"/>
      <c r="W166" s="42"/>
    </row>
    <row r="167" spans="22:23">
      <c r="V167" s="42"/>
      <c r="W167" s="42"/>
    </row>
    <row r="168" spans="22:23">
      <c r="V168" s="42"/>
      <c r="W168" s="42"/>
    </row>
    <row r="169" spans="22:23">
      <c r="V169" s="42"/>
      <c r="W169" s="42"/>
    </row>
    <row r="170" spans="22:23">
      <c r="V170" s="42"/>
      <c r="W170" s="42"/>
    </row>
    <row r="171" spans="22:23">
      <c r="V171" s="42"/>
      <c r="W171" s="42"/>
    </row>
    <row r="172" spans="22:23">
      <c r="V172" s="42"/>
      <c r="W172" s="42"/>
    </row>
    <row r="173" spans="22:23">
      <c r="V173" s="42"/>
      <c r="W173" s="42"/>
    </row>
    <row r="174" spans="22:23">
      <c r="V174" s="42"/>
      <c r="W174" s="42"/>
    </row>
    <row r="175" spans="22:23">
      <c r="V175" s="42"/>
      <c r="W175" s="42"/>
    </row>
    <row r="176" spans="22:23">
      <c r="V176" s="42"/>
      <c r="W176" s="42"/>
    </row>
    <row r="177" spans="22:23">
      <c r="V177" s="42"/>
      <c r="W177" s="42"/>
    </row>
    <row r="178" spans="22:23">
      <c r="V178" s="42"/>
      <c r="W178" s="42"/>
    </row>
    <row r="179" spans="22:23">
      <c r="V179" s="42"/>
      <c r="W179" s="42"/>
    </row>
    <row r="180" spans="22:23">
      <c r="V180" s="42"/>
      <c r="W180" s="42"/>
    </row>
    <row r="181" spans="22:23">
      <c r="V181" s="42"/>
      <c r="W181" s="42"/>
    </row>
    <row r="182" spans="22:23">
      <c r="V182" s="42"/>
      <c r="W182" s="42"/>
    </row>
    <row r="183" spans="22:23">
      <c r="V183" s="42"/>
      <c r="W183" s="42"/>
    </row>
    <row r="184" spans="22:23">
      <c r="V184" s="42"/>
      <c r="W184" s="42"/>
    </row>
    <row r="185" spans="22:23">
      <c r="V185" s="42"/>
      <c r="W185" s="42"/>
    </row>
    <row r="186" spans="22:23">
      <c r="V186" s="42"/>
      <c r="W186" s="42"/>
    </row>
    <row r="187" spans="22:23">
      <c r="V187" s="42"/>
      <c r="W187" s="42"/>
    </row>
    <row r="188" spans="22:23">
      <c r="V188" s="42"/>
      <c r="W188" s="42"/>
    </row>
    <row r="189" spans="22:23">
      <c r="V189" s="42"/>
      <c r="W189" s="42"/>
    </row>
    <row r="190" spans="22:23">
      <c r="V190" s="42"/>
      <c r="W190" s="42"/>
    </row>
    <row r="191" spans="22:23">
      <c r="V191" s="42"/>
      <c r="W191" s="42"/>
    </row>
    <row r="192" spans="22:23">
      <c r="V192" s="42"/>
      <c r="W192" s="42"/>
    </row>
    <row r="193" spans="22:23">
      <c r="V193" s="42"/>
      <c r="W193" s="42"/>
    </row>
    <row r="194" spans="22:23">
      <c r="V194" s="42"/>
      <c r="W194" s="42"/>
    </row>
    <row r="195" spans="22:23">
      <c r="V195" s="42"/>
      <c r="W195" s="42"/>
    </row>
    <row r="196" spans="22:23">
      <c r="V196" s="42"/>
      <c r="W196" s="42"/>
    </row>
    <row r="197" spans="22:23">
      <c r="V197" s="42"/>
      <c r="W197" s="42"/>
    </row>
    <row r="198" spans="22:23">
      <c r="V198" s="42"/>
      <c r="W198" s="4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74"/>
  <sheetViews>
    <sheetView topLeftCell="F11" workbookViewId="0">
      <selection activeCell="R53" sqref="R53"/>
    </sheetView>
  </sheetViews>
  <sheetFormatPr defaultColWidth="9" defaultRowHeight="13.5"/>
  <cols>
    <col min="1" max="1" width="5.375" style="44" customWidth="1"/>
    <col min="2" max="4" width="5.375" style="45" customWidth="1"/>
    <col min="5" max="5" width="5.75833333333333" style="1" customWidth="1"/>
    <col min="6" max="6" width="7.875" style="1" customWidth="1"/>
    <col min="7" max="7" width="11.125" style="1" customWidth="1"/>
    <col min="8" max="8" width="11.125" style="9" customWidth="1"/>
    <col min="9" max="9" width="7.875" style="3" customWidth="1"/>
    <col min="10" max="10" width="10.125" style="4" customWidth="1"/>
    <col min="11" max="11" width="12.875" style="5" customWidth="1"/>
    <col min="12" max="12" width="9.75" style="6" customWidth="1"/>
    <col min="13" max="13" width="13.125" style="7" customWidth="1"/>
    <col min="14" max="14" width="11.125" style="1" customWidth="1"/>
    <col min="15" max="15" width="7.875" style="8" customWidth="1"/>
    <col min="16" max="16" width="7.875" style="49" customWidth="1"/>
    <col min="17" max="17" width="7.875" style="50" customWidth="1"/>
    <col min="18" max="22" width="9.75" style="51" customWidth="1"/>
    <col min="23" max="23" width="11.075" style="52" customWidth="1"/>
    <col min="24" max="24" width="11.125" style="9" customWidth="1"/>
    <col min="25" max="26" width="11.125" style="53" customWidth="1"/>
    <col min="27" max="27" width="7.875" style="10" customWidth="1"/>
    <col min="28" max="28" width="7.69166666666667" style="11" customWidth="1"/>
    <col min="29" max="29" width="3.475" style="12" customWidth="1"/>
    <col min="30" max="30" width="12.125" style="12" customWidth="1"/>
    <col min="31" max="31" width="3.58333333333333" customWidth="1"/>
    <col min="36" max="36" width="10.375" customWidth="1"/>
  </cols>
  <sheetData>
    <row r="1" ht="84" spans="1:41">
      <c r="A1" s="46" t="s">
        <v>535</v>
      </c>
      <c r="B1" s="47" t="s">
        <v>536</v>
      </c>
      <c r="C1" s="47"/>
      <c r="D1" s="47" t="s">
        <v>20</v>
      </c>
      <c r="E1" s="14"/>
      <c r="F1" s="14" t="s">
        <v>537</v>
      </c>
      <c r="G1" s="15" t="s">
        <v>538</v>
      </c>
      <c r="H1" s="16" t="s">
        <v>539</v>
      </c>
      <c r="I1" s="17" t="s">
        <v>540</v>
      </c>
      <c r="J1" s="18" t="s">
        <v>541</v>
      </c>
      <c r="K1" s="19" t="s">
        <v>542</v>
      </c>
      <c r="L1" s="20" t="s">
        <v>543</v>
      </c>
      <c r="M1" s="21" t="s">
        <v>544</v>
      </c>
      <c r="N1" s="14" t="s">
        <v>545</v>
      </c>
      <c r="O1" s="22" t="s">
        <v>546</v>
      </c>
      <c r="P1" s="54" t="s">
        <v>547</v>
      </c>
      <c r="Q1" s="55" t="s">
        <v>542</v>
      </c>
      <c r="R1" s="56" t="s">
        <v>20</v>
      </c>
      <c r="S1" s="56" t="s">
        <v>548</v>
      </c>
      <c r="T1" s="56" t="s">
        <v>549</v>
      </c>
      <c r="U1" s="56" t="s">
        <v>550</v>
      </c>
      <c r="V1" s="57" t="s">
        <v>544</v>
      </c>
      <c r="W1" s="58" t="s">
        <v>2</v>
      </c>
      <c r="X1" s="16" t="s">
        <v>539</v>
      </c>
      <c r="Y1" s="59"/>
      <c r="Z1" s="59"/>
      <c r="AA1" s="23" t="s">
        <v>540</v>
      </c>
      <c r="AB1" s="24" t="s">
        <v>551</v>
      </c>
      <c r="AC1" s="25"/>
      <c r="AD1" s="24" t="s">
        <v>552</v>
      </c>
      <c r="AE1" s="27"/>
      <c r="AF1" s="15" t="s">
        <v>0</v>
      </c>
      <c r="AG1" s="15" t="s">
        <v>532</v>
      </c>
      <c r="AI1" s="28" t="s">
        <v>533</v>
      </c>
      <c r="AJ1" s="28" t="s">
        <v>534</v>
      </c>
      <c r="AL1" s="15" t="s">
        <v>535</v>
      </c>
      <c r="AM1" s="15" t="s">
        <v>553</v>
      </c>
      <c r="AN1" s="15" t="s">
        <v>554</v>
      </c>
      <c r="AO1" s="15" t="s">
        <v>555</v>
      </c>
    </row>
    <row r="2" spans="1:41">
      <c r="A2" s="46">
        <v>1</v>
      </c>
      <c r="B2" s="47">
        <v>1</v>
      </c>
      <c r="C2" s="47"/>
      <c r="D2" s="47"/>
      <c r="E2" s="14"/>
      <c r="F2" s="14" t="str">
        <f>IFERROR(VLOOKUP(ROUND((E2+0.01)*100,0),AF:AG,2,FALSE),"")</f>
        <v/>
      </c>
      <c r="G2" s="14"/>
      <c r="H2" s="30"/>
      <c r="I2" s="17"/>
      <c r="J2" s="18"/>
      <c r="K2" s="14" t="s">
        <v>2</v>
      </c>
      <c r="L2" s="29">
        <v>1</v>
      </c>
      <c r="M2" s="21">
        <v>5000</v>
      </c>
      <c r="N2" s="14"/>
      <c r="O2" s="22"/>
      <c r="P2" s="60"/>
      <c r="Q2" s="61"/>
      <c r="R2" s="62">
        <v>20</v>
      </c>
      <c r="S2" s="62" cm="1">
        <f t="array" ref="S2">_xlfn.IFNA(MATCH(SUMIFS(R:R,A:A,"="&amp;A2,B:B,"&lt;"&amp;(B2+1)),_xlfn._xlws.FILTER(AO:AO,AL:AL=A2),1),1)</f>
        <v>1</v>
      </c>
      <c r="T2" s="62">
        <f t="shared" ref="T2:T65" si="0">SUMIFS(R:R,A:A,"="&amp;A2,B:B,"&lt;"&amp;(B2+1))</f>
        <v>20</v>
      </c>
      <c r="U2" s="62"/>
      <c r="V2" s="62"/>
      <c r="W2" s="63"/>
      <c r="X2" s="30"/>
      <c r="Y2" s="64"/>
      <c r="Z2" s="64"/>
      <c r="AA2" s="23"/>
      <c r="AB2" s="24"/>
      <c r="AC2" s="25"/>
      <c r="AD2" s="65">
        <f>SUM(E2:E44)</f>
        <v>46.93</v>
      </c>
      <c r="AE2" s="27"/>
      <c r="AF2" s="15">
        <v>99</v>
      </c>
      <c r="AG2" s="15">
        <v>100</v>
      </c>
      <c r="AI2" s="32">
        <v>0</v>
      </c>
      <c r="AJ2" s="33">
        <v>1000000</v>
      </c>
      <c r="AL2" s="15">
        <v>1</v>
      </c>
      <c r="AM2" s="15">
        <v>1</v>
      </c>
      <c r="AN2" s="15">
        <v>50</v>
      </c>
      <c r="AO2" s="15">
        <f t="shared" ref="AO2:AO34" si="1">SUMIFS(AN:AN,AL:AL,"="&amp;AL2,AM:AM,"&lt;="&amp;AM2)</f>
        <v>50</v>
      </c>
    </row>
    <row r="3" spans="1:41">
      <c r="A3" s="46">
        <v>1</v>
      </c>
      <c r="B3" s="47">
        <v>2</v>
      </c>
      <c r="C3" s="47"/>
      <c r="D3" s="47"/>
      <c r="E3" s="35">
        <v>2.99</v>
      </c>
      <c r="F3" s="14">
        <f t="shared" ref="F3:F66" si="2">IFERROR(VLOOKUP(ROUND(E3*100,0),AF:AG,2,FALSE),"")</f>
        <v>109</v>
      </c>
      <c r="G3" s="36">
        <f>(E3+0.01)*F3*$AJ$2/100</f>
        <v>3270000</v>
      </c>
      <c r="H3" s="37">
        <f>SUM(G3)</f>
        <v>3270000</v>
      </c>
      <c r="I3" s="17">
        <f>SUM(E3)</f>
        <v>2.99</v>
      </c>
      <c r="J3" s="18"/>
      <c r="K3" s="14" t="s">
        <v>2</v>
      </c>
      <c r="L3" s="29">
        <v>9</v>
      </c>
      <c r="M3" s="21">
        <f>G3</f>
        <v>3270000</v>
      </c>
      <c r="N3" s="36">
        <f>SUMIF(K3:K8,"="&amp;"金币",M3:M8)</f>
        <v>4168950</v>
      </c>
      <c r="O3" s="22">
        <f>N3/$AJ$2</f>
        <v>4.16895</v>
      </c>
      <c r="P3" s="60"/>
      <c r="Q3" s="61"/>
      <c r="R3" s="62">
        <v>10</v>
      </c>
      <c r="S3" s="62" cm="1">
        <f t="array" ref="S3">_xlfn.IFNA(MATCH(SUMIFS(R:R,A:A,"="&amp;A3,B:B,"&lt;"&amp;(B3+1)),_xlfn._xlws.FILTER(AO:AO,AL:AL=A3),1),1)</f>
        <v>1</v>
      </c>
      <c r="T3" s="62">
        <f t="shared" si="0"/>
        <v>30</v>
      </c>
      <c r="U3" s="62" t="str">
        <f>_xlfn.IFNA(VLOOKUP(Q3,道具!B:C,2,FALSE),"")</f>
        <v/>
      </c>
      <c r="V3" s="62">
        <f>IF(U3=1,CEILING(W3*100/$AJ$2,5),IF(U3=2,J3*100,0))</f>
        <v>0</v>
      </c>
      <c r="W3" s="63">
        <f>IF(U3=1,J3*$AD$6,IF(U3=2,J3*$AJ$2,0))</f>
        <v>0</v>
      </c>
      <c r="X3" s="37">
        <f>SUM(N3)+SUM(W3)</f>
        <v>4168950</v>
      </c>
      <c r="Y3" s="66">
        <f>SUM(O3)</f>
        <v>4.16895</v>
      </c>
      <c r="Z3" s="66">
        <f>X3</f>
        <v>4168950</v>
      </c>
      <c r="AA3" s="23">
        <f>X3/$AJ$2</f>
        <v>4.16895</v>
      </c>
      <c r="AB3" s="24">
        <f>X3/H3</f>
        <v>1.27490825688073</v>
      </c>
      <c r="AC3" s="25"/>
      <c r="AD3" s="24" t="s">
        <v>556</v>
      </c>
      <c r="AE3" s="27"/>
      <c r="AF3" s="15">
        <v>199</v>
      </c>
      <c r="AG3" s="15">
        <v>100</v>
      </c>
      <c r="AI3" s="32">
        <v>1</v>
      </c>
      <c r="AJ3" s="33">
        <v>1250000</v>
      </c>
      <c r="AL3" s="15">
        <v>1</v>
      </c>
      <c r="AM3" s="15">
        <v>2</v>
      </c>
      <c r="AN3" s="15">
        <v>100</v>
      </c>
      <c r="AO3" s="15">
        <f t="shared" si="1"/>
        <v>150</v>
      </c>
    </row>
    <row r="4" spans="1:41">
      <c r="A4" s="46">
        <v>1</v>
      </c>
      <c r="B4" s="47">
        <v>3</v>
      </c>
      <c r="C4" s="47"/>
      <c r="D4" s="47"/>
      <c r="E4" s="14"/>
      <c r="F4" s="14" t="str">
        <f t="shared" si="2"/>
        <v/>
      </c>
      <c r="G4" s="14"/>
      <c r="H4" s="30"/>
      <c r="I4" s="17"/>
      <c r="J4" s="18"/>
      <c r="K4" s="19" t="s">
        <v>408</v>
      </c>
      <c r="L4" s="38">
        <v>3</v>
      </c>
      <c r="M4" s="21">
        <v>1</v>
      </c>
      <c r="N4" s="14"/>
      <c r="O4" s="22"/>
      <c r="P4" s="60"/>
      <c r="Q4" s="61"/>
      <c r="R4" s="62"/>
      <c r="S4" s="62" cm="1">
        <f t="array" ref="S4">_xlfn.IFNA(MATCH(SUMIFS(R:R,A:A,"="&amp;A4,B:B,"&lt;"&amp;(B4+1)),_xlfn._xlws.FILTER(AO:AO,AL:AL=A4),1),1)</f>
        <v>1</v>
      </c>
      <c r="T4" s="62">
        <f t="shared" si="0"/>
        <v>30</v>
      </c>
      <c r="U4" s="62"/>
      <c r="V4" s="62"/>
      <c r="W4" s="63"/>
      <c r="X4" s="30"/>
      <c r="Y4" s="64"/>
      <c r="Z4" s="64"/>
      <c r="AA4" s="23"/>
      <c r="AB4" s="24"/>
      <c r="AC4" s="25"/>
      <c r="AD4" s="67">
        <v>1.15</v>
      </c>
      <c r="AE4" s="27"/>
      <c r="AF4" s="15">
        <v>299</v>
      </c>
      <c r="AG4" s="15">
        <v>109</v>
      </c>
      <c r="AI4" s="32">
        <v>2</v>
      </c>
      <c r="AJ4" s="33">
        <v>1500000</v>
      </c>
      <c r="AL4" s="15">
        <v>1</v>
      </c>
      <c r="AM4" s="15">
        <v>3</v>
      </c>
      <c r="AN4" s="15">
        <v>150</v>
      </c>
      <c r="AO4" s="15">
        <f t="shared" si="1"/>
        <v>300</v>
      </c>
    </row>
    <row r="5" spans="1:41">
      <c r="A5" s="46">
        <v>1</v>
      </c>
      <c r="B5" s="47">
        <v>4</v>
      </c>
      <c r="C5" s="47"/>
      <c r="D5" s="47"/>
      <c r="E5" s="14"/>
      <c r="F5" s="14" t="str">
        <f t="shared" si="2"/>
        <v/>
      </c>
      <c r="G5" s="14"/>
      <c r="H5" s="30"/>
      <c r="I5" s="17"/>
      <c r="J5" s="18">
        <v>0.1</v>
      </c>
      <c r="K5" s="19" t="s">
        <v>2</v>
      </c>
      <c r="L5" s="38">
        <v>17</v>
      </c>
      <c r="M5" s="21">
        <f>J5*$AD$6</f>
        <v>898949.999999999</v>
      </c>
      <c r="N5" s="14"/>
      <c r="O5" s="22"/>
      <c r="P5" s="60"/>
      <c r="Q5" s="61"/>
      <c r="R5" s="62"/>
      <c r="S5" s="62" cm="1">
        <f t="array" ref="S5">_xlfn.IFNA(MATCH(SUMIFS(R:R,A:A,"="&amp;A5,B:B,"&lt;"&amp;(B5+1)),_xlfn._xlws.FILTER(AO:AO,AL:AL=A5),1),1)</f>
        <v>1</v>
      </c>
      <c r="T5" s="62">
        <f t="shared" si="0"/>
        <v>30</v>
      </c>
      <c r="U5" s="62"/>
      <c r="V5" s="62"/>
      <c r="W5" s="63"/>
      <c r="X5" s="30"/>
      <c r="Y5" s="64"/>
      <c r="Z5" s="64"/>
      <c r="AA5" s="23"/>
      <c r="AB5" s="24"/>
      <c r="AC5" s="25"/>
      <c r="AD5" s="24" t="s">
        <v>557</v>
      </c>
      <c r="AE5" s="27"/>
      <c r="AF5" s="15">
        <v>399</v>
      </c>
      <c r="AG5" s="15">
        <v>114</v>
      </c>
      <c r="AI5" s="32">
        <v>3</v>
      </c>
      <c r="AJ5" s="33">
        <v>1750000</v>
      </c>
      <c r="AL5" s="15">
        <f t="shared" ref="AL5:AL34" si="3">AL2+1</f>
        <v>2</v>
      </c>
      <c r="AM5" s="15">
        <v>1</v>
      </c>
      <c r="AN5" s="15">
        <v>50</v>
      </c>
      <c r="AO5" s="15">
        <f t="shared" si="1"/>
        <v>50</v>
      </c>
    </row>
    <row r="6" spans="1:41">
      <c r="A6" s="46">
        <v>1</v>
      </c>
      <c r="B6" s="47">
        <v>5</v>
      </c>
      <c r="C6" s="47"/>
      <c r="D6" s="47"/>
      <c r="E6" s="14"/>
      <c r="F6" s="14" t="str">
        <f t="shared" si="2"/>
        <v/>
      </c>
      <c r="G6" s="14"/>
      <c r="H6" s="30"/>
      <c r="I6" s="17"/>
      <c r="J6" s="18"/>
      <c r="K6" s="19" t="s">
        <v>457</v>
      </c>
      <c r="L6" s="38">
        <v>4</v>
      </c>
      <c r="M6" s="21">
        <v>1</v>
      </c>
      <c r="N6" s="14"/>
      <c r="O6" s="22"/>
      <c r="P6" s="60"/>
      <c r="Q6" s="61"/>
      <c r="R6" s="62">
        <v>10</v>
      </c>
      <c r="S6" s="62" cm="1">
        <f t="array" ref="S6">_xlfn.IFNA(MATCH(SUMIFS(R:R,A:A,"="&amp;A6,B:B,"&lt;"&amp;(B6+1)),_xlfn._xlws.FILTER(AO:AO,AL:AL=A6),1),1)</f>
        <v>1</v>
      </c>
      <c r="T6" s="62">
        <f t="shared" si="0"/>
        <v>40</v>
      </c>
      <c r="U6" s="62"/>
      <c r="V6" s="62"/>
      <c r="W6" s="63"/>
      <c r="X6" s="30"/>
      <c r="Y6" s="64"/>
      <c r="Z6" s="64"/>
      <c r="AA6" s="23"/>
      <c r="AB6" s="24"/>
      <c r="AC6" s="25"/>
      <c r="AD6" s="68">
        <f>SUM(G2:G44)*(AD4-1)</f>
        <v>8989499.99999999</v>
      </c>
      <c r="AE6" s="27"/>
      <c r="AF6" s="15">
        <v>499</v>
      </c>
      <c r="AG6" s="15">
        <v>119</v>
      </c>
      <c r="AI6" s="32">
        <v>4</v>
      </c>
      <c r="AJ6" s="33">
        <v>2000000</v>
      </c>
      <c r="AL6" s="15">
        <f t="shared" si="3"/>
        <v>2</v>
      </c>
      <c r="AM6" s="15">
        <v>2</v>
      </c>
      <c r="AN6" s="15">
        <v>100</v>
      </c>
      <c r="AO6" s="15">
        <f t="shared" si="1"/>
        <v>150</v>
      </c>
    </row>
    <row r="7" spans="1:41">
      <c r="A7" s="46">
        <v>1</v>
      </c>
      <c r="B7" s="47">
        <v>6</v>
      </c>
      <c r="C7" s="47"/>
      <c r="D7" s="47"/>
      <c r="E7" s="14"/>
      <c r="F7" s="14" t="str">
        <f t="shared" si="2"/>
        <v/>
      </c>
      <c r="G7" s="14"/>
      <c r="H7" s="30"/>
      <c r="I7" s="17"/>
      <c r="J7" s="18"/>
      <c r="K7" s="19" t="s">
        <v>453</v>
      </c>
      <c r="L7" s="38">
        <v>3</v>
      </c>
      <c r="M7" s="21">
        <v>5</v>
      </c>
      <c r="N7" s="14"/>
      <c r="O7" s="22"/>
      <c r="P7" s="60"/>
      <c r="Q7" s="61"/>
      <c r="R7" s="62"/>
      <c r="S7" s="62" cm="1">
        <f t="array" ref="S7">_xlfn.IFNA(MATCH(SUMIFS(R:R,A:A,"="&amp;A7,B:B,"&lt;"&amp;(B7+1)),_xlfn._xlws.FILTER(AO:AO,AL:AL=A7),1),1)</f>
        <v>1</v>
      </c>
      <c r="T7" s="62">
        <f t="shared" si="0"/>
        <v>40</v>
      </c>
      <c r="U7" s="62"/>
      <c r="V7" s="62"/>
      <c r="W7" s="63"/>
      <c r="X7" s="30"/>
      <c r="Y7" s="64"/>
      <c r="Z7" s="64"/>
      <c r="AA7" s="23"/>
      <c r="AB7" s="24"/>
      <c r="AC7" s="25"/>
      <c r="AD7" s="24" t="s">
        <v>558</v>
      </c>
      <c r="AE7" s="27"/>
      <c r="AF7" s="15">
        <v>599</v>
      </c>
      <c r="AG7" s="15">
        <v>119</v>
      </c>
      <c r="AI7" s="32">
        <v>5</v>
      </c>
      <c r="AJ7" s="33">
        <v>2250000</v>
      </c>
      <c r="AL7" s="15">
        <f t="shared" si="3"/>
        <v>2</v>
      </c>
      <c r="AM7" s="15">
        <v>3</v>
      </c>
      <c r="AN7" s="15">
        <v>150</v>
      </c>
      <c r="AO7" s="15">
        <f t="shared" si="1"/>
        <v>300</v>
      </c>
    </row>
    <row r="8" spans="1:41">
      <c r="A8" s="46">
        <v>1</v>
      </c>
      <c r="B8" s="47">
        <v>7</v>
      </c>
      <c r="C8" s="47"/>
      <c r="D8" s="47"/>
      <c r="E8" s="14"/>
      <c r="F8" s="14" t="str">
        <f t="shared" si="2"/>
        <v/>
      </c>
      <c r="G8" s="14"/>
      <c r="H8" s="30"/>
      <c r="I8" s="17"/>
      <c r="J8" s="18"/>
      <c r="K8" t="s">
        <v>424</v>
      </c>
      <c r="L8" s="38">
        <v>3</v>
      </c>
      <c r="M8" s="21">
        <v>1</v>
      </c>
      <c r="N8" s="14"/>
      <c r="O8" s="22"/>
      <c r="P8" s="60"/>
      <c r="Q8" s="61"/>
      <c r="R8" s="62"/>
      <c r="S8" s="62" cm="1">
        <f t="array" ref="S8">_xlfn.IFNA(MATCH(SUMIFS(R:R,A:A,"="&amp;A8,B:B,"&lt;"&amp;(B8+1)),_xlfn._xlws.FILTER(AO:AO,AL:AL=A8),1),1)</f>
        <v>1</v>
      </c>
      <c r="T8" s="62">
        <f t="shared" si="0"/>
        <v>40</v>
      </c>
      <c r="U8" s="62"/>
      <c r="V8" s="62"/>
      <c r="W8" s="63"/>
      <c r="X8" s="30"/>
      <c r="Y8" s="64"/>
      <c r="Z8" s="64"/>
      <c r="AA8" s="23"/>
      <c r="AB8" s="24"/>
      <c r="AC8" s="25"/>
      <c r="AD8" s="24">
        <f>SUMIF(U2:U44,"&lt;&gt;2",J2:J44)+SUMIF(U2:U44,"=2",J2:J44)*$AJ$2/SUMIFS(AD:AD,A:A,"="&amp;A8,B:B,"=5")</f>
        <v>1.34</v>
      </c>
      <c r="AE8" s="27"/>
      <c r="AF8" s="15">
        <v>699</v>
      </c>
      <c r="AG8" s="15">
        <v>124</v>
      </c>
      <c r="AI8" s="32">
        <v>6</v>
      </c>
      <c r="AJ8" s="33">
        <v>2500000</v>
      </c>
      <c r="AL8" s="15">
        <f t="shared" si="3"/>
        <v>3</v>
      </c>
      <c r="AM8" s="15">
        <v>1</v>
      </c>
      <c r="AN8" s="15">
        <v>50</v>
      </c>
      <c r="AO8" s="15">
        <f t="shared" si="1"/>
        <v>50</v>
      </c>
    </row>
    <row r="9" spans="1:41">
      <c r="A9" s="46">
        <v>1</v>
      </c>
      <c r="B9" s="47">
        <v>8</v>
      </c>
      <c r="C9" s="47"/>
      <c r="D9" s="47"/>
      <c r="E9" s="14">
        <v>3.99</v>
      </c>
      <c r="F9" s="14">
        <f t="shared" si="2"/>
        <v>114</v>
      </c>
      <c r="G9" s="36">
        <f>(E9+0.01)*F9*$AJ$2/100</f>
        <v>4560000</v>
      </c>
      <c r="H9" s="37">
        <f>SUM(G3:G9)</f>
        <v>7830000</v>
      </c>
      <c r="I9" s="17">
        <f>SUM(E3:E9)</f>
        <v>6.98</v>
      </c>
      <c r="J9" s="18">
        <v>0.12</v>
      </c>
      <c r="K9" s="14" t="s">
        <v>2</v>
      </c>
      <c r="L9" s="29">
        <v>9</v>
      </c>
      <c r="M9" s="21">
        <f>G9</f>
        <v>4560000</v>
      </c>
      <c r="N9" s="36">
        <f>SUMIF(K9:K14,"="&amp;"金币",M9:M14)</f>
        <v>4739790</v>
      </c>
      <c r="O9" s="22">
        <f>N9/$AJ$2</f>
        <v>4.73979</v>
      </c>
      <c r="P9" s="60">
        <v>1</v>
      </c>
      <c r="Q9" s="61" t="s">
        <v>2</v>
      </c>
      <c r="R9" s="62">
        <v>25</v>
      </c>
      <c r="S9" s="62" cm="1">
        <f t="array" ref="S9">_xlfn.IFNA(MATCH(SUMIFS(R:R,A:A,"="&amp;A9,B:B,"&lt;"&amp;(B9+1)),_xlfn._xlws.FILTER(AO:AO,AL:AL=A9),1),1)</f>
        <v>1</v>
      </c>
      <c r="T9" s="62">
        <f t="shared" si="0"/>
        <v>65</v>
      </c>
      <c r="U9" s="62">
        <f>_xlfn.IFNA(VLOOKUP(Q9,道具!B:C,2,FALSE),"")</f>
        <v>1</v>
      </c>
      <c r="V9" s="62">
        <f>IF(U9=1,CEILING(W9*100/$AJ$2,5),IF(U9=2,J9*100,0))</f>
        <v>110</v>
      </c>
      <c r="W9" s="63">
        <f>IF(U9=1,J9*$AD$6,IF(U9=2,J9*$AJ$2,0))</f>
        <v>1078740</v>
      </c>
      <c r="X9" s="37">
        <f>SUM(N3:N9)+SUM(W3:W9)</f>
        <v>9987480</v>
      </c>
      <c r="Y9" s="66">
        <f>SUM(O3:O9)</f>
        <v>8.90874</v>
      </c>
      <c r="Z9" s="66">
        <f>SUM(W3:W9)</f>
        <v>1078740</v>
      </c>
      <c r="AA9" s="23">
        <f>X9/$AJ$2</f>
        <v>9.98748</v>
      </c>
      <c r="AB9" s="24">
        <f>X9/H9</f>
        <v>1.27554022988506</v>
      </c>
      <c r="AC9" s="25"/>
      <c r="AD9" s="25"/>
      <c r="AE9" s="27"/>
      <c r="AF9" s="15">
        <v>799</v>
      </c>
      <c r="AG9" s="15">
        <v>129</v>
      </c>
      <c r="AI9" s="32">
        <v>7</v>
      </c>
      <c r="AJ9" s="33">
        <v>2500000</v>
      </c>
      <c r="AL9" s="15">
        <f t="shared" si="3"/>
        <v>3</v>
      </c>
      <c r="AM9" s="15">
        <v>2</v>
      </c>
      <c r="AN9" s="15">
        <v>100</v>
      </c>
      <c r="AO9" s="15">
        <f t="shared" si="1"/>
        <v>150</v>
      </c>
    </row>
    <row r="10" spans="1:41">
      <c r="A10" s="46">
        <v>1</v>
      </c>
      <c r="B10" s="47">
        <v>9</v>
      </c>
      <c r="C10" s="47"/>
      <c r="D10" s="47"/>
      <c r="E10" s="14"/>
      <c r="F10" s="14" t="str">
        <f t="shared" si="2"/>
        <v/>
      </c>
      <c r="G10" s="14"/>
      <c r="H10" s="30"/>
      <c r="I10" s="17"/>
      <c r="J10" s="18"/>
      <c r="K10" s="19" t="s">
        <v>408</v>
      </c>
      <c r="L10" s="38">
        <v>3</v>
      </c>
      <c r="M10" s="21">
        <v>2</v>
      </c>
      <c r="N10" s="14"/>
      <c r="O10" s="22"/>
      <c r="P10" s="60"/>
      <c r="Q10" s="61"/>
      <c r="R10" s="62"/>
      <c r="S10" s="62" cm="1">
        <f t="array" ref="S10">_xlfn.IFNA(MATCH(SUMIFS(R:R,A:A,"="&amp;A10,B:B,"&lt;"&amp;(B10+1)),_xlfn._xlws.FILTER(AO:AO,AL:AL=A10),1),1)</f>
        <v>1</v>
      </c>
      <c r="T10" s="62">
        <f t="shared" si="0"/>
        <v>65</v>
      </c>
      <c r="U10" s="62"/>
      <c r="V10" s="62"/>
      <c r="W10" s="63"/>
      <c r="X10" s="30"/>
      <c r="Y10" s="64"/>
      <c r="Z10" s="64"/>
      <c r="AA10" s="23"/>
      <c r="AB10" s="24"/>
      <c r="AC10" s="25"/>
      <c r="AD10" s="69"/>
      <c r="AE10" s="27"/>
      <c r="AF10" s="15">
        <v>899</v>
      </c>
      <c r="AG10" s="15">
        <v>134</v>
      </c>
      <c r="AI10" s="32">
        <v>8</v>
      </c>
      <c r="AJ10" s="33">
        <v>2500000</v>
      </c>
      <c r="AL10" s="15">
        <f t="shared" si="3"/>
        <v>3</v>
      </c>
      <c r="AM10" s="15">
        <v>3</v>
      </c>
      <c r="AN10" s="15">
        <v>150</v>
      </c>
      <c r="AO10" s="15">
        <f t="shared" si="1"/>
        <v>300</v>
      </c>
    </row>
    <row r="11" spans="1:41">
      <c r="A11" s="46">
        <v>1</v>
      </c>
      <c r="B11" s="47">
        <v>10</v>
      </c>
      <c r="C11" s="47"/>
      <c r="D11" s="47"/>
      <c r="E11" s="14"/>
      <c r="F11" s="14" t="str">
        <f t="shared" si="2"/>
        <v/>
      </c>
      <c r="G11" s="14"/>
      <c r="H11" s="30"/>
      <c r="I11" s="17"/>
      <c r="J11" s="18">
        <v>0.02</v>
      </c>
      <c r="K11" s="19" t="s">
        <v>2</v>
      </c>
      <c r="L11" s="38">
        <v>17</v>
      </c>
      <c r="M11" s="21">
        <f>J11*$AD$6</f>
        <v>179790</v>
      </c>
      <c r="N11" s="14"/>
      <c r="O11" s="22"/>
      <c r="P11" s="60"/>
      <c r="Q11" s="61"/>
      <c r="R11" s="62"/>
      <c r="S11" s="62" cm="1">
        <f t="array" ref="S11">_xlfn.IFNA(MATCH(SUMIFS(R:R,A:A,"="&amp;A11,B:B,"&lt;"&amp;(B11+1)),_xlfn._xlws.FILTER(AO:AO,AL:AL=A11),1),1)</f>
        <v>1</v>
      </c>
      <c r="T11" s="62">
        <f t="shared" si="0"/>
        <v>65</v>
      </c>
      <c r="U11" s="62"/>
      <c r="V11" s="62"/>
      <c r="W11" s="63"/>
      <c r="X11" s="30"/>
      <c r="Y11" s="64"/>
      <c r="Z11" s="64"/>
      <c r="AA11" s="23"/>
      <c r="AB11" s="24"/>
      <c r="AC11" s="25"/>
      <c r="AD11" s="25"/>
      <c r="AE11" s="27"/>
      <c r="AF11" s="15">
        <v>999</v>
      </c>
      <c r="AG11" s="15">
        <v>139</v>
      </c>
      <c r="AI11" s="32">
        <v>9</v>
      </c>
      <c r="AJ11" s="33">
        <v>2500000</v>
      </c>
      <c r="AL11" s="15">
        <f t="shared" si="3"/>
        <v>4</v>
      </c>
      <c r="AM11" s="15">
        <v>1</v>
      </c>
      <c r="AN11" s="15">
        <v>50</v>
      </c>
      <c r="AO11" s="15">
        <f t="shared" si="1"/>
        <v>50</v>
      </c>
    </row>
    <row r="12" spans="1:41">
      <c r="A12" s="46">
        <v>1</v>
      </c>
      <c r="B12" s="47">
        <v>11</v>
      </c>
      <c r="C12" s="47"/>
      <c r="D12" s="47"/>
      <c r="E12" s="14"/>
      <c r="F12" s="14" t="str">
        <f t="shared" si="2"/>
        <v/>
      </c>
      <c r="G12" s="14"/>
      <c r="H12" s="30"/>
      <c r="I12" s="17"/>
      <c r="J12" s="18"/>
      <c r="K12" s="19" t="s">
        <v>459</v>
      </c>
      <c r="L12" s="38">
        <v>4</v>
      </c>
      <c r="M12" s="21">
        <v>1</v>
      </c>
      <c r="N12" s="14"/>
      <c r="O12" s="22"/>
      <c r="P12" s="60"/>
      <c r="Q12" s="61"/>
      <c r="R12" s="62"/>
      <c r="S12" s="62" cm="1">
        <f t="array" ref="S12">_xlfn.IFNA(MATCH(SUMIFS(R:R,A:A,"="&amp;A12,B:B,"&lt;"&amp;(B12+1)),_xlfn._xlws.FILTER(AO:AO,AL:AL=A12),1),1)</f>
        <v>1</v>
      </c>
      <c r="T12" s="62">
        <f t="shared" si="0"/>
        <v>65</v>
      </c>
      <c r="U12" s="62"/>
      <c r="V12" s="62"/>
      <c r="W12" s="63"/>
      <c r="X12" s="30"/>
      <c r="Y12" s="64"/>
      <c r="Z12" s="64"/>
      <c r="AA12" s="23"/>
      <c r="AB12" s="24"/>
      <c r="AC12" s="25"/>
      <c r="AD12" s="25"/>
      <c r="AE12" s="27"/>
      <c r="AF12" s="15">
        <v>1099</v>
      </c>
      <c r="AG12" s="15">
        <v>142</v>
      </c>
      <c r="AI12" s="32">
        <v>10</v>
      </c>
      <c r="AJ12" s="33">
        <v>2500000</v>
      </c>
      <c r="AL12" s="15">
        <f t="shared" si="3"/>
        <v>4</v>
      </c>
      <c r="AM12" s="15">
        <v>2</v>
      </c>
      <c r="AN12" s="15">
        <v>100</v>
      </c>
      <c r="AO12" s="15">
        <f t="shared" si="1"/>
        <v>150</v>
      </c>
    </row>
    <row r="13" spans="1:41">
      <c r="A13" s="46">
        <v>1</v>
      </c>
      <c r="B13" s="47">
        <v>12</v>
      </c>
      <c r="C13" s="47"/>
      <c r="D13" s="47"/>
      <c r="E13" s="14"/>
      <c r="F13" s="14" t="str">
        <f t="shared" si="2"/>
        <v/>
      </c>
      <c r="G13" s="14"/>
      <c r="H13" s="30"/>
      <c r="I13" s="17"/>
      <c r="J13" s="18"/>
      <c r="K13" s="19" t="s">
        <v>453</v>
      </c>
      <c r="L13" s="38">
        <v>3</v>
      </c>
      <c r="M13" s="21">
        <v>10</v>
      </c>
      <c r="N13" s="14"/>
      <c r="O13" s="22"/>
      <c r="P13" s="60"/>
      <c r="Q13" s="61"/>
      <c r="R13" s="62"/>
      <c r="S13" s="62" cm="1">
        <f t="array" ref="S13">_xlfn.IFNA(MATCH(SUMIFS(R:R,A:A,"="&amp;A13,B:B,"&lt;"&amp;(B13+1)),_xlfn._xlws.FILTER(AO:AO,AL:AL=A13),1),1)</f>
        <v>1</v>
      </c>
      <c r="T13" s="62">
        <f t="shared" si="0"/>
        <v>65</v>
      </c>
      <c r="U13" s="62"/>
      <c r="V13" s="62"/>
      <c r="W13" s="63"/>
      <c r="X13" s="30"/>
      <c r="Y13" s="64"/>
      <c r="Z13" s="64"/>
      <c r="AA13" s="23"/>
      <c r="AB13" s="24"/>
      <c r="AC13" s="25"/>
      <c r="AD13" s="25"/>
      <c r="AE13" s="27"/>
      <c r="AF13" s="15">
        <v>1199</v>
      </c>
      <c r="AG13" s="15">
        <v>146</v>
      </c>
      <c r="AI13" s="32">
        <v>11</v>
      </c>
      <c r="AJ13" s="33">
        <v>2500000</v>
      </c>
      <c r="AL13" s="15">
        <f t="shared" si="3"/>
        <v>4</v>
      </c>
      <c r="AM13" s="15">
        <v>3</v>
      </c>
      <c r="AN13" s="15">
        <v>150</v>
      </c>
      <c r="AO13" s="15">
        <f t="shared" si="1"/>
        <v>300</v>
      </c>
    </row>
    <row r="14" spans="1:41">
      <c r="A14" s="46">
        <v>1</v>
      </c>
      <c r="B14" s="47">
        <v>13</v>
      </c>
      <c r="C14" s="47"/>
      <c r="D14" s="47"/>
      <c r="E14" s="14"/>
      <c r="F14" s="14" t="str">
        <f t="shared" si="2"/>
        <v/>
      </c>
      <c r="G14" s="14"/>
      <c r="H14" s="30"/>
      <c r="I14" s="17"/>
      <c r="J14" s="18"/>
      <c r="K14" t="s">
        <v>426</v>
      </c>
      <c r="L14" s="38">
        <v>3</v>
      </c>
      <c r="M14" s="21">
        <v>1</v>
      </c>
      <c r="N14" s="14"/>
      <c r="O14" s="22"/>
      <c r="P14" s="60"/>
      <c r="Q14" s="61"/>
      <c r="R14" s="62"/>
      <c r="S14" s="62" cm="1">
        <f t="array" ref="S14">_xlfn.IFNA(MATCH(SUMIFS(R:R,A:A,"="&amp;A14,B:B,"&lt;"&amp;(B14+1)),_xlfn._xlws.FILTER(AO:AO,AL:AL=A14),1),1)</f>
        <v>1</v>
      </c>
      <c r="T14" s="62">
        <f t="shared" si="0"/>
        <v>65</v>
      </c>
      <c r="U14" s="62"/>
      <c r="V14" s="62"/>
      <c r="W14" s="63"/>
      <c r="X14" s="30"/>
      <c r="Y14" s="64"/>
      <c r="Z14" s="64"/>
      <c r="AA14" s="23"/>
      <c r="AB14" s="24"/>
      <c r="AC14" s="25"/>
      <c r="AD14" s="25"/>
      <c r="AE14" s="27"/>
      <c r="AF14" s="15">
        <v>1299</v>
      </c>
      <c r="AG14" s="15">
        <v>149</v>
      </c>
      <c r="AI14" s="32">
        <v>12</v>
      </c>
      <c r="AJ14" s="33">
        <v>2500000</v>
      </c>
      <c r="AL14" s="15">
        <f t="shared" si="3"/>
        <v>5</v>
      </c>
      <c r="AM14" s="15">
        <v>1</v>
      </c>
      <c r="AN14" s="15">
        <v>50</v>
      </c>
      <c r="AO14" s="15">
        <f t="shared" si="1"/>
        <v>50</v>
      </c>
    </row>
    <row r="15" spans="1:41">
      <c r="A15" s="46">
        <v>1</v>
      </c>
      <c r="B15" s="47">
        <v>14</v>
      </c>
      <c r="C15" s="47"/>
      <c r="D15" s="47"/>
      <c r="E15" s="14">
        <v>5.99</v>
      </c>
      <c r="F15" s="14">
        <f t="shared" si="2"/>
        <v>119</v>
      </c>
      <c r="G15" s="36">
        <f>(E15+0.01)*F15*$AJ$2/100</f>
        <v>7140000</v>
      </c>
      <c r="H15" s="37">
        <f>SUM(G3:G15)</f>
        <v>14970000</v>
      </c>
      <c r="I15" s="17">
        <f>SUM(E3:E15)</f>
        <v>12.97</v>
      </c>
      <c r="J15" s="18"/>
      <c r="K15" s="14" t="s">
        <v>2</v>
      </c>
      <c r="L15" s="29">
        <v>9</v>
      </c>
      <c r="M15" s="21">
        <f>G15</f>
        <v>7140000</v>
      </c>
      <c r="N15" s="36">
        <f>SUMIF(K15:K20,"="&amp;"金币",M15:M20)</f>
        <v>7589475</v>
      </c>
      <c r="O15" s="22">
        <f>N15/$AJ$2</f>
        <v>7.589475</v>
      </c>
      <c r="P15" s="60"/>
      <c r="Q15" s="61"/>
      <c r="R15" s="62">
        <v>35</v>
      </c>
      <c r="S15" s="62" cm="1">
        <f t="array" ref="S15">_xlfn.IFNA(MATCH(SUMIFS(R:R,A:A,"="&amp;A15,B:B,"&lt;"&amp;(B15+1)),_xlfn._xlws.FILTER(AO:AO,AL:AL=A15),1),1)</f>
        <v>1</v>
      </c>
      <c r="T15" s="62">
        <f t="shared" si="0"/>
        <v>100</v>
      </c>
      <c r="U15" s="62" t="str">
        <f>_xlfn.IFNA(VLOOKUP(Q15,道具!B:C,2,FALSE),"")</f>
        <v/>
      </c>
      <c r="V15" s="62"/>
      <c r="W15" s="63">
        <f>IF(U15=1,J15*$AD$6,IF(U15=2,J15*$AJ$2,0))</f>
        <v>0</v>
      </c>
      <c r="X15" s="37">
        <f>SUM(N3:N15)+SUM(W3:W15)</f>
        <v>17576955</v>
      </c>
      <c r="Y15" s="66">
        <f>SUM(O3:O15)</f>
        <v>16.498215</v>
      </c>
      <c r="Z15" s="66">
        <f>SUM(W3:W15)</f>
        <v>1078740</v>
      </c>
      <c r="AA15" s="23">
        <f>X15/$AJ$2</f>
        <v>17.576955</v>
      </c>
      <c r="AB15" s="24">
        <f>X15/H15</f>
        <v>1.17414529058116</v>
      </c>
      <c r="AC15" s="25"/>
      <c r="AD15" s="25"/>
      <c r="AE15" s="27"/>
      <c r="AF15" s="15">
        <v>1399</v>
      </c>
      <c r="AG15" s="15">
        <v>151</v>
      </c>
      <c r="AI15" s="32">
        <v>13</v>
      </c>
      <c r="AJ15" s="33">
        <v>2500000</v>
      </c>
      <c r="AL15" s="15">
        <f t="shared" si="3"/>
        <v>5</v>
      </c>
      <c r="AM15" s="15">
        <v>2</v>
      </c>
      <c r="AN15" s="15">
        <v>100</v>
      </c>
      <c r="AO15" s="15">
        <f t="shared" si="1"/>
        <v>150</v>
      </c>
    </row>
    <row r="16" spans="1:41">
      <c r="A16" s="46">
        <v>1</v>
      </c>
      <c r="B16" s="47">
        <v>15</v>
      </c>
      <c r="C16" s="47"/>
      <c r="D16" s="47"/>
      <c r="E16" s="14"/>
      <c r="F16" s="14" t="str">
        <f t="shared" si="2"/>
        <v/>
      </c>
      <c r="G16" s="14"/>
      <c r="H16" s="30"/>
      <c r="I16" s="17"/>
      <c r="J16" s="18"/>
      <c r="K16" s="19" t="s">
        <v>408</v>
      </c>
      <c r="L16" s="38">
        <v>3</v>
      </c>
      <c r="M16" s="21">
        <v>3</v>
      </c>
      <c r="N16" s="14"/>
      <c r="O16" s="22"/>
      <c r="P16" s="60"/>
      <c r="Q16" s="61"/>
      <c r="R16" s="62"/>
      <c r="S16" s="62" cm="1">
        <f t="array" ref="S16">_xlfn.IFNA(MATCH(SUMIFS(R:R,A:A,"="&amp;A16,B:B,"&lt;"&amp;(B16+1)),_xlfn._xlws.FILTER(AO:AO,AL:AL=A16),1),1)</f>
        <v>1</v>
      </c>
      <c r="T16" s="62">
        <f t="shared" si="0"/>
        <v>100</v>
      </c>
      <c r="U16" s="62"/>
      <c r="V16" s="62"/>
      <c r="W16" s="63"/>
      <c r="X16" s="30"/>
      <c r="Y16" s="64"/>
      <c r="Z16" s="64"/>
      <c r="AA16" s="23"/>
      <c r="AB16" s="24"/>
      <c r="AC16" s="25"/>
      <c r="AD16" s="25"/>
      <c r="AE16" s="27"/>
      <c r="AF16" s="15">
        <v>1499</v>
      </c>
      <c r="AG16" s="15">
        <v>154</v>
      </c>
      <c r="AI16" s="32">
        <v>14</v>
      </c>
      <c r="AJ16" s="33">
        <v>2500000</v>
      </c>
      <c r="AL16" s="15">
        <f t="shared" si="3"/>
        <v>5</v>
      </c>
      <c r="AM16" s="15">
        <v>3</v>
      </c>
      <c r="AN16" s="15">
        <v>150</v>
      </c>
      <c r="AO16" s="15">
        <f t="shared" si="1"/>
        <v>300</v>
      </c>
    </row>
    <row r="17" spans="1:41">
      <c r="A17" s="46">
        <v>1</v>
      </c>
      <c r="B17" s="47">
        <v>16</v>
      </c>
      <c r="C17" s="47"/>
      <c r="D17" s="47"/>
      <c r="E17" s="14"/>
      <c r="F17" s="14" t="str">
        <f t="shared" si="2"/>
        <v/>
      </c>
      <c r="G17" s="14"/>
      <c r="H17" s="30"/>
      <c r="I17" s="17"/>
      <c r="J17" s="18">
        <v>0.05</v>
      </c>
      <c r="K17" s="19" t="s">
        <v>2</v>
      </c>
      <c r="L17" s="38">
        <v>17</v>
      </c>
      <c r="M17" s="21">
        <f>J17*$AD$6</f>
        <v>449475</v>
      </c>
      <c r="N17" s="14"/>
      <c r="O17" s="22"/>
      <c r="P17" s="60"/>
      <c r="Q17" s="61"/>
      <c r="R17" s="62"/>
      <c r="S17" s="62" cm="1">
        <f t="array" ref="S17">_xlfn.IFNA(MATCH(SUMIFS(R:R,A:A,"="&amp;A17,B:B,"&lt;"&amp;(B17+1)),_xlfn._xlws.FILTER(AO:AO,AL:AL=A17),1),1)</f>
        <v>1</v>
      </c>
      <c r="T17" s="62">
        <f t="shared" si="0"/>
        <v>100</v>
      </c>
      <c r="U17" s="62"/>
      <c r="V17" s="62"/>
      <c r="W17" s="63"/>
      <c r="X17" s="30"/>
      <c r="Y17" s="64"/>
      <c r="Z17" s="64"/>
      <c r="AA17" s="23"/>
      <c r="AB17" s="24"/>
      <c r="AC17" s="25"/>
      <c r="AD17" s="25"/>
      <c r="AE17" s="27"/>
      <c r="AF17" s="15">
        <v>1799</v>
      </c>
      <c r="AG17" s="15">
        <v>158</v>
      </c>
      <c r="AI17" s="32">
        <v>15</v>
      </c>
      <c r="AJ17" s="33">
        <v>2500000</v>
      </c>
      <c r="AL17" s="15">
        <f t="shared" si="3"/>
        <v>6</v>
      </c>
      <c r="AM17" s="15">
        <v>1</v>
      </c>
      <c r="AN17" s="15">
        <v>50</v>
      </c>
      <c r="AO17" s="15">
        <f t="shared" si="1"/>
        <v>50</v>
      </c>
    </row>
    <row r="18" spans="1:41">
      <c r="A18" s="46">
        <v>1</v>
      </c>
      <c r="B18" s="47">
        <v>17</v>
      </c>
      <c r="C18" s="47"/>
      <c r="D18" s="47"/>
      <c r="E18" s="14"/>
      <c r="F18" s="14" t="str">
        <f t="shared" si="2"/>
        <v/>
      </c>
      <c r="G18" s="14"/>
      <c r="H18" s="30"/>
      <c r="I18" s="17"/>
      <c r="J18" s="18"/>
      <c r="K18" s="19" t="s">
        <v>461</v>
      </c>
      <c r="L18" s="38">
        <v>4</v>
      </c>
      <c r="M18" s="21">
        <v>1</v>
      </c>
      <c r="N18" s="14"/>
      <c r="O18" s="22"/>
      <c r="P18" s="60"/>
      <c r="Q18" s="61"/>
      <c r="R18" s="62">
        <v>25</v>
      </c>
      <c r="S18" s="62" cm="1">
        <f t="array" ref="S18">_xlfn.IFNA(MATCH(SUMIFS(R:R,A:A,"="&amp;A18,B:B,"&lt;"&amp;(B18+1)),_xlfn._xlws.FILTER(AO:AO,AL:AL=A18),1),1)</f>
        <v>1</v>
      </c>
      <c r="T18" s="62">
        <f t="shared" si="0"/>
        <v>125</v>
      </c>
      <c r="U18" s="62"/>
      <c r="V18" s="62"/>
      <c r="W18" s="63"/>
      <c r="X18" s="30"/>
      <c r="Y18" s="64"/>
      <c r="Z18" s="64"/>
      <c r="AA18" s="23"/>
      <c r="AB18" s="24"/>
      <c r="AC18" s="25"/>
      <c r="AD18" s="25"/>
      <c r="AE18" s="27"/>
      <c r="AF18" s="15">
        <v>1999</v>
      </c>
      <c r="AG18" s="15">
        <v>158</v>
      </c>
      <c r="AI18" s="41"/>
      <c r="AJ18" s="41"/>
      <c r="AL18" s="15">
        <f t="shared" si="3"/>
        <v>6</v>
      </c>
      <c r="AM18" s="15">
        <v>2</v>
      </c>
      <c r="AN18" s="15">
        <v>100</v>
      </c>
      <c r="AO18" s="15">
        <f t="shared" si="1"/>
        <v>150</v>
      </c>
    </row>
    <row r="19" spans="1:41">
      <c r="A19" s="46">
        <v>1</v>
      </c>
      <c r="B19" s="47">
        <v>18</v>
      </c>
      <c r="C19" s="47"/>
      <c r="D19" s="47"/>
      <c r="E19" s="14"/>
      <c r="F19" s="14" t="str">
        <f t="shared" si="2"/>
        <v/>
      </c>
      <c r="G19" s="14"/>
      <c r="H19" s="30"/>
      <c r="I19" s="17"/>
      <c r="J19" s="18"/>
      <c r="K19" s="19" t="s">
        <v>453</v>
      </c>
      <c r="L19" s="38">
        <v>3</v>
      </c>
      <c r="M19" s="21">
        <v>15</v>
      </c>
      <c r="N19" s="14"/>
      <c r="O19" s="22"/>
      <c r="P19" s="60"/>
      <c r="Q19" s="61"/>
      <c r="R19" s="62"/>
      <c r="S19" s="62" cm="1">
        <f t="array" ref="S19">_xlfn.IFNA(MATCH(SUMIFS(R:R,A:A,"="&amp;A19,B:B,"&lt;"&amp;(B19+1)),_xlfn._xlws.FILTER(AO:AO,AL:AL=A19),1),1)</f>
        <v>1</v>
      </c>
      <c r="T19" s="62">
        <f t="shared" si="0"/>
        <v>125</v>
      </c>
      <c r="U19" s="62"/>
      <c r="V19" s="62"/>
      <c r="W19" s="63"/>
      <c r="X19" s="30"/>
      <c r="Y19" s="64"/>
      <c r="Z19" s="64"/>
      <c r="AA19" s="23"/>
      <c r="AB19" s="24"/>
      <c r="AC19" s="25"/>
      <c r="AD19" s="25"/>
      <c r="AE19" s="27"/>
      <c r="AF19" s="15">
        <v>2499</v>
      </c>
      <c r="AG19" s="15">
        <v>163</v>
      </c>
      <c r="AI19" s="42"/>
      <c r="AJ19" s="42"/>
      <c r="AL19" s="15">
        <f t="shared" si="3"/>
        <v>6</v>
      </c>
      <c r="AM19" s="15">
        <v>3</v>
      </c>
      <c r="AN19" s="15">
        <v>150</v>
      </c>
      <c r="AO19" s="15">
        <f t="shared" si="1"/>
        <v>300</v>
      </c>
    </row>
    <row r="20" spans="1:41">
      <c r="A20" s="46">
        <v>1</v>
      </c>
      <c r="B20" s="47">
        <v>19</v>
      </c>
      <c r="C20" s="47"/>
      <c r="D20" s="47"/>
      <c r="E20" s="14"/>
      <c r="F20" s="14" t="str">
        <f t="shared" si="2"/>
        <v/>
      </c>
      <c r="G20" s="14"/>
      <c r="H20" s="30"/>
      <c r="I20" s="17"/>
      <c r="J20" s="18"/>
      <c r="K20" t="s">
        <v>424</v>
      </c>
      <c r="L20" s="38">
        <v>3</v>
      </c>
      <c r="M20" s="21">
        <v>1</v>
      </c>
      <c r="N20" s="14"/>
      <c r="O20" s="22"/>
      <c r="P20" s="60"/>
      <c r="Q20" s="61"/>
      <c r="R20" s="62"/>
      <c r="S20" s="62" cm="1">
        <f t="array" ref="S20">_xlfn.IFNA(MATCH(SUMIFS(R:R,A:A,"="&amp;A20,B:B,"&lt;"&amp;(B20+1)),_xlfn._xlws.FILTER(AO:AO,AL:AL=A20),1),1)</f>
        <v>1</v>
      </c>
      <c r="T20" s="62">
        <f t="shared" si="0"/>
        <v>125</v>
      </c>
      <c r="U20" s="62"/>
      <c r="V20" s="62"/>
      <c r="W20" s="63"/>
      <c r="X20" s="30"/>
      <c r="Y20" s="64"/>
      <c r="Z20" s="64"/>
      <c r="AA20" s="23"/>
      <c r="AB20" s="24"/>
      <c r="AC20" s="25"/>
      <c r="AD20" s="25"/>
      <c r="AE20" s="27"/>
      <c r="AF20" s="15">
        <v>2999</v>
      </c>
      <c r="AG20" s="15">
        <v>163</v>
      </c>
      <c r="AI20" s="42"/>
      <c r="AJ20" s="42"/>
      <c r="AL20" s="15">
        <f t="shared" si="3"/>
        <v>7</v>
      </c>
      <c r="AM20" s="15">
        <v>1</v>
      </c>
      <c r="AN20" s="15">
        <v>50</v>
      </c>
      <c r="AO20" s="15">
        <f t="shared" si="1"/>
        <v>50</v>
      </c>
    </row>
    <row r="21" spans="1:41">
      <c r="A21" s="46">
        <v>1</v>
      </c>
      <c r="B21" s="47">
        <v>20</v>
      </c>
      <c r="C21" s="47"/>
      <c r="D21" s="47"/>
      <c r="E21" s="14">
        <v>6.99</v>
      </c>
      <c r="F21" s="14">
        <f t="shared" si="2"/>
        <v>124</v>
      </c>
      <c r="G21" s="36">
        <f>(E21+0.01)*F21*$AJ$2/100</f>
        <v>8680000</v>
      </c>
      <c r="H21" s="37">
        <f>SUM(G3:G21)</f>
        <v>23650000</v>
      </c>
      <c r="I21" s="17">
        <f>SUM(E3:E21)</f>
        <v>19.96</v>
      </c>
      <c r="J21" s="18">
        <v>0.24</v>
      </c>
      <c r="K21" s="14" t="s">
        <v>2</v>
      </c>
      <c r="L21" s="29">
        <v>9</v>
      </c>
      <c r="M21" s="21">
        <f>G21</f>
        <v>8680000</v>
      </c>
      <c r="N21" s="36">
        <f>SUMIF(K21:K26,"="&amp;"金币",M21:M26)</f>
        <v>9399160</v>
      </c>
      <c r="O21" s="22">
        <f>N21/$AJ$2</f>
        <v>9.39916</v>
      </c>
      <c r="P21" s="60">
        <v>2</v>
      </c>
      <c r="Q21" s="61" t="s">
        <v>2</v>
      </c>
      <c r="R21" s="62"/>
      <c r="S21" s="62" cm="1">
        <f t="array" ref="S21">_xlfn.IFNA(MATCH(SUMIFS(R:R,A:A,"="&amp;A21,B:B,"&lt;"&amp;(B21+1)),_xlfn._xlws.FILTER(AO:AO,AL:AL=A21),1),1)</f>
        <v>1</v>
      </c>
      <c r="T21" s="62">
        <f t="shared" si="0"/>
        <v>125</v>
      </c>
      <c r="U21" s="62">
        <f>_xlfn.IFNA(VLOOKUP(Q21,道具!B:C,2,FALSE),"")</f>
        <v>1</v>
      </c>
      <c r="V21" s="62">
        <f>IF(U21=1,CEILING(W21*100/$AJ$2,5),IF(U21=2,J21*100,0))</f>
        <v>220</v>
      </c>
      <c r="W21" s="63">
        <f>IF(U21=1,J21*$AD$6,IF(U21=2,J21*$AJ$2,0))</f>
        <v>2157480</v>
      </c>
      <c r="X21" s="37">
        <f>SUM(N3:N21)+SUM(W3:W21)</f>
        <v>29133595</v>
      </c>
      <c r="Y21" s="66">
        <f>SUM(O3:O21)</f>
        <v>25.897375</v>
      </c>
      <c r="Z21" s="66">
        <f>SUM(W3:W21)</f>
        <v>3236220</v>
      </c>
      <c r="AA21" s="23">
        <f>X21/$AJ$2</f>
        <v>29.133595</v>
      </c>
      <c r="AB21" s="24">
        <f>X21/H21</f>
        <v>1.2318644820296</v>
      </c>
      <c r="AC21" s="25"/>
      <c r="AD21" s="25"/>
      <c r="AE21" s="27"/>
      <c r="AF21" s="15">
        <v>3499</v>
      </c>
      <c r="AG21" s="15">
        <v>168</v>
      </c>
      <c r="AI21" s="42"/>
      <c r="AJ21" s="42"/>
      <c r="AL21" s="15">
        <f t="shared" si="3"/>
        <v>7</v>
      </c>
      <c r="AM21" s="15">
        <v>2</v>
      </c>
      <c r="AN21" s="15">
        <v>100</v>
      </c>
      <c r="AO21" s="15">
        <f t="shared" si="1"/>
        <v>150</v>
      </c>
    </row>
    <row r="22" spans="1:41">
      <c r="A22" s="46">
        <v>1</v>
      </c>
      <c r="B22" s="47">
        <v>21</v>
      </c>
      <c r="C22" s="47"/>
      <c r="D22" s="47"/>
      <c r="E22" s="14"/>
      <c r="F22" s="14" t="str">
        <f t="shared" si="2"/>
        <v/>
      </c>
      <c r="G22" s="14"/>
      <c r="H22" s="30"/>
      <c r="I22" s="17"/>
      <c r="J22" s="18"/>
      <c r="K22" s="19" t="s">
        <v>408</v>
      </c>
      <c r="L22" s="38">
        <v>3</v>
      </c>
      <c r="M22" s="21">
        <v>4</v>
      </c>
      <c r="N22" s="14"/>
      <c r="O22" s="22"/>
      <c r="P22" s="60"/>
      <c r="Q22" s="61"/>
      <c r="R22" s="62"/>
      <c r="S22" s="62" cm="1">
        <f t="array" ref="S22">_xlfn.IFNA(MATCH(SUMIFS(R:R,A:A,"="&amp;A22,B:B,"&lt;"&amp;(B22+1)),_xlfn._xlws.FILTER(AO:AO,AL:AL=A22),1),1)</f>
        <v>1</v>
      </c>
      <c r="T22" s="62">
        <f t="shared" si="0"/>
        <v>125</v>
      </c>
      <c r="U22" s="62"/>
      <c r="V22" s="62"/>
      <c r="W22" s="63"/>
      <c r="X22" s="30"/>
      <c r="Y22" s="64"/>
      <c r="Z22" s="64"/>
      <c r="AA22" s="23"/>
      <c r="AB22" s="24"/>
      <c r="AC22" s="25"/>
      <c r="AD22" s="25"/>
      <c r="AE22" s="27"/>
      <c r="AF22" s="15">
        <v>3999</v>
      </c>
      <c r="AG22" s="15">
        <v>173</v>
      </c>
      <c r="AI22" s="42"/>
      <c r="AJ22" s="42"/>
      <c r="AL22" s="15">
        <f t="shared" si="3"/>
        <v>7</v>
      </c>
      <c r="AM22" s="15">
        <v>3</v>
      </c>
      <c r="AN22" s="15">
        <v>150</v>
      </c>
      <c r="AO22" s="15">
        <f t="shared" si="1"/>
        <v>300</v>
      </c>
    </row>
    <row r="23" spans="1:41">
      <c r="A23" s="46">
        <v>1</v>
      </c>
      <c r="B23" s="47">
        <v>22</v>
      </c>
      <c r="C23" s="47"/>
      <c r="D23" s="47"/>
      <c r="E23" s="14"/>
      <c r="F23" s="14" t="str">
        <f t="shared" si="2"/>
        <v/>
      </c>
      <c r="G23" s="14"/>
      <c r="H23" s="30"/>
      <c r="I23" s="17"/>
      <c r="J23" s="18">
        <v>0.08</v>
      </c>
      <c r="K23" s="19" t="s">
        <v>2</v>
      </c>
      <c r="L23" s="38">
        <v>17</v>
      </c>
      <c r="M23" s="21">
        <f>J23*$AD$6</f>
        <v>719160</v>
      </c>
      <c r="N23" s="14"/>
      <c r="O23" s="22"/>
      <c r="P23" s="60"/>
      <c r="Q23" s="61"/>
      <c r="R23" s="62"/>
      <c r="S23" s="62" cm="1">
        <f t="array" ref="S23">_xlfn.IFNA(MATCH(SUMIFS(R:R,A:A,"="&amp;A23,B:B,"&lt;"&amp;(B23+1)),_xlfn._xlws.FILTER(AO:AO,AL:AL=A23),1),1)</f>
        <v>1</v>
      </c>
      <c r="T23" s="62">
        <f t="shared" si="0"/>
        <v>125</v>
      </c>
      <c r="U23" s="62"/>
      <c r="V23" s="62"/>
      <c r="W23" s="63"/>
      <c r="X23" s="30"/>
      <c r="Y23" s="64"/>
      <c r="Z23" s="64"/>
      <c r="AA23" s="23"/>
      <c r="AB23" s="24"/>
      <c r="AC23" s="25"/>
      <c r="AD23" s="25"/>
      <c r="AE23" s="27"/>
      <c r="AF23" s="15">
        <v>4499</v>
      </c>
      <c r="AG23" s="15">
        <v>178</v>
      </c>
      <c r="AI23" s="42"/>
      <c r="AJ23" s="42"/>
      <c r="AL23" s="15">
        <f t="shared" si="3"/>
        <v>8</v>
      </c>
      <c r="AM23" s="15">
        <v>1</v>
      </c>
      <c r="AN23" s="15">
        <v>50</v>
      </c>
      <c r="AO23" s="15">
        <f t="shared" si="1"/>
        <v>50</v>
      </c>
    </row>
    <row r="24" spans="1:41">
      <c r="A24" s="46">
        <v>1</v>
      </c>
      <c r="B24" s="47">
        <v>23</v>
      </c>
      <c r="C24" s="47"/>
      <c r="D24" s="47"/>
      <c r="E24" s="14"/>
      <c r="F24" s="14" t="str">
        <f t="shared" si="2"/>
        <v/>
      </c>
      <c r="G24" s="14"/>
      <c r="H24" s="30"/>
      <c r="I24" s="17"/>
      <c r="J24" s="18"/>
      <c r="K24" s="19" t="s">
        <v>461</v>
      </c>
      <c r="L24" s="38">
        <v>4</v>
      </c>
      <c r="M24" s="21">
        <v>1</v>
      </c>
      <c r="N24" s="14"/>
      <c r="O24" s="22"/>
      <c r="P24" s="60"/>
      <c r="Q24" s="61"/>
      <c r="R24" s="62">
        <v>15</v>
      </c>
      <c r="S24" s="62" cm="1">
        <f t="array" ref="S24">_xlfn.IFNA(MATCH(SUMIFS(R:R,A:A,"="&amp;A24,B:B,"&lt;"&amp;(B24+1)),_xlfn._xlws.FILTER(AO:AO,AL:AL=A24),1),1)</f>
        <v>1</v>
      </c>
      <c r="T24" s="62">
        <f t="shared" si="0"/>
        <v>140</v>
      </c>
      <c r="U24" s="62"/>
      <c r="V24" s="62"/>
      <c r="W24" s="63"/>
      <c r="X24" s="30"/>
      <c r="Y24" s="64"/>
      <c r="Z24" s="64"/>
      <c r="AA24" s="23"/>
      <c r="AB24" s="24"/>
      <c r="AC24" s="25"/>
      <c r="AD24" s="25"/>
      <c r="AE24" s="27"/>
      <c r="AF24" s="15">
        <v>4999</v>
      </c>
      <c r="AG24" s="15">
        <v>178</v>
      </c>
      <c r="AI24" s="42"/>
      <c r="AJ24" s="42"/>
      <c r="AL24" s="15">
        <f t="shared" si="3"/>
        <v>8</v>
      </c>
      <c r="AM24" s="15">
        <v>2</v>
      </c>
      <c r="AN24" s="15">
        <v>100</v>
      </c>
      <c r="AO24" s="15">
        <f t="shared" si="1"/>
        <v>150</v>
      </c>
    </row>
    <row r="25" spans="1:41">
      <c r="A25" s="46">
        <v>1</v>
      </c>
      <c r="B25" s="47">
        <v>24</v>
      </c>
      <c r="C25" s="47"/>
      <c r="D25" s="47"/>
      <c r="E25" s="14"/>
      <c r="F25" s="14" t="str">
        <f t="shared" si="2"/>
        <v/>
      </c>
      <c r="G25" s="14"/>
      <c r="H25" s="30"/>
      <c r="I25" s="17"/>
      <c r="J25" s="18"/>
      <c r="K25" s="19" t="s">
        <v>453</v>
      </c>
      <c r="L25" s="38">
        <v>3</v>
      </c>
      <c r="M25" s="21">
        <v>20</v>
      </c>
      <c r="N25" s="14"/>
      <c r="O25" s="22"/>
      <c r="P25" s="60"/>
      <c r="Q25" s="61"/>
      <c r="R25" s="62"/>
      <c r="S25" s="62" cm="1">
        <f t="array" ref="S25">_xlfn.IFNA(MATCH(SUMIFS(R:R,A:A,"="&amp;A25,B:B,"&lt;"&amp;(B25+1)),_xlfn._xlws.FILTER(AO:AO,AL:AL=A25),1),1)</f>
        <v>1</v>
      </c>
      <c r="T25" s="62">
        <f t="shared" si="0"/>
        <v>140</v>
      </c>
      <c r="U25" s="62"/>
      <c r="V25" s="62"/>
      <c r="W25" s="63"/>
      <c r="X25" s="30"/>
      <c r="Y25" s="64"/>
      <c r="Z25" s="64"/>
      <c r="AA25" s="23"/>
      <c r="AB25" s="24"/>
      <c r="AC25" s="25"/>
      <c r="AD25" s="25"/>
      <c r="AE25" s="27"/>
      <c r="AF25" s="15">
        <v>5499</v>
      </c>
      <c r="AG25" s="15">
        <v>178</v>
      </c>
      <c r="AI25" s="42"/>
      <c r="AJ25" s="42"/>
      <c r="AL25" s="15">
        <f t="shared" si="3"/>
        <v>8</v>
      </c>
      <c r="AM25" s="15">
        <v>3</v>
      </c>
      <c r="AN25" s="15">
        <v>150</v>
      </c>
      <c r="AO25" s="15">
        <f t="shared" si="1"/>
        <v>300</v>
      </c>
    </row>
    <row r="26" spans="1:41">
      <c r="A26" s="46">
        <v>1</v>
      </c>
      <c r="B26" s="47">
        <v>25</v>
      </c>
      <c r="C26" s="47"/>
      <c r="D26" s="47"/>
      <c r="E26" s="14"/>
      <c r="F26" s="14" t="str">
        <f t="shared" si="2"/>
        <v/>
      </c>
      <c r="G26" s="14"/>
      <c r="H26" s="30"/>
      <c r="I26" s="17"/>
      <c r="J26" s="18"/>
      <c r="K26" t="s">
        <v>426</v>
      </c>
      <c r="L26" s="38">
        <v>3</v>
      </c>
      <c r="M26" s="21">
        <v>1</v>
      </c>
      <c r="N26" s="14"/>
      <c r="O26" s="22"/>
      <c r="P26" s="60"/>
      <c r="Q26" s="61"/>
      <c r="R26" s="62"/>
      <c r="S26" s="62" cm="1">
        <f t="array" ref="S26">_xlfn.IFNA(MATCH(SUMIFS(R:R,A:A,"="&amp;A26,B:B,"&lt;"&amp;(B26+1)),_xlfn._xlws.FILTER(AO:AO,AL:AL=A26),1),1)</f>
        <v>1</v>
      </c>
      <c r="T26" s="62">
        <f t="shared" si="0"/>
        <v>140</v>
      </c>
      <c r="U26" s="62"/>
      <c r="V26" s="62"/>
      <c r="W26" s="63"/>
      <c r="X26" s="30"/>
      <c r="Y26" s="64"/>
      <c r="Z26" s="64"/>
      <c r="AA26" s="23"/>
      <c r="AB26" s="24"/>
      <c r="AC26" s="25"/>
      <c r="AD26" s="25"/>
      <c r="AE26" s="27"/>
      <c r="AF26" s="15">
        <v>5999</v>
      </c>
      <c r="AG26" s="15">
        <v>183</v>
      </c>
      <c r="AI26" s="42"/>
      <c r="AJ26" s="42"/>
      <c r="AL26" s="15">
        <f t="shared" si="3"/>
        <v>9</v>
      </c>
      <c r="AM26" s="15">
        <v>1</v>
      </c>
      <c r="AN26" s="15">
        <v>50</v>
      </c>
      <c r="AO26" s="15">
        <f t="shared" si="1"/>
        <v>50</v>
      </c>
    </row>
    <row r="27" spans="1:41">
      <c r="A27" s="46">
        <v>1</v>
      </c>
      <c r="B27" s="47">
        <v>26</v>
      </c>
      <c r="C27" s="47"/>
      <c r="D27" s="47"/>
      <c r="E27" s="14">
        <v>7.99</v>
      </c>
      <c r="F27" s="14">
        <f t="shared" si="2"/>
        <v>129</v>
      </c>
      <c r="G27" s="36">
        <f>(E27+0.01)*F27*$AJ$2/100</f>
        <v>10320000</v>
      </c>
      <c r="H27" s="37">
        <f>SUM(G3:G27)</f>
        <v>33970000</v>
      </c>
      <c r="I27" s="17">
        <f>SUM(E3:E27)</f>
        <v>27.95</v>
      </c>
      <c r="J27" s="18"/>
      <c r="K27" s="14" t="s">
        <v>2</v>
      </c>
      <c r="L27" s="29">
        <v>9</v>
      </c>
      <c r="M27" s="21">
        <f>G27</f>
        <v>10320000</v>
      </c>
      <c r="N27" s="36">
        <f>SUMIF(K27:K32,"="&amp;"金币",M27:M32)</f>
        <v>10679580</v>
      </c>
      <c r="O27" s="22">
        <f>N27/$AJ$2</f>
        <v>10.67958</v>
      </c>
      <c r="P27" s="60"/>
      <c r="Q27" s="61"/>
      <c r="R27" s="62">
        <v>10</v>
      </c>
      <c r="S27" s="62" cm="1">
        <f t="array" ref="S27">_xlfn.IFNA(MATCH(SUMIFS(R:R,A:A,"="&amp;A27,B:B,"&lt;"&amp;(B27+1)),_xlfn._xlws.FILTER(AO:AO,AL:AL=A27),1),1)</f>
        <v>2</v>
      </c>
      <c r="T27" s="62">
        <f t="shared" si="0"/>
        <v>150</v>
      </c>
      <c r="U27" s="62" t="str">
        <f>_xlfn.IFNA(VLOOKUP(Q27,道具!B:C,2,FALSE),"")</f>
        <v/>
      </c>
      <c r="V27" s="62">
        <f>IF(U27=1,CEILING(W27*100/$AJ$2,5),IF(U27=2,J27*100,0))</f>
        <v>0</v>
      </c>
      <c r="W27" s="63">
        <f>IF(U27=1,J27*$AD$6,IF(U27=2,J27*$AJ$2,0))</f>
        <v>0</v>
      </c>
      <c r="X27" s="37">
        <f>SUM(N3:N27)+SUM(W3:W27)</f>
        <v>39813175</v>
      </c>
      <c r="Y27" s="66">
        <f>SUM(O3:O27)</f>
        <v>36.576955</v>
      </c>
      <c r="Z27" s="66">
        <f>SUM(W3:W27)</f>
        <v>3236220</v>
      </c>
      <c r="AA27" s="23">
        <f>X27/$AJ$2</f>
        <v>39.813175</v>
      </c>
      <c r="AB27" s="24">
        <f>X27/H27</f>
        <v>1.17200986164263</v>
      </c>
      <c r="AC27" s="25"/>
      <c r="AD27" s="25"/>
      <c r="AE27" s="27"/>
      <c r="AF27" s="15">
        <v>6999</v>
      </c>
      <c r="AG27" s="15">
        <v>183</v>
      </c>
      <c r="AI27" s="42"/>
      <c r="AJ27" s="42"/>
      <c r="AL27" s="15">
        <f t="shared" si="3"/>
        <v>9</v>
      </c>
      <c r="AM27" s="15">
        <v>2</v>
      </c>
      <c r="AN27" s="15">
        <v>100</v>
      </c>
      <c r="AO27" s="15">
        <f t="shared" si="1"/>
        <v>150</v>
      </c>
    </row>
    <row r="28" spans="1:41">
      <c r="A28" s="46">
        <v>1</v>
      </c>
      <c r="B28" s="47">
        <v>27</v>
      </c>
      <c r="C28" s="47"/>
      <c r="D28" s="47"/>
      <c r="E28" s="14"/>
      <c r="F28" s="14" t="str">
        <f t="shared" si="2"/>
        <v/>
      </c>
      <c r="G28" s="14"/>
      <c r="H28" s="30"/>
      <c r="I28" s="17"/>
      <c r="J28" s="18"/>
      <c r="K28" s="19" t="s">
        <v>408</v>
      </c>
      <c r="L28" s="38">
        <v>3</v>
      </c>
      <c r="M28" s="21">
        <v>5</v>
      </c>
      <c r="N28" s="14"/>
      <c r="O28" s="22"/>
      <c r="P28" s="60"/>
      <c r="Q28" s="61"/>
      <c r="R28" s="62"/>
      <c r="S28" s="62" cm="1">
        <f t="array" ref="S28">_xlfn.IFNA(MATCH(SUMIFS(R:R,A:A,"="&amp;A28,B:B,"&lt;"&amp;(B28+1)),_xlfn._xlws.FILTER(AO:AO,AL:AL=A28),1),1)</f>
        <v>2</v>
      </c>
      <c r="T28" s="62">
        <f t="shared" si="0"/>
        <v>150</v>
      </c>
      <c r="U28" s="62"/>
      <c r="V28" s="62"/>
      <c r="W28" s="63"/>
      <c r="X28" s="30"/>
      <c r="Y28" s="64"/>
      <c r="Z28" s="64"/>
      <c r="AA28" s="23"/>
      <c r="AB28" s="24"/>
      <c r="AC28" s="25"/>
      <c r="AD28" s="25"/>
      <c r="AE28" s="27"/>
      <c r="AF28" s="15">
        <v>7499</v>
      </c>
      <c r="AG28" s="15">
        <v>188</v>
      </c>
      <c r="AI28" s="42"/>
      <c r="AJ28" s="42"/>
      <c r="AL28" s="15">
        <f t="shared" si="3"/>
        <v>9</v>
      </c>
      <c r="AM28" s="15">
        <v>3</v>
      </c>
      <c r="AN28" s="15">
        <v>150</v>
      </c>
      <c r="AO28" s="15">
        <f t="shared" si="1"/>
        <v>300</v>
      </c>
    </row>
    <row r="29" spans="1:41">
      <c r="A29" s="46">
        <v>1</v>
      </c>
      <c r="B29" s="47">
        <v>28</v>
      </c>
      <c r="C29" s="47"/>
      <c r="D29" s="47"/>
      <c r="E29" s="14"/>
      <c r="F29" s="14" t="str">
        <f t="shared" si="2"/>
        <v/>
      </c>
      <c r="G29" s="14"/>
      <c r="H29" s="30"/>
      <c r="I29" s="17"/>
      <c r="J29" s="18">
        <v>0.04</v>
      </c>
      <c r="K29" s="19" t="s">
        <v>2</v>
      </c>
      <c r="L29" s="38">
        <v>17</v>
      </c>
      <c r="M29" s="21">
        <f>J29*$AD$6</f>
        <v>359580</v>
      </c>
      <c r="N29" s="14"/>
      <c r="O29" s="22"/>
      <c r="P29" s="60"/>
      <c r="Q29" s="61"/>
      <c r="R29" s="62"/>
      <c r="S29" s="62" cm="1">
        <f t="array" ref="S29">_xlfn.IFNA(MATCH(SUMIFS(R:R,A:A,"="&amp;A29,B:B,"&lt;"&amp;(B29+1)),_xlfn._xlws.FILTER(AO:AO,AL:AL=A29),1),1)</f>
        <v>2</v>
      </c>
      <c r="T29" s="62">
        <f t="shared" si="0"/>
        <v>150</v>
      </c>
      <c r="U29" s="62"/>
      <c r="V29" s="62"/>
      <c r="W29" s="63"/>
      <c r="X29" s="30"/>
      <c r="Y29" s="64"/>
      <c r="Z29" s="64"/>
      <c r="AA29" s="23"/>
      <c r="AB29" s="24"/>
      <c r="AC29" s="25"/>
      <c r="AD29" s="25"/>
      <c r="AE29" s="27"/>
      <c r="AF29" s="15">
        <v>7999</v>
      </c>
      <c r="AG29" s="15">
        <v>188</v>
      </c>
      <c r="AI29" s="42"/>
      <c r="AJ29" s="42"/>
      <c r="AL29" s="15">
        <f t="shared" si="3"/>
        <v>10</v>
      </c>
      <c r="AM29" s="15">
        <v>1</v>
      </c>
      <c r="AN29" s="15">
        <v>50</v>
      </c>
      <c r="AO29" s="15">
        <f t="shared" si="1"/>
        <v>50</v>
      </c>
    </row>
    <row r="30" spans="1:41">
      <c r="A30" s="46">
        <v>1</v>
      </c>
      <c r="B30" s="47">
        <v>29</v>
      </c>
      <c r="C30" s="47"/>
      <c r="D30" s="47"/>
      <c r="E30" s="14"/>
      <c r="F30" s="14" t="str">
        <f t="shared" si="2"/>
        <v/>
      </c>
      <c r="G30" s="14"/>
      <c r="H30" s="30"/>
      <c r="I30" s="17"/>
      <c r="J30" s="18"/>
      <c r="K30" s="19" t="s">
        <v>463</v>
      </c>
      <c r="L30" s="38">
        <v>4</v>
      </c>
      <c r="M30" s="21">
        <v>1</v>
      </c>
      <c r="N30" s="14"/>
      <c r="O30" s="22"/>
      <c r="P30" s="60"/>
      <c r="Q30" s="61"/>
      <c r="R30" s="62">
        <v>25</v>
      </c>
      <c r="S30" s="62" cm="1">
        <f t="array" ref="S30">_xlfn.IFNA(MATCH(SUMIFS(R:R,A:A,"="&amp;A30,B:B,"&lt;"&amp;(B30+1)),_xlfn._xlws.FILTER(AO:AO,AL:AL=A30),1),1)</f>
        <v>2</v>
      </c>
      <c r="T30" s="62">
        <f t="shared" si="0"/>
        <v>175</v>
      </c>
      <c r="U30" s="62"/>
      <c r="V30" s="62"/>
      <c r="W30" s="63"/>
      <c r="X30" s="30"/>
      <c r="Y30" s="64"/>
      <c r="Z30" s="64"/>
      <c r="AA30" s="23"/>
      <c r="AB30" s="24"/>
      <c r="AC30" s="25"/>
      <c r="AD30" s="25"/>
      <c r="AE30" s="27"/>
      <c r="AF30" s="15">
        <v>8999</v>
      </c>
      <c r="AG30" s="15">
        <v>193</v>
      </c>
      <c r="AI30" s="42"/>
      <c r="AJ30" s="42"/>
      <c r="AL30" s="15">
        <f t="shared" si="3"/>
        <v>10</v>
      </c>
      <c r="AM30" s="15">
        <v>2</v>
      </c>
      <c r="AN30" s="15">
        <v>100</v>
      </c>
      <c r="AO30" s="15">
        <f t="shared" si="1"/>
        <v>150</v>
      </c>
    </row>
    <row r="31" spans="1:41">
      <c r="A31" s="46">
        <v>1</v>
      </c>
      <c r="B31" s="47">
        <v>30</v>
      </c>
      <c r="C31" s="47"/>
      <c r="D31" s="47"/>
      <c r="E31" s="14"/>
      <c r="F31" s="14" t="str">
        <f t="shared" si="2"/>
        <v/>
      </c>
      <c r="G31" s="14"/>
      <c r="H31" s="30"/>
      <c r="I31" s="17"/>
      <c r="J31" s="18"/>
      <c r="K31" s="19" t="s">
        <v>453</v>
      </c>
      <c r="L31" s="38">
        <v>3</v>
      </c>
      <c r="M31" s="21">
        <v>25</v>
      </c>
      <c r="N31" s="14"/>
      <c r="O31" s="22"/>
      <c r="P31" s="60"/>
      <c r="Q31" s="61"/>
      <c r="R31" s="62"/>
      <c r="S31" s="62" cm="1">
        <f t="array" ref="S31">_xlfn.IFNA(MATCH(SUMIFS(R:R,A:A,"="&amp;A31,B:B,"&lt;"&amp;(B31+1)),_xlfn._xlws.FILTER(AO:AO,AL:AL=A31),1),1)</f>
        <v>2</v>
      </c>
      <c r="T31" s="62">
        <f t="shared" si="0"/>
        <v>175</v>
      </c>
      <c r="U31" s="62"/>
      <c r="V31" s="62"/>
      <c r="W31" s="63"/>
      <c r="X31" s="30"/>
      <c r="Y31" s="64"/>
      <c r="Z31" s="64"/>
      <c r="AA31" s="23"/>
      <c r="AB31" s="24"/>
      <c r="AC31" s="25"/>
      <c r="AD31" s="25"/>
      <c r="AE31" s="27"/>
      <c r="AF31" s="15">
        <v>9999</v>
      </c>
      <c r="AG31" s="15">
        <v>200</v>
      </c>
      <c r="AI31" s="42"/>
      <c r="AJ31" s="42"/>
      <c r="AL31" s="15">
        <f t="shared" si="3"/>
        <v>10</v>
      </c>
      <c r="AM31" s="15">
        <v>3</v>
      </c>
      <c r="AN31" s="15">
        <v>150</v>
      </c>
      <c r="AO31" s="15">
        <f t="shared" si="1"/>
        <v>300</v>
      </c>
    </row>
    <row r="32" spans="1:41">
      <c r="A32" s="46">
        <v>1</v>
      </c>
      <c r="B32" s="47">
        <v>31</v>
      </c>
      <c r="C32" s="47"/>
      <c r="D32" s="47"/>
      <c r="E32" s="14"/>
      <c r="F32" s="14" t="str">
        <f t="shared" si="2"/>
        <v/>
      </c>
      <c r="G32" s="14"/>
      <c r="H32" s="30"/>
      <c r="I32" s="17"/>
      <c r="J32" s="18"/>
      <c r="K32" t="s">
        <v>424</v>
      </c>
      <c r="L32" s="38">
        <v>3</v>
      </c>
      <c r="M32" s="21">
        <v>1</v>
      </c>
      <c r="N32" s="14"/>
      <c r="O32" s="22"/>
      <c r="P32" s="60"/>
      <c r="Q32" s="61"/>
      <c r="R32" s="62"/>
      <c r="S32" s="62" cm="1">
        <f t="array" ref="S32">_xlfn.IFNA(MATCH(SUMIFS(R:R,A:A,"="&amp;A32,B:B,"&lt;"&amp;(B32+1)),_xlfn._xlws.FILTER(AO:AO,AL:AL=A32),1),1)</f>
        <v>2</v>
      </c>
      <c r="T32" s="62">
        <f t="shared" si="0"/>
        <v>175</v>
      </c>
      <c r="U32" s="62"/>
      <c r="V32" s="62"/>
      <c r="W32" s="63"/>
      <c r="X32" s="30"/>
      <c r="Y32" s="64"/>
      <c r="Z32" s="64"/>
      <c r="AA32" s="23"/>
      <c r="AB32" s="24"/>
      <c r="AC32" s="25"/>
      <c r="AD32" s="25"/>
      <c r="AE32" s="43"/>
      <c r="AI32" s="42"/>
      <c r="AJ32" s="42"/>
      <c r="AL32" s="15">
        <f t="shared" si="3"/>
        <v>11</v>
      </c>
      <c r="AM32" s="15">
        <v>1</v>
      </c>
      <c r="AN32" s="15">
        <v>50</v>
      </c>
      <c r="AO32" s="15">
        <f t="shared" si="1"/>
        <v>50</v>
      </c>
    </row>
    <row r="33" spans="1:41">
      <c r="A33" s="46">
        <v>1</v>
      </c>
      <c r="B33" s="47">
        <v>32</v>
      </c>
      <c r="C33" s="47"/>
      <c r="D33" s="47"/>
      <c r="E33" s="14">
        <v>8.99</v>
      </c>
      <c r="F33" s="14">
        <f t="shared" si="2"/>
        <v>134</v>
      </c>
      <c r="G33" s="36">
        <f>(E33+0.01)*F33*$AJ$2/100</f>
        <v>12060000</v>
      </c>
      <c r="H33" s="37">
        <f>SUM(G3:G33)</f>
        <v>46030000</v>
      </c>
      <c r="I33" s="17">
        <f>SUM(E3:E33)</f>
        <v>36.94</v>
      </c>
      <c r="J33" s="18"/>
      <c r="K33" s="14" t="s">
        <v>2</v>
      </c>
      <c r="L33" s="29">
        <v>9</v>
      </c>
      <c r="M33" s="21">
        <f>G33</f>
        <v>12060000</v>
      </c>
      <c r="N33" s="36">
        <f>SUMIF(K33:K38,"="&amp;"金币",M33:M38)</f>
        <v>13138740</v>
      </c>
      <c r="O33" s="22">
        <f>N33/$AJ$2</f>
        <v>13.13874</v>
      </c>
      <c r="P33" s="60"/>
      <c r="Q33" s="61"/>
      <c r="R33" s="62">
        <v>25</v>
      </c>
      <c r="S33" s="62" cm="1">
        <f t="array" ref="S33">_xlfn.IFNA(MATCH(SUMIFS(R:R,A:A,"="&amp;A33,B:B,"&lt;"&amp;(B33+1)),_xlfn._xlws.FILTER(AO:AO,AL:AL=A33),1),1)</f>
        <v>2</v>
      </c>
      <c r="T33" s="62">
        <f t="shared" si="0"/>
        <v>200</v>
      </c>
      <c r="U33" s="62" t="str">
        <f>_xlfn.IFNA(VLOOKUP(Q33,道具!B:C,2,FALSE),"")</f>
        <v/>
      </c>
      <c r="V33" s="62">
        <f>IF(U33=1,CEILING(W33*100/$AJ$2,5),IF(U33=2,J33*100,0))</f>
        <v>0</v>
      </c>
      <c r="W33" s="63">
        <f>IF(U33=1,J33*$AD$6,IF(U33=2,J33*$AJ$2,0))</f>
        <v>0</v>
      </c>
      <c r="X33" s="37">
        <f>SUM(N3:N33)+SUM(W3:W33)</f>
        <v>52951915</v>
      </c>
      <c r="Y33" s="66">
        <f>SUM(O3:O33)</f>
        <v>49.715695</v>
      </c>
      <c r="Z33" s="66">
        <f>X33</f>
        <v>52951915</v>
      </c>
      <c r="AA33" s="23">
        <f>X33/$AJ$2</f>
        <v>52.951915</v>
      </c>
      <c r="AB33" s="24">
        <f>X33/H33</f>
        <v>1.1503783402129</v>
      </c>
      <c r="AC33" s="25"/>
      <c r="AD33" s="25"/>
      <c r="AE33" s="43"/>
      <c r="AI33" s="42"/>
      <c r="AJ33" s="42"/>
      <c r="AL33" s="15">
        <f t="shared" si="3"/>
        <v>11</v>
      </c>
      <c r="AM33" s="15">
        <v>2</v>
      </c>
      <c r="AN33" s="15">
        <v>100</v>
      </c>
      <c r="AO33" s="15">
        <f t="shared" si="1"/>
        <v>150</v>
      </c>
    </row>
    <row r="34" spans="1:41">
      <c r="A34" s="46">
        <v>1</v>
      </c>
      <c r="B34" s="47">
        <v>33</v>
      </c>
      <c r="C34" s="47"/>
      <c r="D34" s="47"/>
      <c r="E34" s="14"/>
      <c r="F34" s="14" t="str">
        <f t="shared" si="2"/>
        <v/>
      </c>
      <c r="G34" s="14"/>
      <c r="H34" s="30"/>
      <c r="I34" s="17"/>
      <c r="J34" s="18"/>
      <c r="K34" s="19" t="s">
        <v>408</v>
      </c>
      <c r="L34" s="38">
        <v>3</v>
      </c>
      <c r="M34" s="21">
        <v>6</v>
      </c>
      <c r="N34" s="14"/>
      <c r="O34" s="22"/>
      <c r="P34" s="60"/>
      <c r="Q34" s="61"/>
      <c r="R34" s="62"/>
      <c r="S34" s="62" cm="1">
        <f t="array" ref="S34">_xlfn.IFNA(MATCH(SUMIFS(R:R,A:A,"="&amp;A34,B:B,"&lt;"&amp;(B34+1)),_xlfn._xlws.FILTER(AO:AO,AL:AL=A34),1),1)</f>
        <v>2</v>
      </c>
      <c r="T34" s="62">
        <f t="shared" si="0"/>
        <v>200</v>
      </c>
      <c r="U34" s="62"/>
      <c r="V34" s="62"/>
      <c r="W34" s="63"/>
      <c r="X34" s="30"/>
      <c r="Y34" s="64"/>
      <c r="Z34" s="64"/>
      <c r="AA34" s="23"/>
      <c r="AB34" s="24"/>
      <c r="AC34" s="25"/>
      <c r="AD34" s="25"/>
      <c r="AE34" s="43"/>
      <c r="AI34" s="42"/>
      <c r="AJ34" s="42"/>
      <c r="AL34" s="15">
        <f t="shared" si="3"/>
        <v>11</v>
      </c>
      <c r="AM34" s="15">
        <v>3</v>
      </c>
      <c r="AN34" s="15">
        <v>150</v>
      </c>
      <c r="AO34" s="15">
        <f t="shared" si="1"/>
        <v>300</v>
      </c>
    </row>
    <row r="35" spans="1:41">
      <c r="A35" s="46">
        <v>1</v>
      </c>
      <c r="B35" s="47">
        <v>34</v>
      </c>
      <c r="C35" s="47"/>
      <c r="D35" s="47"/>
      <c r="E35" s="14"/>
      <c r="F35" s="14" t="str">
        <f t="shared" si="2"/>
        <v/>
      </c>
      <c r="G35" s="14"/>
      <c r="H35" s="30"/>
      <c r="I35" s="17"/>
      <c r="J35" s="18">
        <v>0.12</v>
      </c>
      <c r="K35" s="19" t="s">
        <v>2</v>
      </c>
      <c r="L35" s="38">
        <v>17</v>
      </c>
      <c r="M35" s="21">
        <f>J35*$AD$6</f>
        <v>1078740</v>
      </c>
      <c r="N35" s="14"/>
      <c r="O35" s="22"/>
      <c r="P35" s="60"/>
      <c r="Q35" s="61"/>
      <c r="R35" s="62"/>
      <c r="S35" s="62" cm="1">
        <f t="array" ref="S35">_xlfn.IFNA(MATCH(SUMIFS(R:R,A:A,"="&amp;A35,B:B,"&lt;"&amp;(B35+1)),_xlfn._xlws.FILTER(AO:AO,AL:AL=A35),1),1)</f>
        <v>2</v>
      </c>
      <c r="T35" s="62">
        <f t="shared" si="0"/>
        <v>200</v>
      </c>
      <c r="U35" s="62"/>
      <c r="V35" s="62"/>
      <c r="W35" s="63"/>
      <c r="X35" s="30"/>
      <c r="Y35" s="64"/>
      <c r="Z35" s="64"/>
      <c r="AA35" s="23"/>
      <c r="AB35" s="24"/>
      <c r="AC35" s="25"/>
      <c r="AD35" s="25"/>
      <c r="AE35" s="43"/>
      <c r="AI35" s="42"/>
      <c r="AJ35" s="42"/>
    </row>
    <row r="36" spans="1:41">
      <c r="A36" s="46">
        <v>1</v>
      </c>
      <c r="B36" s="47">
        <v>35</v>
      </c>
      <c r="C36" s="47"/>
      <c r="D36" s="47"/>
      <c r="E36" s="14"/>
      <c r="F36" s="14" t="str">
        <f t="shared" si="2"/>
        <v/>
      </c>
      <c r="G36" s="14"/>
      <c r="H36" s="30"/>
      <c r="I36" s="17"/>
      <c r="J36" s="18"/>
      <c r="K36" s="19" t="s">
        <v>463</v>
      </c>
      <c r="L36" s="38">
        <v>4</v>
      </c>
      <c r="M36" s="21">
        <v>1</v>
      </c>
      <c r="N36" s="14"/>
      <c r="O36" s="22"/>
      <c r="P36" s="60"/>
      <c r="Q36" s="61"/>
      <c r="R36" s="62">
        <v>15</v>
      </c>
      <c r="S36" s="62" cm="1">
        <f t="array" ref="S36">_xlfn.IFNA(MATCH(SUMIFS(R:R,A:A,"="&amp;A36,B:B,"&lt;"&amp;(B36+1)),_xlfn._xlws.FILTER(AO:AO,AL:AL=A36),1),1)</f>
        <v>2</v>
      </c>
      <c r="T36" s="62">
        <f t="shared" si="0"/>
        <v>215</v>
      </c>
      <c r="U36" s="62"/>
      <c r="V36" s="62"/>
      <c r="W36" s="63"/>
      <c r="X36" s="30"/>
      <c r="Y36" s="64"/>
      <c r="Z36" s="64"/>
      <c r="AA36" s="23"/>
      <c r="AB36" s="24"/>
      <c r="AC36" s="25"/>
      <c r="AD36" s="25"/>
      <c r="AE36" s="43"/>
      <c r="AI36" s="42"/>
      <c r="AJ36" s="42"/>
    </row>
    <row r="37" spans="1:41">
      <c r="A37" s="46">
        <v>1</v>
      </c>
      <c r="B37" s="47">
        <v>36</v>
      </c>
      <c r="C37" s="47"/>
      <c r="D37" s="47"/>
      <c r="E37" s="14"/>
      <c r="F37" s="14" t="str">
        <f t="shared" si="2"/>
        <v/>
      </c>
      <c r="G37" s="14"/>
      <c r="H37" s="30"/>
      <c r="I37" s="17"/>
      <c r="J37" s="18"/>
      <c r="K37" s="19" t="s">
        <v>453</v>
      </c>
      <c r="L37" s="38">
        <v>3</v>
      </c>
      <c r="M37" s="21">
        <v>30</v>
      </c>
      <c r="N37" s="14"/>
      <c r="O37" s="22"/>
      <c r="P37" s="60"/>
      <c r="Q37" s="61"/>
      <c r="R37" s="62"/>
      <c r="S37" s="62" cm="1">
        <f t="array" ref="S37">_xlfn.IFNA(MATCH(SUMIFS(R:R,A:A,"="&amp;A37,B:B,"&lt;"&amp;(B37+1)),_xlfn._xlws.FILTER(AO:AO,AL:AL=A37),1),1)</f>
        <v>2</v>
      </c>
      <c r="T37" s="62">
        <f t="shared" si="0"/>
        <v>215</v>
      </c>
      <c r="U37" s="62"/>
      <c r="V37" s="62"/>
      <c r="W37" s="63"/>
      <c r="X37" s="30"/>
      <c r="Y37" s="64"/>
      <c r="Z37" s="64"/>
      <c r="AA37" s="23"/>
      <c r="AB37" s="24"/>
      <c r="AC37" s="25"/>
      <c r="AD37" s="25"/>
      <c r="AE37" s="43"/>
      <c r="AI37" s="42"/>
      <c r="AJ37" s="42"/>
    </row>
    <row r="38" spans="1:41">
      <c r="A38" s="46">
        <v>1</v>
      </c>
      <c r="B38" s="47">
        <v>37</v>
      </c>
      <c r="C38" s="47"/>
      <c r="D38" s="47"/>
      <c r="E38" s="14"/>
      <c r="F38" s="14" t="str">
        <f t="shared" si="2"/>
        <v/>
      </c>
      <c r="G38" s="14"/>
      <c r="H38" s="30"/>
      <c r="I38" s="17"/>
      <c r="J38" s="18"/>
      <c r="K38" t="s">
        <v>426</v>
      </c>
      <c r="L38" s="38">
        <v>3</v>
      </c>
      <c r="M38" s="21">
        <v>1</v>
      </c>
      <c r="N38" s="14"/>
      <c r="O38" s="22"/>
      <c r="P38" s="60"/>
      <c r="Q38" s="61"/>
      <c r="R38" s="62"/>
      <c r="S38" s="62" cm="1">
        <f t="array" ref="S38">_xlfn.IFNA(MATCH(SUMIFS(R:R,A:A,"="&amp;A38,B:B,"&lt;"&amp;(B38+1)),_xlfn._xlws.FILTER(AO:AO,AL:AL=A38),1),1)</f>
        <v>2</v>
      </c>
      <c r="T38" s="62">
        <f t="shared" si="0"/>
        <v>215</v>
      </c>
      <c r="U38" s="62"/>
      <c r="V38" s="62"/>
      <c r="W38" s="63"/>
      <c r="X38" s="30"/>
      <c r="Y38" s="64"/>
      <c r="Z38" s="64"/>
      <c r="AA38" s="23"/>
      <c r="AB38" s="24"/>
      <c r="AC38" s="25"/>
      <c r="AD38" s="25"/>
      <c r="AE38" s="43"/>
      <c r="AI38" s="42"/>
      <c r="AJ38" s="42"/>
    </row>
    <row r="39" spans="1:41">
      <c r="A39" s="46">
        <v>1</v>
      </c>
      <c r="B39" s="47">
        <v>38</v>
      </c>
      <c r="C39" s="47"/>
      <c r="D39" s="47"/>
      <c r="E39" s="14">
        <v>9.99</v>
      </c>
      <c r="F39" s="14">
        <f t="shared" si="2"/>
        <v>139</v>
      </c>
      <c r="G39" s="36">
        <f>(E39+0.01)*F39*$AJ$2/100</f>
        <v>13900000</v>
      </c>
      <c r="H39" s="37">
        <f>SUM(G3:G39)</f>
        <v>59930000</v>
      </c>
      <c r="I39" s="17">
        <f>SUM(E3:E39)</f>
        <v>46.93</v>
      </c>
      <c r="J39" s="18">
        <v>0.45</v>
      </c>
      <c r="K39" s="14" t="s">
        <v>2</v>
      </c>
      <c r="L39" s="29">
        <v>9</v>
      </c>
      <c r="M39" s="21">
        <f>G39</f>
        <v>13900000</v>
      </c>
      <c r="N39" s="36">
        <f>SUMIF(K39:K44,"="&amp;"金币",M39:M44)</f>
        <v>14978740</v>
      </c>
      <c r="O39" s="22">
        <f>N39/$AJ$2</f>
        <v>14.97874</v>
      </c>
      <c r="P39" s="60">
        <v>3</v>
      </c>
      <c r="Q39" s="61" t="s">
        <v>2</v>
      </c>
      <c r="R39" s="62">
        <v>35</v>
      </c>
      <c r="S39" s="62" cm="1">
        <f t="array" ref="S39">_xlfn.IFNA(MATCH(SUMIFS(R:R,A:A,"="&amp;A39,B:B,"&lt;"&amp;(B39+1)),_xlfn._xlws.FILTER(AO:AO,AL:AL=A39),1),1)</f>
        <v>2</v>
      </c>
      <c r="T39" s="62">
        <f t="shared" si="0"/>
        <v>250</v>
      </c>
      <c r="U39" s="62">
        <f>_xlfn.IFNA(VLOOKUP(Q39,道具!B:C,2,FALSE),"")</f>
        <v>1</v>
      </c>
      <c r="V39" s="62">
        <f>IF(U39=1,CEILING(W39*100/$AJ$2,5),IF(U39=2,J39*100,0))</f>
        <v>405</v>
      </c>
      <c r="W39" s="63">
        <f>IF(U39=1,J39*$AD$6,IF(U39=2,J39*$AJ$2,0))</f>
        <v>4045275</v>
      </c>
      <c r="X39" s="37">
        <f>SUM(N3:N39)+SUM(W3:W39)</f>
        <v>71975930</v>
      </c>
      <c r="Y39" s="66">
        <f>SUM(O3:O39)</f>
        <v>64.694435</v>
      </c>
      <c r="Z39" s="66">
        <f>SUM(W3:W39)</f>
        <v>7281495</v>
      </c>
      <c r="AA39" s="23">
        <f>X39/$AJ$2</f>
        <v>71.97593</v>
      </c>
      <c r="AB39" s="24">
        <f>X39/H39</f>
        <v>1.201</v>
      </c>
      <c r="AC39" s="25"/>
      <c r="AD39" s="25"/>
      <c r="AE39" s="43"/>
      <c r="AI39" s="42"/>
      <c r="AJ39" s="42"/>
    </row>
    <row r="40" spans="1:41">
      <c r="A40" s="46">
        <v>1</v>
      </c>
      <c r="B40" s="47">
        <v>39</v>
      </c>
      <c r="C40" s="47"/>
      <c r="D40" s="47"/>
      <c r="E40" s="14"/>
      <c r="F40" s="14" t="str">
        <f t="shared" si="2"/>
        <v/>
      </c>
      <c r="G40" s="14"/>
      <c r="H40" s="30"/>
      <c r="I40" s="17"/>
      <c r="J40" s="18"/>
      <c r="K40" s="19" t="s">
        <v>408</v>
      </c>
      <c r="L40" s="38">
        <v>3</v>
      </c>
      <c r="M40" s="21">
        <v>7</v>
      </c>
      <c r="N40" s="14"/>
      <c r="O40" s="22"/>
      <c r="P40" s="60"/>
      <c r="Q40" s="61"/>
      <c r="R40" s="62"/>
      <c r="S40" s="62" cm="1">
        <f t="array" ref="S40">_xlfn.IFNA(MATCH(SUMIFS(R:R,A:A,"="&amp;A40,B:B,"&lt;"&amp;(B40+1)),_xlfn._xlws.FILTER(AO:AO,AL:AL=A40),1),1)</f>
        <v>2</v>
      </c>
      <c r="T40" s="62">
        <f t="shared" si="0"/>
        <v>250</v>
      </c>
      <c r="U40" s="62"/>
      <c r="V40" s="62"/>
      <c r="W40" s="63"/>
      <c r="X40" s="30"/>
      <c r="Y40" s="64"/>
      <c r="Z40" s="64"/>
      <c r="AA40" s="23"/>
      <c r="AB40" s="24"/>
      <c r="AC40" s="25"/>
      <c r="AD40" s="25"/>
      <c r="AE40" s="43"/>
      <c r="AI40" s="42"/>
      <c r="AJ40" s="42"/>
    </row>
    <row r="41" spans="1:41">
      <c r="A41" s="46">
        <v>1</v>
      </c>
      <c r="B41" s="47">
        <v>40</v>
      </c>
      <c r="C41" s="47"/>
      <c r="D41" s="47"/>
      <c r="E41" s="14"/>
      <c r="F41" s="14" t="str">
        <f t="shared" si="2"/>
        <v/>
      </c>
      <c r="G41" s="14"/>
      <c r="H41" s="30"/>
      <c r="I41" s="17"/>
      <c r="J41" s="18">
        <v>0.12</v>
      </c>
      <c r="K41" s="19" t="s">
        <v>2</v>
      </c>
      <c r="L41" s="38">
        <v>17</v>
      </c>
      <c r="M41" s="21">
        <f>J41*$AD$6</f>
        <v>1078740</v>
      </c>
      <c r="N41" s="14"/>
      <c r="O41" s="22"/>
      <c r="P41" s="60"/>
      <c r="Q41" s="61"/>
      <c r="R41" s="62"/>
      <c r="S41" s="62" cm="1">
        <f t="array" ref="S41">_xlfn.IFNA(MATCH(SUMIFS(R:R,A:A,"="&amp;A41,B:B,"&lt;"&amp;(B41+1)),_xlfn._xlws.FILTER(AO:AO,AL:AL=A41),1),1)</f>
        <v>2</v>
      </c>
      <c r="T41" s="62">
        <f t="shared" si="0"/>
        <v>250</v>
      </c>
      <c r="U41" s="62"/>
      <c r="V41" s="62"/>
      <c r="W41" s="63"/>
      <c r="X41" s="30"/>
      <c r="Y41" s="64"/>
      <c r="Z41" s="64"/>
      <c r="AA41" s="23"/>
      <c r="AB41" s="24"/>
      <c r="AC41" s="25"/>
      <c r="AD41" s="25"/>
      <c r="AE41" s="43"/>
      <c r="AI41" s="42"/>
      <c r="AJ41" s="42"/>
    </row>
    <row r="42" spans="1:41">
      <c r="A42" s="46">
        <v>1</v>
      </c>
      <c r="B42" s="47">
        <v>41</v>
      </c>
      <c r="C42" s="47"/>
      <c r="D42" s="47"/>
      <c r="E42" s="14"/>
      <c r="F42" s="14" t="str">
        <f t="shared" si="2"/>
        <v/>
      </c>
      <c r="G42" s="14"/>
      <c r="H42" s="30"/>
      <c r="I42" s="17"/>
      <c r="J42" s="18"/>
      <c r="K42" s="19" t="s">
        <v>473</v>
      </c>
      <c r="L42" s="38">
        <v>4</v>
      </c>
      <c r="M42" s="21">
        <v>1</v>
      </c>
      <c r="N42" s="14"/>
      <c r="O42" s="22"/>
      <c r="P42" s="60"/>
      <c r="Q42" s="61"/>
      <c r="R42" s="62">
        <v>50</v>
      </c>
      <c r="S42" s="62" cm="1">
        <f t="array" ref="S42">_xlfn.IFNA(MATCH(SUMIFS(R:R,A:A,"="&amp;A42,B:B,"&lt;"&amp;(B42+1)),_xlfn._xlws.FILTER(AO:AO,AL:AL=A42),1),1)</f>
        <v>3</v>
      </c>
      <c r="T42" s="62">
        <f t="shared" si="0"/>
        <v>300</v>
      </c>
      <c r="U42" s="62"/>
      <c r="V42" s="62"/>
      <c r="W42" s="63"/>
      <c r="X42" s="30"/>
      <c r="Y42" s="64"/>
      <c r="Z42" s="64"/>
      <c r="AA42" s="23"/>
      <c r="AB42" s="24"/>
      <c r="AC42" s="25"/>
      <c r="AD42" s="25"/>
      <c r="AE42" s="43"/>
      <c r="AI42" s="42"/>
      <c r="AJ42" s="42"/>
    </row>
    <row r="43" spans="1:41">
      <c r="A43" s="46">
        <v>1</v>
      </c>
      <c r="B43" s="47">
        <v>42</v>
      </c>
      <c r="C43" s="47"/>
      <c r="D43" s="47"/>
      <c r="E43" s="14"/>
      <c r="F43" s="14" t="str">
        <f t="shared" si="2"/>
        <v/>
      </c>
      <c r="G43" s="14"/>
      <c r="H43" s="30"/>
      <c r="I43" s="17"/>
      <c r="J43" s="18"/>
      <c r="K43" s="19" t="s">
        <v>453</v>
      </c>
      <c r="L43" s="38">
        <v>3</v>
      </c>
      <c r="M43" s="21">
        <v>35</v>
      </c>
      <c r="N43" s="14"/>
      <c r="O43" s="22"/>
      <c r="P43" s="60"/>
      <c r="Q43" s="61"/>
      <c r="R43" s="62"/>
      <c r="S43" s="62" cm="1">
        <f t="array" ref="S43">_xlfn.IFNA(MATCH(SUMIFS(R:R,A:A,"="&amp;A43,B:B,"&lt;"&amp;(B43+1)),_xlfn._xlws.FILTER(AO:AO,AL:AL=A43),1),1)</f>
        <v>3</v>
      </c>
      <c r="T43" s="62">
        <f t="shared" si="0"/>
        <v>300</v>
      </c>
      <c r="U43" s="62"/>
      <c r="V43" s="62"/>
      <c r="W43" s="63"/>
      <c r="X43" s="30"/>
      <c r="Y43" s="64"/>
      <c r="Z43" s="64"/>
      <c r="AA43" s="23"/>
      <c r="AB43" s="24"/>
      <c r="AC43" s="25"/>
      <c r="AD43" s="25"/>
      <c r="AE43" s="43"/>
      <c r="AI43" s="42"/>
      <c r="AJ43" s="42"/>
    </row>
    <row r="44" spans="1:41">
      <c r="A44" s="46">
        <v>1</v>
      </c>
      <c r="B44" s="47">
        <v>43</v>
      </c>
      <c r="C44" s="47"/>
      <c r="D44" s="47"/>
      <c r="E44" s="14"/>
      <c r="F44" s="14" t="str">
        <f t="shared" si="2"/>
        <v/>
      </c>
      <c r="G44" s="14"/>
      <c r="H44" s="30"/>
      <c r="I44" s="17"/>
      <c r="J44" s="18"/>
      <c r="K44" t="s">
        <v>424</v>
      </c>
      <c r="L44" s="38">
        <v>3</v>
      </c>
      <c r="M44" s="21">
        <v>1</v>
      </c>
      <c r="N44" s="14"/>
      <c r="O44" s="22"/>
      <c r="P44" s="60"/>
      <c r="Q44" s="61"/>
      <c r="R44" s="62"/>
      <c r="S44" s="62" cm="1">
        <f t="array" ref="S44">_xlfn.IFNA(MATCH(SUMIFS(R:R,A:A,"="&amp;A44,B:B,"&lt;"&amp;(B44+1)),_xlfn._xlws.FILTER(AO:AO,AL:AL=A44),1),1)</f>
        <v>3</v>
      </c>
      <c r="T44" s="62">
        <f t="shared" si="0"/>
        <v>300</v>
      </c>
      <c r="U44" s="62"/>
      <c r="V44" s="62"/>
      <c r="W44" s="63"/>
      <c r="X44" s="30"/>
      <c r="Y44" s="64"/>
      <c r="Z44" s="64"/>
      <c r="AA44" s="23"/>
      <c r="AB44" s="24"/>
      <c r="AC44" s="25"/>
      <c r="AD44" s="25"/>
      <c r="AE44" s="43"/>
      <c r="AI44" s="42"/>
      <c r="AJ44" s="42"/>
    </row>
    <row r="45" spans="1:41">
      <c r="A45" s="46">
        <f t="shared" ref="A45:A108" si="4">A2+1</f>
        <v>2</v>
      </c>
      <c r="B45" s="47">
        <v>1</v>
      </c>
      <c r="C45" s="47"/>
      <c r="D45" s="47"/>
      <c r="E45" s="14"/>
      <c r="F45" s="14" t="str">
        <f t="shared" si="2"/>
        <v/>
      </c>
      <c r="G45" s="14"/>
      <c r="H45" s="30"/>
      <c r="I45" s="17"/>
      <c r="J45" s="18">
        <f t="shared" ref="J45:J59" si="5">J2</f>
        <v>0</v>
      </c>
      <c r="K45" s="14" t="s">
        <v>2</v>
      </c>
      <c r="L45" s="29">
        <v>1</v>
      </c>
      <c r="M45" s="21">
        <v>5000</v>
      </c>
      <c r="N45" s="14"/>
      <c r="O45" s="22"/>
      <c r="P45" s="60">
        <f t="shared" ref="P45:P108" si="6">P2</f>
        <v>0</v>
      </c>
      <c r="Q45" s="60">
        <f t="shared" ref="Q45:Q108" si="7">Q2</f>
        <v>0</v>
      </c>
      <c r="R45" s="60">
        <f t="shared" ref="R45:R108" si="8">R2</f>
        <v>20</v>
      </c>
      <c r="S45" s="62" cm="1">
        <f t="array" ref="S45">_xlfn.IFNA(MATCH(SUMIFS(R:R,A:A,"="&amp;A45,B:B,"&lt;"&amp;(B45+1)),_xlfn._xlws.FILTER(AO:AO,AL:AL=A45),1),1)</f>
        <v>1</v>
      </c>
      <c r="T45" s="62">
        <f t="shared" si="0"/>
        <v>20</v>
      </c>
      <c r="U45" s="62"/>
      <c r="V45" s="62"/>
      <c r="W45" s="63"/>
      <c r="X45" s="30"/>
      <c r="Y45" s="64"/>
      <c r="Z45" s="64"/>
      <c r="AA45" s="23"/>
      <c r="AB45" s="24"/>
      <c r="AC45" s="25"/>
      <c r="AD45" s="31">
        <f>SUM(E45:E87)</f>
        <v>89.93</v>
      </c>
      <c r="AI45" s="42"/>
      <c r="AJ45" s="42"/>
    </row>
    <row r="46" spans="1:41">
      <c r="A46" s="46">
        <f t="shared" si="4"/>
        <v>2</v>
      </c>
      <c r="B46" s="47">
        <v>2</v>
      </c>
      <c r="C46" s="47"/>
      <c r="D46" s="47"/>
      <c r="E46" s="35">
        <v>5.99</v>
      </c>
      <c r="F46" s="14">
        <f t="shared" si="2"/>
        <v>119</v>
      </c>
      <c r="G46" s="36">
        <f>(E46+0.01)*F46*$AJ$2/100</f>
        <v>7140000</v>
      </c>
      <c r="H46" s="37">
        <f>SUM(G46)</f>
        <v>7140000</v>
      </c>
      <c r="I46" s="17">
        <f>SUM(E46)</f>
        <v>5.99</v>
      </c>
      <c r="J46" s="18">
        <f t="shared" si="5"/>
        <v>0</v>
      </c>
      <c r="K46" s="14" t="s">
        <v>2</v>
      </c>
      <c r="L46" s="29">
        <v>9</v>
      </c>
      <c r="M46" s="21">
        <f>G46</f>
        <v>7140000</v>
      </c>
      <c r="N46" s="36">
        <f>SUMIF(K46:K51,"="&amp;"金币",M46:M51)</f>
        <v>9148050</v>
      </c>
      <c r="O46" s="22">
        <f>N46/$AJ$2</f>
        <v>9.14805</v>
      </c>
      <c r="P46" s="60">
        <f t="shared" si="6"/>
        <v>0</v>
      </c>
      <c r="Q46" s="60">
        <f t="shared" si="7"/>
        <v>0</v>
      </c>
      <c r="R46" s="60">
        <f t="shared" si="8"/>
        <v>10</v>
      </c>
      <c r="S46" s="62" cm="1">
        <f t="array" ref="S46">_xlfn.IFNA(MATCH(SUMIFS(R:R,A:A,"="&amp;A46,B:B,"&lt;"&amp;(B46+1)),_xlfn._xlws.FILTER(AO:AO,AL:AL=A46),1),1)</f>
        <v>1</v>
      </c>
      <c r="T46" s="62">
        <f t="shared" si="0"/>
        <v>30</v>
      </c>
      <c r="U46" s="62" t="str">
        <f>_xlfn.IFNA(VLOOKUP(Q46,道具!B:C,2,FALSE),"")</f>
        <v/>
      </c>
      <c r="V46" s="62">
        <f>IF(U46=1,CEILING(W46*100/$AJ$2,5),IF(U46=2,J46*100,0))</f>
        <v>0</v>
      </c>
      <c r="W46" s="63">
        <f>IF(U46=1,J46*$AD$6,IF(U46=2,J46*$AJ$2,0))</f>
        <v>0</v>
      </c>
      <c r="X46" s="37">
        <f>SUM(N46)+SUM(W46)</f>
        <v>9148050</v>
      </c>
      <c r="Y46" s="66">
        <f>SUM(O46)</f>
        <v>9.14805</v>
      </c>
      <c r="Z46" s="66">
        <f>SUM(W46)</f>
        <v>0</v>
      </c>
      <c r="AA46" s="23">
        <f>X46/$AJ$2</f>
        <v>9.14805</v>
      </c>
      <c r="AB46" s="24">
        <f>X46/H46</f>
        <v>1.28123949579832</v>
      </c>
      <c r="AC46" s="25"/>
      <c r="AD46" s="26" t="s">
        <v>556</v>
      </c>
      <c r="AI46" s="42"/>
      <c r="AJ46" s="42"/>
    </row>
    <row r="47" spans="1:41">
      <c r="A47" s="46">
        <f t="shared" si="4"/>
        <v>2</v>
      </c>
      <c r="B47" s="47">
        <v>3</v>
      </c>
      <c r="C47" s="47"/>
      <c r="D47" s="47"/>
      <c r="E47" s="14"/>
      <c r="F47" s="14" t="str">
        <f t="shared" si="2"/>
        <v/>
      </c>
      <c r="G47" s="14"/>
      <c r="H47" s="30"/>
      <c r="I47" s="17"/>
      <c r="J47" s="18">
        <f t="shared" si="5"/>
        <v>0</v>
      </c>
      <c r="K47" s="19" t="s">
        <v>408</v>
      </c>
      <c r="L47" s="38">
        <v>3</v>
      </c>
      <c r="M47" s="21">
        <v>1</v>
      </c>
      <c r="N47" s="14"/>
      <c r="O47" s="22"/>
      <c r="P47" s="60">
        <f t="shared" si="6"/>
        <v>0</v>
      </c>
      <c r="Q47" s="60">
        <f t="shared" si="7"/>
        <v>0</v>
      </c>
      <c r="R47" s="60">
        <f t="shared" si="8"/>
        <v>0</v>
      </c>
      <c r="S47" s="62" cm="1">
        <f t="array" ref="S47">_xlfn.IFNA(MATCH(SUMIFS(R:R,A:A,"="&amp;A47,B:B,"&lt;"&amp;(B47+1)),_xlfn._xlws.FILTER(AO:AO,AL:AL=A47),1),1)</f>
        <v>1</v>
      </c>
      <c r="T47" s="62">
        <f t="shared" si="0"/>
        <v>30</v>
      </c>
      <c r="U47" s="62"/>
      <c r="V47" s="62"/>
      <c r="W47" s="63"/>
      <c r="X47" s="30"/>
      <c r="Y47" s="64"/>
      <c r="Z47" s="64"/>
      <c r="AA47" s="23"/>
      <c r="AB47" s="24"/>
      <c r="AC47" s="25"/>
      <c r="AD47" s="39">
        <v>1.15</v>
      </c>
      <c r="AI47" s="42"/>
      <c r="AJ47" s="42"/>
    </row>
    <row r="48" spans="1:41">
      <c r="A48" s="46">
        <f t="shared" si="4"/>
        <v>2</v>
      </c>
      <c r="B48" s="47">
        <v>4</v>
      </c>
      <c r="C48" s="47"/>
      <c r="D48" s="47"/>
      <c r="E48" s="14"/>
      <c r="F48" s="14" t="str">
        <f t="shared" si="2"/>
        <v/>
      </c>
      <c r="G48" s="14"/>
      <c r="H48" s="30"/>
      <c r="I48" s="17"/>
      <c r="J48" s="18">
        <f t="shared" si="5"/>
        <v>0.1</v>
      </c>
      <c r="K48" s="19" t="s">
        <v>2</v>
      </c>
      <c r="L48" s="38">
        <v>17</v>
      </c>
      <c r="M48" s="21">
        <f>J48*$AD$49</f>
        <v>2008050</v>
      </c>
      <c r="N48" s="14"/>
      <c r="O48" s="22"/>
      <c r="P48" s="60">
        <f t="shared" si="6"/>
        <v>0</v>
      </c>
      <c r="Q48" s="60">
        <f t="shared" si="7"/>
        <v>0</v>
      </c>
      <c r="R48" s="60">
        <f t="shared" si="8"/>
        <v>0</v>
      </c>
      <c r="S48" s="62" cm="1">
        <f t="array" ref="S48">_xlfn.IFNA(MATCH(SUMIFS(R:R,A:A,"="&amp;A48,B:B,"&lt;"&amp;(B48+1)),_xlfn._xlws.FILTER(AO:AO,AL:AL=A48),1),1)</f>
        <v>1</v>
      </c>
      <c r="T48" s="62">
        <f t="shared" si="0"/>
        <v>30</v>
      </c>
      <c r="U48" s="62"/>
      <c r="V48" s="62"/>
      <c r="W48" s="63"/>
      <c r="X48" s="30"/>
      <c r="Y48" s="64"/>
      <c r="Z48" s="64"/>
      <c r="AA48" s="23"/>
      <c r="AB48" s="24"/>
      <c r="AC48" s="25"/>
      <c r="AD48" s="26" t="s">
        <v>557</v>
      </c>
      <c r="AI48" s="42"/>
      <c r="AJ48" s="42"/>
    </row>
    <row r="49" spans="1:36">
      <c r="A49" s="46">
        <f t="shared" si="4"/>
        <v>2</v>
      </c>
      <c r="B49" s="47">
        <v>5</v>
      </c>
      <c r="C49" s="47"/>
      <c r="D49" s="47"/>
      <c r="E49" s="14"/>
      <c r="F49" s="14" t="str">
        <f t="shared" si="2"/>
        <v/>
      </c>
      <c r="G49" s="14"/>
      <c r="H49" s="30"/>
      <c r="I49" s="17"/>
      <c r="J49" s="18">
        <f t="shared" si="5"/>
        <v>0</v>
      </c>
      <c r="K49" s="19" t="s">
        <v>457</v>
      </c>
      <c r="L49" s="38">
        <v>4</v>
      </c>
      <c r="M49" s="21">
        <v>1</v>
      </c>
      <c r="N49" s="14"/>
      <c r="O49" s="22"/>
      <c r="P49" s="60">
        <f t="shared" si="6"/>
        <v>0</v>
      </c>
      <c r="Q49" s="60">
        <f t="shared" si="7"/>
        <v>0</v>
      </c>
      <c r="R49" s="60">
        <f t="shared" si="8"/>
        <v>10</v>
      </c>
      <c r="S49" s="62" cm="1">
        <f t="array" ref="S49">_xlfn.IFNA(MATCH(SUMIFS(R:R,A:A,"="&amp;A49,B:B,"&lt;"&amp;(B49+1)),_xlfn._xlws.FILTER(AO:AO,AL:AL=A49),1),1)</f>
        <v>1</v>
      </c>
      <c r="T49" s="62">
        <f t="shared" si="0"/>
        <v>40</v>
      </c>
      <c r="U49" s="62"/>
      <c r="V49" s="62"/>
      <c r="W49" s="63"/>
      <c r="X49" s="30"/>
      <c r="Y49" s="64"/>
      <c r="Z49" s="64"/>
      <c r="AA49" s="23"/>
      <c r="AB49" s="24"/>
      <c r="AC49" s="25"/>
      <c r="AD49" s="40">
        <f>SUM(G45:G87)*(AD47-1)</f>
        <v>20080500</v>
      </c>
      <c r="AI49" s="42"/>
      <c r="AJ49" s="42"/>
    </row>
    <row r="50" spans="1:36">
      <c r="A50" s="46">
        <f t="shared" si="4"/>
        <v>2</v>
      </c>
      <c r="B50" s="47">
        <v>6</v>
      </c>
      <c r="C50" s="47"/>
      <c r="D50" s="47"/>
      <c r="E50" s="14"/>
      <c r="F50" s="14" t="str">
        <f t="shared" si="2"/>
        <v/>
      </c>
      <c r="G50" s="14"/>
      <c r="H50" s="30"/>
      <c r="I50" s="17"/>
      <c r="J50" s="18">
        <f t="shared" si="5"/>
        <v>0</v>
      </c>
      <c r="K50" s="19" t="s">
        <v>453</v>
      </c>
      <c r="L50" s="38">
        <v>3</v>
      </c>
      <c r="M50" s="21">
        <v>5</v>
      </c>
      <c r="N50" s="14"/>
      <c r="O50" s="22"/>
      <c r="P50" s="60">
        <f t="shared" si="6"/>
        <v>0</v>
      </c>
      <c r="Q50" s="60">
        <f t="shared" si="7"/>
        <v>0</v>
      </c>
      <c r="R50" s="60">
        <f t="shared" si="8"/>
        <v>0</v>
      </c>
      <c r="S50" s="62" cm="1">
        <f t="array" ref="S50">_xlfn.IFNA(MATCH(SUMIFS(R:R,A:A,"="&amp;A50,B:B,"&lt;"&amp;(B50+1)),_xlfn._xlws.FILTER(AO:AO,AL:AL=A50),1),1)</f>
        <v>1</v>
      </c>
      <c r="T50" s="62">
        <f t="shared" si="0"/>
        <v>40</v>
      </c>
      <c r="U50" s="62"/>
      <c r="V50" s="62"/>
      <c r="W50" s="63"/>
      <c r="X50" s="30"/>
      <c r="Y50" s="64"/>
      <c r="Z50" s="64"/>
      <c r="AA50" s="23"/>
      <c r="AB50" s="24"/>
      <c r="AC50" s="25"/>
      <c r="AD50" s="24" t="s">
        <v>558</v>
      </c>
      <c r="AI50" s="42"/>
      <c r="AJ50" s="42"/>
    </row>
    <row r="51" spans="1:36">
      <c r="A51" s="46">
        <f t="shared" si="4"/>
        <v>2</v>
      </c>
      <c r="B51" s="47">
        <v>7</v>
      </c>
      <c r="C51" s="47"/>
      <c r="D51" s="47"/>
      <c r="E51" s="14"/>
      <c r="F51" s="14" t="str">
        <f t="shared" si="2"/>
        <v/>
      </c>
      <c r="G51" s="14"/>
      <c r="H51" s="30"/>
      <c r="I51" s="17"/>
      <c r="J51" s="18">
        <f t="shared" si="5"/>
        <v>0</v>
      </c>
      <c r="K51" t="s">
        <v>424</v>
      </c>
      <c r="L51" s="38">
        <v>3</v>
      </c>
      <c r="M51" s="21">
        <v>1</v>
      </c>
      <c r="N51" s="14"/>
      <c r="O51" s="22"/>
      <c r="P51" s="60">
        <f t="shared" si="6"/>
        <v>0</v>
      </c>
      <c r="Q51" s="60">
        <f t="shared" si="7"/>
        <v>0</v>
      </c>
      <c r="R51" s="60">
        <f t="shared" si="8"/>
        <v>0</v>
      </c>
      <c r="S51" s="62" cm="1">
        <f t="array" ref="S51">_xlfn.IFNA(MATCH(SUMIFS(R:R,A:A,"="&amp;A51,B:B,"&lt;"&amp;(B51+1)),_xlfn._xlws.FILTER(AO:AO,AL:AL=A51),1),1)</f>
        <v>1</v>
      </c>
      <c r="T51" s="62">
        <f t="shared" si="0"/>
        <v>40</v>
      </c>
      <c r="U51" s="62"/>
      <c r="V51" s="62"/>
      <c r="W51" s="63"/>
      <c r="X51" s="30"/>
      <c r="Y51" s="64"/>
      <c r="Z51" s="64"/>
      <c r="AA51" s="23"/>
      <c r="AB51" s="24"/>
      <c r="AC51" s="25"/>
      <c r="AD51" s="24">
        <f>SUMIF(U45:U87,"&lt;&gt;2",J45:J87)+SUMIF(U45:U87,"=2",J45:J87)*$AJ$2/SUMIFS(AD:AD,A:A,"="&amp;A51,B:B,"=5")</f>
        <v>1.4</v>
      </c>
      <c r="AI51" s="42"/>
      <c r="AJ51" s="42"/>
    </row>
    <row r="52" spans="1:36">
      <c r="A52" s="46">
        <f t="shared" si="4"/>
        <v>2</v>
      </c>
      <c r="B52" s="47">
        <v>8</v>
      </c>
      <c r="C52" s="47"/>
      <c r="D52" s="47"/>
      <c r="E52" s="14">
        <v>7.99</v>
      </c>
      <c r="F52" s="14">
        <f t="shared" si="2"/>
        <v>129</v>
      </c>
      <c r="G52" s="36">
        <f>(E52+0.01)*F52*$AJ$2/100</f>
        <v>10320000</v>
      </c>
      <c r="H52" s="37">
        <f>SUM(G46:G52)</f>
        <v>17460000</v>
      </c>
      <c r="I52" s="17">
        <f>SUM(E46:E52)</f>
        <v>13.98</v>
      </c>
      <c r="J52" s="18">
        <f t="shared" si="5"/>
        <v>0.12</v>
      </c>
      <c r="K52" s="14" t="s">
        <v>2</v>
      </c>
      <c r="L52" s="29">
        <v>9</v>
      </c>
      <c r="M52" s="21">
        <f>G52</f>
        <v>10320000</v>
      </c>
      <c r="N52" s="36">
        <f>SUMIF(K52:K57,"="&amp;"金币",M52:M57)</f>
        <v>10721610</v>
      </c>
      <c r="O52" s="22">
        <f>N52/$AJ$2</f>
        <v>10.72161</v>
      </c>
      <c r="P52" s="60">
        <f t="shared" si="6"/>
        <v>1</v>
      </c>
      <c r="Q52" s="60" t="str">
        <f t="shared" si="7"/>
        <v>金币</v>
      </c>
      <c r="R52" s="60">
        <f t="shared" si="8"/>
        <v>25</v>
      </c>
      <c r="S52" s="62" cm="1">
        <f t="array" ref="S52">_xlfn.IFNA(MATCH(SUMIFS(R:R,A:A,"="&amp;A52,B:B,"&lt;"&amp;(B52+1)),_xlfn._xlws.FILTER(AO:AO,AL:AL=A52),1),1)</f>
        <v>1</v>
      </c>
      <c r="T52" s="62">
        <f t="shared" si="0"/>
        <v>65</v>
      </c>
      <c r="U52" s="62">
        <f>_xlfn.IFNA(VLOOKUP(Q52,道具!B:C,2,FALSE),"")</f>
        <v>1</v>
      </c>
      <c r="V52" s="62">
        <f>IF(U52=1,CEILING(W52*100/$AJ$2,5),IF(U52=2,J52*100,0))</f>
        <v>110</v>
      </c>
      <c r="W52" s="63">
        <f>IF(U52=1,J52*$AD$6,IF(U52=2,J52*$AJ$2,0))</f>
        <v>1078740</v>
      </c>
      <c r="X52" s="37">
        <f>SUM(N46:N52)+SUM(W46:W52)</f>
        <v>20948400</v>
      </c>
      <c r="Y52" s="66">
        <f>SUM(O46:O52)</f>
        <v>19.86966</v>
      </c>
      <c r="Z52" s="66">
        <f>SUM(W46:W52)</f>
        <v>1078740</v>
      </c>
      <c r="AA52" s="23">
        <f>X52/$AJ$2</f>
        <v>20.9484</v>
      </c>
      <c r="AB52" s="24">
        <f>X52/H52</f>
        <v>1.19979381443299</v>
      </c>
      <c r="AC52" s="25"/>
      <c r="AD52" s="25"/>
      <c r="AI52" s="42"/>
      <c r="AJ52" s="42"/>
    </row>
    <row r="53" spans="1:36">
      <c r="A53" s="46">
        <f t="shared" si="4"/>
        <v>2</v>
      </c>
      <c r="B53" s="47">
        <v>9</v>
      </c>
      <c r="C53" s="47"/>
      <c r="D53" s="47"/>
      <c r="E53" s="14"/>
      <c r="F53" s="14" t="str">
        <f t="shared" si="2"/>
        <v/>
      </c>
      <c r="G53" s="14"/>
      <c r="H53" s="30"/>
      <c r="I53" s="17"/>
      <c r="J53" s="18">
        <f t="shared" si="5"/>
        <v>0</v>
      </c>
      <c r="K53" s="19" t="s">
        <v>408</v>
      </c>
      <c r="L53" s="38">
        <v>3</v>
      </c>
      <c r="M53" s="21">
        <v>2</v>
      </c>
      <c r="N53" s="14"/>
      <c r="O53" s="22"/>
      <c r="P53" s="60">
        <f t="shared" si="6"/>
        <v>0</v>
      </c>
      <c r="Q53" s="60">
        <f t="shared" si="7"/>
        <v>0</v>
      </c>
      <c r="R53" s="60">
        <f t="shared" si="8"/>
        <v>0</v>
      </c>
      <c r="S53" s="62" cm="1">
        <f t="array" ref="S53">_xlfn.IFNA(MATCH(SUMIFS(R:R,A:A,"="&amp;A53,B:B,"&lt;"&amp;(B53+1)),_xlfn._xlws.FILTER(AO:AO,AL:AL=A53),1),1)</f>
        <v>1</v>
      </c>
      <c r="T53" s="62">
        <f t="shared" si="0"/>
        <v>65</v>
      </c>
      <c r="U53" s="62"/>
      <c r="V53" s="62"/>
      <c r="W53" s="63"/>
      <c r="X53" s="30"/>
      <c r="Y53" s="64"/>
      <c r="Z53" s="64"/>
      <c r="AA53" s="23"/>
      <c r="AB53" s="24"/>
      <c r="AC53" s="25"/>
      <c r="AD53" s="69"/>
      <c r="AI53" s="42"/>
      <c r="AJ53" s="42"/>
    </row>
    <row r="54" spans="1:36">
      <c r="A54" s="46">
        <f t="shared" si="4"/>
        <v>2</v>
      </c>
      <c r="B54" s="47">
        <v>10</v>
      </c>
      <c r="C54" s="47"/>
      <c r="D54" s="47"/>
      <c r="E54" s="14"/>
      <c r="F54" s="14" t="str">
        <f t="shared" si="2"/>
        <v/>
      </c>
      <c r="G54" s="14"/>
      <c r="H54" s="30"/>
      <c r="I54" s="17"/>
      <c r="J54" s="18">
        <f t="shared" si="5"/>
        <v>0.02</v>
      </c>
      <c r="K54" s="19" t="s">
        <v>2</v>
      </c>
      <c r="L54" s="38">
        <v>17</v>
      </c>
      <c r="M54" s="21">
        <f>J54*$AD$49</f>
        <v>401610</v>
      </c>
      <c r="N54" s="14"/>
      <c r="O54" s="22"/>
      <c r="P54" s="60">
        <f t="shared" si="6"/>
        <v>0</v>
      </c>
      <c r="Q54" s="60">
        <f t="shared" si="7"/>
        <v>0</v>
      </c>
      <c r="R54" s="60">
        <f t="shared" si="8"/>
        <v>0</v>
      </c>
      <c r="S54" s="62" cm="1">
        <f t="array" ref="S54">_xlfn.IFNA(MATCH(SUMIFS(R:R,A:A,"="&amp;A54,B:B,"&lt;"&amp;(B54+1)),_xlfn._xlws.FILTER(AO:AO,AL:AL=A54),1),1)</f>
        <v>1</v>
      </c>
      <c r="T54" s="62">
        <f t="shared" si="0"/>
        <v>65</v>
      </c>
      <c r="U54" s="62"/>
      <c r="V54" s="62"/>
      <c r="W54" s="63"/>
      <c r="X54" s="30"/>
      <c r="Y54" s="64"/>
      <c r="Z54" s="64"/>
      <c r="AA54" s="23"/>
      <c r="AB54" s="24"/>
      <c r="AC54" s="25"/>
      <c r="AD54" s="25"/>
      <c r="AI54" s="42"/>
      <c r="AJ54" s="42"/>
    </row>
    <row r="55" spans="1:36">
      <c r="A55" s="46">
        <f t="shared" si="4"/>
        <v>2</v>
      </c>
      <c r="B55" s="47">
        <v>11</v>
      </c>
      <c r="C55" s="47"/>
      <c r="D55" s="47"/>
      <c r="E55" s="14"/>
      <c r="F55" s="14" t="str">
        <f t="shared" si="2"/>
        <v/>
      </c>
      <c r="G55" s="14"/>
      <c r="H55" s="30"/>
      <c r="I55" s="17"/>
      <c r="J55" s="18">
        <f t="shared" si="5"/>
        <v>0</v>
      </c>
      <c r="K55" s="19" t="s">
        <v>459</v>
      </c>
      <c r="L55" s="38">
        <v>4</v>
      </c>
      <c r="M55" s="21">
        <v>1</v>
      </c>
      <c r="N55" s="14"/>
      <c r="O55" s="22"/>
      <c r="P55" s="60">
        <f t="shared" si="6"/>
        <v>0</v>
      </c>
      <c r="Q55" s="60">
        <f t="shared" si="7"/>
        <v>0</v>
      </c>
      <c r="R55" s="60">
        <f t="shared" si="8"/>
        <v>0</v>
      </c>
      <c r="S55" s="62" cm="1">
        <f t="array" ref="S55">_xlfn.IFNA(MATCH(SUMIFS(R:R,A:A,"="&amp;A55,B:B,"&lt;"&amp;(B55+1)),_xlfn._xlws.FILTER(AO:AO,AL:AL=A55),1),1)</f>
        <v>1</v>
      </c>
      <c r="T55" s="62">
        <f t="shared" si="0"/>
        <v>65</v>
      </c>
      <c r="U55" s="62"/>
      <c r="V55" s="62"/>
      <c r="W55" s="63"/>
      <c r="X55" s="30"/>
      <c r="Y55" s="64"/>
      <c r="Z55" s="64"/>
      <c r="AA55" s="23"/>
      <c r="AB55" s="24"/>
      <c r="AC55" s="25"/>
      <c r="AD55" s="25"/>
      <c r="AI55" s="42"/>
      <c r="AJ55" s="42"/>
    </row>
    <row r="56" spans="1:36">
      <c r="A56" s="46">
        <f t="shared" si="4"/>
        <v>2</v>
      </c>
      <c r="B56" s="47">
        <v>12</v>
      </c>
      <c r="C56" s="47"/>
      <c r="D56" s="47"/>
      <c r="E56" s="14"/>
      <c r="F56" s="14" t="str">
        <f t="shared" si="2"/>
        <v/>
      </c>
      <c r="G56" s="14"/>
      <c r="H56" s="30"/>
      <c r="I56" s="17"/>
      <c r="J56" s="18">
        <f t="shared" si="5"/>
        <v>0</v>
      </c>
      <c r="K56" s="19" t="s">
        <v>453</v>
      </c>
      <c r="L56" s="38">
        <v>3</v>
      </c>
      <c r="M56" s="21">
        <v>10</v>
      </c>
      <c r="N56" s="14"/>
      <c r="O56" s="22"/>
      <c r="P56" s="60">
        <f t="shared" si="6"/>
        <v>0</v>
      </c>
      <c r="Q56" s="60">
        <f t="shared" si="7"/>
        <v>0</v>
      </c>
      <c r="R56" s="60">
        <f t="shared" si="8"/>
        <v>0</v>
      </c>
      <c r="S56" s="62" cm="1">
        <f t="array" ref="S56">_xlfn.IFNA(MATCH(SUMIFS(R:R,A:A,"="&amp;A56,B:B,"&lt;"&amp;(B56+1)),_xlfn._xlws.FILTER(AO:AO,AL:AL=A56),1),1)</f>
        <v>1</v>
      </c>
      <c r="T56" s="62">
        <f t="shared" si="0"/>
        <v>65</v>
      </c>
      <c r="U56" s="62"/>
      <c r="V56" s="62"/>
      <c r="W56" s="63"/>
      <c r="X56" s="30"/>
      <c r="Y56" s="64"/>
      <c r="Z56" s="64"/>
      <c r="AA56" s="23"/>
      <c r="AB56" s="24"/>
      <c r="AC56" s="25"/>
      <c r="AD56" s="25"/>
      <c r="AI56" s="42"/>
      <c r="AJ56" s="42"/>
    </row>
    <row r="57" spans="1:36">
      <c r="A57" s="46">
        <f t="shared" si="4"/>
        <v>2</v>
      </c>
      <c r="B57" s="47">
        <v>13</v>
      </c>
      <c r="C57" s="47"/>
      <c r="D57" s="47"/>
      <c r="E57" s="14"/>
      <c r="F57" s="14" t="str">
        <f t="shared" si="2"/>
        <v/>
      </c>
      <c r="G57" s="14"/>
      <c r="H57" s="30"/>
      <c r="I57" s="17"/>
      <c r="J57" s="18">
        <f t="shared" si="5"/>
        <v>0</v>
      </c>
      <c r="K57" t="s">
        <v>426</v>
      </c>
      <c r="L57" s="38">
        <v>3</v>
      </c>
      <c r="M57" s="21">
        <v>1</v>
      </c>
      <c r="N57" s="14"/>
      <c r="O57" s="22"/>
      <c r="P57" s="60">
        <f t="shared" si="6"/>
        <v>0</v>
      </c>
      <c r="Q57" s="60">
        <f t="shared" si="7"/>
        <v>0</v>
      </c>
      <c r="R57" s="60">
        <f t="shared" si="8"/>
        <v>0</v>
      </c>
      <c r="S57" s="62" cm="1">
        <f t="array" ref="S57">_xlfn.IFNA(MATCH(SUMIFS(R:R,A:A,"="&amp;A57,B:B,"&lt;"&amp;(B57+1)),_xlfn._xlws.FILTER(AO:AO,AL:AL=A57),1),1)</f>
        <v>1</v>
      </c>
      <c r="T57" s="62">
        <f t="shared" si="0"/>
        <v>65</v>
      </c>
      <c r="U57" s="62"/>
      <c r="V57" s="62"/>
      <c r="W57" s="63"/>
      <c r="X57" s="30"/>
      <c r="Y57" s="64"/>
      <c r="Z57" s="64"/>
      <c r="AA57" s="23"/>
      <c r="AB57" s="24"/>
      <c r="AC57" s="25"/>
      <c r="AD57" s="25"/>
      <c r="AI57" s="42"/>
      <c r="AJ57" s="42"/>
    </row>
    <row r="58" spans="1:36">
      <c r="A58" s="46">
        <f t="shared" si="4"/>
        <v>2</v>
      </c>
      <c r="B58" s="47">
        <v>14</v>
      </c>
      <c r="C58" s="47"/>
      <c r="D58" s="47"/>
      <c r="E58" s="14">
        <v>9.99</v>
      </c>
      <c r="F58" s="14">
        <f t="shared" si="2"/>
        <v>139</v>
      </c>
      <c r="G58" s="36">
        <f>(E58+0.01)*F58*$AJ$2/100</f>
        <v>13900000</v>
      </c>
      <c r="H58" s="37">
        <f>SUM(G46:G58)</f>
        <v>31360000</v>
      </c>
      <c r="I58" s="17">
        <f>SUM(E46:E58)</f>
        <v>23.97</v>
      </c>
      <c r="J58" s="18">
        <f t="shared" si="5"/>
        <v>0</v>
      </c>
      <c r="K58" s="14" t="s">
        <v>2</v>
      </c>
      <c r="L58" s="29">
        <v>9</v>
      </c>
      <c r="M58" s="21">
        <f>G58</f>
        <v>13900000</v>
      </c>
      <c r="N58" s="36">
        <f>SUMIF(K58:K63,"="&amp;"金币",M58:M63)</f>
        <v>15908050</v>
      </c>
      <c r="O58" s="22">
        <f>N58/$AJ$2</f>
        <v>15.90805</v>
      </c>
      <c r="P58" s="60">
        <f t="shared" si="6"/>
        <v>0</v>
      </c>
      <c r="Q58" s="60">
        <f t="shared" si="7"/>
        <v>0</v>
      </c>
      <c r="R58" s="60">
        <f t="shared" si="8"/>
        <v>35</v>
      </c>
      <c r="S58" s="62" cm="1">
        <f t="array" ref="S58">_xlfn.IFNA(MATCH(SUMIFS(R:R,A:A,"="&amp;A58,B:B,"&lt;"&amp;(B58+1)),_xlfn._xlws.FILTER(AO:AO,AL:AL=A58),1),1)</f>
        <v>1</v>
      </c>
      <c r="T58" s="62">
        <f t="shared" si="0"/>
        <v>100</v>
      </c>
      <c r="U58" s="62" t="str">
        <f>_xlfn.IFNA(VLOOKUP(Q58,道具!B:C,2,FALSE),"")</f>
        <v/>
      </c>
      <c r="V58" s="62"/>
      <c r="W58" s="63">
        <f>IF(U58=1,J58*$AD$6,IF(U58=2,J58*$AJ$2,0))</f>
        <v>0</v>
      </c>
      <c r="X58" s="37">
        <f>SUM(N46:N58)+SUM(W46:W58)</f>
        <v>36856450</v>
      </c>
      <c r="Y58" s="66">
        <f>SUM(O46:O58)</f>
        <v>35.77771</v>
      </c>
      <c r="Z58" s="66">
        <f>SUM(W46:W58)</f>
        <v>1078740</v>
      </c>
      <c r="AA58" s="23">
        <f>X58/$AJ$2</f>
        <v>36.85645</v>
      </c>
      <c r="AB58" s="24">
        <f>X58/H58</f>
        <v>1.17526945153061</v>
      </c>
      <c r="AC58" s="25"/>
      <c r="AD58" s="25"/>
      <c r="AI58" s="42"/>
      <c r="AJ58" s="42"/>
    </row>
    <row r="59" spans="1:36">
      <c r="A59" s="46">
        <f t="shared" si="4"/>
        <v>2</v>
      </c>
      <c r="B59" s="47">
        <v>15</v>
      </c>
      <c r="C59" s="47"/>
      <c r="D59" s="47"/>
      <c r="E59" s="14"/>
      <c r="F59" s="14" t="str">
        <f t="shared" si="2"/>
        <v/>
      </c>
      <c r="G59" s="14"/>
      <c r="H59" s="30"/>
      <c r="I59" s="17"/>
      <c r="J59" s="18">
        <f t="shared" si="5"/>
        <v>0</v>
      </c>
      <c r="K59" s="19" t="s">
        <v>408</v>
      </c>
      <c r="L59" s="38">
        <v>3</v>
      </c>
      <c r="M59" s="21">
        <v>3</v>
      </c>
      <c r="N59" s="14"/>
      <c r="O59" s="22"/>
      <c r="P59" s="60">
        <f t="shared" si="6"/>
        <v>0</v>
      </c>
      <c r="Q59" s="60">
        <f t="shared" si="7"/>
        <v>0</v>
      </c>
      <c r="R59" s="60">
        <f t="shared" si="8"/>
        <v>0</v>
      </c>
      <c r="S59" s="62" cm="1">
        <f t="array" ref="S59">_xlfn.IFNA(MATCH(SUMIFS(R:R,A:A,"="&amp;A59,B:B,"&lt;"&amp;(B59+1)),_xlfn._xlws.FILTER(AO:AO,AL:AL=A59),1),1)</f>
        <v>1</v>
      </c>
      <c r="T59" s="62">
        <f t="shared" si="0"/>
        <v>100</v>
      </c>
      <c r="U59" s="62"/>
      <c r="V59" s="62"/>
      <c r="W59" s="63"/>
      <c r="X59" s="30"/>
      <c r="Y59" s="64"/>
      <c r="Z59" s="64"/>
      <c r="AA59" s="23"/>
      <c r="AB59" s="24"/>
      <c r="AC59" s="25"/>
      <c r="AD59" s="25"/>
      <c r="AI59" s="42"/>
      <c r="AJ59" s="42"/>
    </row>
    <row r="60" spans="1:36">
      <c r="A60" s="46">
        <f t="shared" si="4"/>
        <v>2</v>
      </c>
      <c r="B60" s="47">
        <v>16</v>
      </c>
      <c r="C60" s="47"/>
      <c r="D60" s="47"/>
      <c r="E60" s="14"/>
      <c r="F60" s="14" t="str">
        <f t="shared" si="2"/>
        <v/>
      </c>
      <c r="G60" s="14"/>
      <c r="H60" s="30"/>
      <c r="I60" s="17"/>
      <c r="J60" s="18">
        <v>0.1</v>
      </c>
      <c r="K60" s="19" t="s">
        <v>2</v>
      </c>
      <c r="L60" s="38">
        <v>17</v>
      </c>
      <c r="M60" s="21">
        <f>J60*$AD$49</f>
        <v>2008050</v>
      </c>
      <c r="N60" s="14"/>
      <c r="O60" s="22"/>
      <c r="P60" s="60">
        <f t="shared" si="6"/>
        <v>0</v>
      </c>
      <c r="Q60" s="60">
        <f t="shared" si="7"/>
        <v>0</v>
      </c>
      <c r="R60" s="60">
        <f t="shared" si="8"/>
        <v>0</v>
      </c>
      <c r="S60" s="62" cm="1">
        <f t="array" ref="S60">_xlfn.IFNA(MATCH(SUMIFS(R:R,A:A,"="&amp;A60,B:B,"&lt;"&amp;(B60+1)),_xlfn._xlws.FILTER(AO:AO,AL:AL=A60),1),1)</f>
        <v>1</v>
      </c>
      <c r="T60" s="62">
        <f t="shared" si="0"/>
        <v>100</v>
      </c>
      <c r="U60" s="62"/>
      <c r="V60" s="62"/>
      <c r="W60" s="63"/>
      <c r="X60" s="30"/>
      <c r="Y60" s="64"/>
      <c r="Z60" s="64"/>
      <c r="AA60" s="23"/>
      <c r="AB60" s="24"/>
      <c r="AC60" s="25"/>
      <c r="AD60" s="25"/>
      <c r="AI60" s="42"/>
      <c r="AJ60" s="42"/>
    </row>
    <row r="61" spans="1:36">
      <c r="A61" s="46">
        <f t="shared" si="4"/>
        <v>2</v>
      </c>
      <c r="B61" s="47">
        <v>17</v>
      </c>
      <c r="C61" s="47"/>
      <c r="D61" s="47"/>
      <c r="E61" s="14"/>
      <c r="F61" s="14" t="str">
        <f t="shared" si="2"/>
        <v/>
      </c>
      <c r="G61" s="14"/>
      <c r="H61" s="30"/>
      <c r="I61" s="17"/>
      <c r="J61" s="18">
        <f t="shared" ref="J61:J71" si="9">J18</f>
        <v>0</v>
      </c>
      <c r="K61" s="19" t="s">
        <v>461</v>
      </c>
      <c r="L61" s="38">
        <v>4</v>
      </c>
      <c r="M61" s="21">
        <v>1</v>
      </c>
      <c r="N61" s="14"/>
      <c r="O61" s="22"/>
      <c r="P61" s="60">
        <f t="shared" si="6"/>
        <v>0</v>
      </c>
      <c r="Q61" s="60">
        <f t="shared" si="7"/>
        <v>0</v>
      </c>
      <c r="R61" s="60">
        <f t="shared" si="8"/>
        <v>25</v>
      </c>
      <c r="S61" s="62" cm="1">
        <f t="array" ref="S61">_xlfn.IFNA(MATCH(SUMIFS(R:R,A:A,"="&amp;A61,B:B,"&lt;"&amp;(B61+1)),_xlfn._xlws.FILTER(AO:AO,AL:AL=A61),1),1)</f>
        <v>1</v>
      </c>
      <c r="T61" s="62">
        <f t="shared" si="0"/>
        <v>125</v>
      </c>
      <c r="U61" s="62"/>
      <c r="V61" s="62"/>
      <c r="W61" s="63"/>
      <c r="X61" s="30"/>
      <c r="Y61" s="64"/>
      <c r="Z61" s="64"/>
      <c r="AA61" s="23"/>
      <c r="AB61" s="24"/>
      <c r="AC61" s="25"/>
      <c r="AD61" s="25"/>
      <c r="AI61" s="42"/>
      <c r="AJ61" s="42"/>
    </row>
    <row r="62" spans="1:36">
      <c r="A62" s="46">
        <f t="shared" si="4"/>
        <v>2</v>
      </c>
      <c r="B62" s="47">
        <v>18</v>
      </c>
      <c r="C62" s="47"/>
      <c r="D62" s="47"/>
      <c r="E62" s="14"/>
      <c r="F62" s="14" t="str">
        <f t="shared" si="2"/>
        <v/>
      </c>
      <c r="G62" s="14"/>
      <c r="H62" s="30"/>
      <c r="I62" s="17"/>
      <c r="J62" s="18">
        <f t="shared" si="9"/>
        <v>0</v>
      </c>
      <c r="K62" s="19" t="s">
        <v>453</v>
      </c>
      <c r="L62" s="38">
        <v>3</v>
      </c>
      <c r="M62" s="21">
        <v>15</v>
      </c>
      <c r="N62" s="14"/>
      <c r="O62" s="22"/>
      <c r="P62" s="60">
        <f t="shared" si="6"/>
        <v>0</v>
      </c>
      <c r="Q62" s="60">
        <f t="shared" si="7"/>
        <v>0</v>
      </c>
      <c r="R62" s="60">
        <f t="shared" si="8"/>
        <v>0</v>
      </c>
      <c r="S62" s="62" cm="1">
        <f t="array" ref="S62">_xlfn.IFNA(MATCH(SUMIFS(R:R,A:A,"="&amp;A62,B:B,"&lt;"&amp;(B62+1)),_xlfn._xlws.FILTER(AO:AO,AL:AL=A62),1),1)</f>
        <v>1</v>
      </c>
      <c r="T62" s="62">
        <f t="shared" si="0"/>
        <v>125</v>
      </c>
      <c r="U62" s="62"/>
      <c r="V62" s="62"/>
      <c r="W62" s="63"/>
      <c r="X62" s="30"/>
      <c r="Y62" s="64"/>
      <c r="Z62" s="64"/>
      <c r="AA62" s="23"/>
      <c r="AB62" s="24"/>
      <c r="AC62" s="25"/>
      <c r="AD62" s="25"/>
      <c r="AI62" s="42"/>
      <c r="AJ62" s="42"/>
    </row>
    <row r="63" spans="1:36">
      <c r="A63" s="46">
        <f t="shared" si="4"/>
        <v>2</v>
      </c>
      <c r="B63" s="47">
        <v>19</v>
      </c>
      <c r="C63" s="47"/>
      <c r="D63" s="47"/>
      <c r="E63" s="14"/>
      <c r="F63" s="14" t="str">
        <f t="shared" si="2"/>
        <v/>
      </c>
      <c r="G63" s="14"/>
      <c r="H63" s="30"/>
      <c r="I63" s="17"/>
      <c r="J63" s="18">
        <f t="shared" si="9"/>
        <v>0</v>
      </c>
      <c r="K63" t="s">
        <v>424</v>
      </c>
      <c r="L63" s="38">
        <v>3</v>
      </c>
      <c r="M63" s="21">
        <v>1</v>
      </c>
      <c r="N63" s="14"/>
      <c r="O63" s="22"/>
      <c r="P63" s="60">
        <f t="shared" si="6"/>
        <v>0</v>
      </c>
      <c r="Q63" s="60">
        <f t="shared" si="7"/>
        <v>0</v>
      </c>
      <c r="R63" s="60">
        <f t="shared" si="8"/>
        <v>0</v>
      </c>
      <c r="S63" s="62" cm="1">
        <f t="array" ref="S63">_xlfn.IFNA(MATCH(SUMIFS(R:R,A:A,"="&amp;A63,B:B,"&lt;"&amp;(B63+1)),_xlfn._xlws.FILTER(AO:AO,AL:AL=A63),1),1)</f>
        <v>1</v>
      </c>
      <c r="T63" s="62">
        <f t="shared" si="0"/>
        <v>125</v>
      </c>
      <c r="U63" s="62"/>
      <c r="V63" s="62"/>
      <c r="W63" s="63"/>
      <c r="X63" s="30"/>
      <c r="Y63" s="64"/>
      <c r="Z63" s="64"/>
      <c r="AA63" s="23"/>
      <c r="AB63" s="24"/>
      <c r="AC63" s="25"/>
      <c r="AD63" s="25"/>
      <c r="AI63" s="42"/>
      <c r="AJ63" s="42"/>
    </row>
    <row r="64" spans="1:36">
      <c r="A64" s="46">
        <f t="shared" si="4"/>
        <v>2</v>
      </c>
      <c r="B64" s="47">
        <v>20</v>
      </c>
      <c r="C64" s="47"/>
      <c r="D64" s="47"/>
      <c r="E64" s="14">
        <v>12.99</v>
      </c>
      <c r="F64" s="14">
        <f t="shared" si="2"/>
        <v>149</v>
      </c>
      <c r="G64" s="36">
        <f>(E64+0.01)*F64*$AJ$2/100</f>
        <v>19370000</v>
      </c>
      <c r="H64" s="37">
        <f>SUM(G46:G64)</f>
        <v>50730000</v>
      </c>
      <c r="I64" s="17">
        <f>SUM(E46:E64)</f>
        <v>36.96</v>
      </c>
      <c r="J64" s="18">
        <f t="shared" si="9"/>
        <v>0.24</v>
      </c>
      <c r="K64" s="14" t="s">
        <v>2</v>
      </c>
      <c r="L64" s="29">
        <v>9</v>
      </c>
      <c r="M64" s="21">
        <f>G64</f>
        <v>19370000</v>
      </c>
      <c r="N64" s="36">
        <f>SUMIF(K64:K69,"="&amp;"金币",M64:M69)</f>
        <v>20976440</v>
      </c>
      <c r="O64" s="22">
        <f>N64/$AJ$2</f>
        <v>20.97644</v>
      </c>
      <c r="P64" s="60">
        <f t="shared" si="6"/>
        <v>2</v>
      </c>
      <c r="Q64" s="60" t="str">
        <f t="shared" si="7"/>
        <v>金币</v>
      </c>
      <c r="R64" s="60">
        <f t="shared" si="8"/>
        <v>0</v>
      </c>
      <c r="S64" s="62" cm="1">
        <f t="array" ref="S64">_xlfn.IFNA(MATCH(SUMIFS(R:R,A:A,"="&amp;A64,B:B,"&lt;"&amp;(B64+1)),_xlfn._xlws.FILTER(AO:AO,AL:AL=A64),1),1)</f>
        <v>1</v>
      </c>
      <c r="T64" s="62">
        <f t="shared" si="0"/>
        <v>125</v>
      </c>
      <c r="U64" s="62">
        <f>_xlfn.IFNA(VLOOKUP(Q64,道具!B:C,2,FALSE),"")</f>
        <v>1</v>
      </c>
      <c r="V64" s="62">
        <f>IF(U64=1,CEILING(W64*100/$AJ$2,5),IF(U64=2,J64*100,0))</f>
        <v>220</v>
      </c>
      <c r="W64" s="63">
        <f>IF(U64=1,J64*$AD$6,IF(U64=2,J64*$AJ$2,0))</f>
        <v>2157480</v>
      </c>
      <c r="X64" s="37">
        <f>SUM(N46:N64)+SUM(W46:W64)</f>
        <v>59990370</v>
      </c>
      <c r="Y64" s="66">
        <f>SUM(O46:O64)</f>
        <v>56.75415</v>
      </c>
      <c r="Z64" s="66">
        <f>SUM(W46:W64)</f>
        <v>3236220</v>
      </c>
      <c r="AA64" s="23">
        <f>X64/$AJ$2</f>
        <v>59.99037</v>
      </c>
      <c r="AB64" s="24">
        <f>X64/H64</f>
        <v>1.18254228267297</v>
      </c>
      <c r="AC64" s="25"/>
      <c r="AD64" s="25"/>
      <c r="AI64" s="42"/>
      <c r="AJ64" s="42"/>
    </row>
    <row r="65" spans="1:36">
      <c r="A65" s="46">
        <f t="shared" si="4"/>
        <v>2</v>
      </c>
      <c r="B65" s="47">
        <v>21</v>
      </c>
      <c r="C65" s="47"/>
      <c r="D65" s="47"/>
      <c r="E65" s="14"/>
      <c r="F65" s="14" t="str">
        <f t="shared" si="2"/>
        <v/>
      </c>
      <c r="G65" s="14"/>
      <c r="H65" s="30"/>
      <c r="I65" s="17"/>
      <c r="J65" s="18">
        <f t="shared" si="9"/>
        <v>0</v>
      </c>
      <c r="K65" s="19" t="s">
        <v>408</v>
      </c>
      <c r="L65" s="38">
        <v>3</v>
      </c>
      <c r="M65" s="21">
        <v>4</v>
      </c>
      <c r="N65" s="14"/>
      <c r="O65" s="22"/>
      <c r="P65" s="60">
        <f t="shared" si="6"/>
        <v>0</v>
      </c>
      <c r="Q65" s="60">
        <f t="shared" si="7"/>
        <v>0</v>
      </c>
      <c r="R65" s="60">
        <f t="shared" si="8"/>
        <v>0</v>
      </c>
      <c r="S65" s="62" cm="1">
        <f t="array" ref="S65">_xlfn.IFNA(MATCH(SUMIFS(R:R,A:A,"="&amp;A65,B:B,"&lt;"&amp;(B65+1)),_xlfn._xlws.FILTER(AO:AO,AL:AL=A65),1),1)</f>
        <v>1</v>
      </c>
      <c r="T65" s="62">
        <f t="shared" si="0"/>
        <v>125</v>
      </c>
      <c r="U65" s="62"/>
      <c r="V65" s="62"/>
      <c r="W65" s="63"/>
      <c r="X65" s="30"/>
      <c r="Y65" s="64"/>
      <c r="Z65" s="64"/>
      <c r="AA65" s="23"/>
      <c r="AB65" s="24"/>
      <c r="AC65" s="25"/>
      <c r="AD65" s="25"/>
      <c r="AI65" s="42"/>
      <c r="AJ65" s="42"/>
    </row>
    <row r="66" spans="1:36">
      <c r="A66" s="46">
        <f t="shared" si="4"/>
        <v>2</v>
      </c>
      <c r="B66" s="47">
        <v>22</v>
      </c>
      <c r="C66" s="47"/>
      <c r="D66" s="47"/>
      <c r="E66" s="14"/>
      <c r="F66" s="14" t="str">
        <f t="shared" si="2"/>
        <v/>
      </c>
      <c r="G66" s="14"/>
      <c r="H66" s="30"/>
      <c r="I66" s="17"/>
      <c r="J66" s="18">
        <f t="shared" si="9"/>
        <v>0.08</v>
      </c>
      <c r="K66" s="19" t="s">
        <v>2</v>
      </c>
      <c r="L66" s="38">
        <v>17</v>
      </c>
      <c r="M66" s="21">
        <f>J66*$AD$49</f>
        <v>1606440</v>
      </c>
      <c r="N66" s="14"/>
      <c r="O66" s="22"/>
      <c r="P66" s="60">
        <f t="shared" si="6"/>
        <v>0</v>
      </c>
      <c r="Q66" s="60">
        <f t="shared" si="7"/>
        <v>0</v>
      </c>
      <c r="R66" s="60">
        <f t="shared" si="8"/>
        <v>0</v>
      </c>
      <c r="S66" s="62" cm="1">
        <f t="array" ref="S66">_xlfn.IFNA(MATCH(SUMIFS(R:R,A:A,"="&amp;A66,B:B,"&lt;"&amp;(B66+1)),_xlfn._xlws.FILTER(AO:AO,AL:AL=A66),1),1)</f>
        <v>1</v>
      </c>
      <c r="T66" s="62">
        <f t="shared" ref="T66:T129" si="10">SUMIFS(R:R,A:A,"="&amp;A66,B:B,"&lt;"&amp;(B66+1))</f>
        <v>125</v>
      </c>
      <c r="U66" s="62"/>
      <c r="V66" s="62"/>
      <c r="W66" s="63"/>
      <c r="X66" s="30"/>
      <c r="Y66" s="64"/>
      <c r="Z66" s="64"/>
      <c r="AA66" s="23"/>
      <c r="AB66" s="24"/>
      <c r="AC66" s="25"/>
      <c r="AD66" s="25"/>
      <c r="AI66" s="42"/>
      <c r="AJ66" s="42"/>
    </row>
    <row r="67" spans="1:36">
      <c r="A67" s="46">
        <f t="shared" si="4"/>
        <v>2</v>
      </c>
      <c r="B67" s="47">
        <v>23</v>
      </c>
      <c r="C67" s="47"/>
      <c r="D67" s="47"/>
      <c r="E67" s="14"/>
      <c r="F67" s="14" t="str">
        <f t="shared" ref="F67:F130" si="11">IFERROR(VLOOKUP(ROUND(E67*100,0),AF:AG,2,FALSE),"")</f>
        <v/>
      </c>
      <c r="G67" s="14"/>
      <c r="H67" s="30"/>
      <c r="I67" s="17"/>
      <c r="J67" s="18">
        <f t="shared" si="9"/>
        <v>0</v>
      </c>
      <c r="K67" s="19" t="s">
        <v>461</v>
      </c>
      <c r="L67" s="38">
        <v>4</v>
      </c>
      <c r="M67" s="21">
        <v>1</v>
      </c>
      <c r="N67" s="14"/>
      <c r="O67" s="22"/>
      <c r="P67" s="60">
        <f t="shared" si="6"/>
        <v>0</v>
      </c>
      <c r="Q67" s="60">
        <f t="shared" si="7"/>
        <v>0</v>
      </c>
      <c r="R67" s="60">
        <f t="shared" si="8"/>
        <v>15</v>
      </c>
      <c r="S67" s="62" cm="1">
        <f t="array" ref="S67">_xlfn.IFNA(MATCH(SUMIFS(R:R,A:A,"="&amp;A67,B:B,"&lt;"&amp;(B67+1)),_xlfn._xlws.FILTER(AO:AO,AL:AL=A67),1),1)</f>
        <v>1</v>
      </c>
      <c r="T67" s="62">
        <f t="shared" si="10"/>
        <v>140</v>
      </c>
      <c r="U67" s="62"/>
      <c r="V67" s="62"/>
      <c r="W67" s="63"/>
      <c r="X67" s="30"/>
      <c r="Y67" s="64"/>
      <c r="Z67" s="64"/>
      <c r="AA67" s="23"/>
      <c r="AB67" s="24"/>
      <c r="AC67" s="25"/>
      <c r="AD67" s="25"/>
      <c r="AI67" s="42"/>
      <c r="AJ67" s="42"/>
    </row>
    <row r="68" spans="1:36">
      <c r="A68" s="46">
        <f t="shared" si="4"/>
        <v>2</v>
      </c>
      <c r="B68" s="47">
        <v>24</v>
      </c>
      <c r="C68" s="47"/>
      <c r="D68" s="47"/>
      <c r="E68" s="14"/>
      <c r="F68" s="14" t="str">
        <f t="shared" si="11"/>
        <v/>
      </c>
      <c r="G68" s="14"/>
      <c r="H68" s="30"/>
      <c r="I68" s="17"/>
      <c r="J68" s="18">
        <f t="shared" si="9"/>
        <v>0</v>
      </c>
      <c r="K68" s="19" t="s">
        <v>453</v>
      </c>
      <c r="L68" s="38">
        <v>3</v>
      </c>
      <c r="M68" s="21">
        <v>20</v>
      </c>
      <c r="N68" s="14"/>
      <c r="O68" s="22"/>
      <c r="P68" s="60">
        <f t="shared" si="6"/>
        <v>0</v>
      </c>
      <c r="Q68" s="60">
        <f t="shared" si="7"/>
        <v>0</v>
      </c>
      <c r="R68" s="60">
        <f t="shared" si="8"/>
        <v>0</v>
      </c>
      <c r="S68" s="62" cm="1">
        <f t="array" ref="S68">_xlfn.IFNA(MATCH(SUMIFS(R:R,A:A,"="&amp;A68,B:B,"&lt;"&amp;(B68+1)),_xlfn._xlws.FILTER(AO:AO,AL:AL=A68),1),1)</f>
        <v>1</v>
      </c>
      <c r="T68" s="62">
        <f t="shared" si="10"/>
        <v>140</v>
      </c>
      <c r="U68" s="62"/>
      <c r="V68" s="62"/>
      <c r="W68" s="63"/>
      <c r="X68" s="30"/>
      <c r="Y68" s="64"/>
      <c r="Z68" s="64"/>
      <c r="AA68" s="23"/>
      <c r="AB68" s="24"/>
      <c r="AC68" s="25"/>
      <c r="AD68" s="25"/>
      <c r="AI68" s="42"/>
      <c r="AJ68" s="42"/>
    </row>
    <row r="69" spans="1:36">
      <c r="A69" s="46">
        <f t="shared" si="4"/>
        <v>2</v>
      </c>
      <c r="B69" s="47">
        <v>25</v>
      </c>
      <c r="C69" s="47"/>
      <c r="D69" s="47"/>
      <c r="E69" s="14"/>
      <c r="F69" s="14" t="str">
        <f t="shared" si="11"/>
        <v/>
      </c>
      <c r="G69" s="14"/>
      <c r="H69" s="30"/>
      <c r="I69" s="17"/>
      <c r="J69" s="18">
        <f t="shared" si="9"/>
        <v>0</v>
      </c>
      <c r="K69" t="s">
        <v>426</v>
      </c>
      <c r="L69" s="38">
        <v>3</v>
      </c>
      <c r="M69" s="21">
        <v>1</v>
      </c>
      <c r="N69" s="14"/>
      <c r="O69" s="22"/>
      <c r="P69" s="60">
        <f t="shared" si="6"/>
        <v>0</v>
      </c>
      <c r="Q69" s="60">
        <f t="shared" si="7"/>
        <v>0</v>
      </c>
      <c r="R69" s="60">
        <f t="shared" si="8"/>
        <v>0</v>
      </c>
      <c r="S69" s="62" cm="1">
        <f t="array" ref="S69">_xlfn.IFNA(MATCH(SUMIFS(R:R,A:A,"="&amp;A69,B:B,"&lt;"&amp;(B69+1)),_xlfn._xlws.FILTER(AO:AO,AL:AL=A69),1),1)</f>
        <v>1</v>
      </c>
      <c r="T69" s="62">
        <f t="shared" si="10"/>
        <v>140</v>
      </c>
      <c r="U69" s="62"/>
      <c r="V69" s="62"/>
      <c r="W69" s="63"/>
      <c r="X69" s="30"/>
      <c r="Y69" s="64"/>
      <c r="Z69" s="64"/>
      <c r="AA69" s="23"/>
      <c r="AB69" s="24"/>
      <c r="AC69" s="25"/>
      <c r="AD69" s="25"/>
      <c r="AI69" s="42"/>
      <c r="AJ69" s="42"/>
    </row>
    <row r="70" spans="1:36">
      <c r="A70" s="46">
        <f t="shared" si="4"/>
        <v>2</v>
      </c>
      <c r="B70" s="47">
        <v>26</v>
      </c>
      <c r="C70" s="47"/>
      <c r="D70" s="47"/>
      <c r="E70" s="14">
        <v>14.99</v>
      </c>
      <c r="F70" s="14">
        <f t="shared" si="11"/>
        <v>154</v>
      </c>
      <c r="G70" s="36">
        <f>(E70+0.01)*F70*$AJ$2/100</f>
        <v>23100000</v>
      </c>
      <c r="H70" s="37">
        <f>SUM(G46:G70)</f>
        <v>73830000</v>
      </c>
      <c r="I70" s="17">
        <f>SUM(E46:E70)</f>
        <v>51.95</v>
      </c>
      <c r="J70" s="18">
        <f t="shared" si="9"/>
        <v>0</v>
      </c>
      <c r="K70" s="14" t="s">
        <v>2</v>
      </c>
      <c r="L70" s="29">
        <v>9</v>
      </c>
      <c r="M70" s="21">
        <f>G70</f>
        <v>23100000</v>
      </c>
      <c r="N70" s="36">
        <f>SUMIF(K70:K75,"="&amp;"金币",M70:M75)</f>
        <v>24104025</v>
      </c>
      <c r="O70" s="22">
        <f>N70/$AJ$2</f>
        <v>24.104025</v>
      </c>
      <c r="P70" s="60">
        <f t="shared" si="6"/>
        <v>0</v>
      </c>
      <c r="Q70" s="60">
        <f t="shared" si="7"/>
        <v>0</v>
      </c>
      <c r="R70" s="60">
        <f t="shared" si="8"/>
        <v>10</v>
      </c>
      <c r="S70" s="62" cm="1">
        <f t="array" ref="S70">_xlfn.IFNA(MATCH(SUMIFS(R:R,A:A,"="&amp;A70,B:B,"&lt;"&amp;(B70+1)),_xlfn._xlws.FILTER(AO:AO,AL:AL=A70),1),1)</f>
        <v>2</v>
      </c>
      <c r="T70" s="62">
        <f t="shared" si="10"/>
        <v>150</v>
      </c>
      <c r="U70" s="62" t="str">
        <f>_xlfn.IFNA(VLOOKUP(Q70,道具!B:C,2,FALSE),"")</f>
        <v/>
      </c>
      <c r="V70" s="62">
        <f>IF(U70=1,CEILING(W70*100/$AJ$2,5),IF(U70=2,J70*100,0))</f>
        <v>0</v>
      </c>
      <c r="W70" s="63">
        <f>IF(U70=1,J70*$AD$6,IF(U70=2,J70*$AJ$2,0))</f>
        <v>0</v>
      </c>
      <c r="X70" s="37">
        <f>SUM(N46:N70)+SUM(W46:W70)</f>
        <v>84094395</v>
      </c>
      <c r="Y70" s="66">
        <f>SUM(O46:O70)</f>
        <v>80.858175</v>
      </c>
      <c r="Z70" s="66">
        <f>SUM(W46:W70)</f>
        <v>3236220</v>
      </c>
      <c r="AA70" s="23">
        <f>X70/$AJ$2</f>
        <v>84.094395</v>
      </c>
      <c r="AB70" s="24">
        <f>X70/H70</f>
        <v>1.13902742787485</v>
      </c>
      <c r="AC70" s="25"/>
      <c r="AD70" s="25"/>
      <c r="AI70" s="42"/>
      <c r="AJ70" s="42"/>
    </row>
    <row r="71" spans="1:36">
      <c r="A71" s="46">
        <f t="shared" si="4"/>
        <v>2</v>
      </c>
      <c r="B71" s="47">
        <v>27</v>
      </c>
      <c r="C71" s="47"/>
      <c r="D71" s="47"/>
      <c r="E71" s="14"/>
      <c r="F71" s="14" t="str">
        <f t="shared" si="11"/>
        <v/>
      </c>
      <c r="G71" s="14"/>
      <c r="H71" s="30"/>
      <c r="I71" s="17"/>
      <c r="J71" s="18">
        <f t="shared" si="9"/>
        <v>0</v>
      </c>
      <c r="K71" s="19" t="s">
        <v>408</v>
      </c>
      <c r="L71" s="38">
        <v>3</v>
      </c>
      <c r="M71" s="21">
        <v>5</v>
      </c>
      <c r="N71" s="14"/>
      <c r="O71" s="22"/>
      <c r="P71" s="60">
        <f t="shared" si="6"/>
        <v>0</v>
      </c>
      <c r="Q71" s="60">
        <f t="shared" si="7"/>
        <v>0</v>
      </c>
      <c r="R71" s="60">
        <f t="shared" si="8"/>
        <v>0</v>
      </c>
      <c r="S71" s="62" cm="1">
        <f t="array" ref="S71">_xlfn.IFNA(MATCH(SUMIFS(R:R,A:A,"="&amp;A71,B:B,"&lt;"&amp;(B71+1)),_xlfn._xlws.FILTER(AO:AO,AL:AL=A71),1),1)</f>
        <v>2</v>
      </c>
      <c r="T71" s="62">
        <f t="shared" si="10"/>
        <v>150</v>
      </c>
      <c r="U71" s="62"/>
      <c r="V71" s="62"/>
      <c r="W71" s="63"/>
      <c r="X71" s="30"/>
      <c r="Y71" s="64"/>
      <c r="Z71" s="64"/>
      <c r="AA71" s="23"/>
      <c r="AB71" s="24"/>
      <c r="AC71" s="25"/>
      <c r="AD71" s="25"/>
      <c r="AI71" s="42"/>
      <c r="AJ71" s="42"/>
    </row>
    <row r="72" spans="1:36">
      <c r="A72" s="46">
        <f t="shared" si="4"/>
        <v>2</v>
      </c>
      <c r="B72" s="47">
        <v>28</v>
      </c>
      <c r="C72" s="47"/>
      <c r="D72" s="47"/>
      <c r="E72" s="14"/>
      <c r="F72" s="14" t="str">
        <f t="shared" si="11"/>
        <v/>
      </c>
      <c r="G72" s="14"/>
      <c r="H72" s="30"/>
      <c r="I72" s="17"/>
      <c r="J72" s="18">
        <v>0.05</v>
      </c>
      <c r="K72" s="19" t="s">
        <v>2</v>
      </c>
      <c r="L72" s="38">
        <v>17</v>
      </c>
      <c r="M72" s="21">
        <f>J72*$AD$49</f>
        <v>1004025</v>
      </c>
      <c r="N72" s="14"/>
      <c r="O72" s="22"/>
      <c r="P72" s="60">
        <f t="shared" si="6"/>
        <v>0</v>
      </c>
      <c r="Q72" s="60">
        <f t="shared" si="7"/>
        <v>0</v>
      </c>
      <c r="R72" s="60">
        <f t="shared" si="8"/>
        <v>0</v>
      </c>
      <c r="S72" s="62" cm="1">
        <f t="array" ref="S72">_xlfn.IFNA(MATCH(SUMIFS(R:R,A:A,"="&amp;A72,B:B,"&lt;"&amp;(B72+1)),_xlfn._xlws.FILTER(AO:AO,AL:AL=A72),1),1)</f>
        <v>2</v>
      </c>
      <c r="T72" s="62">
        <f t="shared" si="10"/>
        <v>150</v>
      </c>
      <c r="U72" s="62"/>
      <c r="V72" s="62"/>
      <c r="W72" s="63"/>
      <c r="X72" s="30"/>
      <c r="Y72" s="64"/>
      <c r="Z72" s="64"/>
      <c r="AA72" s="23"/>
      <c r="AB72" s="24"/>
      <c r="AC72" s="25"/>
      <c r="AD72" s="25"/>
      <c r="AI72" s="42"/>
      <c r="AJ72" s="42"/>
    </row>
    <row r="73" spans="1:36">
      <c r="A73" s="46">
        <f t="shared" si="4"/>
        <v>2</v>
      </c>
      <c r="B73" s="47">
        <v>29</v>
      </c>
      <c r="C73" s="47"/>
      <c r="D73" s="47"/>
      <c r="E73" s="14"/>
      <c r="F73" s="14" t="str">
        <f t="shared" si="11"/>
        <v/>
      </c>
      <c r="G73" s="14"/>
      <c r="H73" s="30"/>
      <c r="I73" s="17"/>
      <c r="J73" s="18">
        <f t="shared" ref="J73:J136" si="12">J30</f>
        <v>0</v>
      </c>
      <c r="K73" s="19" t="s">
        <v>463</v>
      </c>
      <c r="L73" s="38">
        <v>4</v>
      </c>
      <c r="M73" s="21">
        <v>1</v>
      </c>
      <c r="N73" s="14"/>
      <c r="O73" s="22"/>
      <c r="P73" s="60">
        <f t="shared" si="6"/>
        <v>0</v>
      </c>
      <c r="Q73" s="60">
        <f t="shared" si="7"/>
        <v>0</v>
      </c>
      <c r="R73" s="60">
        <f t="shared" si="8"/>
        <v>25</v>
      </c>
      <c r="S73" s="62" cm="1">
        <f t="array" ref="S73">_xlfn.IFNA(MATCH(SUMIFS(R:R,A:A,"="&amp;A73,B:B,"&lt;"&amp;(B73+1)),_xlfn._xlws.FILTER(AO:AO,AL:AL=A73),1),1)</f>
        <v>2</v>
      </c>
      <c r="T73" s="62">
        <f t="shared" si="10"/>
        <v>175</v>
      </c>
      <c r="U73" s="62"/>
      <c r="V73" s="62"/>
      <c r="W73" s="63"/>
      <c r="X73" s="30"/>
      <c r="Y73" s="64"/>
      <c r="Z73" s="64"/>
      <c r="AA73" s="23"/>
      <c r="AB73" s="24"/>
      <c r="AC73" s="25"/>
      <c r="AD73" s="25"/>
      <c r="AI73" s="42"/>
      <c r="AJ73" s="42"/>
    </row>
    <row r="74" spans="1:36">
      <c r="A74" s="46">
        <f t="shared" si="4"/>
        <v>2</v>
      </c>
      <c r="B74" s="47">
        <v>30</v>
      </c>
      <c r="C74" s="47"/>
      <c r="D74" s="47"/>
      <c r="E74" s="14"/>
      <c r="F74" s="14" t="str">
        <f t="shared" si="11"/>
        <v/>
      </c>
      <c r="G74" s="14"/>
      <c r="H74" s="30"/>
      <c r="I74" s="17"/>
      <c r="J74" s="18">
        <f t="shared" si="12"/>
        <v>0</v>
      </c>
      <c r="K74" s="19" t="s">
        <v>453</v>
      </c>
      <c r="L74" s="38">
        <v>3</v>
      </c>
      <c r="M74" s="21">
        <v>25</v>
      </c>
      <c r="N74" s="14"/>
      <c r="O74" s="22"/>
      <c r="P74" s="60">
        <f t="shared" si="6"/>
        <v>0</v>
      </c>
      <c r="Q74" s="60">
        <f t="shared" si="7"/>
        <v>0</v>
      </c>
      <c r="R74" s="60">
        <f t="shared" si="8"/>
        <v>0</v>
      </c>
      <c r="S74" s="62" cm="1">
        <f t="array" ref="S74">_xlfn.IFNA(MATCH(SUMIFS(R:R,A:A,"="&amp;A74,B:B,"&lt;"&amp;(B74+1)),_xlfn._xlws.FILTER(AO:AO,AL:AL=A74),1),1)</f>
        <v>2</v>
      </c>
      <c r="T74" s="62">
        <f t="shared" si="10"/>
        <v>175</v>
      </c>
      <c r="U74" s="62"/>
      <c r="V74" s="62"/>
      <c r="W74" s="63"/>
      <c r="X74" s="30"/>
      <c r="Y74" s="64"/>
      <c r="Z74" s="64"/>
      <c r="AA74" s="23"/>
      <c r="AB74" s="24"/>
      <c r="AC74" s="25"/>
      <c r="AD74" s="25"/>
      <c r="AI74" s="42"/>
      <c r="AJ74" s="42"/>
    </row>
    <row r="75" spans="1:36">
      <c r="A75" s="46">
        <f t="shared" si="4"/>
        <v>2</v>
      </c>
      <c r="B75" s="47">
        <v>31</v>
      </c>
      <c r="C75" s="47"/>
      <c r="D75" s="47"/>
      <c r="E75" s="14"/>
      <c r="F75" s="14" t="str">
        <f t="shared" si="11"/>
        <v/>
      </c>
      <c r="G75" s="14"/>
      <c r="H75" s="30"/>
      <c r="I75" s="17"/>
      <c r="J75" s="18">
        <f t="shared" si="12"/>
        <v>0</v>
      </c>
      <c r="K75" t="s">
        <v>424</v>
      </c>
      <c r="L75" s="38">
        <v>3</v>
      </c>
      <c r="M75" s="21">
        <v>1</v>
      </c>
      <c r="N75" s="14"/>
      <c r="O75" s="22"/>
      <c r="P75" s="60">
        <f t="shared" si="6"/>
        <v>0</v>
      </c>
      <c r="Q75" s="60">
        <f t="shared" si="7"/>
        <v>0</v>
      </c>
      <c r="R75" s="60">
        <f t="shared" si="8"/>
        <v>0</v>
      </c>
      <c r="S75" s="62" cm="1">
        <f t="array" ref="S75">_xlfn.IFNA(MATCH(SUMIFS(R:R,A:A,"="&amp;A75,B:B,"&lt;"&amp;(B75+1)),_xlfn._xlws.FILTER(AO:AO,AL:AL=A75),1),1)</f>
        <v>2</v>
      </c>
      <c r="T75" s="62">
        <f t="shared" si="10"/>
        <v>175</v>
      </c>
      <c r="U75" s="62"/>
      <c r="V75" s="62"/>
      <c r="W75" s="63"/>
      <c r="X75" s="30"/>
      <c r="Y75" s="64"/>
      <c r="Z75" s="64"/>
      <c r="AA75" s="23"/>
      <c r="AB75" s="24"/>
      <c r="AC75" s="25"/>
      <c r="AD75" s="25"/>
      <c r="AI75" s="42"/>
      <c r="AJ75" s="42"/>
    </row>
    <row r="76" spans="1:36">
      <c r="A76" s="46">
        <f t="shared" si="4"/>
        <v>2</v>
      </c>
      <c r="B76" s="47">
        <v>32</v>
      </c>
      <c r="C76" s="47"/>
      <c r="D76" s="47"/>
      <c r="E76" s="14">
        <v>17.99</v>
      </c>
      <c r="F76" s="14">
        <f t="shared" si="11"/>
        <v>158</v>
      </c>
      <c r="G76" s="36">
        <f>(E76+0.01)*F76*$AJ$2/100</f>
        <v>28440000</v>
      </c>
      <c r="H76" s="37">
        <f>SUM(G46:G76)</f>
        <v>102270000</v>
      </c>
      <c r="I76" s="17">
        <f>SUM(E46:E76)</f>
        <v>69.94</v>
      </c>
      <c r="J76" s="18">
        <f t="shared" si="12"/>
        <v>0</v>
      </c>
      <c r="K76" s="14" t="s">
        <v>2</v>
      </c>
      <c r="L76" s="29">
        <v>9</v>
      </c>
      <c r="M76" s="21">
        <f>G76</f>
        <v>28440000</v>
      </c>
      <c r="N76" s="36">
        <f>SUMIF(K76:K81,"="&amp;"金币",M76:M81)</f>
        <v>30849660</v>
      </c>
      <c r="O76" s="22">
        <f>N76/$AJ$2</f>
        <v>30.84966</v>
      </c>
      <c r="P76" s="60">
        <f t="shared" si="6"/>
        <v>0</v>
      </c>
      <c r="Q76" s="60">
        <f t="shared" si="7"/>
        <v>0</v>
      </c>
      <c r="R76" s="60">
        <f t="shared" si="8"/>
        <v>25</v>
      </c>
      <c r="S76" s="62" cm="1">
        <f t="array" ref="S76">_xlfn.IFNA(MATCH(SUMIFS(R:R,A:A,"="&amp;A76,B:B,"&lt;"&amp;(B76+1)),_xlfn._xlws.FILTER(AO:AO,AL:AL=A76),1),1)</f>
        <v>2</v>
      </c>
      <c r="T76" s="62">
        <f t="shared" si="10"/>
        <v>200</v>
      </c>
      <c r="U76" s="62" t="str">
        <f>_xlfn.IFNA(VLOOKUP(Q76,道具!B:C,2,FALSE),"")</f>
        <v/>
      </c>
      <c r="V76" s="62">
        <f>IF(U76=1,CEILING(W76*100/$AJ$2,5),IF(U76=2,J76*100,0))</f>
        <v>0</v>
      </c>
      <c r="W76" s="63">
        <f>IF(U76=1,J76*$AD$6,IF(U76=2,J76*$AJ$2,0))</f>
        <v>0</v>
      </c>
      <c r="X76" s="37">
        <f>SUM(N46:N76)+SUM(W46:W76)</f>
        <v>114944055</v>
      </c>
      <c r="Y76" s="66">
        <f>SUM(O46:O76)</f>
        <v>111.707835</v>
      </c>
      <c r="Z76" s="66">
        <f>SUM(W46:W76)</f>
        <v>3236220</v>
      </c>
      <c r="AA76" s="23">
        <f>X76/$AJ$2</f>
        <v>114.944055</v>
      </c>
      <c r="AB76" s="24">
        <f>X76/H76</f>
        <v>1.12392739806395</v>
      </c>
      <c r="AC76" s="25"/>
      <c r="AD76" s="25"/>
      <c r="AI76" s="42"/>
      <c r="AJ76" s="42"/>
    </row>
    <row r="77" spans="1:36">
      <c r="A77" s="46">
        <f t="shared" si="4"/>
        <v>2</v>
      </c>
      <c r="B77" s="47">
        <v>33</v>
      </c>
      <c r="C77" s="47"/>
      <c r="D77" s="47"/>
      <c r="E77" s="14"/>
      <c r="F77" s="14" t="str">
        <f t="shared" si="11"/>
        <v/>
      </c>
      <c r="G77" s="14"/>
      <c r="H77" s="30"/>
      <c r="I77" s="17"/>
      <c r="J77" s="18">
        <f t="shared" si="12"/>
        <v>0</v>
      </c>
      <c r="K77" s="19" t="s">
        <v>408</v>
      </c>
      <c r="L77" s="38">
        <v>3</v>
      </c>
      <c r="M77" s="21">
        <v>6</v>
      </c>
      <c r="N77" s="14"/>
      <c r="O77" s="22"/>
      <c r="P77" s="60">
        <f t="shared" si="6"/>
        <v>0</v>
      </c>
      <c r="Q77" s="60">
        <f t="shared" si="7"/>
        <v>0</v>
      </c>
      <c r="R77" s="60">
        <f t="shared" si="8"/>
        <v>0</v>
      </c>
      <c r="S77" s="62" cm="1">
        <f t="array" ref="S77">_xlfn.IFNA(MATCH(SUMIFS(R:R,A:A,"="&amp;A77,B:B,"&lt;"&amp;(B77+1)),_xlfn._xlws.FILTER(AO:AO,AL:AL=A77),1),1)</f>
        <v>2</v>
      </c>
      <c r="T77" s="62">
        <f t="shared" si="10"/>
        <v>200</v>
      </c>
      <c r="U77" s="62"/>
      <c r="V77" s="62"/>
      <c r="W77" s="63"/>
      <c r="X77" s="30"/>
      <c r="Y77" s="64"/>
      <c r="Z77" s="64"/>
      <c r="AA77" s="23"/>
      <c r="AB77" s="24"/>
      <c r="AC77" s="25"/>
      <c r="AD77" s="25"/>
      <c r="AI77" s="42"/>
      <c r="AJ77" s="42"/>
    </row>
    <row r="78" spans="1:36">
      <c r="A78" s="46">
        <f t="shared" si="4"/>
        <v>2</v>
      </c>
      <c r="B78" s="47">
        <v>34</v>
      </c>
      <c r="C78" s="47"/>
      <c r="D78" s="47"/>
      <c r="E78" s="14"/>
      <c r="F78" s="14" t="str">
        <f t="shared" si="11"/>
        <v/>
      </c>
      <c r="G78" s="14"/>
      <c r="H78" s="30"/>
      <c r="I78" s="17"/>
      <c r="J78" s="18">
        <f t="shared" si="12"/>
        <v>0.12</v>
      </c>
      <c r="K78" s="19" t="s">
        <v>2</v>
      </c>
      <c r="L78" s="38">
        <v>17</v>
      </c>
      <c r="M78" s="21">
        <f>J78*$AD$49</f>
        <v>2409660</v>
      </c>
      <c r="N78" s="14"/>
      <c r="O78" s="22"/>
      <c r="P78" s="60">
        <f t="shared" si="6"/>
        <v>0</v>
      </c>
      <c r="Q78" s="60">
        <f t="shared" si="7"/>
        <v>0</v>
      </c>
      <c r="R78" s="60">
        <f t="shared" si="8"/>
        <v>0</v>
      </c>
      <c r="S78" s="62" cm="1">
        <f t="array" ref="S78">_xlfn.IFNA(MATCH(SUMIFS(R:R,A:A,"="&amp;A78,B:B,"&lt;"&amp;(B78+1)),_xlfn._xlws.FILTER(AO:AO,AL:AL=A78),1),1)</f>
        <v>2</v>
      </c>
      <c r="T78" s="62">
        <f t="shared" si="10"/>
        <v>200</v>
      </c>
      <c r="U78" s="62"/>
      <c r="V78" s="62"/>
      <c r="W78" s="63"/>
      <c r="X78" s="30"/>
      <c r="Y78" s="64"/>
      <c r="Z78" s="64"/>
      <c r="AA78" s="23"/>
      <c r="AB78" s="24"/>
      <c r="AC78" s="25"/>
      <c r="AD78" s="25"/>
      <c r="AI78" s="42"/>
      <c r="AJ78" s="42"/>
    </row>
    <row r="79" spans="1:36">
      <c r="A79" s="46">
        <f t="shared" si="4"/>
        <v>2</v>
      </c>
      <c r="B79" s="47">
        <v>35</v>
      </c>
      <c r="C79" s="47"/>
      <c r="D79" s="47"/>
      <c r="E79" s="14"/>
      <c r="F79" s="14" t="str">
        <f t="shared" si="11"/>
        <v/>
      </c>
      <c r="G79" s="14"/>
      <c r="H79" s="30"/>
      <c r="I79" s="17"/>
      <c r="J79" s="18">
        <f t="shared" si="12"/>
        <v>0</v>
      </c>
      <c r="K79" s="19" t="s">
        <v>463</v>
      </c>
      <c r="L79" s="38">
        <v>4</v>
      </c>
      <c r="M79" s="21">
        <v>1</v>
      </c>
      <c r="N79" s="14"/>
      <c r="O79" s="22"/>
      <c r="P79" s="60">
        <f t="shared" si="6"/>
        <v>0</v>
      </c>
      <c r="Q79" s="60">
        <f t="shared" si="7"/>
        <v>0</v>
      </c>
      <c r="R79" s="60">
        <f t="shared" si="8"/>
        <v>15</v>
      </c>
      <c r="S79" s="62" cm="1">
        <f t="array" ref="S79">_xlfn.IFNA(MATCH(SUMIFS(R:R,A:A,"="&amp;A79,B:B,"&lt;"&amp;(B79+1)),_xlfn._xlws.FILTER(AO:AO,AL:AL=A79),1),1)</f>
        <v>2</v>
      </c>
      <c r="T79" s="62">
        <f t="shared" si="10"/>
        <v>215</v>
      </c>
      <c r="U79" s="62"/>
      <c r="V79" s="62"/>
      <c r="W79" s="63"/>
      <c r="X79" s="30"/>
      <c r="Y79" s="64"/>
      <c r="Z79" s="64"/>
      <c r="AA79" s="23"/>
      <c r="AB79" s="24"/>
      <c r="AC79" s="25"/>
      <c r="AD79" s="25"/>
      <c r="AI79" s="42"/>
      <c r="AJ79" s="42"/>
    </row>
    <row r="80" spans="1:36">
      <c r="A80" s="46">
        <f t="shared" si="4"/>
        <v>2</v>
      </c>
      <c r="B80" s="47">
        <v>36</v>
      </c>
      <c r="C80" s="47"/>
      <c r="D80" s="47"/>
      <c r="E80" s="14"/>
      <c r="F80" s="14" t="str">
        <f t="shared" si="11"/>
        <v/>
      </c>
      <c r="G80" s="14"/>
      <c r="H80" s="30"/>
      <c r="I80" s="17"/>
      <c r="J80" s="18">
        <f t="shared" si="12"/>
        <v>0</v>
      </c>
      <c r="K80" s="19" t="s">
        <v>453</v>
      </c>
      <c r="L80" s="38">
        <v>3</v>
      </c>
      <c r="M80" s="21">
        <v>30</v>
      </c>
      <c r="N80" s="14"/>
      <c r="O80" s="22"/>
      <c r="P80" s="60">
        <f t="shared" si="6"/>
        <v>0</v>
      </c>
      <c r="Q80" s="60">
        <f t="shared" si="7"/>
        <v>0</v>
      </c>
      <c r="R80" s="60">
        <f t="shared" si="8"/>
        <v>0</v>
      </c>
      <c r="S80" s="62" cm="1">
        <f t="array" ref="S80">_xlfn.IFNA(MATCH(SUMIFS(R:R,A:A,"="&amp;A80,B:B,"&lt;"&amp;(B80+1)),_xlfn._xlws.FILTER(AO:AO,AL:AL=A80),1),1)</f>
        <v>2</v>
      </c>
      <c r="T80" s="62">
        <f t="shared" si="10"/>
        <v>215</v>
      </c>
      <c r="U80" s="62"/>
      <c r="V80" s="62"/>
      <c r="W80" s="63"/>
      <c r="X80" s="30"/>
      <c r="Y80" s="64"/>
      <c r="Z80" s="64"/>
      <c r="AA80" s="23"/>
      <c r="AB80" s="24"/>
      <c r="AC80" s="25"/>
      <c r="AD80" s="25"/>
      <c r="AI80" s="42"/>
      <c r="AJ80" s="42"/>
    </row>
    <row r="81" spans="1:36">
      <c r="A81" s="46">
        <f t="shared" si="4"/>
        <v>2</v>
      </c>
      <c r="B81" s="47">
        <v>37</v>
      </c>
      <c r="C81" s="47"/>
      <c r="D81" s="47"/>
      <c r="E81" s="14"/>
      <c r="F81" s="14" t="str">
        <f t="shared" si="11"/>
        <v/>
      </c>
      <c r="G81" s="14"/>
      <c r="H81" s="30"/>
      <c r="I81" s="17"/>
      <c r="J81" s="18">
        <f t="shared" si="12"/>
        <v>0</v>
      </c>
      <c r="K81" t="s">
        <v>426</v>
      </c>
      <c r="L81" s="38">
        <v>3</v>
      </c>
      <c r="M81" s="21">
        <v>1</v>
      </c>
      <c r="N81" s="14"/>
      <c r="O81" s="22"/>
      <c r="P81" s="60">
        <f t="shared" si="6"/>
        <v>0</v>
      </c>
      <c r="Q81" s="60">
        <f t="shared" si="7"/>
        <v>0</v>
      </c>
      <c r="R81" s="60">
        <f t="shared" si="8"/>
        <v>0</v>
      </c>
      <c r="S81" s="62" cm="1">
        <f t="array" ref="S81">_xlfn.IFNA(MATCH(SUMIFS(R:R,A:A,"="&amp;A81,B:B,"&lt;"&amp;(B81+1)),_xlfn._xlws.FILTER(AO:AO,AL:AL=A81),1),1)</f>
        <v>2</v>
      </c>
      <c r="T81" s="62">
        <f t="shared" si="10"/>
        <v>215</v>
      </c>
      <c r="U81" s="62"/>
      <c r="V81" s="62"/>
      <c r="W81" s="63"/>
      <c r="X81" s="30"/>
      <c r="Y81" s="64"/>
      <c r="Z81" s="64"/>
      <c r="AA81" s="23"/>
      <c r="AB81" s="24"/>
      <c r="AC81" s="25"/>
      <c r="AD81" s="25"/>
      <c r="AI81" s="42"/>
      <c r="AJ81" s="42"/>
    </row>
    <row r="82" spans="1:36">
      <c r="A82" s="46">
        <f t="shared" si="4"/>
        <v>2</v>
      </c>
      <c r="B82" s="47">
        <v>38</v>
      </c>
      <c r="C82" s="47"/>
      <c r="D82" s="47"/>
      <c r="E82" s="14">
        <v>19.99</v>
      </c>
      <c r="F82" s="14">
        <f t="shared" si="11"/>
        <v>158</v>
      </c>
      <c r="G82" s="36">
        <f>(E82+0.01)*F82*$AJ$2/100</f>
        <v>31600000</v>
      </c>
      <c r="H82" s="37">
        <f>SUM(G46:G82)</f>
        <v>133870000</v>
      </c>
      <c r="I82" s="17">
        <f>SUM(E46:E82)</f>
        <v>89.93</v>
      </c>
      <c r="J82" s="18">
        <f t="shared" si="12"/>
        <v>0.45</v>
      </c>
      <c r="K82" s="14" t="s">
        <v>2</v>
      </c>
      <c r="L82" s="29">
        <v>9</v>
      </c>
      <c r="M82" s="21">
        <f>G82</f>
        <v>31600000</v>
      </c>
      <c r="N82" s="36">
        <f>SUMIF(K82:K87,"="&amp;"金币",M82:M87)</f>
        <v>34009660</v>
      </c>
      <c r="O82" s="22">
        <f>N82/$AJ$2</f>
        <v>34.00966</v>
      </c>
      <c r="P82" s="60">
        <f t="shared" si="6"/>
        <v>3</v>
      </c>
      <c r="Q82" s="60" t="str">
        <f t="shared" si="7"/>
        <v>金币</v>
      </c>
      <c r="R82" s="60">
        <f t="shared" si="8"/>
        <v>35</v>
      </c>
      <c r="S82" s="62" cm="1">
        <f t="array" ref="S82">_xlfn.IFNA(MATCH(SUMIFS(R:R,A:A,"="&amp;A82,B:B,"&lt;"&amp;(B82+1)),_xlfn._xlws.FILTER(AO:AO,AL:AL=A82),1),1)</f>
        <v>2</v>
      </c>
      <c r="T82" s="62">
        <f t="shared" si="10"/>
        <v>250</v>
      </c>
      <c r="U82" s="62">
        <f>_xlfn.IFNA(VLOOKUP(Q82,道具!B:C,2,FALSE),"")</f>
        <v>1</v>
      </c>
      <c r="V82" s="62">
        <f>IF(U82=1,CEILING(W82*100/$AJ$2,5),IF(U82=2,J82*100,0))</f>
        <v>405</v>
      </c>
      <c r="W82" s="63">
        <f>IF(U82=1,J82*$AD$6,IF(U82=2,J82*$AJ$2,0))</f>
        <v>4045275</v>
      </c>
      <c r="X82" s="37">
        <f>SUM(N46:N82)+SUM(W46:W82)</f>
        <v>152998990</v>
      </c>
      <c r="Y82" s="66">
        <f>SUM(O46:O82)</f>
        <v>145.717495</v>
      </c>
      <c r="Z82" s="66">
        <f>SUM(W46:W82)</f>
        <v>7281494.99999999</v>
      </c>
      <c r="AA82" s="23">
        <f>X82/$AJ$2</f>
        <v>152.99899</v>
      </c>
      <c r="AB82" s="24">
        <f>X82/H82</f>
        <v>1.14289228355868</v>
      </c>
      <c r="AC82" s="25"/>
      <c r="AD82" s="25"/>
      <c r="AI82" s="42"/>
      <c r="AJ82" s="42"/>
    </row>
    <row r="83" spans="1:36">
      <c r="A83" s="46">
        <f t="shared" si="4"/>
        <v>2</v>
      </c>
      <c r="B83" s="47">
        <v>39</v>
      </c>
      <c r="C83" s="47"/>
      <c r="D83" s="47"/>
      <c r="E83" s="14"/>
      <c r="F83" s="14" t="str">
        <f t="shared" si="11"/>
        <v/>
      </c>
      <c r="G83" s="14"/>
      <c r="H83" s="30"/>
      <c r="I83" s="17"/>
      <c r="J83" s="18">
        <f t="shared" si="12"/>
        <v>0</v>
      </c>
      <c r="K83" s="19" t="s">
        <v>408</v>
      </c>
      <c r="L83" s="38">
        <v>3</v>
      </c>
      <c r="M83" s="21">
        <v>7</v>
      </c>
      <c r="N83" s="14"/>
      <c r="O83" s="22"/>
      <c r="P83" s="60">
        <f t="shared" si="6"/>
        <v>0</v>
      </c>
      <c r="Q83" s="60">
        <f t="shared" si="7"/>
        <v>0</v>
      </c>
      <c r="R83" s="60">
        <f t="shared" si="8"/>
        <v>0</v>
      </c>
      <c r="S83" s="62" cm="1">
        <f t="array" ref="S83">_xlfn.IFNA(MATCH(SUMIFS(R:R,A:A,"="&amp;A83,B:B,"&lt;"&amp;(B83+1)),_xlfn._xlws.FILTER(AO:AO,AL:AL=A83),1),1)</f>
        <v>2</v>
      </c>
      <c r="T83" s="62">
        <f t="shared" si="10"/>
        <v>250</v>
      </c>
      <c r="U83" s="62"/>
      <c r="V83" s="62"/>
      <c r="W83" s="63"/>
      <c r="X83" s="30"/>
      <c r="Y83" s="64"/>
      <c r="Z83" s="64"/>
      <c r="AA83" s="23"/>
      <c r="AB83" s="24"/>
      <c r="AC83" s="25"/>
      <c r="AD83" s="25"/>
      <c r="AI83" s="42"/>
      <c r="AJ83" s="42"/>
    </row>
    <row r="84" spans="1:36">
      <c r="A84" s="46">
        <f t="shared" si="4"/>
        <v>2</v>
      </c>
      <c r="B84" s="47">
        <v>40</v>
      </c>
      <c r="C84" s="47"/>
      <c r="D84" s="47"/>
      <c r="E84" s="14"/>
      <c r="F84" s="14" t="str">
        <f t="shared" si="11"/>
        <v/>
      </c>
      <c r="G84" s="14"/>
      <c r="H84" s="30"/>
      <c r="I84" s="17"/>
      <c r="J84" s="18">
        <f t="shared" si="12"/>
        <v>0.12</v>
      </c>
      <c r="K84" s="19" t="s">
        <v>2</v>
      </c>
      <c r="L84" s="38">
        <v>17</v>
      </c>
      <c r="M84" s="21">
        <f>J84*$AD$49</f>
        <v>2409660</v>
      </c>
      <c r="N84" s="14"/>
      <c r="O84" s="22"/>
      <c r="P84" s="60">
        <f t="shared" si="6"/>
        <v>0</v>
      </c>
      <c r="Q84" s="60">
        <f t="shared" si="7"/>
        <v>0</v>
      </c>
      <c r="R84" s="60">
        <f t="shared" si="8"/>
        <v>0</v>
      </c>
      <c r="S84" s="62" cm="1">
        <f t="array" ref="S84">_xlfn.IFNA(MATCH(SUMIFS(R:R,A:A,"="&amp;A84,B:B,"&lt;"&amp;(B84+1)),_xlfn._xlws.FILTER(AO:AO,AL:AL=A84),1),1)</f>
        <v>2</v>
      </c>
      <c r="T84" s="62">
        <f t="shared" si="10"/>
        <v>250</v>
      </c>
      <c r="U84" s="62"/>
      <c r="V84" s="62"/>
      <c r="W84" s="63"/>
      <c r="X84" s="30"/>
      <c r="Y84" s="64"/>
      <c r="Z84" s="64"/>
      <c r="AA84" s="23"/>
      <c r="AB84" s="24"/>
      <c r="AC84" s="25"/>
      <c r="AD84" s="25"/>
      <c r="AI84" s="42"/>
      <c r="AJ84" s="42"/>
    </row>
    <row r="85" spans="1:36">
      <c r="A85" s="46">
        <f t="shared" si="4"/>
        <v>2</v>
      </c>
      <c r="B85" s="47">
        <v>41</v>
      </c>
      <c r="C85" s="47"/>
      <c r="D85" s="47"/>
      <c r="E85" s="14"/>
      <c r="F85" s="14" t="str">
        <f t="shared" si="11"/>
        <v/>
      </c>
      <c r="G85" s="14"/>
      <c r="H85" s="30"/>
      <c r="I85" s="17"/>
      <c r="J85" s="18">
        <f t="shared" si="12"/>
        <v>0</v>
      </c>
      <c r="K85" s="19" t="s">
        <v>473</v>
      </c>
      <c r="L85" s="38">
        <v>4</v>
      </c>
      <c r="M85" s="21">
        <v>1</v>
      </c>
      <c r="N85" s="14"/>
      <c r="O85" s="22"/>
      <c r="P85" s="60">
        <f t="shared" si="6"/>
        <v>0</v>
      </c>
      <c r="Q85" s="60">
        <f t="shared" si="7"/>
        <v>0</v>
      </c>
      <c r="R85" s="60">
        <f t="shared" si="8"/>
        <v>50</v>
      </c>
      <c r="S85" s="62" cm="1">
        <f t="array" ref="S85">_xlfn.IFNA(MATCH(SUMIFS(R:R,A:A,"="&amp;A85,B:B,"&lt;"&amp;(B85+1)),_xlfn._xlws.FILTER(AO:AO,AL:AL=A85),1),1)</f>
        <v>3</v>
      </c>
      <c r="T85" s="62">
        <f t="shared" si="10"/>
        <v>300</v>
      </c>
      <c r="U85" s="62"/>
      <c r="V85" s="62"/>
      <c r="W85" s="63"/>
      <c r="X85" s="30"/>
      <c r="Y85" s="64"/>
      <c r="Z85" s="64"/>
      <c r="AA85" s="23"/>
      <c r="AB85" s="24"/>
      <c r="AC85" s="25"/>
      <c r="AD85" s="25"/>
      <c r="AI85" s="42"/>
      <c r="AJ85" s="42"/>
    </row>
    <row r="86" spans="1:36">
      <c r="A86" s="46">
        <f t="shared" si="4"/>
        <v>2</v>
      </c>
      <c r="B86" s="47">
        <v>42</v>
      </c>
      <c r="C86" s="47"/>
      <c r="D86" s="47"/>
      <c r="E86" s="14"/>
      <c r="F86" s="14" t="str">
        <f t="shared" si="11"/>
        <v/>
      </c>
      <c r="G86" s="14"/>
      <c r="H86" s="30"/>
      <c r="I86" s="17"/>
      <c r="J86" s="18">
        <f t="shared" si="12"/>
        <v>0</v>
      </c>
      <c r="K86" s="19" t="s">
        <v>453</v>
      </c>
      <c r="L86" s="38">
        <v>3</v>
      </c>
      <c r="M86" s="21">
        <v>35</v>
      </c>
      <c r="N86" s="14"/>
      <c r="O86" s="22"/>
      <c r="P86" s="60">
        <f t="shared" si="6"/>
        <v>0</v>
      </c>
      <c r="Q86" s="60">
        <f t="shared" si="7"/>
        <v>0</v>
      </c>
      <c r="R86" s="60">
        <f t="shared" si="8"/>
        <v>0</v>
      </c>
      <c r="S86" s="62" cm="1">
        <f t="array" ref="S86">_xlfn.IFNA(MATCH(SUMIFS(R:R,A:A,"="&amp;A86,B:B,"&lt;"&amp;(B86+1)),_xlfn._xlws.FILTER(AO:AO,AL:AL=A86),1),1)</f>
        <v>3</v>
      </c>
      <c r="T86" s="62">
        <f t="shared" si="10"/>
        <v>300</v>
      </c>
      <c r="U86" s="62"/>
      <c r="V86" s="62"/>
      <c r="W86" s="63"/>
      <c r="X86" s="30"/>
      <c r="Y86" s="64"/>
      <c r="Z86" s="64"/>
      <c r="AA86" s="23"/>
      <c r="AB86" s="24"/>
      <c r="AC86" s="25"/>
      <c r="AD86" s="25"/>
      <c r="AI86" s="42"/>
      <c r="AJ86" s="42"/>
    </row>
    <row r="87" spans="1:36">
      <c r="A87" s="46">
        <f t="shared" si="4"/>
        <v>2</v>
      </c>
      <c r="B87" s="47">
        <v>43</v>
      </c>
      <c r="C87" s="47"/>
      <c r="D87" s="47"/>
      <c r="E87" s="14"/>
      <c r="F87" s="14" t="str">
        <f t="shared" si="11"/>
        <v/>
      </c>
      <c r="G87" s="14"/>
      <c r="H87" s="30"/>
      <c r="I87" s="17"/>
      <c r="J87" s="18">
        <f t="shared" si="12"/>
        <v>0</v>
      </c>
      <c r="K87" t="s">
        <v>424</v>
      </c>
      <c r="L87" s="38">
        <v>3</v>
      </c>
      <c r="M87" s="21">
        <v>1</v>
      </c>
      <c r="N87" s="14"/>
      <c r="O87" s="22"/>
      <c r="P87" s="60">
        <f t="shared" si="6"/>
        <v>0</v>
      </c>
      <c r="Q87" s="60">
        <f t="shared" si="7"/>
        <v>0</v>
      </c>
      <c r="R87" s="60">
        <f t="shared" si="8"/>
        <v>0</v>
      </c>
      <c r="S87" s="62" cm="1">
        <f t="array" ref="S87">_xlfn.IFNA(MATCH(SUMIFS(R:R,A:A,"="&amp;A87,B:B,"&lt;"&amp;(B87+1)),_xlfn._xlws.FILTER(AO:AO,AL:AL=A87),1),1)</f>
        <v>3</v>
      </c>
      <c r="T87" s="62">
        <f t="shared" si="10"/>
        <v>300</v>
      </c>
      <c r="U87" s="62"/>
      <c r="V87" s="62"/>
      <c r="W87" s="63"/>
      <c r="X87" s="30"/>
      <c r="Y87" s="64"/>
      <c r="Z87" s="64"/>
      <c r="AA87" s="23"/>
      <c r="AB87" s="24"/>
      <c r="AC87" s="25"/>
      <c r="AD87" s="25"/>
      <c r="AI87" s="42"/>
      <c r="AJ87" s="42"/>
    </row>
    <row r="88" spans="1:36">
      <c r="A88" s="46">
        <f t="shared" si="4"/>
        <v>3</v>
      </c>
      <c r="B88" s="47">
        <v>1</v>
      </c>
      <c r="C88" s="47"/>
      <c r="D88" s="47"/>
      <c r="E88" s="14"/>
      <c r="F88" s="14" t="str">
        <f t="shared" si="11"/>
        <v/>
      </c>
      <c r="G88" s="14"/>
      <c r="H88" s="30"/>
      <c r="I88" s="17"/>
      <c r="J88" s="18">
        <f t="shared" si="12"/>
        <v>0</v>
      </c>
      <c r="K88" s="14" t="s">
        <v>2</v>
      </c>
      <c r="L88" s="29">
        <v>1</v>
      </c>
      <c r="M88" s="21">
        <v>5000</v>
      </c>
      <c r="N88" s="14"/>
      <c r="O88" s="22"/>
      <c r="P88" s="60">
        <f t="shared" si="6"/>
        <v>0</v>
      </c>
      <c r="Q88" s="60">
        <f t="shared" si="7"/>
        <v>0</v>
      </c>
      <c r="R88" s="60">
        <f t="shared" si="8"/>
        <v>20</v>
      </c>
      <c r="S88" s="62" cm="1">
        <f t="array" ref="S88">_xlfn.IFNA(MATCH(SUMIFS(R:R,A:A,"="&amp;A88,B:B,"&lt;"&amp;(B88+1)),_xlfn._xlws.FILTER(AO:AO,AL:AL=A88),1),1)</f>
        <v>1</v>
      </c>
      <c r="T88" s="62">
        <f t="shared" si="10"/>
        <v>20</v>
      </c>
      <c r="U88" s="62"/>
      <c r="V88" s="62"/>
      <c r="W88" s="63"/>
      <c r="X88" s="30"/>
      <c r="Y88" s="64"/>
      <c r="Z88" s="64"/>
      <c r="AA88" s="23"/>
      <c r="AB88" s="24"/>
      <c r="AC88" s="25"/>
      <c r="AD88" s="31">
        <f>SUM(E88:E130)</f>
        <v>89.93</v>
      </c>
      <c r="AI88" s="42"/>
      <c r="AJ88" s="42"/>
    </row>
    <row r="89" spans="1:36">
      <c r="A89" s="46">
        <f t="shared" si="4"/>
        <v>3</v>
      </c>
      <c r="B89" s="47">
        <v>2</v>
      </c>
      <c r="C89" s="47"/>
      <c r="D89" s="47"/>
      <c r="E89" s="35">
        <v>5.99</v>
      </c>
      <c r="F89" s="14">
        <f t="shared" si="11"/>
        <v>119</v>
      </c>
      <c r="G89" s="36">
        <f>(E89+0.01)*F89*$AJ$2/100</f>
        <v>7140000</v>
      </c>
      <c r="H89" s="37">
        <f>SUM(G89)</f>
        <v>7140000</v>
      </c>
      <c r="I89" s="17">
        <f>SUM(E89)</f>
        <v>5.99</v>
      </c>
      <c r="J89" s="18">
        <f t="shared" si="12"/>
        <v>0</v>
      </c>
      <c r="K89" s="14" t="s">
        <v>2</v>
      </c>
      <c r="L89" s="29">
        <v>9</v>
      </c>
      <c r="M89" s="21">
        <f>G89</f>
        <v>7140000</v>
      </c>
      <c r="N89" s="36">
        <f>SUMIF(K89:K94,"="&amp;"金币",M89:M94)</f>
        <v>9148050</v>
      </c>
      <c r="O89" s="22">
        <f>N89/$AJ$2</f>
        <v>9.14805</v>
      </c>
      <c r="P89" s="60">
        <f t="shared" si="6"/>
        <v>0</v>
      </c>
      <c r="Q89" s="60">
        <f t="shared" si="7"/>
        <v>0</v>
      </c>
      <c r="R89" s="60">
        <f t="shared" si="8"/>
        <v>10</v>
      </c>
      <c r="S89" s="62" cm="1">
        <f t="array" ref="S89">_xlfn.IFNA(MATCH(SUMIFS(R:R,A:A,"="&amp;A89,B:B,"&lt;"&amp;(B89+1)),_xlfn._xlws.FILTER(AO:AO,AL:AL=A89),1),1)</f>
        <v>1</v>
      </c>
      <c r="T89" s="62">
        <f t="shared" si="10"/>
        <v>30</v>
      </c>
      <c r="U89" s="62" t="str">
        <f>_xlfn.IFNA(VLOOKUP(Q89,道具!B:C,2,FALSE),"")</f>
        <v/>
      </c>
      <c r="V89" s="62">
        <f>IF(U89=1,CEILING(W89*100/$AJ$2,5),IF(U89=2,J89*100,0))</f>
        <v>0</v>
      </c>
      <c r="W89" s="63">
        <f>IF(U89=1,J89*$AD$6,IF(U89=2,J89*$AJ$2,0))</f>
        <v>0</v>
      </c>
      <c r="X89" s="37">
        <f>SUM(N89)+SUM(W89)</f>
        <v>9148050</v>
      </c>
      <c r="Y89" s="66">
        <f>SUM(O89)</f>
        <v>9.14805</v>
      </c>
      <c r="Z89" s="66">
        <f>SUM(W89)</f>
        <v>0</v>
      </c>
      <c r="AA89" s="23">
        <f>X89/$AJ$2</f>
        <v>9.14805</v>
      </c>
      <c r="AB89" s="24">
        <f>X89/H89</f>
        <v>1.28123949579832</v>
      </c>
      <c r="AC89" s="25"/>
      <c r="AD89" s="26" t="s">
        <v>556</v>
      </c>
      <c r="AI89" s="42"/>
      <c r="AJ89" s="42"/>
    </row>
    <row r="90" spans="1:36">
      <c r="A90" s="46">
        <f t="shared" si="4"/>
        <v>3</v>
      </c>
      <c r="B90" s="47">
        <v>3</v>
      </c>
      <c r="C90" s="47"/>
      <c r="D90" s="47"/>
      <c r="E90" s="14"/>
      <c r="F90" s="14" t="str">
        <f t="shared" si="11"/>
        <v/>
      </c>
      <c r="G90" s="14"/>
      <c r="H90" s="30"/>
      <c r="I90" s="17"/>
      <c r="J90" s="18">
        <f t="shared" si="12"/>
        <v>0</v>
      </c>
      <c r="K90" s="19" t="s">
        <v>408</v>
      </c>
      <c r="L90" s="38">
        <v>3</v>
      </c>
      <c r="M90" s="21">
        <v>1</v>
      </c>
      <c r="N90" s="14"/>
      <c r="O90" s="22"/>
      <c r="P90" s="60">
        <f t="shared" si="6"/>
        <v>0</v>
      </c>
      <c r="Q90" s="60">
        <f t="shared" si="7"/>
        <v>0</v>
      </c>
      <c r="R90" s="60">
        <f t="shared" si="8"/>
        <v>0</v>
      </c>
      <c r="S90" s="62" cm="1">
        <f t="array" ref="S90">_xlfn.IFNA(MATCH(SUMIFS(R:R,A:A,"="&amp;A90,B:B,"&lt;"&amp;(B90+1)),_xlfn._xlws.FILTER(AO:AO,AL:AL=A90),1),1)</f>
        <v>1</v>
      </c>
      <c r="T90" s="62">
        <f t="shared" si="10"/>
        <v>30</v>
      </c>
      <c r="U90" s="62"/>
      <c r="V90" s="62"/>
      <c r="W90" s="63"/>
      <c r="X90" s="30"/>
      <c r="Y90" s="64"/>
      <c r="Z90" s="64"/>
      <c r="AA90" s="23"/>
      <c r="AB90" s="24"/>
      <c r="AC90" s="25"/>
      <c r="AD90" s="39">
        <v>1.15</v>
      </c>
      <c r="AI90" s="42"/>
      <c r="AJ90" s="42"/>
    </row>
    <row r="91" spans="1:36">
      <c r="A91" s="46">
        <f t="shared" si="4"/>
        <v>3</v>
      </c>
      <c r="B91" s="47">
        <v>4</v>
      </c>
      <c r="C91" s="47"/>
      <c r="D91" s="47"/>
      <c r="E91" s="14"/>
      <c r="F91" s="14" t="str">
        <f t="shared" si="11"/>
        <v/>
      </c>
      <c r="G91" s="14"/>
      <c r="H91" s="30"/>
      <c r="I91" s="17"/>
      <c r="J91" s="18">
        <f t="shared" si="12"/>
        <v>0.1</v>
      </c>
      <c r="K91" s="19" t="s">
        <v>2</v>
      </c>
      <c r="L91" s="38">
        <v>17</v>
      </c>
      <c r="M91" s="21">
        <f>J91*$AD$92</f>
        <v>2008050</v>
      </c>
      <c r="N91" s="14"/>
      <c r="O91" s="22"/>
      <c r="P91" s="60">
        <f t="shared" si="6"/>
        <v>0</v>
      </c>
      <c r="Q91" s="60">
        <f t="shared" si="7"/>
        <v>0</v>
      </c>
      <c r="R91" s="60">
        <f t="shared" si="8"/>
        <v>0</v>
      </c>
      <c r="S91" s="62" cm="1">
        <f t="array" ref="S91">_xlfn.IFNA(MATCH(SUMIFS(R:R,A:A,"="&amp;A91,B:B,"&lt;"&amp;(B91+1)),_xlfn._xlws.FILTER(AO:AO,AL:AL=A91),1),1)</f>
        <v>1</v>
      </c>
      <c r="T91" s="62">
        <f t="shared" si="10"/>
        <v>30</v>
      </c>
      <c r="U91" s="62"/>
      <c r="V91" s="62"/>
      <c r="W91" s="63"/>
      <c r="X91" s="30"/>
      <c r="Y91" s="64"/>
      <c r="Z91" s="64"/>
      <c r="AA91" s="23"/>
      <c r="AB91" s="24"/>
      <c r="AC91" s="25"/>
      <c r="AD91" s="26" t="s">
        <v>557</v>
      </c>
      <c r="AI91" s="42"/>
      <c r="AJ91" s="42"/>
    </row>
    <row r="92" spans="1:36">
      <c r="A92" s="46">
        <f t="shared" si="4"/>
        <v>3</v>
      </c>
      <c r="B92" s="47">
        <v>5</v>
      </c>
      <c r="C92" s="47"/>
      <c r="D92" s="47"/>
      <c r="E92" s="14"/>
      <c r="F92" s="14" t="str">
        <f t="shared" si="11"/>
        <v/>
      </c>
      <c r="G92" s="14"/>
      <c r="H92" s="30"/>
      <c r="I92" s="17"/>
      <c r="J92" s="18">
        <f t="shared" si="12"/>
        <v>0</v>
      </c>
      <c r="K92" s="19" t="s">
        <v>457</v>
      </c>
      <c r="L92" s="38">
        <v>4</v>
      </c>
      <c r="M92" s="21">
        <v>1</v>
      </c>
      <c r="N92" s="14"/>
      <c r="O92" s="22"/>
      <c r="P92" s="60">
        <f t="shared" si="6"/>
        <v>0</v>
      </c>
      <c r="Q92" s="60">
        <f t="shared" si="7"/>
        <v>0</v>
      </c>
      <c r="R92" s="60">
        <f t="shared" si="8"/>
        <v>10</v>
      </c>
      <c r="S92" s="62" cm="1">
        <f t="array" ref="S92">_xlfn.IFNA(MATCH(SUMIFS(R:R,A:A,"="&amp;A92,B:B,"&lt;"&amp;(B92+1)),_xlfn._xlws.FILTER(AO:AO,AL:AL=A92),1),1)</f>
        <v>1</v>
      </c>
      <c r="T92" s="62">
        <f t="shared" si="10"/>
        <v>40</v>
      </c>
      <c r="U92" s="62"/>
      <c r="V92" s="62"/>
      <c r="W92" s="63"/>
      <c r="X92" s="30"/>
      <c r="Y92" s="64"/>
      <c r="Z92" s="64"/>
      <c r="AA92" s="23"/>
      <c r="AB92" s="24"/>
      <c r="AC92" s="25"/>
      <c r="AD92" s="40">
        <f>SUM(G88:G130)*(AD90-1)</f>
        <v>20080500</v>
      </c>
      <c r="AI92" s="42"/>
      <c r="AJ92" s="42"/>
    </row>
    <row r="93" spans="1:36">
      <c r="A93" s="46">
        <f t="shared" si="4"/>
        <v>3</v>
      </c>
      <c r="B93" s="47">
        <v>6</v>
      </c>
      <c r="C93" s="47"/>
      <c r="D93" s="47"/>
      <c r="E93" s="14"/>
      <c r="F93" s="14" t="str">
        <f t="shared" si="11"/>
        <v/>
      </c>
      <c r="G93" s="14"/>
      <c r="H93" s="30"/>
      <c r="I93" s="17"/>
      <c r="J93" s="18">
        <f t="shared" si="12"/>
        <v>0</v>
      </c>
      <c r="K93" s="19" t="s">
        <v>453</v>
      </c>
      <c r="L93" s="38">
        <v>3</v>
      </c>
      <c r="M93" s="21">
        <v>5</v>
      </c>
      <c r="N93" s="14"/>
      <c r="O93" s="22"/>
      <c r="P93" s="60">
        <f t="shared" si="6"/>
        <v>0</v>
      </c>
      <c r="Q93" s="60">
        <f t="shared" si="7"/>
        <v>0</v>
      </c>
      <c r="R93" s="60">
        <f t="shared" si="8"/>
        <v>0</v>
      </c>
      <c r="S93" s="62" cm="1">
        <f t="array" ref="S93">_xlfn.IFNA(MATCH(SUMIFS(R:R,A:A,"="&amp;A93,B:B,"&lt;"&amp;(B93+1)),_xlfn._xlws.FILTER(AO:AO,AL:AL=A93),1),1)</f>
        <v>1</v>
      </c>
      <c r="T93" s="62">
        <f t="shared" si="10"/>
        <v>40</v>
      </c>
      <c r="U93" s="62"/>
      <c r="V93" s="62"/>
      <c r="W93" s="63"/>
      <c r="X93" s="30"/>
      <c r="Y93" s="64"/>
      <c r="Z93" s="64"/>
      <c r="AA93" s="23"/>
      <c r="AB93" s="24"/>
      <c r="AC93" s="25"/>
      <c r="AD93" s="24" t="s">
        <v>558</v>
      </c>
      <c r="AI93" s="42"/>
      <c r="AJ93" s="42"/>
    </row>
    <row r="94" spans="1:36">
      <c r="A94" s="46">
        <f t="shared" si="4"/>
        <v>3</v>
      </c>
      <c r="B94" s="47">
        <v>7</v>
      </c>
      <c r="C94" s="47"/>
      <c r="D94" s="47"/>
      <c r="E94" s="14"/>
      <c r="F94" s="14" t="str">
        <f t="shared" si="11"/>
        <v/>
      </c>
      <c r="G94" s="14"/>
      <c r="H94" s="30"/>
      <c r="I94" s="17"/>
      <c r="J94" s="18">
        <f t="shared" si="12"/>
        <v>0</v>
      </c>
      <c r="K94" t="s">
        <v>424</v>
      </c>
      <c r="L94" s="38">
        <v>3</v>
      </c>
      <c r="M94" s="21">
        <v>1</v>
      </c>
      <c r="N94" s="14"/>
      <c r="O94" s="22"/>
      <c r="P94" s="60">
        <f t="shared" si="6"/>
        <v>0</v>
      </c>
      <c r="Q94" s="60">
        <f t="shared" si="7"/>
        <v>0</v>
      </c>
      <c r="R94" s="60">
        <f t="shared" si="8"/>
        <v>0</v>
      </c>
      <c r="S94" s="62" cm="1">
        <f t="array" ref="S94">_xlfn.IFNA(MATCH(SUMIFS(R:R,A:A,"="&amp;A94,B:B,"&lt;"&amp;(B94+1)),_xlfn._xlws.FILTER(AO:AO,AL:AL=A94),1),1)</f>
        <v>1</v>
      </c>
      <c r="T94" s="62">
        <f t="shared" si="10"/>
        <v>40</v>
      </c>
      <c r="U94" s="62"/>
      <c r="V94" s="62"/>
      <c r="W94" s="63"/>
      <c r="X94" s="30"/>
      <c r="Y94" s="64"/>
      <c r="Z94" s="64"/>
      <c r="AA94" s="23"/>
      <c r="AB94" s="24"/>
      <c r="AC94" s="25"/>
      <c r="AD94" s="24">
        <f>SUMIF(U88:U130,"&lt;&gt;2",J88:J130)+SUMIF(U88:U130,"=2",J88:J130)*$AJ$2/SUMIFS(AD:AD,A:A,"="&amp;A94,B:B,"=5")</f>
        <v>1.4</v>
      </c>
      <c r="AI94" s="42"/>
      <c r="AJ94" s="42"/>
    </row>
    <row r="95" spans="1:36">
      <c r="A95" s="46">
        <f t="shared" si="4"/>
        <v>3</v>
      </c>
      <c r="B95" s="47">
        <v>8</v>
      </c>
      <c r="C95" s="47"/>
      <c r="D95" s="47"/>
      <c r="E95" s="14">
        <v>7.99</v>
      </c>
      <c r="F95" s="14">
        <f t="shared" si="11"/>
        <v>129</v>
      </c>
      <c r="G95" s="36">
        <f>(E95+0.01)*F95*$AJ$2/100</f>
        <v>10320000</v>
      </c>
      <c r="H95" s="37">
        <f>SUM(G89:G95)</f>
        <v>17460000</v>
      </c>
      <c r="I95" s="17">
        <f>SUM(E89:E95)</f>
        <v>13.98</v>
      </c>
      <c r="J95" s="18">
        <f t="shared" si="12"/>
        <v>0.12</v>
      </c>
      <c r="K95" s="14" t="s">
        <v>2</v>
      </c>
      <c r="L95" s="29">
        <v>9</v>
      </c>
      <c r="M95" s="21">
        <f>G95</f>
        <v>10320000</v>
      </c>
      <c r="N95" s="36">
        <f>SUMIF(K95:K100,"="&amp;"金币",M95:M100)</f>
        <v>10721610</v>
      </c>
      <c r="O95" s="22">
        <f>N95/$AJ$2</f>
        <v>10.72161</v>
      </c>
      <c r="P95" s="60">
        <f t="shared" si="6"/>
        <v>1</v>
      </c>
      <c r="Q95" s="60" t="str">
        <f t="shared" si="7"/>
        <v>金币</v>
      </c>
      <c r="R95" s="60">
        <f t="shared" si="8"/>
        <v>25</v>
      </c>
      <c r="S95" s="62" cm="1">
        <f t="array" ref="S95">_xlfn.IFNA(MATCH(SUMIFS(R:R,A:A,"="&amp;A95,B:B,"&lt;"&amp;(B95+1)),_xlfn._xlws.FILTER(AO:AO,AL:AL=A95),1),1)</f>
        <v>1</v>
      </c>
      <c r="T95" s="62">
        <f t="shared" si="10"/>
        <v>65</v>
      </c>
      <c r="U95" s="62">
        <f>_xlfn.IFNA(VLOOKUP(Q95,道具!B:C,2,FALSE),"")</f>
        <v>1</v>
      </c>
      <c r="V95" s="62">
        <f>IF(U95=1,CEILING(W95*100/$AJ$2,5),IF(U95=2,J95*100,0))</f>
        <v>110</v>
      </c>
      <c r="W95" s="63">
        <f>IF(U95=1,J95*$AD$6,IF(U95=2,J95*$AJ$2,0))</f>
        <v>1078740</v>
      </c>
      <c r="X95" s="37">
        <f>SUM(N89:N95)+SUM(W89:W95)</f>
        <v>20948400</v>
      </c>
      <c r="Y95" s="66">
        <f>SUM(O89:O95)</f>
        <v>19.86966</v>
      </c>
      <c r="Z95" s="66">
        <f>SUM(W89:W95)</f>
        <v>1078740</v>
      </c>
      <c r="AA95" s="23">
        <f>X95/$AJ$2</f>
        <v>20.9484</v>
      </c>
      <c r="AB95" s="24">
        <f>X95/H95</f>
        <v>1.19979381443299</v>
      </c>
      <c r="AC95" s="25"/>
      <c r="AD95" s="25"/>
      <c r="AI95" s="42"/>
      <c r="AJ95" s="42"/>
    </row>
    <row r="96" spans="1:36">
      <c r="A96" s="46">
        <f t="shared" si="4"/>
        <v>3</v>
      </c>
      <c r="B96" s="47">
        <v>9</v>
      </c>
      <c r="C96" s="47"/>
      <c r="D96" s="47"/>
      <c r="E96" s="14"/>
      <c r="F96" s="14" t="str">
        <f t="shared" si="11"/>
        <v/>
      </c>
      <c r="G96" s="14"/>
      <c r="H96" s="30"/>
      <c r="I96" s="17"/>
      <c r="J96" s="18">
        <f t="shared" si="12"/>
        <v>0</v>
      </c>
      <c r="K96" s="19" t="s">
        <v>408</v>
      </c>
      <c r="L96" s="38">
        <v>3</v>
      </c>
      <c r="M96" s="21">
        <v>2</v>
      </c>
      <c r="N96" s="14"/>
      <c r="O96" s="22"/>
      <c r="P96" s="60">
        <f t="shared" si="6"/>
        <v>0</v>
      </c>
      <c r="Q96" s="60">
        <f t="shared" si="7"/>
        <v>0</v>
      </c>
      <c r="R96" s="60">
        <f t="shared" si="8"/>
        <v>0</v>
      </c>
      <c r="S96" s="62" cm="1">
        <f t="array" ref="S96">_xlfn.IFNA(MATCH(SUMIFS(R:R,A:A,"="&amp;A96,B:B,"&lt;"&amp;(B96+1)),_xlfn._xlws.FILTER(AO:AO,AL:AL=A96),1),1)</f>
        <v>1</v>
      </c>
      <c r="T96" s="62">
        <f t="shared" si="10"/>
        <v>65</v>
      </c>
      <c r="U96" s="62"/>
      <c r="V96" s="62"/>
      <c r="W96" s="63"/>
      <c r="X96" s="30"/>
      <c r="Y96" s="64"/>
      <c r="Z96" s="64"/>
      <c r="AA96" s="23"/>
      <c r="AB96" s="24"/>
      <c r="AC96" s="25"/>
      <c r="AD96" s="69"/>
      <c r="AI96" s="42"/>
      <c r="AJ96" s="42"/>
    </row>
    <row r="97" spans="1:36">
      <c r="A97" s="46">
        <f t="shared" si="4"/>
        <v>3</v>
      </c>
      <c r="B97" s="47">
        <v>10</v>
      </c>
      <c r="C97" s="47"/>
      <c r="D97" s="47"/>
      <c r="E97" s="14"/>
      <c r="F97" s="14" t="str">
        <f t="shared" si="11"/>
        <v/>
      </c>
      <c r="G97" s="14"/>
      <c r="H97" s="30"/>
      <c r="I97" s="17"/>
      <c r="J97" s="18">
        <f t="shared" si="12"/>
        <v>0.02</v>
      </c>
      <c r="K97" s="19" t="s">
        <v>2</v>
      </c>
      <c r="L97" s="38">
        <v>17</v>
      </c>
      <c r="M97" s="21">
        <f>J97*$AD$92</f>
        <v>401610</v>
      </c>
      <c r="N97" s="14"/>
      <c r="O97" s="22"/>
      <c r="P97" s="60">
        <f t="shared" si="6"/>
        <v>0</v>
      </c>
      <c r="Q97" s="60">
        <f t="shared" si="7"/>
        <v>0</v>
      </c>
      <c r="R97" s="60">
        <f t="shared" si="8"/>
        <v>0</v>
      </c>
      <c r="S97" s="62" cm="1">
        <f t="array" ref="S97">_xlfn.IFNA(MATCH(SUMIFS(R:R,A:A,"="&amp;A97,B:B,"&lt;"&amp;(B97+1)),_xlfn._xlws.FILTER(AO:AO,AL:AL=A97),1),1)</f>
        <v>1</v>
      </c>
      <c r="T97" s="62">
        <f t="shared" si="10"/>
        <v>65</v>
      </c>
      <c r="U97" s="62"/>
      <c r="V97" s="62"/>
      <c r="W97" s="63"/>
      <c r="X97" s="30"/>
      <c r="Y97" s="64"/>
      <c r="Z97" s="64"/>
      <c r="AA97" s="23"/>
      <c r="AB97" s="24"/>
      <c r="AC97" s="25"/>
      <c r="AD97" s="25"/>
      <c r="AI97" s="42"/>
      <c r="AJ97" s="42"/>
    </row>
    <row r="98" spans="1:36">
      <c r="A98" s="46">
        <f t="shared" si="4"/>
        <v>3</v>
      </c>
      <c r="B98" s="47">
        <v>11</v>
      </c>
      <c r="C98" s="47"/>
      <c r="D98" s="47"/>
      <c r="E98" s="14"/>
      <c r="F98" s="14" t="str">
        <f t="shared" si="11"/>
        <v/>
      </c>
      <c r="G98" s="14"/>
      <c r="H98" s="30"/>
      <c r="I98" s="17"/>
      <c r="J98" s="18">
        <f t="shared" si="12"/>
        <v>0</v>
      </c>
      <c r="K98" s="19" t="s">
        <v>459</v>
      </c>
      <c r="L98" s="38">
        <v>4</v>
      </c>
      <c r="M98" s="21">
        <v>1</v>
      </c>
      <c r="N98" s="14"/>
      <c r="O98" s="22"/>
      <c r="P98" s="60">
        <f t="shared" si="6"/>
        <v>0</v>
      </c>
      <c r="Q98" s="60">
        <f t="shared" si="7"/>
        <v>0</v>
      </c>
      <c r="R98" s="60">
        <f t="shared" si="8"/>
        <v>0</v>
      </c>
      <c r="S98" s="62" cm="1">
        <f t="array" ref="S98">_xlfn.IFNA(MATCH(SUMIFS(R:R,A:A,"="&amp;A98,B:B,"&lt;"&amp;(B98+1)),_xlfn._xlws.FILTER(AO:AO,AL:AL=A98),1),1)</f>
        <v>1</v>
      </c>
      <c r="T98" s="62">
        <f t="shared" si="10"/>
        <v>65</v>
      </c>
      <c r="U98" s="62"/>
      <c r="V98" s="62"/>
      <c r="W98" s="63"/>
      <c r="X98" s="30"/>
      <c r="Y98" s="64"/>
      <c r="Z98" s="64"/>
      <c r="AA98" s="23"/>
      <c r="AB98" s="24"/>
      <c r="AC98" s="25"/>
      <c r="AD98" s="25"/>
      <c r="AI98" s="42"/>
      <c r="AJ98" s="42"/>
    </row>
    <row r="99" spans="1:36">
      <c r="A99" s="46">
        <f t="shared" si="4"/>
        <v>3</v>
      </c>
      <c r="B99" s="47">
        <v>12</v>
      </c>
      <c r="C99" s="47"/>
      <c r="D99" s="47"/>
      <c r="E99" s="14"/>
      <c r="F99" s="14" t="str">
        <f t="shared" si="11"/>
        <v/>
      </c>
      <c r="G99" s="14"/>
      <c r="H99" s="30"/>
      <c r="I99" s="17"/>
      <c r="J99" s="18">
        <f t="shared" si="12"/>
        <v>0</v>
      </c>
      <c r="K99" s="19" t="s">
        <v>453</v>
      </c>
      <c r="L99" s="38">
        <v>3</v>
      </c>
      <c r="M99" s="21">
        <v>10</v>
      </c>
      <c r="N99" s="14"/>
      <c r="O99" s="22"/>
      <c r="P99" s="60">
        <f t="shared" si="6"/>
        <v>0</v>
      </c>
      <c r="Q99" s="60">
        <f t="shared" si="7"/>
        <v>0</v>
      </c>
      <c r="R99" s="60">
        <f t="shared" si="8"/>
        <v>0</v>
      </c>
      <c r="S99" s="62" cm="1">
        <f t="array" ref="S99">_xlfn.IFNA(MATCH(SUMIFS(R:R,A:A,"="&amp;A99,B:B,"&lt;"&amp;(B99+1)),_xlfn._xlws.FILTER(AO:AO,AL:AL=A99),1),1)</f>
        <v>1</v>
      </c>
      <c r="T99" s="62">
        <f t="shared" si="10"/>
        <v>65</v>
      </c>
      <c r="U99" s="62"/>
      <c r="V99" s="62"/>
      <c r="W99" s="63"/>
      <c r="X99" s="30"/>
      <c r="Y99" s="64"/>
      <c r="Z99" s="64"/>
      <c r="AA99" s="23"/>
      <c r="AB99" s="24"/>
      <c r="AC99" s="25"/>
      <c r="AD99" s="25"/>
      <c r="AI99" s="42"/>
      <c r="AJ99" s="42"/>
    </row>
    <row r="100" spans="1:36">
      <c r="A100" s="46">
        <f t="shared" si="4"/>
        <v>3</v>
      </c>
      <c r="B100" s="47">
        <v>13</v>
      </c>
      <c r="C100" s="47"/>
      <c r="D100" s="47"/>
      <c r="E100" s="14"/>
      <c r="F100" s="14" t="str">
        <f t="shared" si="11"/>
        <v/>
      </c>
      <c r="G100" s="14"/>
      <c r="H100" s="30"/>
      <c r="I100" s="17"/>
      <c r="J100" s="18">
        <f t="shared" si="12"/>
        <v>0</v>
      </c>
      <c r="K100" t="s">
        <v>426</v>
      </c>
      <c r="L100" s="38">
        <v>3</v>
      </c>
      <c r="M100" s="21">
        <v>1</v>
      </c>
      <c r="N100" s="14"/>
      <c r="O100" s="22"/>
      <c r="P100" s="60">
        <f t="shared" si="6"/>
        <v>0</v>
      </c>
      <c r="Q100" s="60">
        <f t="shared" si="7"/>
        <v>0</v>
      </c>
      <c r="R100" s="60">
        <f t="shared" si="8"/>
        <v>0</v>
      </c>
      <c r="S100" s="62" cm="1">
        <f t="array" ref="S100">_xlfn.IFNA(MATCH(SUMIFS(R:R,A:A,"="&amp;A100,B:B,"&lt;"&amp;(B100+1)),_xlfn._xlws.FILTER(AO:AO,AL:AL=A100),1),1)</f>
        <v>1</v>
      </c>
      <c r="T100" s="62">
        <f t="shared" si="10"/>
        <v>65</v>
      </c>
      <c r="U100" s="62"/>
      <c r="V100" s="62"/>
      <c r="W100" s="63"/>
      <c r="X100" s="30"/>
      <c r="Y100" s="64"/>
      <c r="Z100" s="64"/>
      <c r="AA100" s="23"/>
      <c r="AB100" s="24"/>
      <c r="AC100" s="25"/>
      <c r="AD100" s="25"/>
      <c r="AI100" s="42"/>
      <c r="AJ100" s="42"/>
    </row>
    <row r="101" spans="1:36">
      <c r="A101" s="46">
        <f t="shared" si="4"/>
        <v>3</v>
      </c>
      <c r="B101" s="47">
        <v>14</v>
      </c>
      <c r="C101" s="47"/>
      <c r="D101" s="47"/>
      <c r="E101" s="14">
        <v>9.99</v>
      </c>
      <c r="F101" s="14">
        <f t="shared" si="11"/>
        <v>139</v>
      </c>
      <c r="G101" s="36">
        <f>(E101+0.01)*F101*$AJ$2/100</f>
        <v>13900000</v>
      </c>
      <c r="H101" s="37">
        <f>SUM(G89:G101)</f>
        <v>31360000</v>
      </c>
      <c r="I101" s="17">
        <f>SUM(E89:E101)</f>
        <v>23.97</v>
      </c>
      <c r="J101" s="18">
        <f t="shared" si="12"/>
        <v>0</v>
      </c>
      <c r="K101" s="14" t="s">
        <v>2</v>
      </c>
      <c r="L101" s="29">
        <v>9</v>
      </c>
      <c r="M101" s="21">
        <f>G101</f>
        <v>13900000</v>
      </c>
      <c r="N101" s="36">
        <f>SUMIF(K101:K106,"="&amp;"金币",M101:M106)</f>
        <v>15908050</v>
      </c>
      <c r="O101" s="22">
        <f>N101/$AJ$2</f>
        <v>15.90805</v>
      </c>
      <c r="P101" s="60">
        <f t="shared" si="6"/>
        <v>0</v>
      </c>
      <c r="Q101" s="60">
        <f t="shared" si="7"/>
        <v>0</v>
      </c>
      <c r="R101" s="60">
        <f t="shared" si="8"/>
        <v>35</v>
      </c>
      <c r="S101" s="62" cm="1">
        <f t="array" ref="S101">_xlfn.IFNA(MATCH(SUMIFS(R:R,A:A,"="&amp;A101,B:B,"&lt;"&amp;(B101+1)),_xlfn._xlws.FILTER(AO:AO,AL:AL=A101),1),1)</f>
        <v>1</v>
      </c>
      <c r="T101" s="62">
        <f t="shared" si="10"/>
        <v>100</v>
      </c>
      <c r="U101" s="62" t="str">
        <f>_xlfn.IFNA(VLOOKUP(Q101,道具!B:C,2,FALSE),"")</f>
        <v/>
      </c>
      <c r="V101" s="62"/>
      <c r="W101" s="63">
        <f>IF(U101=1,J101*$AD$6,IF(U101=2,J101*$AJ$2,0))</f>
        <v>0</v>
      </c>
      <c r="X101" s="37">
        <f>SUM(N89:N101)+SUM(W89:W101)</f>
        <v>36856450</v>
      </c>
      <c r="Y101" s="66">
        <f>SUM(O89:O101)</f>
        <v>35.77771</v>
      </c>
      <c r="Z101" s="66">
        <f>SUM(W89:W101)</f>
        <v>1078740</v>
      </c>
      <c r="AA101" s="23">
        <f>X101/$AJ$2</f>
        <v>36.85645</v>
      </c>
      <c r="AB101" s="24">
        <f>X101/H101</f>
        <v>1.17526945153061</v>
      </c>
      <c r="AC101" s="25"/>
      <c r="AD101" s="25"/>
      <c r="AI101" s="42"/>
      <c r="AJ101" s="42"/>
    </row>
    <row r="102" spans="1:36">
      <c r="A102" s="46">
        <f t="shared" si="4"/>
        <v>3</v>
      </c>
      <c r="B102" s="47">
        <v>15</v>
      </c>
      <c r="C102" s="47"/>
      <c r="D102" s="47"/>
      <c r="E102" s="14"/>
      <c r="F102" s="14" t="str">
        <f t="shared" si="11"/>
        <v/>
      </c>
      <c r="G102" s="14"/>
      <c r="H102" s="30"/>
      <c r="I102" s="17"/>
      <c r="J102" s="18">
        <f t="shared" si="12"/>
        <v>0</v>
      </c>
      <c r="K102" s="19" t="s">
        <v>408</v>
      </c>
      <c r="L102" s="38">
        <v>3</v>
      </c>
      <c r="M102" s="21">
        <v>3</v>
      </c>
      <c r="N102" s="14"/>
      <c r="O102" s="22"/>
      <c r="P102" s="60">
        <f t="shared" si="6"/>
        <v>0</v>
      </c>
      <c r="Q102" s="60">
        <f t="shared" si="7"/>
        <v>0</v>
      </c>
      <c r="R102" s="60">
        <f t="shared" si="8"/>
        <v>0</v>
      </c>
      <c r="S102" s="62" cm="1">
        <f t="array" ref="S102">_xlfn.IFNA(MATCH(SUMIFS(R:R,A:A,"="&amp;A102,B:B,"&lt;"&amp;(B102+1)),_xlfn._xlws.FILTER(AO:AO,AL:AL=A102),1),1)</f>
        <v>1</v>
      </c>
      <c r="T102" s="62">
        <f t="shared" si="10"/>
        <v>100</v>
      </c>
      <c r="U102" s="62"/>
      <c r="V102" s="62"/>
      <c r="W102" s="63"/>
      <c r="X102" s="30"/>
      <c r="Y102" s="64"/>
      <c r="Z102" s="64"/>
      <c r="AA102" s="23"/>
      <c r="AB102" s="24"/>
      <c r="AC102" s="25"/>
      <c r="AD102" s="25"/>
      <c r="AI102" s="42"/>
      <c r="AJ102" s="42"/>
    </row>
    <row r="103" spans="1:36">
      <c r="A103" s="46">
        <f t="shared" si="4"/>
        <v>3</v>
      </c>
      <c r="B103" s="47">
        <v>16</v>
      </c>
      <c r="C103" s="47"/>
      <c r="D103" s="47"/>
      <c r="E103" s="14"/>
      <c r="F103" s="14" t="str">
        <f t="shared" si="11"/>
        <v/>
      </c>
      <c r="G103" s="14"/>
      <c r="H103" s="30"/>
      <c r="I103" s="17"/>
      <c r="J103" s="18">
        <f t="shared" si="12"/>
        <v>0.1</v>
      </c>
      <c r="K103" s="19" t="s">
        <v>2</v>
      </c>
      <c r="L103" s="38">
        <v>17</v>
      </c>
      <c r="M103" s="21">
        <f>J103*$AD$92</f>
        <v>2008050</v>
      </c>
      <c r="N103" s="14"/>
      <c r="O103" s="22"/>
      <c r="P103" s="60">
        <f t="shared" si="6"/>
        <v>0</v>
      </c>
      <c r="Q103" s="60">
        <f t="shared" si="7"/>
        <v>0</v>
      </c>
      <c r="R103" s="60">
        <f t="shared" si="8"/>
        <v>0</v>
      </c>
      <c r="S103" s="62" cm="1">
        <f t="array" ref="S103">_xlfn.IFNA(MATCH(SUMIFS(R:R,A:A,"="&amp;A103,B:B,"&lt;"&amp;(B103+1)),_xlfn._xlws.FILTER(AO:AO,AL:AL=A103),1),1)</f>
        <v>1</v>
      </c>
      <c r="T103" s="62">
        <f t="shared" si="10"/>
        <v>100</v>
      </c>
      <c r="U103" s="62"/>
      <c r="V103" s="62"/>
      <c r="W103" s="63"/>
      <c r="X103" s="30"/>
      <c r="Y103" s="64"/>
      <c r="Z103" s="64"/>
      <c r="AA103" s="23"/>
      <c r="AB103" s="24"/>
      <c r="AC103" s="25"/>
      <c r="AD103" s="25"/>
      <c r="AI103" s="42"/>
      <c r="AJ103" s="42"/>
    </row>
    <row r="104" spans="1:36">
      <c r="A104" s="46">
        <f t="shared" si="4"/>
        <v>3</v>
      </c>
      <c r="B104" s="47">
        <v>17</v>
      </c>
      <c r="C104" s="47"/>
      <c r="D104" s="47"/>
      <c r="E104" s="14"/>
      <c r="F104" s="14" t="str">
        <f t="shared" si="11"/>
        <v/>
      </c>
      <c r="G104" s="14"/>
      <c r="H104" s="30"/>
      <c r="I104" s="17"/>
      <c r="J104" s="18">
        <f t="shared" si="12"/>
        <v>0</v>
      </c>
      <c r="K104" s="19" t="s">
        <v>461</v>
      </c>
      <c r="L104" s="38">
        <v>4</v>
      </c>
      <c r="M104" s="21">
        <v>1</v>
      </c>
      <c r="N104" s="14"/>
      <c r="O104" s="22"/>
      <c r="P104" s="60">
        <f t="shared" si="6"/>
        <v>0</v>
      </c>
      <c r="Q104" s="60">
        <f t="shared" si="7"/>
        <v>0</v>
      </c>
      <c r="R104" s="60">
        <f t="shared" si="8"/>
        <v>25</v>
      </c>
      <c r="S104" s="62" cm="1">
        <f t="array" ref="S104">_xlfn.IFNA(MATCH(SUMIFS(R:R,A:A,"="&amp;A104,B:B,"&lt;"&amp;(B104+1)),_xlfn._xlws.FILTER(AO:AO,AL:AL=A104),1),1)</f>
        <v>1</v>
      </c>
      <c r="T104" s="62">
        <f t="shared" si="10"/>
        <v>125</v>
      </c>
      <c r="U104" s="62"/>
      <c r="V104" s="62"/>
      <c r="W104" s="63"/>
      <c r="X104" s="30"/>
      <c r="Y104" s="64"/>
      <c r="Z104" s="64"/>
      <c r="AA104" s="23"/>
      <c r="AB104" s="24"/>
      <c r="AC104" s="25"/>
      <c r="AD104" s="25"/>
      <c r="AI104" s="42"/>
      <c r="AJ104" s="42"/>
    </row>
    <row r="105" spans="1:36">
      <c r="A105" s="46">
        <f t="shared" si="4"/>
        <v>3</v>
      </c>
      <c r="B105" s="47">
        <v>18</v>
      </c>
      <c r="C105" s="47"/>
      <c r="D105" s="47"/>
      <c r="E105" s="14"/>
      <c r="F105" s="14" t="str">
        <f t="shared" si="11"/>
        <v/>
      </c>
      <c r="G105" s="14"/>
      <c r="H105" s="30"/>
      <c r="I105" s="17"/>
      <c r="J105" s="18">
        <f t="shared" si="12"/>
        <v>0</v>
      </c>
      <c r="K105" s="19" t="s">
        <v>453</v>
      </c>
      <c r="L105" s="38">
        <v>3</v>
      </c>
      <c r="M105" s="21">
        <v>15</v>
      </c>
      <c r="N105" s="14"/>
      <c r="O105" s="22"/>
      <c r="P105" s="60">
        <f t="shared" si="6"/>
        <v>0</v>
      </c>
      <c r="Q105" s="60">
        <f t="shared" si="7"/>
        <v>0</v>
      </c>
      <c r="R105" s="60">
        <f t="shared" si="8"/>
        <v>0</v>
      </c>
      <c r="S105" s="62" cm="1">
        <f t="array" ref="S105">_xlfn.IFNA(MATCH(SUMIFS(R:R,A:A,"="&amp;A105,B:B,"&lt;"&amp;(B105+1)),_xlfn._xlws.FILTER(AO:AO,AL:AL=A105),1),1)</f>
        <v>1</v>
      </c>
      <c r="T105" s="62">
        <f t="shared" si="10"/>
        <v>125</v>
      </c>
      <c r="U105" s="62"/>
      <c r="V105" s="62"/>
      <c r="W105" s="63"/>
      <c r="X105" s="30"/>
      <c r="Y105" s="64"/>
      <c r="Z105" s="64"/>
      <c r="AA105" s="23"/>
      <c r="AB105" s="24"/>
      <c r="AC105" s="25"/>
      <c r="AD105" s="25"/>
      <c r="AI105" s="42"/>
      <c r="AJ105" s="42"/>
    </row>
    <row r="106" spans="1:36">
      <c r="A106" s="46">
        <f t="shared" si="4"/>
        <v>3</v>
      </c>
      <c r="B106" s="47">
        <v>19</v>
      </c>
      <c r="C106" s="47"/>
      <c r="D106" s="47"/>
      <c r="E106" s="14"/>
      <c r="F106" s="14" t="str">
        <f t="shared" si="11"/>
        <v/>
      </c>
      <c r="G106" s="14"/>
      <c r="H106" s="30"/>
      <c r="I106" s="17"/>
      <c r="J106" s="18">
        <f t="shared" si="12"/>
        <v>0</v>
      </c>
      <c r="K106" t="s">
        <v>424</v>
      </c>
      <c r="L106" s="38">
        <v>3</v>
      </c>
      <c r="M106" s="21">
        <v>1</v>
      </c>
      <c r="N106" s="14"/>
      <c r="O106" s="22"/>
      <c r="P106" s="60">
        <f t="shared" si="6"/>
        <v>0</v>
      </c>
      <c r="Q106" s="60">
        <f t="shared" si="7"/>
        <v>0</v>
      </c>
      <c r="R106" s="60">
        <f t="shared" si="8"/>
        <v>0</v>
      </c>
      <c r="S106" s="62" cm="1">
        <f t="array" ref="S106">_xlfn.IFNA(MATCH(SUMIFS(R:R,A:A,"="&amp;A106,B:B,"&lt;"&amp;(B106+1)),_xlfn._xlws.FILTER(AO:AO,AL:AL=A106),1),1)</f>
        <v>1</v>
      </c>
      <c r="T106" s="62">
        <f t="shared" si="10"/>
        <v>125</v>
      </c>
      <c r="U106" s="62"/>
      <c r="V106" s="62"/>
      <c r="W106" s="63"/>
      <c r="X106" s="30"/>
      <c r="Y106" s="64"/>
      <c r="Z106" s="64"/>
      <c r="AA106" s="23"/>
      <c r="AB106" s="24"/>
      <c r="AC106" s="25"/>
      <c r="AD106" s="25"/>
      <c r="AI106" s="42"/>
      <c r="AJ106" s="42"/>
    </row>
    <row r="107" spans="1:36">
      <c r="A107" s="46">
        <f t="shared" si="4"/>
        <v>3</v>
      </c>
      <c r="B107" s="47">
        <v>20</v>
      </c>
      <c r="C107" s="47"/>
      <c r="D107" s="47"/>
      <c r="E107" s="14">
        <v>12.99</v>
      </c>
      <c r="F107" s="14">
        <f t="shared" si="11"/>
        <v>149</v>
      </c>
      <c r="G107" s="36">
        <f>(E107+0.01)*F107*$AJ$2/100</f>
        <v>19370000</v>
      </c>
      <c r="H107" s="37">
        <f>SUM(G89:G107)</f>
        <v>50730000</v>
      </c>
      <c r="I107" s="17">
        <f>SUM(E89:E107)</f>
        <v>36.96</v>
      </c>
      <c r="J107" s="18">
        <f t="shared" si="12"/>
        <v>0.24</v>
      </c>
      <c r="K107" s="14" t="s">
        <v>2</v>
      </c>
      <c r="L107" s="29">
        <v>9</v>
      </c>
      <c r="M107" s="21">
        <f>G107</f>
        <v>19370000</v>
      </c>
      <c r="N107" s="36">
        <f>SUMIF(K107:K112,"="&amp;"金币",M107:M112)</f>
        <v>20976440</v>
      </c>
      <c r="O107" s="22">
        <f>N107/$AJ$2</f>
        <v>20.97644</v>
      </c>
      <c r="P107" s="60">
        <f t="shared" si="6"/>
        <v>2</v>
      </c>
      <c r="Q107" s="60" t="str">
        <f t="shared" si="7"/>
        <v>金币</v>
      </c>
      <c r="R107" s="60">
        <f t="shared" si="8"/>
        <v>0</v>
      </c>
      <c r="S107" s="62" cm="1">
        <f t="array" ref="S107">_xlfn.IFNA(MATCH(SUMIFS(R:R,A:A,"="&amp;A107,B:B,"&lt;"&amp;(B107+1)),_xlfn._xlws.FILTER(AO:AO,AL:AL=A107),1),1)</f>
        <v>1</v>
      </c>
      <c r="T107" s="62">
        <f t="shared" si="10"/>
        <v>125</v>
      </c>
      <c r="U107" s="62">
        <f>_xlfn.IFNA(VLOOKUP(Q107,道具!B:C,2,FALSE),"")</f>
        <v>1</v>
      </c>
      <c r="V107" s="62">
        <f>IF(U107=1,CEILING(W107*100/$AJ$2,5),IF(U107=2,J107*100,0))</f>
        <v>220</v>
      </c>
      <c r="W107" s="63">
        <f>IF(U107=1,J107*$AD$6,IF(U107=2,J107*$AJ$2,0))</f>
        <v>2157480</v>
      </c>
      <c r="X107" s="37">
        <f>SUM(N89:N107)+SUM(W89:W107)</f>
        <v>59990370</v>
      </c>
      <c r="Y107" s="66">
        <f>SUM(O89:O107)</f>
        <v>56.75415</v>
      </c>
      <c r="Z107" s="66">
        <f>SUM(W89:W107)</f>
        <v>3236220</v>
      </c>
      <c r="AA107" s="23">
        <f>X107/$AJ$2</f>
        <v>59.99037</v>
      </c>
      <c r="AB107" s="24">
        <f>X107/H107</f>
        <v>1.18254228267297</v>
      </c>
      <c r="AC107" s="25"/>
      <c r="AD107" s="25"/>
      <c r="AI107" s="42"/>
      <c r="AJ107" s="42"/>
    </row>
    <row r="108" spans="1:36">
      <c r="A108" s="46">
        <f t="shared" si="4"/>
        <v>3</v>
      </c>
      <c r="B108" s="47">
        <v>21</v>
      </c>
      <c r="C108" s="47"/>
      <c r="D108" s="47"/>
      <c r="E108" s="14"/>
      <c r="F108" s="14" t="str">
        <f t="shared" si="11"/>
        <v/>
      </c>
      <c r="G108" s="14"/>
      <c r="H108" s="30"/>
      <c r="I108" s="17"/>
      <c r="J108" s="18">
        <f t="shared" si="12"/>
        <v>0</v>
      </c>
      <c r="K108" s="19" t="s">
        <v>408</v>
      </c>
      <c r="L108" s="38">
        <v>3</v>
      </c>
      <c r="M108" s="21">
        <v>4</v>
      </c>
      <c r="N108" s="14"/>
      <c r="O108" s="22"/>
      <c r="P108" s="60">
        <f t="shared" si="6"/>
        <v>0</v>
      </c>
      <c r="Q108" s="60">
        <f t="shared" si="7"/>
        <v>0</v>
      </c>
      <c r="R108" s="60">
        <f t="shared" si="8"/>
        <v>0</v>
      </c>
      <c r="S108" s="62" cm="1">
        <f t="array" ref="S108">_xlfn.IFNA(MATCH(SUMIFS(R:R,A:A,"="&amp;A108,B:B,"&lt;"&amp;(B108+1)),_xlfn._xlws.FILTER(AO:AO,AL:AL=A108),1),1)</f>
        <v>1</v>
      </c>
      <c r="T108" s="62">
        <f t="shared" si="10"/>
        <v>125</v>
      </c>
      <c r="U108" s="62"/>
      <c r="V108" s="62"/>
      <c r="W108" s="63"/>
      <c r="X108" s="30"/>
      <c r="Y108" s="64"/>
      <c r="Z108" s="64"/>
      <c r="AA108" s="23"/>
      <c r="AB108" s="24"/>
      <c r="AC108" s="25"/>
      <c r="AD108" s="25"/>
      <c r="AI108" s="42"/>
      <c r="AJ108" s="42"/>
    </row>
    <row r="109" spans="1:36">
      <c r="A109" s="46">
        <f t="shared" ref="A109:A172" si="13">A66+1</f>
        <v>3</v>
      </c>
      <c r="B109" s="47">
        <v>22</v>
      </c>
      <c r="C109" s="47"/>
      <c r="D109" s="47"/>
      <c r="E109" s="14"/>
      <c r="F109" s="14" t="str">
        <f t="shared" si="11"/>
        <v/>
      </c>
      <c r="G109" s="14"/>
      <c r="H109" s="30"/>
      <c r="I109" s="17"/>
      <c r="J109" s="18">
        <f t="shared" si="12"/>
        <v>0.08</v>
      </c>
      <c r="K109" s="19" t="s">
        <v>2</v>
      </c>
      <c r="L109" s="38">
        <v>17</v>
      </c>
      <c r="M109" s="21">
        <f>J109*$AD$92</f>
        <v>1606440</v>
      </c>
      <c r="N109" s="14"/>
      <c r="O109" s="22"/>
      <c r="P109" s="60">
        <f t="shared" ref="P109:P172" si="14">P66</f>
        <v>0</v>
      </c>
      <c r="Q109" s="60">
        <f t="shared" ref="Q109:Q172" si="15">Q66</f>
        <v>0</v>
      </c>
      <c r="R109" s="60">
        <f t="shared" ref="R109:R172" si="16">R66</f>
        <v>0</v>
      </c>
      <c r="S109" s="62" cm="1">
        <f t="array" ref="S109">_xlfn.IFNA(MATCH(SUMIFS(R:R,A:A,"="&amp;A109,B:B,"&lt;"&amp;(B109+1)),_xlfn._xlws.FILTER(AO:AO,AL:AL=A109),1),1)</f>
        <v>1</v>
      </c>
      <c r="T109" s="62">
        <f t="shared" si="10"/>
        <v>125</v>
      </c>
      <c r="U109" s="62"/>
      <c r="V109" s="62"/>
      <c r="W109" s="63"/>
      <c r="X109" s="30"/>
      <c r="Y109" s="64"/>
      <c r="Z109" s="64"/>
      <c r="AA109" s="23"/>
      <c r="AB109" s="24"/>
      <c r="AC109" s="25"/>
      <c r="AD109" s="25"/>
      <c r="AI109" s="42"/>
      <c r="AJ109" s="42"/>
    </row>
    <row r="110" spans="1:36">
      <c r="A110" s="46">
        <f t="shared" si="13"/>
        <v>3</v>
      </c>
      <c r="B110" s="47">
        <v>23</v>
      </c>
      <c r="C110" s="47"/>
      <c r="D110" s="47"/>
      <c r="E110" s="14"/>
      <c r="F110" s="14" t="str">
        <f t="shared" si="11"/>
        <v/>
      </c>
      <c r="G110" s="14"/>
      <c r="H110" s="30"/>
      <c r="I110" s="17"/>
      <c r="J110" s="18">
        <f t="shared" si="12"/>
        <v>0</v>
      </c>
      <c r="K110" s="19" t="s">
        <v>461</v>
      </c>
      <c r="L110" s="38">
        <v>4</v>
      </c>
      <c r="M110" s="21">
        <v>1</v>
      </c>
      <c r="N110" s="14"/>
      <c r="O110" s="22"/>
      <c r="P110" s="60">
        <f t="shared" si="14"/>
        <v>0</v>
      </c>
      <c r="Q110" s="60">
        <f t="shared" si="15"/>
        <v>0</v>
      </c>
      <c r="R110" s="60">
        <f t="shared" si="16"/>
        <v>15</v>
      </c>
      <c r="S110" s="62" cm="1">
        <f t="array" ref="S110">_xlfn.IFNA(MATCH(SUMIFS(R:R,A:A,"="&amp;A110,B:B,"&lt;"&amp;(B110+1)),_xlfn._xlws.FILTER(AO:AO,AL:AL=A110),1),1)</f>
        <v>1</v>
      </c>
      <c r="T110" s="62">
        <f t="shared" si="10"/>
        <v>140</v>
      </c>
      <c r="U110" s="62"/>
      <c r="V110" s="62"/>
      <c r="W110" s="63"/>
      <c r="X110" s="30"/>
      <c r="Y110" s="64"/>
      <c r="Z110" s="64"/>
      <c r="AA110" s="23"/>
      <c r="AB110" s="24"/>
      <c r="AC110" s="25"/>
      <c r="AD110" s="25"/>
      <c r="AI110" s="42"/>
      <c r="AJ110" s="42"/>
    </row>
    <row r="111" spans="1:36">
      <c r="A111" s="46">
        <f t="shared" si="13"/>
        <v>3</v>
      </c>
      <c r="B111" s="47">
        <v>24</v>
      </c>
      <c r="C111" s="47"/>
      <c r="D111" s="47"/>
      <c r="E111" s="14"/>
      <c r="F111" s="14" t="str">
        <f t="shared" si="11"/>
        <v/>
      </c>
      <c r="G111" s="14"/>
      <c r="H111" s="30"/>
      <c r="I111" s="17"/>
      <c r="J111" s="18">
        <f t="shared" si="12"/>
        <v>0</v>
      </c>
      <c r="K111" s="19" t="s">
        <v>453</v>
      </c>
      <c r="L111" s="38">
        <v>3</v>
      </c>
      <c r="M111" s="21">
        <v>20</v>
      </c>
      <c r="N111" s="14"/>
      <c r="O111" s="22"/>
      <c r="P111" s="60">
        <f t="shared" si="14"/>
        <v>0</v>
      </c>
      <c r="Q111" s="60">
        <f t="shared" si="15"/>
        <v>0</v>
      </c>
      <c r="R111" s="60">
        <f t="shared" si="16"/>
        <v>0</v>
      </c>
      <c r="S111" s="62" cm="1">
        <f t="array" ref="S111">_xlfn.IFNA(MATCH(SUMIFS(R:R,A:A,"="&amp;A111,B:B,"&lt;"&amp;(B111+1)),_xlfn._xlws.FILTER(AO:AO,AL:AL=A111),1),1)</f>
        <v>1</v>
      </c>
      <c r="T111" s="62">
        <f t="shared" si="10"/>
        <v>140</v>
      </c>
      <c r="U111" s="62"/>
      <c r="V111" s="62"/>
      <c r="W111" s="63"/>
      <c r="X111" s="30"/>
      <c r="Y111" s="64"/>
      <c r="Z111" s="64"/>
      <c r="AA111" s="23"/>
      <c r="AB111" s="24"/>
      <c r="AC111" s="25"/>
      <c r="AD111" s="25"/>
      <c r="AI111" s="42"/>
      <c r="AJ111" s="42"/>
    </row>
    <row r="112" spans="1:36">
      <c r="A112" s="46">
        <f t="shared" si="13"/>
        <v>3</v>
      </c>
      <c r="B112" s="47">
        <v>25</v>
      </c>
      <c r="C112" s="47"/>
      <c r="D112" s="47"/>
      <c r="E112" s="14"/>
      <c r="F112" s="14" t="str">
        <f t="shared" si="11"/>
        <v/>
      </c>
      <c r="G112" s="14"/>
      <c r="H112" s="30"/>
      <c r="I112" s="17"/>
      <c r="J112" s="18">
        <f t="shared" si="12"/>
        <v>0</v>
      </c>
      <c r="K112" t="s">
        <v>426</v>
      </c>
      <c r="L112" s="38">
        <v>3</v>
      </c>
      <c r="M112" s="21">
        <v>1</v>
      </c>
      <c r="N112" s="14"/>
      <c r="O112" s="22"/>
      <c r="P112" s="60">
        <f t="shared" si="14"/>
        <v>0</v>
      </c>
      <c r="Q112" s="60">
        <f t="shared" si="15"/>
        <v>0</v>
      </c>
      <c r="R112" s="60">
        <f t="shared" si="16"/>
        <v>0</v>
      </c>
      <c r="S112" s="62" cm="1">
        <f t="array" ref="S112">_xlfn.IFNA(MATCH(SUMIFS(R:R,A:A,"="&amp;A112,B:B,"&lt;"&amp;(B112+1)),_xlfn._xlws.FILTER(AO:AO,AL:AL=A112),1),1)</f>
        <v>1</v>
      </c>
      <c r="T112" s="62">
        <f t="shared" si="10"/>
        <v>140</v>
      </c>
      <c r="U112" s="62"/>
      <c r="V112" s="62"/>
      <c r="W112" s="63"/>
      <c r="X112" s="30"/>
      <c r="Y112" s="64"/>
      <c r="Z112" s="64"/>
      <c r="AA112" s="23"/>
      <c r="AB112" s="24"/>
      <c r="AC112" s="25"/>
      <c r="AD112" s="25"/>
      <c r="AI112" s="42"/>
      <c r="AJ112" s="42"/>
    </row>
    <row r="113" spans="1:36">
      <c r="A113" s="46">
        <f t="shared" si="13"/>
        <v>3</v>
      </c>
      <c r="B113" s="47">
        <v>26</v>
      </c>
      <c r="C113" s="47"/>
      <c r="D113" s="47"/>
      <c r="E113" s="14">
        <v>14.99</v>
      </c>
      <c r="F113" s="14">
        <f t="shared" si="11"/>
        <v>154</v>
      </c>
      <c r="G113" s="36">
        <f>(E113+0.01)*F113*$AJ$2/100</f>
        <v>23100000</v>
      </c>
      <c r="H113" s="37">
        <f>SUM(G89:G113)</f>
        <v>73830000</v>
      </c>
      <c r="I113" s="17">
        <f>SUM(E89:E113)</f>
        <v>51.95</v>
      </c>
      <c r="J113" s="18">
        <f t="shared" si="12"/>
        <v>0</v>
      </c>
      <c r="K113" s="14" t="s">
        <v>2</v>
      </c>
      <c r="L113" s="29">
        <v>9</v>
      </c>
      <c r="M113" s="21">
        <f>G113</f>
        <v>23100000</v>
      </c>
      <c r="N113" s="36">
        <f>SUMIF(K113:K118,"="&amp;"金币",M113:M118)</f>
        <v>24104025</v>
      </c>
      <c r="O113" s="22">
        <f>N113/$AJ$2</f>
        <v>24.104025</v>
      </c>
      <c r="P113" s="60">
        <f t="shared" si="14"/>
        <v>0</v>
      </c>
      <c r="Q113" s="60">
        <f t="shared" si="15"/>
        <v>0</v>
      </c>
      <c r="R113" s="60">
        <f t="shared" si="16"/>
        <v>10</v>
      </c>
      <c r="S113" s="62" cm="1">
        <f t="array" ref="S113">_xlfn.IFNA(MATCH(SUMIFS(R:R,A:A,"="&amp;A113,B:B,"&lt;"&amp;(B113+1)),_xlfn._xlws.FILTER(AO:AO,AL:AL=A113),1),1)</f>
        <v>2</v>
      </c>
      <c r="T113" s="62">
        <f t="shared" si="10"/>
        <v>150</v>
      </c>
      <c r="U113" s="62" t="str">
        <f>_xlfn.IFNA(VLOOKUP(Q113,道具!B:C,2,FALSE),"")</f>
        <v/>
      </c>
      <c r="V113" s="62">
        <f>IF(U113=1,CEILING(W113*100/$AJ$2,5),IF(U113=2,J113*100,0))</f>
        <v>0</v>
      </c>
      <c r="W113" s="63">
        <f>IF(U113=1,J113*$AD$6,IF(U113=2,J113*$AJ$2,0))</f>
        <v>0</v>
      </c>
      <c r="X113" s="37">
        <f>SUM(N89:N113)+SUM(W89:W113)</f>
        <v>84094395</v>
      </c>
      <c r="Y113" s="66">
        <f>SUM(O89:O113)</f>
        <v>80.858175</v>
      </c>
      <c r="Z113" s="66">
        <f>SUM(W89:W113)</f>
        <v>3236220</v>
      </c>
      <c r="AA113" s="23">
        <f>X113/$AJ$2</f>
        <v>84.094395</v>
      </c>
      <c r="AB113" s="24">
        <f>X113/H113</f>
        <v>1.13902742787485</v>
      </c>
      <c r="AC113" s="25"/>
      <c r="AD113" s="25"/>
      <c r="AI113" s="42"/>
      <c r="AJ113" s="42"/>
    </row>
    <row r="114" spans="1:36">
      <c r="A114" s="46">
        <f t="shared" si="13"/>
        <v>3</v>
      </c>
      <c r="B114" s="47">
        <v>27</v>
      </c>
      <c r="C114" s="47"/>
      <c r="D114" s="47"/>
      <c r="E114" s="14"/>
      <c r="F114" s="14" t="str">
        <f t="shared" si="11"/>
        <v/>
      </c>
      <c r="G114" s="14"/>
      <c r="H114" s="30"/>
      <c r="I114" s="17"/>
      <c r="J114" s="18">
        <f t="shared" si="12"/>
        <v>0</v>
      </c>
      <c r="K114" s="19" t="s">
        <v>408</v>
      </c>
      <c r="L114" s="38">
        <v>3</v>
      </c>
      <c r="M114" s="21">
        <v>5</v>
      </c>
      <c r="N114" s="14"/>
      <c r="O114" s="22"/>
      <c r="P114" s="60">
        <f t="shared" si="14"/>
        <v>0</v>
      </c>
      <c r="Q114" s="60">
        <f t="shared" si="15"/>
        <v>0</v>
      </c>
      <c r="R114" s="60">
        <f t="shared" si="16"/>
        <v>0</v>
      </c>
      <c r="S114" s="62" cm="1">
        <f t="array" ref="S114">_xlfn.IFNA(MATCH(SUMIFS(R:R,A:A,"="&amp;A114,B:B,"&lt;"&amp;(B114+1)),_xlfn._xlws.FILTER(AO:AO,AL:AL=A114),1),1)</f>
        <v>2</v>
      </c>
      <c r="T114" s="62">
        <f t="shared" si="10"/>
        <v>150</v>
      </c>
      <c r="U114" s="62"/>
      <c r="V114" s="62"/>
      <c r="W114" s="63"/>
      <c r="X114" s="30"/>
      <c r="Y114" s="64"/>
      <c r="Z114" s="64"/>
      <c r="AA114" s="23"/>
      <c r="AB114" s="24"/>
      <c r="AC114" s="25"/>
      <c r="AD114" s="25"/>
      <c r="AI114" s="42"/>
      <c r="AJ114" s="42"/>
    </row>
    <row r="115" spans="1:36">
      <c r="A115" s="46">
        <f t="shared" si="13"/>
        <v>3</v>
      </c>
      <c r="B115" s="47">
        <v>28</v>
      </c>
      <c r="C115" s="47"/>
      <c r="D115" s="47"/>
      <c r="E115" s="14"/>
      <c r="F115" s="14" t="str">
        <f t="shared" si="11"/>
        <v/>
      </c>
      <c r="G115" s="14"/>
      <c r="H115" s="30"/>
      <c r="I115" s="17"/>
      <c r="J115" s="18">
        <f t="shared" si="12"/>
        <v>0.05</v>
      </c>
      <c r="K115" s="19" t="s">
        <v>2</v>
      </c>
      <c r="L115" s="38">
        <v>17</v>
      </c>
      <c r="M115" s="21">
        <f>J115*$AD$92</f>
        <v>1004025</v>
      </c>
      <c r="N115" s="14"/>
      <c r="O115" s="22"/>
      <c r="P115" s="60">
        <f t="shared" si="14"/>
        <v>0</v>
      </c>
      <c r="Q115" s="60">
        <f t="shared" si="15"/>
        <v>0</v>
      </c>
      <c r="R115" s="60">
        <f t="shared" si="16"/>
        <v>0</v>
      </c>
      <c r="S115" s="62" cm="1">
        <f t="array" ref="S115">_xlfn.IFNA(MATCH(SUMIFS(R:R,A:A,"="&amp;A115,B:B,"&lt;"&amp;(B115+1)),_xlfn._xlws.FILTER(AO:AO,AL:AL=A115),1),1)</f>
        <v>2</v>
      </c>
      <c r="T115" s="62">
        <f t="shared" si="10"/>
        <v>150</v>
      </c>
      <c r="U115" s="62"/>
      <c r="V115" s="62"/>
      <c r="W115" s="63"/>
      <c r="X115" s="30"/>
      <c r="Y115" s="64"/>
      <c r="Z115" s="64"/>
      <c r="AA115" s="23"/>
      <c r="AB115" s="24"/>
      <c r="AC115" s="25"/>
      <c r="AD115" s="25"/>
      <c r="AI115" s="42"/>
      <c r="AJ115" s="42"/>
    </row>
    <row r="116" spans="1:36">
      <c r="A116" s="46">
        <f t="shared" si="13"/>
        <v>3</v>
      </c>
      <c r="B116" s="47">
        <v>29</v>
      </c>
      <c r="C116" s="47"/>
      <c r="D116" s="47"/>
      <c r="E116" s="14"/>
      <c r="F116" s="14" t="str">
        <f t="shared" si="11"/>
        <v/>
      </c>
      <c r="G116" s="14"/>
      <c r="H116" s="30"/>
      <c r="I116" s="17"/>
      <c r="J116" s="18">
        <f t="shared" si="12"/>
        <v>0</v>
      </c>
      <c r="K116" s="19" t="s">
        <v>463</v>
      </c>
      <c r="L116" s="38">
        <v>4</v>
      </c>
      <c r="M116" s="21">
        <v>1</v>
      </c>
      <c r="N116" s="14"/>
      <c r="O116" s="22"/>
      <c r="P116" s="60">
        <f t="shared" si="14"/>
        <v>0</v>
      </c>
      <c r="Q116" s="60">
        <f t="shared" si="15"/>
        <v>0</v>
      </c>
      <c r="R116" s="60">
        <f t="shared" si="16"/>
        <v>25</v>
      </c>
      <c r="S116" s="62" cm="1">
        <f t="array" ref="S116">_xlfn.IFNA(MATCH(SUMIFS(R:R,A:A,"="&amp;A116,B:B,"&lt;"&amp;(B116+1)),_xlfn._xlws.FILTER(AO:AO,AL:AL=A116),1),1)</f>
        <v>2</v>
      </c>
      <c r="T116" s="62">
        <f t="shared" si="10"/>
        <v>175</v>
      </c>
      <c r="U116" s="62"/>
      <c r="V116" s="62"/>
      <c r="W116" s="63"/>
      <c r="X116" s="30"/>
      <c r="Y116" s="64"/>
      <c r="Z116" s="64"/>
      <c r="AA116" s="23"/>
      <c r="AB116" s="24"/>
      <c r="AC116" s="25"/>
      <c r="AD116" s="25"/>
      <c r="AI116" s="42"/>
      <c r="AJ116" s="42"/>
    </row>
    <row r="117" spans="1:36">
      <c r="A117" s="46">
        <f t="shared" si="13"/>
        <v>3</v>
      </c>
      <c r="B117" s="47">
        <v>30</v>
      </c>
      <c r="C117" s="47"/>
      <c r="D117" s="47"/>
      <c r="E117" s="14"/>
      <c r="F117" s="14" t="str">
        <f t="shared" si="11"/>
        <v/>
      </c>
      <c r="G117" s="14"/>
      <c r="H117" s="30"/>
      <c r="I117" s="17"/>
      <c r="J117" s="18">
        <f t="shared" si="12"/>
        <v>0</v>
      </c>
      <c r="K117" s="19" t="s">
        <v>453</v>
      </c>
      <c r="L117" s="38">
        <v>3</v>
      </c>
      <c r="M117" s="21">
        <v>25</v>
      </c>
      <c r="N117" s="14"/>
      <c r="O117" s="22"/>
      <c r="P117" s="60">
        <f t="shared" si="14"/>
        <v>0</v>
      </c>
      <c r="Q117" s="60">
        <f t="shared" si="15"/>
        <v>0</v>
      </c>
      <c r="R117" s="60">
        <f t="shared" si="16"/>
        <v>0</v>
      </c>
      <c r="S117" s="62" cm="1">
        <f t="array" ref="S117">_xlfn.IFNA(MATCH(SUMIFS(R:R,A:A,"="&amp;A117,B:B,"&lt;"&amp;(B117+1)),_xlfn._xlws.FILTER(AO:AO,AL:AL=A117),1),1)</f>
        <v>2</v>
      </c>
      <c r="T117" s="62">
        <f t="shared" si="10"/>
        <v>175</v>
      </c>
      <c r="U117" s="62"/>
      <c r="V117" s="62"/>
      <c r="W117" s="63"/>
      <c r="X117" s="30"/>
      <c r="Y117" s="64"/>
      <c r="Z117" s="64"/>
      <c r="AA117" s="23"/>
      <c r="AB117" s="24"/>
      <c r="AC117" s="25"/>
      <c r="AD117" s="25"/>
      <c r="AI117" s="42"/>
      <c r="AJ117" s="42"/>
    </row>
    <row r="118" spans="1:36">
      <c r="A118" s="46">
        <f t="shared" si="13"/>
        <v>3</v>
      </c>
      <c r="B118" s="47">
        <v>31</v>
      </c>
      <c r="C118" s="47"/>
      <c r="D118" s="47"/>
      <c r="E118" s="14"/>
      <c r="F118" s="14" t="str">
        <f t="shared" si="11"/>
        <v/>
      </c>
      <c r="G118" s="14"/>
      <c r="H118" s="30"/>
      <c r="I118" s="17"/>
      <c r="J118" s="18">
        <f t="shared" si="12"/>
        <v>0</v>
      </c>
      <c r="K118" t="s">
        <v>424</v>
      </c>
      <c r="L118" s="38">
        <v>3</v>
      </c>
      <c r="M118" s="21">
        <v>1</v>
      </c>
      <c r="N118" s="14"/>
      <c r="O118" s="22"/>
      <c r="P118" s="60">
        <f t="shared" si="14"/>
        <v>0</v>
      </c>
      <c r="Q118" s="60">
        <f t="shared" si="15"/>
        <v>0</v>
      </c>
      <c r="R118" s="60">
        <f t="shared" si="16"/>
        <v>0</v>
      </c>
      <c r="S118" s="62" cm="1">
        <f t="array" ref="S118">_xlfn.IFNA(MATCH(SUMIFS(R:R,A:A,"="&amp;A118,B:B,"&lt;"&amp;(B118+1)),_xlfn._xlws.FILTER(AO:AO,AL:AL=A118),1),1)</f>
        <v>2</v>
      </c>
      <c r="T118" s="62">
        <f t="shared" si="10"/>
        <v>175</v>
      </c>
      <c r="U118" s="62"/>
      <c r="V118" s="62"/>
      <c r="W118" s="63"/>
      <c r="X118" s="30"/>
      <c r="Y118" s="64"/>
      <c r="Z118" s="64"/>
      <c r="AA118" s="23"/>
      <c r="AB118" s="24"/>
      <c r="AC118" s="25"/>
      <c r="AD118" s="25"/>
      <c r="AI118" s="42"/>
      <c r="AJ118" s="42"/>
    </row>
    <row r="119" spans="1:36">
      <c r="A119" s="46">
        <f t="shared" si="13"/>
        <v>3</v>
      </c>
      <c r="B119" s="47">
        <v>32</v>
      </c>
      <c r="C119" s="47"/>
      <c r="D119" s="47"/>
      <c r="E119" s="14">
        <v>17.99</v>
      </c>
      <c r="F119" s="14">
        <f t="shared" si="11"/>
        <v>158</v>
      </c>
      <c r="G119" s="36">
        <f>(E119+0.01)*F119*$AJ$2/100</f>
        <v>28440000</v>
      </c>
      <c r="H119" s="37">
        <f>SUM(G89:G119)</f>
        <v>102270000</v>
      </c>
      <c r="I119" s="17">
        <f>SUM(E89:E119)</f>
        <v>69.94</v>
      </c>
      <c r="J119" s="18">
        <f t="shared" si="12"/>
        <v>0</v>
      </c>
      <c r="K119" s="14" t="s">
        <v>2</v>
      </c>
      <c r="L119" s="29">
        <v>9</v>
      </c>
      <c r="M119" s="21">
        <f>G119</f>
        <v>28440000</v>
      </c>
      <c r="N119" s="36">
        <f>SUMIF(K119:K124,"="&amp;"金币",M119:M124)</f>
        <v>30849660</v>
      </c>
      <c r="O119" s="22">
        <f>N119/$AJ$2</f>
        <v>30.84966</v>
      </c>
      <c r="P119" s="60">
        <f t="shared" si="14"/>
        <v>0</v>
      </c>
      <c r="Q119" s="60">
        <f t="shared" si="15"/>
        <v>0</v>
      </c>
      <c r="R119" s="60">
        <f t="shared" si="16"/>
        <v>25</v>
      </c>
      <c r="S119" s="62" cm="1">
        <f t="array" ref="S119">_xlfn.IFNA(MATCH(SUMIFS(R:R,A:A,"="&amp;A119,B:B,"&lt;"&amp;(B119+1)),_xlfn._xlws.FILTER(AO:AO,AL:AL=A119),1),1)</f>
        <v>2</v>
      </c>
      <c r="T119" s="62">
        <f t="shared" si="10"/>
        <v>200</v>
      </c>
      <c r="U119" s="62" t="str">
        <f>_xlfn.IFNA(VLOOKUP(Q119,道具!B:C,2,FALSE),"")</f>
        <v/>
      </c>
      <c r="V119" s="62">
        <f>IF(U119=1,CEILING(W119*100/$AJ$2,5),IF(U119=2,J119*100,0))</f>
        <v>0</v>
      </c>
      <c r="W119" s="63">
        <f>IF(U119=1,J119*$AD$6,IF(U119=2,J119*$AJ$2,0))</f>
        <v>0</v>
      </c>
      <c r="X119" s="37">
        <f>SUM(N89:N119)+SUM(W89:W119)</f>
        <v>114944055</v>
      </c>
      <c r="Y119" s="66">
        <f>SUM(O89:O119)</f>
        <v>111.707835</v>
      </c>
      <c r="Z119" s="66">
        <f>SUM(W89:W119)</f>
        <v>3236220</v>
      </c>
      <c r="AA119" s="23">
        <f>X119/$AJ$2</f>
        <v>114.944055</v>
      </c>
      <c r="AB119" s="24">
        <f>X119/H119</f>
        <v>1.12392739806395</v>
      </c>
      <c r="AC119" s="25"/>
      <c r="AD119" s="25"/>
      <c r="AI119" s="42"/>
      <c r="AJ119" s="42"/>
    </row>
    <row r="120" spans="1:36">
      <c r="A120" s="46">
        <f t="shared" si="13"/>
        <v>3</v>
      </c>
      <c r="B120" s="47">
        <v>33</v>
      </c>
      <c r="C120" s="47"/>
      <c r="D120" s="47"/>
      <c r="E120" s="14"/>
      <c r="F120" s="14" t="str">
        <f t="shared" si="11"/>
        <v/>
      </c>
      <c r="G120" s="14"/>
      <c r="H120" s="30"/>
      <c r="I120" s="17"/>
      <c r="J120" s="18">
        <f t="shared" si="12"/>
        <v>0</v>
      </c>
      <c r="K120" s="19" t="s">
        <v>408</v>
      </c>
      <c r="L120" s="38">
        <v>3</v>
      </c>
      <c r="M120" s="21">
        <v>6</v>
      </c>
      <c r="N120" s="14"/>
      <c r="O120" s="22"/>
      <c r="P120" s="60">
        <f t="shared" si="14"/>
        <v>0</v>
      </c>
      <c r="Q120" s="60">
        <f t="shared" si="15"/>
        <v>0</v>
      </c>
      <c r="R120" s="60">
        <f t="shared" si="16"/>
        <v>0</v>
      </c>
      <c r="S120" s="62" cm="1">
        <f t="array" ref="S120">_xlfn.IFNA(MATCH(SUMIFS(R:R,A:A,"="&amp;A120,B:B,"&lt;"&amp;(B120+1)),_xlfn._xlws.FILTER(AO:AO,AL:AL=A120),1),1)</f>
        <v>2</v>
      </c>
      <c r="T120" s="62">
        <f t="shared" si="10"/>
        <v>200</v>
      </c>
      <c r="U120" s="62"/>
      <c r="V120" s="62"/>
      <c r="W120" s="63"/>
      <c r="X120" s="30"/>
      <c r="Y120" s="64"/>
      <c r="Z120" s="64"/>
      <c r="AA120" s="23"/>
      <c r="AB120" s="24"/>
      <c r="AC120" s="25"/>
      <c r="AD120" s="25"/>
      <c r="AI120" s="42"/>
      <c r="AJ120" s="42"/>
    </row>
    <row r="121" spans="1:36">
      <c r="A121" s="46">
        <f t="shared" si="13"/>
        <v>3</v>
      </c>
      <c r="B121" s="47">
        <v>34</v>
      </c>
      <c r="C121" s="47"/>
      <c r="D121" s="47"/>
      <c r="E121" s="14"/>
      <c r="F121" s="14" t="str">
        <f t="shared" si="11"/>
        <v/>
      </c>
      <c r="G121" s="14"/>
      <c r="H121" s="30"/>
      <c r="I121" s="17"/>
      <c r="J121" s="18">
        <f t="shared" si="12"/>
        <v>0.12</v>
      </c>
      <c r="K121" s="19" t="s">
        <v>2</v>
      </c>
      <c r="L121" s="38">
        <v>17</v>
      </c>
      <c r="M121" s="21">
        <f>J121*$AD$92</f>
        <v>2409660</v>
      </c>
      <c r="N121" s="14"/>
      <c r="O121" s="22"/>
      <c r="P121" s="60">
        <f t="shared" si="14"/>
        <v>0</v>
      </c>
      <c r="Q121" s="60">
        <f t="shared" si="15"/>
        <v>0</v>
      </c>
      <c r="R121" s="60">
        <f t="shared" si="16"/>
        <v>0</v>
      </c>
      <c r="S121" s="62" cm="1">
        <f t="array" ref="S121">_xlfn.IFNA(MATCH(SUMIFS(R:R,A:A,"="&amp;A121,B:B,"&lt;"&amp;(B121+1)),_xlfn._xlws.FILTER(AO:AO,AL:AL=A121),1),1)</f>
        <v>2</v>
      </c>
      <c r="T121" s="62">
        <f t="shared" si="10"/>
        <v>200</v>
      </c>
      <c r="U121" s="62"/>
      <c r="V121" s="62"/>
      <c r="W121" s="63"/>
      <c r="X121" s="30"/>
      <c r="Y121" s="64"/>
      <c r="Z121" s="64"/>
      <c r="AA121" s="23"/>
      <c r="AB121" s="24"/>
      <c r="AC121" s="25"/>
      <c r="AD121" s="25"/>
      <c r="AI121" s="42"/>
      <c r="AJ121" s="42"/>
    </row>
    <row r="122" spans="1:36">
      <c r="A122" s="46">
        <f t="shared" si="13"/>
        <v>3</v>
      </c>
      <c r="B122" s="47">
        <v>35</v>
      </c>
      <c r="C122" s="47"/>
      <c r="D122" s="47"/>
      <c r="E122" s="14"/>
      <c r="F122" s="14" t="str">
        <f t="shared" si="11"/>
        <v/>
      </c>
      <c r="G122" s="14"/>
      <c r="H122" s="30"/>
      <c r="I122" s="17"/>
      <c r="J122" s="18">
        <f t="shared" si="12"/>
        <v>0</v>
      </c>
      <c r="K122" s="19" t="s">
        <v>463</v>
      </c>
      <c r="L122" s="38">
        <v>4</v>
      </c>
      <c r="M122" s="21">
        <v>1</v>
      </c>
      <c r="N122" s="14"/>
      <c r="O122" s="22"/>
      <c r="P122" s="60">
        <f t="shared" si="14"/>
        <v>0</v>
      </c>
      <c r="Q122" s="60">
        <f t="shared" si="15"/>
        <v>0</v>
      </c>
      <c r="R122" s="60">
        <f t="shared" si="16"/>
        <v>15</v>
      </c>
      <c r="S122" s="62" cm="1">
        <f t="array" ref="S122">_xlfn.IFNA(MATCH(SUMIFS(R:R,A:A,"="&amp;A122,B:B,"&lt;"&amp;(B122+1)),_xlfn._xlws.FILTER(AO:AO,AL:AL=A122),1),1)</f>
        <v>2</v>
      </c>
      <c r="T122" s="62">
        <f t="shared" si="10"/>
        <v>215</v>
      </c>
      <c r="U122" s="62"/>
      <c r="V122" s="62"/>
      <c r="W122" s="63"/>
      <c r="X122" s="30"/>
      <c r="Y122" s="64"/>
      <c r="Z122" s="64"/>
      <c r="AA122" s="23"/>
      <c r="AB122" s="24"/>
      <c r="AC122" s="25"/>
      <c r="AD122" s="25"/>
      <c r="AI122" s="42"/>
      <c r="AJ122" s="42"/>
    </row>
    <row r="123" spans="1:36">
      <c r="A123" s="46">
        <f t="shared" si="13"/>
        <v>3</v>
      </c>
      <c r="B123" s="47">
        <v>36</v>
      </c>
      <c r="C123" s="47"/>
      <c r="D123" s="47"/>
      <c r="E123" s="14"/>
      <c r="F123" s="14" t="str">
        <f t="shared" si="11"/>
        <v/>
      </c>
      <c r="G123" s="14"/>
      <c r="H123" s="30"/>
      <c r="I123" s="17"/>
      <c r="J123" s="18">
        <f t="shared" si="12"/>
        <v>0</v>
      </c>
      <c r="K123" s="19" t="s">
        <v>453</v>
      </c>
      <c r="L123" s="38">
        <v>3</v>
      </c>
      <c r="M123" s="21">
        <v>30</v>
      </c>
      <c r="N123" s="14"/>
      <c r="O123" s="22"/>
      <c r="P123" s="60">
        <f t="shared" si="14"/>
        <v>0</v>
      </c>
      <c r="Q123" s="60">
        <f t="shared" si="15"/>
        <v>0</v>
      </c>
      <c r="R123" s="60">
        <f t="shared" si="16"/>
        <v>0</v>
      </c>
      <c r="S123" s="62" cm="1">
        <f t="array" ref="S123">_xlfn.IFNA(MATCH(SUMIFS(R:R,A:A,"="&amp;A123,B:B,"&lt;"&amp;(B123+1)),_xlfn._xlws.FILTER(AO:AO,AL:AL=A123),1),1)</f>
        <v>2</v>
      </c>
      <c r="T123" s="62">
        <f t="shared" si="10"/>
        <v>215</v>
      </c>
      <c r="U123" s="62"/>
      <c r="V123" s="62"/>
      <c r="W123" s="63"/>
      <c r="X123" s="30"/>
      <c r="Y123" s="64"/>
      <c r="Z123" s="64"/>
      <c r="AA123" s="23"/>
      <c r="AB123" s="24"/>
      <c r="AC123" s="25"/>
      <c r="AD123" s="25"/>
      <c r="AI123" s="42"/>
      <c r="AJ123" s="42"/>
    </row>
    <row r="124" spans="1:36">
      <c r="A124" s="46">
        <f t="shared" si="13"/>
        <v>3</v>
      </c>
      <c r="B124" s="47">
        <v>37</v>
      </c>
      <c r="C124" s="47"/>
      <c r="D124" s="47"/>
      <c r="E124" s="14"/>
      <c r="F124" s="14" t="str">
        <f t="shared" si="11"/>
        <v/>
      </c>
      <c r="G124" s="14"/>
      <c r="H124" s="30"/>
      <c r="I124" s="17"/>
      <c r="J124" s="18">
        <f t="shared" si="12"/>
        <v>0</v>
      </c>
      <c r="K124" t="s">
        <v>426</v>
      </c>
      <c r="L124" s="38">
        <v>3</v>
      </c>
      <c r="M124" s="21">
        <v>1</v>
      </c>
      <c r="N124" s="14"/>
      <c r="O124" s="22"/>
      <c r="P124" s="60">
        <f t="shared" si="14"/>
        <v>0</v>
      </c>
      <c r="Q124" s="60">
        <f t="shared" si="15"/>
        <v>0</v>
      </c>
      <c r="R124" s="60">
        <f t="shared" si="16"/>
        <v>0</v>
      </c>
      <c r="S124" s="62" cm="1">
        <f t="array" ref="S124">_xlfn.IFNA(MATCH(SUMIFS(R:R,A:A,"="&amp;A124,B:B,"&lt;"&amp;(B124+1)),_xlfn._xlws.FILTER(AO:AO,AL:AL=A124),1),1)</f>
        <v>2</v>
      </c>
      <c r="T124" s="62">
        <f t="shared" si="10"/>
        <v>215</v>
      </c>
      <c r="U124" s="62"/>
      <c r="V124" s="62"/>
      <c r="W124" s="63"/>
      <c r="X124" s="30"/>
      <c r="Y124" s="64"/>
      <c r="Z124" s="64"/>
      <c r="AA124" s="23"/>
      <c r="AB124" s="24"/>
      <c r="AC124" s="25"/>
      <c r="AD124" s="25"/>
      <c r="AI124" s="42"/>
      <c r="AJ124" s="42"/>
    </row>
    <row r="125" spans="1:36">
      <c r="A125" s="46">
        <f t="shared" si="13"/>
        <v>3</v>
      </c>
      <c r="B125" s="47">
        <v>38</v>
      </c>
      <c r="C125" s="47"/>
      <c r="D125" s="47"/>
      <c r="E125" s="14">
        <v>19.99</v>
      </c>
      <c r="F125" s="14">
        <f t="shared" si="11"/>
        <v>158</v>
      </c>
      <c r="G125" s="36">
        <f>(E125+0.01)*F125*$AJ$2/100</f>
        <v>31600000</v>
      </c>
      <c r="H125" s="37">
        <f>SUM(G89:G125)</f>
        <v>133870000</v>
      </c>
      <c r="I125" s="17">
        <f>SUM(E89:E125)</f>
        <v>89.93</v>
      </c>
      <c r="J125" s="18">
        <f t="shared" si="12"/>
        <v>0.45</v>
      </c>
      <c r="K125" s="14" t="s">
        <v>2</v>
      </c>
      <c r="L125" s="29">
        <v>9</v>
      </c>
      <c r="M125" s="21">
        <f>G125</f>
        <v>31600000</v>
      </c>
      <c r="N125" s="36">
        <f>SUMIF(K125:K130,"="&amp;"金币",M125:M130)</f>
        <v>34009660</v>
      </c>
      <c r="O125" s="22">
        <f>N125/$AJ$2</f>
        <v>34.00966</v>
      </c>
      <c r="P125" s="60">
        <f t="shared" si="14"/>
        <v>3</v>
      </c>
      <c r="Q125" s="60" t="str">
        <f t="shared" si="15"/>
        <v>金币</v>
      </c>
      <c r="R125" s="60">
        <f t="shared" si="16"/>
        <v>35</v>
      </c>
      <c r="S125" s="62" cm="1">
        <f t="array" ref="S125">_xlfn.IFNA(MATCH(SUMIFS(R:R,A:A,"="&amp;A125,B:B,"&lt;"&amp;(B125+1)),_xlfn._xlws.FILTER(AO:AO,AL:AL=A125),1),1)</f>
        <v>2</v>
      </c>
      <c r="T125" s="62">
        <f t="shared" si="10"/>
        <v>250</v>
      </c>
      <c r="U125" s="62">
        <f>_xlfn.IFNA(VLOOKUP(Q125,道具!B:C,2,FALSE),"")</f>
        <v>1</v>
      </c>
      <c r="V125" s="62">
        <f>IF(U125=1,CEILING(W125*100/$AJ$2,5),IF(U125=2,J125*100,0))</f>
        <v>405</v>
      </c>
      <c r="W125" s="63">
        <f>IF(U125=1,J125*$AD$6,IF(U125=2,J125*$AJ$2,0))</f>
        <v>4045275</v>
      </c>
      <c r="X125" s="37">
        <f>SUM(N89:N125)+SUM(W89:W125)</f>
        <v>152998990</v>
      </c>
      <c r="Y125" s="66">
        <f>SUM(O89:O125)</f>
        <v>145.717495</v>
      </c>
      <c r="Z125" s="66">
        <f>SUM(W89:W125)</f>
        <v>7281494.99999999</v>
      </c>
      <c r="AA125" s="23">
        <f>X125/$AJ$2</f>
        <v>152.99899</v>
      </c>
      <c r="AB125" s="24">
        <f>X125/H125</f>
        <v>1.14289228355868</v>
      </c>
      <c r="AC125" s="25"/>
      <c r="AD125" s="25"/>
      <c r="AI125" s="42"/>
      <c r="AJ125" s="42"/>
    </row>
    <row r="126" spans="1:36">
      <c r="A126" s="46">
        <f t="shared" si="13"/>
        <v>3</v>
      </c>
      <c r="B126" s="47">
        <v>39</v>
      </c>
      <c r="C126" s="47"/>
      <c r="D126" s="47"/>
      <c r="E126" s="14"/>
      <c r="F126" s="14" t="str">
        <f t="shared" si="11"/>
        <v/>
      </c>
      <c r="G126" s="14"/>
      <c r="H126" s="30"/>
      <c r="I126" s="17"/>
      <c r="J126" s="18">
        <f t="shared" si="12"/>
        <v>0</v>
      </c>
      <c r="K126" s="19" t="s">
        <v>408</v>
      </c>
      <c r="L126" s="38">
        <v>3</v>
      </c>
      <c r="M126" s="21">
        <v>7</v>
      </c>
      <c r="N126" s="14"/>
      <c r="O126" s="22"/>
      <c r="P126" s="60">
        <f t="shared" si="14"/>
        <v>0</v>
      </c>
      <c r="Q126" s="60">
        <f t="shared" si="15"/>
        <v>0</v>
      </c>
      <c r="R126" s="60">
        <f t="shared" si="16"/>
        <v>0</v>
      </c>
      <c r="S126" s="62" cm="1">
        <f t="array" ref="S126">_xlfn.IFNA(MATCH(SUMIFS(R:R,A:A,"="&amp;A126,B:B,"&lt;"&amp;(B126+1)),_xlfn._xlws.FILTER(AO:AO,AL:AL=A126),1),1)</f>
        <v>2</v>
      </c>
      <c r="T126" s="62">
        <f t="shared" si="10"/>
        <v>250</v>
      </c>
      <c r="U126" s="62"/>
      <c r="V126" s="62"/>
      <c r="W126" s="63"/>
      <c r="X126" s="30"/>
      <c r="Y126" s="64"/>
      <c r="Z126" s="64"/>
      <c r="AA126" s="23"/>
      <c r="AB126" s="24"/>
      <c r="AC126" s="25"/>
      <c r="AD126" s="25"/>
      <c r="AI126" s="42"/>
      <c r="AJ126" s="42"/>
    </row>
    <row r="127" spans="1:36">
      <c r="A127" s="46">
        <f t="shared" si="13"/>
        <v>3</v>
      </c>
      <c r="B127" s="47">
        <v>40</v>
      </c>
      <c r="C127" s="47"/>
      <c r="D127" s="47"/>
      <c r="E127" s="14"/>
      <c r="F127" s="14" t="str">
        <f t="shared" si="11"/>
        <v/>
      </c>
      <c r="G127" s="14"/>
      <c r="H127" s="30"/>
      <c r="I127" s="17"/>
      <c r="J127" s="18">
        <f t="shared" si="12"/>
        <v>0.12</v>
      </c>
      <c r="K127" s="19" t="s">
        <v>2</v>
      </c>
      <c r="L127" s="38">
        <v>17</v>
      </c>
      <c r="M127" s="21">
        <f>J127*$AD$92</f>
        <v>2409660</v>
      </c>
      <c r="N127" s="14"/>
      <c r="O127" s="22"/>
      <c r="P127" s="60">
        <f t="shared" si="14"/>
        <v>0</v>
      </c>
      <c r="Q127" s="60">
        <f t="shared" si="15"/>
        <v>0</v>
      </c>
      <c r="R127" s="60">
        <f t="shared" si="16"/>
        <v>0</v>
      </c>
      <c r="S127" s="62" cm="1">
        <f t="array" ref="S127">_xlfn.IFNA(MATCH(SUMIFS(R:R,A:A,"="&amp;A127,B:B,"&lt;"&amp;(B127+1)),_xlfn._xlws.FILTER(AO:AO,AL:AL=A127),1),1)</f>
        <v>2</v>
      </c>
      <c r="T127" s="62">
        <f t="shared" si="10"/>
        <v>250</v>
      </c>
      <c r="U127" s="62"/>
      <c r="V127" s="62"/>
      <c r="W127" s="63"/>
      <c r="X127" s="30"/>
      <c r="Y127" s="64"/>
      <c r="Z127" s="64"/>
      <c r="AA127" s="23"/>
      <c r="AB127" s="24"/>
      <c r="AC127" s="25"/>
      <c r="AD127" s="25"/>
      <c r="AI127" s="42"/>
      <c r="AJ127" s="42"/>
    </row>
    <row r="128" spans="1:36">
      <c r="A128" s="46">
        <f t="shared" si="13"/>
        <v>3</v>
      </c>
      <c r="B128" s="47">
        <v>41</v>
      </c>
      <c r="C128" s="47"/>
      <c r="D128" s="47"/>
      <c r="E128" s="14"/>
      <c r="F128" s="14" t="str">
        <f t="shared" si="11"/>
        <v/>
      </c>
      <c r="G128" s="14"/>
      <c r="H128" s="30"/>
      <c r="I128" s="17"/>
      <c r="J128" s="18">
        <f t="shared" si="12"/>
        <v>0</v>
      </c>
      <c r="K128" s="19" t="s">
        <v>473</v>
      </c>
      <c r="L128" s="38">
        <v>4</v>
      </c>
      <c r="M128" s="21">
        <v>1</v>
      </c>
      <c r="N128" s="14"/>
      <c r="O128" s="22"/>
      <c r="P128" s="60">
        <f t="shared" si="14"/>
        <v>0</v>
      </c>
      <c r="Q128" s="60">
        <f t="shared" si="15"/>
        <v>0</v>
      </c>
      <c r="R128" s="60">
        <f t="shared" si="16"/>
        <v>50</v>
      </c>
      <c r="S128" s="62" cm="1">
        <f t="array" ref="S128">_xlfn.IFNA(MATCH(SUMIFS(R:R,A:A,"="&amp;A128,B:B,"&lt;"&amp;(B128+1)),_xlfn._xlws.FILTER(AO:AO,AL:AL=A128),1),1)</f>
        <v>3</v>
      </c>
      <c r="T128" s="62">
        <f t="shared" si="10"/>
        <v>300</v>
      </c>
      <c r="U128" s="62"/>
      <c r="V128" s="62"/>
      <c r="W128" s="63"/>
      <c r="X128" s="30"/>
      <c r="Y128" s="64"/>
      <c r="Z128" s="64"/>
      <c r="AA128" s="23"/>
      <c r="AB128" s="24"/>
      <c r="AC128" s="25"/>
      <c r="AD128" s="25"/>
      <c r="AI128" s="42"/>
      <c r="AJ128" s="42"/>
    </row>
    <row r="129" spans="1:36">
      <c r="A129" s="46">
        <f t="shared" si="13"/>
        <v>3</v>
      </c>
      <c r="B129" s="47">
        <v>42</v>
      </c>
      <c r="C129" s="47"/>
      <c r="D129" s="47"/>
      <c r="E129" s="14"/>
      <c r="F129" s="14" t="str">
        <f t="shared" si="11"/>
        <v/>
      </c>
      <c r="G129" s="14"/>
      <c r="H129" s="30"/>
      <c r="I129" s="17"/>
      <c r="J129" s="18">
        <f t="shared" si="12"/>
        <v>0</v>
      </c>
      <c r="K129" s="19" t="s">
        <v>453</v>
      </c>
      <c r="L129" s="38">
        <v>3</v>
      </c>
      <c r="M129" s="21">
        <v>35</v>
      </c>
      <c r="N129" s="14"/>
      <c r="O129" s="22"/>
      <c r="P129" s="60">
        <f t="shared" si="14"/>
        <v>0</v>
      </c>
      <c r="Q129" s="60">
        <f t="shared" si="15"/>
        <v>0</v>
      </c>
      <c r="R129" s="60">
        <f t="shared" si="16"/>
        <v>0</v>
      </c>
      <c r="S129" s="62" cm="1">
        <f t="array" ref="S129">_xlfn.IFNA(MATCH(SUMIFS(R:R,A:A,"="&amp;A129,B:B,"&lt;"&amp;(B129+1)),_xlfn._xlws.FILTER(AO:AO,AL:AL=A129),1),1)</f>
        <v>3</v>
      </c>
      <c r="T129" s="62">
        <f t="shared" si="10"/>
        <v>300</v>
      </c>
      <c r="U129" s="62"/>
      <c r="V129" s="62"/>
      <c r="W129" s="63"/>
      <c r="X129" s="30"/>
      <c r="Y129" s="64"/>
      <c r="Z129" s="64"/>
      <c r="AA129" s="23"/>
      <c r="AB129" s="24"/>
      <c r="AC129" s="25"/>
      <c r="AD129" s="25"/>
      <c r="AI129" s="42"/>
      <c r="AJ129" s="42"/>
    </row>
    <row r="130" spans="1:36">
      <c r="A130" s="46">
        <f t="shared" si="13"/>
        <v>3</v>
      </c>
      <c r="B130" s="47">
        <v>43</v>
      </c>
      <c r="C130" s="47"/>
      <c r="D130" s="47"/>
      <c r="E130" s="14"/>
      <c r="F130" s="14" t="str">
        <f t="shared" si="11"/>
        <v/>
      </c>
      <c r="G130" s="14"/>
      <c r="H130" s="30"/>
      <c r="I130" s="17"/>
      <c r="J130" s="18">
        <f t="shared" si="12"/>
        <v>0</v>
      </c>
      <c r="K130" t="s">
        <v>424</v>
      </c>
      <c r="L130" s="38">
        <v>3</v>
      </c>
      <c r="M130" s="21">
        <v>1</v>
      </c>
      <c r="N130" s="14"/>
      <c r="O130" s="22"/>
      <c r="P130" s="60">
        <f t="shared" si="14"/>
        <v>0</v>
      </c>
      <c r="Q130" s="60">
        <f t="shared" si="15"/>
        <v>0</v>
      </c>
      <c r="R130" s="60">
        <f t="shared" si="16"/>
        <v>0</v>
      </c>
      <c r="S130" s="62" cm="1">
        <f t="array" ref="S130">_xlfn.IFNA(MATCH(SUMIFS(R:R,A:A,"="&amp;A130,B:B,"&lt;"&amp;(B130+1)),_xlfn._xlws.FILTER(AO:AO,AL:AL=A130),1),1)</f>
        <v>3</v>
      </c>
      <c r="T130" s="62">
        <f t="shared" ref="T130:T193" si="17">SUMIFS(R:R,A:A,"="&amp;A130,B:B,"&lt;"&amp;(B130+1))</f>
        <v>300</v>
      </c>
      <c r="U130" s="62"/>
      <c r="V130" s="62"/>
      <c r="W130" s="63"/>
      <c r="X130" s="30"/>
      <c r="Y130" s="64"/>
      <c r="Z130" s="64"/>
      <c r="AA130" s="23"/>
      <c r="AB130" s="24"/>
      <c r="AC130" s="25"/>
      <c r="AD130" s="25"/>
      <c r="AI130" s="42"/>
      <c r="AJ130" s="42"/>
    </row>
    <row r="131" spans="1:36">
      <c r="A131" s="46">
        <f t="shared" si="13"/>
        <v>4</v>
      </c>
      <c r="B131" s="47">
        <v>1</v>
      </c>
      <c r="C131" s="47"/>
      <c r="D131" s="47"/>
      <c r="E131" s="14"/>
      <c r="F131" s="14" t="str">
        <f t="shared" ref="F131:F194" si="18">IFERROR(VLOOKUP(ROUND(E131*100,0),AF:AG,2,FALSE),"")</f>
        <v/>
      </c>
      <c r="G131" s="14"/>
      <c r="H131" s="30"/>
      <c r="I131" s="17"/>
      <c r="J131" s="18">
        <f t="shared" si="12"/>
        <v>0</v>
      </c>
      <c r="K131" s="14" t="s">
        <v>2</v>
      </c>
      <c r="L131" s="29">
        <v>1</v>
      </c>
      <c r="M131" s="21">
        <v>5000</v>
      </c>
      <c r="N131" s="14"/>
      <c r="O131" s="22"/>
      <c r="P131" s="60">
        <f t="shared" si="14"/>
        <v>0</v>
      </c>
      <c r="Q131" s="60">
        <f t="shared" si="15"/>
        <v>0</v>
      </c>
      <c r="R131" s="60">
        <f t="shared" si="16"/>
        <v>20</v>
      </c>
      <c r="S131" s="62" cm="1">
        <f t="array" ref="S131">_xlfn.IFNA(MATCH(SUMIFS(R:R,A:A,"="&amp;A131,B:B,"&lt;"&amp;(B131+1)),_xlfn._xlws.FILTER(AO:AO,AL:AL=A131),1),1)</f>
        <v>1</v>
      </c>
      <c r="T131" s="62">
        <f t="shared" si="17"/>
        <v>20</v>
      </c>
      <c r="U131" s="62"/>
      <c r="V131" s="62"/>
      <c r="W131" s="63"/>
      <c r="X131" s="30"/>
      <c r="Y131" s="64"/>
      <c r="Z131" s="64"/>
      <c r="AA131" s="23"/>
      <c r="AB131" s="24"/>
      <c r="AC131" s="25"/>
      <c r="AD131" s="31">
        <f>SUM(E131:E173)</f>
        <v>89.93</v>
      </c>
      <c r="AI131" s="42"/>
      <c r="AJ131" s="42"/>
    </row>
    <row r="132" spans="1:36">
      <c r="A132" s="46">
        <f t="shared" si="13"/>
        <v>4</v>
      </c>
      <c r="B132" s="47">
        <v>2</v>
      </c>
      <c r="C132" s="47"/>
      <c r="D132" s="47"/>
      <c r="E132" s="35">
        <v>5.99</v>
      </c>
      <c r="F132" s="14">
        <f t="shared" si="18"/>
        <v>119</v>
      </c>
      <c r="G132" s="36">
        <f>(E132+0.01)*F132*$AJ$2/100</f>
        <v>7140000</v>
      </c>
      <c r="H132" s="37">
        <f>SUM(G132)</f>
        <v>7140000</v>
      </c>
      <c r="I132" s="17">
        <f>SUM(E132)</f>
        <v>5.99</v>
      </c>
      <c r="J132" s="18">
        <f t="shared" si="12"/>
        <v>0</v>
      </c>
      <c r="K132" s="14" t="s">
        <v>2</v>
      </c>
      <c r="L132" s="29">
        <v>9</v>
      </c>
      <c r="M132" s="21">
        <f>G132</f>
        <v>7140000</v>
      </c>
      <c r="N132" s="36">
        <f>SUMIF(K132:K137,"="&amp;"金币",M132:M137)</f>
        <v>9148050</v>
      </c>
      <c r="O132" s="22">
        <f>N132/$AJ$2</f>
        <v>9.14805</v>
      </c>
      <c r="P132" s="60">
        <f t="shared" si="14"/>
        <v>0</v>
      </c>
      <c r="Q132" s="60">
        <f t="shared" si="15"/>
        <v>0</v>
      </c>
      <c r="R132" s="60">
        <f t="shared" si="16"/>
        <v>10</v>
      </c>
      <c r="S132" s="62" cm="1">
        <f t="array" ref="S132">_xlfn.IFNA(MATCH(SUMIFS(R:R,A:A,"="&amp;A132,B:B,"&lt;"&amp;(B132+1)),_xlfn._xlws.FILTER(AO:AO,AL:AL=A132),1),1)</f>
        <v>1</v>
      </c>
      <c r="T132" s="62">
        <f t="shared" si="17"/>
        <v>30</v>
      </c>
      <c r="U132" s="62" t="str">
        <f>_xlfn.IFNA(VLOOKUP(Q132,道具!B:C,2,FALSE),"")</f>
        <v/>
      </c>
      <c r="V132" s="62">
        <f>IF(U132=1,CEILING(W132*100/$AJ$2,5),IF(U132=2,J132*100,0))</f>
        <v>0</v>
      </c>
      <c r="W132" s="63">
        <f>IF(U132=1,J132*$AD$6,IF(U132=2,J132*$AJ$2,0))</f>
        <v>0</v>
      </c>
      <c r="X132" s="37">
        <f>SUM(N132)+SUM(W132)</f>
        <v>9148050</v>
      </c>
      <c r="Y132" s="66">
        <f>SUM(O132)</f>
        <v>9.14805</v>
      </c>
      <c r="Z132" s="66">
        <f>SUM(W132)</f>
        <v>0</v>
      </c>
      <c r="AA132" s="23">
        <f>X132/$AJ$2</f>
        <v>9.14805</v>
      </c>
      <c r="AB132" s="24">
        <f>X132/H132</f>
        <v>1.28123949579832</v>
      </c>
      <c r="AC132" s="25"/>
      <c r="AD132" s="26" t="s">
        <v>556</v>
      </c>
      <c r="AI132" s="42"/>
      <c r="AJ132" s="42"/>
    </row>
    <row r="133" spans="1:36">
      <c r="A133" s="46">
        <f t="shared" si="13"/>
        <v>4</v>
      </c>
      <c r="B133" s="47">
        <v>3</v>
      </c>
      <c r="C133" s="47"/>
      <c r="D133" s="47"/>
      <c r="E133" s="14"/>
      <c r="F133" s="14" t="str">
        <f t="shared" si="18"/>
        <v/>
      </c>
      <c r="G133" s="14"/>
      <c r="H133" s="30"/>
      <c r="I133" s="17"/>
      <c r="J133" s="18">
        <f t="shared" si="12"/>
        <v>0</v>
      </c>
      <c r="K133" s="19" t="s">
        <v>408</v>
      </c>
      <c r="L133" s="38">
        <v>3</v>
      </c>
      <c r="M133" s="21">
        <v>1</v>
      </c>
      <c r="N133" s="14"/>
      <c r="O133" s="22"/>
      <c r="P133" s="60">
        <f t="shared" si="14"/>
        <v>0</v>
      </c>
      <c r="Q133" s="60">
        <f t="shared" si="15"/>
        <v>0</v>
      </c>
      <c r="R133" s="60">
        <f t="shared" si="16"/>
        <v>0</v>
      </c>
      <c r="S133" s="62" cm="1">
        <f t="array" ref="S133">_xlfn.IFNA(MATCH(SUMIFS(R:R,A:A,"="&amp;A133,B:B,"&lt;"&amp;(B133+1)),_xlfn._xlws.FILTER(AO:AO,AL:AL=A133),1),1)</f>
        <v>1</v>
      </c>
      <c r="T133" s="62">
        <f t="shared" si="17"/>
        <v>30</v>
      </c>
      <c r="U133" s="62"/>
      <c r="V133" s="62"/>
      <c r="W133" s="63"/>
      <c r="X133" s="30"/>
      <c r="Y133" s="64"/>
      <c r="Z133" s="64"/>
      <c r="AA133" s="23"/>
      <c r="AB133" s="24"/>
      <c r="AC133" s="25"/>
      <c r="AD133" s="39">
        <v>1.15</v>
      </c>
      <c r="AI133" s="42"/>
      <c r="AJ133" s="42"/>
    </row>
    <row r="134" spans="1:36">
      <c r="A134" s="46">
        <f t="shared" si="13"/>
        <v>4</v>
      </c>
      <c r="B134" s="47">
        <v>4</v>
      </c>
      <c r="C134" s="47"/>
      <c r="D134" s="47"/>
      <c r="E134" s="14"/>
      <c r="F134" s="14" t="str">
        <f t="shared" si="18"/>
        <v/>
      </c>
      <c r="G134" s="14"/>
      <c r="H134" s="30"/>
      <c r="I134" s="17"/>
      <c r="J134" s="18">
        <f t="shared" si="12"/>
        <v>0.1</v>
      </c>
      <c r="K134" s="19" t="s">
        <v>2</v>
      </c>
      <c r="L134" s="38">
        <v>17</v>
      </c>
      <c r="M134" s="21">
        <f>J134*$AD$135</f>
        <v>2008050</v>
      </c>
      <c r="N134" s="14"/>
      <c r="O134" s="22"/>
      <c r="P134" s="60">
        <f t="shared" si="14"/>
        <v>0</v>
      </c>
      <c r="Q134" s="60">
        <f t="shared" si="15"/>
        <v>0</v>
      </c>
      <c r="R134" s="60">
        <f t="shared" si="16"/>
        <v>0</v>
      </c>
      <c r="S134" s="62" cm="1">
        <f t="array" ref="S134">_xlfn.IFNA(MATCH(SUMIFS(R:R,A:A,"="&amp;A134,B:B,"&lt;"&amp;(B134+1)),_xlfn._xlws.FILTER(AO:AO,AL:AL=A134),1),1)</f>
        <v>1</v>
      </c>
      <c r="T134" s="62">
        <f t="shared" si="17"/>
        <v>30</v>
      </c>
      <c r="U134" s="62"/>
      <c r="V134" s="62"/>
      <c r="W134" s="63"/>
      <c r="X134" s="30"/>
      <c r="Y134" s="64"/>
      <c r="Z134" s="64"/>
      <c r="AA134" s="23"/>
      <c r="AB134" s="24"/>
      <c r="AC134" s="25"/>
      <c r="AD134" s="26" t="s">
        <v>557</v>
      </c>
      <c r="AI134" s="42"/>
      <c r="AJ134" s="42"/>
    </row>
    <row r="135" spans="1:36">
      <c r="A135" s="46">
        <f t="shared" si="13"/>
        <v>4</v>
      </c>
      <c r="B135" s="47">
        <v>5</v>
      </c>
      <c r="C135" s="47"/>
      <c r="D135" s="47"/>
      <c r="E135" s="14"/>
      <c r="F135" s="14" t="str">
        <f t="shared" si="18"/>
        <v/>
      </c>
      <c r="G135" s="14"/>
      <c r="H135" s="30"/>
      <c r="I135" s="17"/>
      <c r="J135" s="18">
        <f t="shared" si="12"/>
        <v>0</v>
      </c>
      <c r="K135" s="19" t="s">
        <v>457</v>
      </c>
      <c r="L135" s="38">
        <v>4</v>
      </c>
      <c r="M135" s="21">
        <v>1</v>
      </c>
      <c r="N135" s="14"/>
      <c r="O135" s="22"/>
      <c r="P135" s="60">
        <f t="shared" si="14"/>
        <v>0</v>
      </c>
      <c r="Q135" s="60">
        <f t="shared" si="15"/>
        <v>0</v>
      </c>
      <c r="R135" s="60">
        <f t="shared" si="16"/>
        <v>10</v>
      </c>
      <c r="S135" s="62" cm="1">
        <f t="array" ref="S135">_xlfn.IFNA(MATCH(SUMIFS(R:R,A:A,"="&amp;A135,B:B,"&lt;"&amp;(B135+1)),_xlfn._xlws.FILTER(AO:AO,AL:AL=A135),1),1)</f>
        <v>1</v>
      </c>
      <c r="T135" s="62">
        <f t="shared" si="17"/>
        <v>40</v>
      </c>
      <c r="U135" s="62"/>
      <c r="V135" s="62"/>
      <c r="W135" s="63"/>
      <c r="X135" s="30"/>
      <c r="Y135" s="64"/>
      <c r="Z135" s="64"/>
      <c r="AA135" s="23"/>
      <c r="AB135" s="24"/>
      <c r="AC135" s="25"/>
      <c r="AD135" s="40">
        <f>SUM(G131:G173)*(AD133-1)</f>
        <v>20080500</v>
      </c>
      <c r="AI135" s="42"/>
      <c r="AJ135" s="42"/>
    </row>
    <row r="136" spans="1:36">
      <c r="A136" s="46">
        <f t="shared" si="13"/>
        <v>4</v>
      </c>
      <c r="B136" s="47">
        <v>6</v>
      </c>
      <c r="C136" s="47"/>
      <c r="D136" s="47"/>
      <c r="E136" s="14"/>
      <c r="F136" s="14" t="str">
        <f t="shared" si="18"/>
        <v/>
      </c>
      <c r="G136" s="14"/>
      <c r="H136" s="30"/>
      <c r="I136" s="17"/>
      <c r="J136" s="18">
        <f t="shared" si="12"/>
        <v>0</v>
      </c>
      <c r="K136" s="19" t="s">
        <v>453</v>
      </c>
      <c r="L136" s="38">
        <v>3</v>
      </c>
      <c r="M136" s="21">
        <v>5</v>
      </c>
      <c r="N136" s="14"/>
      <c r="O136" s="22"/>
      <c r="P136" s="60">
        <f t="shared" si="14"/>
        <v>0</v>
      </c>
      <c r="Q136" s="60">
        <f t="shared" si="15"/>
        <v>0</v>
      </c>
      <c r="R136" s="60">
        <f t="shared" si="16"/>
        <v>0</v>
      </c>
      <c r="S136" s="62" cm="1">
        <f t="array" ref="S136">_xlfn.IFNA(MATCH(SUMIFS(R:R,A:A,"="&amp;A136,B:B,"&lt;"&amp;(B136+1)),_xlfn._xlws.FILTER(AO:AO,AL:AL=A136),1),1)</f>
        <v>1</v>
      </c>
      <c r="T136" s="62">
        <f t="shared" si="17"/>
        <v>40</v>
      </c>
      <c r="U136" s="62"/>
      <c r="V136" s="62"/>
      <c r="W136" s="63"/>
      <c r="X136" s="30"/>
      <c r="Y136" s="64"/>
      <c r="Z136" s="64"/>
      <c r="AA136" s="23"/>
      <c r="AB136" s="24"/>
      <c r="AC136" s="25"/>
      <c r="AD136" s="24" t="s">
        <v>558</v>
      </c>
      <c r="AI136" s="42"/>
      <c r="AJ136" s="42"/>
    </row>
    <row r="137" spans="1:36">
      <c r="A137" s="46">
        <f t="shared" si="13"/>
        <v>4</v>
      </c>
      <c r="B137" s="47">
        <v>7</v>
      </c>
      <c r="C137" s="47"/>
      <c r="D137" s="47"/>
      <c r="E137" s="14"/>
      <c r="F137" s="14" t="str">
        <f t="shared" si="18"/>
        <v/>
      </c>
      <c r="G137" s="14"/>
      <c r="H137" s="30"/>
      <c r="I137" s="17"/>
      <c r="J137" s="18">
        <f t="shared" ref="J137:J200" si="19">J94</f>
        <v>0</v>
      </c>
      <c r="K137" t="s">
        <v>424</v>
      </c>
      <c r="L137" s="38">
        <v>3</v>
      </c>
      <c r="M137" s="21">
        <v>1</v>
      </c>
      <c r="N137" s="14"/>
      <c r="O137" s="22"/>
      <c r="P137" s="60">
        <f t="shared" si="14"/>
        <v>0</v>
      </c>
      <c r="Q137" s="60">
        <f t="shared" si="15"/>
        <v>0</v>
      </c>
      <c r="R137" s="60">
        <f t="shared" si="16"/>
        <v>0</v>
      </c>
      <c r="S137" s="62" cm="1">
        <f t="array" ref="S137">_xlfn.IFNA(MATCH(SUMIFS(R:R,A:A,"="&amp;A137,B:B,"&lt;"&amp;(B137+1)),_xlfn._xlws.FILTER(AO:AO,AL:AL=A137),1),1)</f>
        <v>1</v>
      </c>
      <c r="T137" s="62">
        <f t="shared" si="17"/>
        <v>40</v>
      </c>
      <c r="U137" s="62"/>
      <c r="V137" s="62"/>
      <c r="W137" s="63"/>
      <c r="X137" s="30"/>
      <c r="Y137" s="64"/>
      <c r="Z137" s="64"/>
      <c r="AA137" s="23"/>
      <c r="AB137" s="24"/>
      <c r="AC137" s="25"/>
      <c r="AD137" s="24">
        <f>SUMIF(U131:U173,"&lt;&gt;2",J131:J173)+SUMIF(U131:U173,"=2",J131:J173)*$AJ$2/SUMIFS(AD:AD,A:A,"="&amp;A137,B:B,"=5")</f>
        <v>1.4</v>
      </c>
      <c r="AI137" s="42"/>
      <c r="AJ137" s="42"/>
    </row>
    <row r="138" spans="1:36">
      <c r="A138" s="46">
        <f t="shared" si="13"/>
        <v>4</v>
      </c>
      <c r="B138" s="47">
        <v>8</v>
      </c>
      <c r="C138" s="47"/>
      <c r="D138" s="47"/>
      <c r="E138" s="14">
        <v>7.99</v>
      </c>
      <c r="F138" s="14">
        <f t="shared" si="18"/>
        <v>129</v>
      </c>
      <c r="G138" s="36">
        <f>(E138+0.01)*F138*$AJ$2/100</f>
        <v>10320000</v>
      </c>
      <c r="H138" s="37">
        <f>SUM(G132:G138)</f>
        <v>17460000</v>
      </c>
      <c r="I138" s="17">
        <f>SUM(E132:E138)</f>
        <v>13.98</v>
      </c>
      <c r="J138" s="18">
        <f t="shared" si="19"/>
        <v>0.12</v>
      </c>
      <c r="K138" s="14" t="s">
        <v>2</v>
      </c>
      <c r="L138" s="29">
        <v>9</v>
      </c>
      <c r="M138" s="21">
        <f>G138</f>
        <v>10320000</v>
      </c>
      <c r="N138" s="36">
        <f>SUMIF(K138:K143,"="&amp;"金币",M138:M143)</f>
        <v>10721610</v>
      </c>
      <c r="O138" s="22">
        <f>N138/$AJ$2</f>
        <v>10.72161</v>
      </c>
      <c r="P138" s="60">
        <f t="shared" si="14"/>
        <v>1</v>
      </c>
      <c r="Q138" s="60" t="str">
        <f t="shared" si="15"/>
        <v>金币</v>
      </c>
      <c r="R138" s="60">
        <f t="shared" si="16"/>
        <v>25</v>
      </c>
      <c r="S138" s="62" cm="1">
        <f t="array" ref="S138">_xlfn.IFNA(MATCH(SUMIFS(R:R,A:A,"="&amp;A138,B:B,"&lt;"&amp;(B138+1)),_xlfn._xlws.FILTER(AO:AO,AL:AL=A138),1),1)</f>
        <v>1</v>
      </c>
      <c r="T138" s="62">
        <f t="shared" si="17"/>
        <v>65</v>
      </c>
      <c r="U138" s="62">
        <f>_xlfn.IFNA(VLOOKUP(Q138,道具!B:C,2,FALSE),"")</f>
        <v>1</v>
      </c>
      <c r="V138" s="62">
        <f>IF(U138=1,CEILING(W138*100/$AJ$2,5),IF(U138=2,J138*100,0))</f>
        <v>110</v>
      </c>
      <c r="W138" s="63">
        <f>IF(U138=1,J138*$AD$6,IF(U138=2,J138*$AJ$2,0))</f>
        <v>1078740</v>
      </c>
      <c r="X138" s="37">
        <f>SUM(N132:N138)+SUM(W132:W138)</f>
        <v>20948400</v>
      </c>
      <c r="Y138" s="66">
        <f>SUM(O132:O138)</f>
        <v>19.86966</v>
      </c>
      <c r="Z138" s="66">
        <f>SUM(W132:W138)</f>
        <v>1078740</v>
      </c>
      <c r="AA138" s="23">
        <f>X138/$AJ$2</f>
        <v>20.9484</v>
      </c>
      <c r="AB138" s="24">
        <f>X138/H138</f>
        <v>1.19979381443299</v>
      </c>
      <c r="AC138" s="25"/>
      <c r="AD138" s="25"/>
      <c r="AI138" s="42"/>
      <c r="AJ138" s="42"/>
    </row>
    <row r="139" spans="1:36">
      <c r="A139" s="46">
        <f t="shared" si="13"/>
        <v>4</v>
      </c>
      <c r="B139" s="47">
        <v>9</v>
      </c>
      <c r="C139" s="47"/>
      <c r="D139" s="47"/>
      <c r="E139" s="14"/>
      <c r="F139" s="14" t="str">
        <f t="shared" si="18"/>
        <v/>
      </c>
      <c r="G139" s="14"/>
      <c r="H139" s="30"/>
      <c r="I139" s="17"/>
      <c r="J139" s="18">
        <f t="shared" si="19"/>
        <v>0</v>
      </c>
      <c r="K139" s="19" t="s">
        <v>408</v>
      </c>
      <c r="L139" s="38">
        <v>3</v>
      </c>
      <c r="M139" s="21">
        <v>2</v>
      </c>
      <c r="N139" s="14"/>
      <c r="O139" s="22"/>
      <c r="P139" s="60">
        <f t="shared" si="14"/>
        <v>0</v>
      </c>
      <c r="Q139" s="60">
        <f t="shared" si="15"/>
        <v>0</v>
      </c>
      <c r="R139" s="60">
        <f t="shared" si="16"/>
        <v>0</v>
      </c>
      <c r="S139" s="62" cm="1">
        <f t="array" ref="S139">_xlfn.IFNA(MATCH(SUMIFS(R:R,A:A,"="&amp;A139,B:B,"&lt;"&amp;(B139+1)),_xlfn._xlws.FILTER(AO:AO,AL:AL=A139),1),1)</f>
        <v>1</v>
      </c>
      <c r="T139" s="62">
        <f t="shared" si="17"/>
        <v>65</v>
      </c>
      <c r="U139" s="62"/>
      <c r="V139" s="62"/>
      <c r="W139" s="63"/>
      <c r="X139" s="30"/>
      <c r="Y139" s="64"/>
      <c r="Z139" s="64"/>
      <c r="AA139" s="23"/>
      <c r="AB139" s="24"/>
      <c r="AC139" s="25"/>
      <c r="AD139" s="69"/>
      <c r="AI139" s="42"/>
      <c r="AJ139" s="42"/>
    </row>
    <row r="140" spans="1:36">
      <c r="A140" s="46">
        <f t="shared" si="13"/>
        <v>4</v>
      </c>
      <c r="B140" s="47">
        <v>10</v>
      </c>
      <c r="C140" s="47"/>
      <c r="D140" s="47"/>
      <c r="E140" s="14"/>
      <c r="F140" s="14" t="str">
        <f t="shared" si="18"/>
        <v/>
      </c>
      <c r="G140" s="14"/>
      <c r="H140" s="30"/>
      <c r="I140" s="17"/>
      <c r="J140" s="18">
        <f t="shared" si="19"/>
        <v>0.02</v>
      </c>
      <c r="K140" s="19" t="s">
        <v>2</v>
      </c>
      <c r="L140" s="38">
        <v>17</v>
      </c>
      <c r="M140" s="21">
        <f>J140*$AD$135</f>
        <v>401610</v>
      </c>
      <c r="N140" s="14"/>
      <c r="O140" s="22"/>
      <c r="P140" s="60">
        <f t="shared" si="14"/>
        <v>0</v>
      </c>
      <c r="Q140" s="60">
        <f t="shared" si="15"/>
        <v>0</v>
      </c>
      <c r="R140" s="60">
        <f t="shared" si="16"/>
        <v>0</v>
      </c>
      <c r="S140" s="62" cm="1">
        <f t="array" ref="S140">_xlfn.IFNA(MATCH(SUMIFS(R:R,A:A,"="&amp;A140,B:B,"&lt;"&amp;(B140+1)),_xlfn._xlws.FILTER(AO:AO,AL:AL=A140),1),1)</f>
        <v>1</v>
      </c>
      <c r="T140" s="62">
        <f t="shared" si="17"/>
        <v>65</v>
      </c>
      <c r="U140" s="62"/>
      <c r="V140" s="62"/>
      <c r="W140" s="63"/>
      <c r="X140" s="30"/>
      <c r="Y140" s="64"/>
      <c r="Z140" s="64"/>
      <c r="AA140" s="23"/>
      <c r="AB140" s="24"/>
      <c r="AC140" s="25"/>
      <c r="AD140" s="25"/>
      <c r="AI140" s="42"/>
      <c r="AJ140" s="42"/>
    </row>
    <row r="141" spans="1:36">
      <c r="A141" s="46">
        <f t="shared" si="13"/>
        <v>4</v>
      </c>
      <c r="B141" s="47">
        <v>11</v>
      </c>
      <c r="C141" s="47"/>
      <c r="D141" s="47"/>
      <c r="E141" s="14"/>
      <c r="F141" s="14" t="str">
        <f t="shared" si="18"/>
        <v/>
      </c>
      <c r="G141" s="14"/>
      <c r="H141" s="30"/>
      <c r="I141" s="17"/>
      <c r="J141" s="18">
        <f t="shared" si="19"/>
        <v>0</v>
      </c>
      <c r="K141" s="19" t="s">
        <v>459</v>
      </c>
      <c r="L141" s="38">
        <v>4</v>
      </c>
      <c r="M141" s="21">
        <v>1</v>
      </c>
      <c r="N141" s="14"/>
      <c r="O141" s="22"/>
      <c r="P141" s="60">
        <f t="shared" si="14"/>
        <v>0</v>
      </c>
      <c r="Q141" s="60">
        <f t="shared" si="15"/>
        <v>0</v>
      </c>
      <c r="R141" s="60">
        <f t="shared" si="16"/>
        <v>0</v>
      </c>
      <c r="S141" s="62" cm="1">
        <f t="array" ref="S141">_xlfn.IFNA(MATCH(SUMIFS(R:R,A:A,"="&amp;A141,B:B,"&lt;"&amp;(B141+1)),_xlfn._xlws.FILTER(AO:AO,AL:AL=A141),1),1)</f>
        <v>1</v>
      </c>
      <c r="T141" s="62">
        <f t="shared" si="17"/>
        <v>65</v>
      </c>
      <c r="U141" s="62"/>
      <c r="V141" s="62"/>
      <c r="W141" s="63"/>
      <c r="X141" s="30"/>
      <c r="Y141" s="64"/>
      <c r="Z141" s="64"/>
      <c r="AA141" s="23"/>
      <c r="AB141" s="24"/>
      <c r="AC141" s="25"/>
      <c r="AD141" s="25"/>
      <c r="AI141" s="42"/>
      <c r="AJ141" s="42"/>
    </row>
    <row r="142" spans="1:36">
      <c r="A142" s="46">
        <f t="shared" si="13"/>
        <v>4</v>
      </c>
      <c r="B142" s="47">
        <v>12</v>
      </c>
      <c r="C142" s="47"/>
      <c r="D142" s="47"/>
      <c r="E142" s="14"/>
      <c r="F142" s="14" t="str">
        <f t="shared" si="18"/>
        <v/>
      </c>
      <c r="G142" s="14"/>
      <c r="H142" s="30"/>
      <c r="I142" s="17"/>
      <c r="J142" s="18">
        <f t="shared" si="19"/>
        <v>0</v>
      </c>
      <c r="K142" s="19" t="s">
        <v>453</v>
      </c>
      <c r="L142" s="38">
        <v>3</v>
      </c>
      <c r="M142" s="21">
        <v>10</v>
      </c>
      <c r="N142" s="14"/>
      <c r="O142" s="22"/>
      <c r="P142" s="60">
        <f t="shared" si="14"/>
        <v>0</v>
      </c>
      <c r="Q142" s="60">
        <f t="shared" si="15"/>
        <v>0</v>
      </c>
      <c r="R142" s="60">
        <f t="shared" si="16"/>
        <v>0</v>
      </c>
      <c r="S142" s="62" cm="1">
        <f t="array" ref="S142">_xlfn.IFNA(MATCH(SUMIFS(R:R,A:A,"="&amp;A142,B:B,"&lt;"&amp;(B142+1)),_xlfn._xlws.FILTER(AO:AO,AL:AL=A142),1),1)</f>
        <v>1</v>
      </c>
      <c r="T142" s="62">
        <f t="shared" si="17"/>
        <v>65</v>
      </c>
      <c r="U142" s="62"/>
      <c r="V142" s="62"/>
      <c r="W142" s="63"/>
      <c r="X142" s="30"/>
      <c r="Y142" s="64"/>
      <c r="Z142" s="64"/>
      <c r="AA142" s="23"/>
      <c r="AB142" s="24"/>
      <c r="AC142" s="25"/>
      <c r="AD142" s="25"/>
      <c r="AI142" s="42"/>
      <c r="AJ142" s="42"/>
    </row>
    <row r="143" spans="1:36">
      <c r="A143" s="46">
        <f t="shared" si="13"/>
        <v>4</v>
      </c>
      <c r="B143" s="47">
        <v>13</v>
      </c>
      <c r="C143" s="47"/>
      <c r="D143" s="47"/>
      <c r="E143" s="14"/>
      <c r="F143" s="14" t="str">
        <f t="shared" si="18"/>
        <v/>
      </c>
      <c r="G143" s="14"/>
      <c r="H143" s="30"/>
      <c r="I143" s="17"/>
      <c r="J143" s="18">
        <f t="shared" si="19"/>
        <v>0</v>
      </c>
      <c r="K143" t="s">
        <v>426</v>
      </c>
      <c r="L143" s="38">
        <v>3</v>
      </c>
      <c r="M143" s="21">
        <v>1</v>
      </c>
      <c r="N143" s="14"/>
      <c r="O143" s="22"/>
      <c r="P143" s="60">
        <f t="shared" si="14"/>
        <v>0</v>
      </c>
      <c r="Q143" s="60">
        <f t="shared" si="15"/>
        <v>0</v>
      </c>
      <c r="R143" s="60">
        <f t="shared" si="16"/>
        <v>0</v>
      </c>
      <c r="S143" s="62" cm="1">
        <f t="array" ref="S143">_xlfn.IFNA(MATCH(SUMIFS(R:R,A:A,"="&amp;A143,B:B,"&lt;"&amp;(B143+1)),_xlfn._xlws.FILTER(AO:AO,AL:AL=A143),1),1)</f>
        <v>1</v>
      </c>
      <c r="T143" s="62">
        <f t="shared" si="17"/>
        <v>65</v>
      </c>
      <c r="U143" s="62"/>
      <c r="V143" s="62"/>
      <c r="W143" s="63"/>
      <c r="X143" s="30"/>
      <c r="Y143" s="64"/>
      <c r="Z143" s="64"/>
      <c r="AA143" s="23"/>
      <c r="AB143" s="24"/>
      <c r="AC143" s="25"/>
      <c r="AD143" s="25"/>
      <c r="AI143" s="42"/>
      <c r="AJ143" s="42"/>
    </row>
    <row r="144" spans="1:36">
      <c r="A144" s="46">
        <f t="shared" si="13"/>
        <v>4</v>
      </c>
      <c r="B144" s="47">
        <v>14</v>
      </c>
      <c r="C144" s="47"/>
      <c r="D144" s="47"/>
      <c r="E144" s="14">
        <v>9.99</v>
      </c>
      <c r="F144" s="14">
        <f t="shared" si="18"/>
        <v>139</v>
      </c>
      <c r="G144" s="36">
        <f>(E144+0.01)*F144*$AJ$2/100</f>
        <v>13900000</v>
      </c>
      <c r="H144" s="37">
        <f>SUM(G132:G144)</f>
        <v>31360000</v>
      </c>
      <c r="I144" s="17">
        <f>SUM(E132:E144)</f>
        <v>23.97</v>
      </c>
      <c r="J144" s="18">
        <f t="shared" si="19"/>
        <v>0</v>
      </c>
      <c r="K144" s="14" t="s">
        <v>2</v>
      </c>
      <c r="L144" s="29">
        <v>9</v>
      </c>
      <c r="M144" s="21">
        <f>G144</f>
        <v>13900000</v>
      </c>
      <c r="N144" s="36">
        <f>SUMIF(K144:K149,"="&amp;"金币",M144:M149)</f>
        <v>15908050</v>
      </c>
      <c r="O144" s="22">
        <f>N144/$AJ$2</f>
        <v>15.90805</v>
      </c>
      <c r="P144" s="60">
        <f t="shared" si="14"/>
        <v>0</v>
      </c>
      <c r="Q144" s="60">
        <f t="shared" si="15"/>
        <v>0</v>
      </c>
      <c r="R144" s="60">
        <f t="shared" si="16"/>
        <v>35</v>
      </c>
      <c r="S144" s="62" cm="1">
        <f t="array" ref="S144">_xlfn.IFNA(MATCH(SUMIFS(R:R,A:A,"="&amp;A144,B:B,"&lt;"&amp;(B144+1)),_xlfn._xlws.FILTER(AO:AO,AL:AL=A144),1),1)</f>
        <v>1</v>
      </c>
      <c r="T144" s="62">
        <f t="shared" si="17"/>
        <v>100</v>
      </c>
      <c r="U144" s="62" t="str">
        <f>_xlfn.IFNA(VLOOKUP(Q144,道具!B:C,2,FALSE),"")</f>
        <v/>
      </c>
      <c r="V144" s="62"/>
      <c r="W144" s="63">
        <f>IF(U144=1,J144*$AD$6,IF(U144=2,J144*$AJ$2,0))</f>
        <v>0</v>
      </c>
      <c r="X144" s="37">
        <f>SUM(N132:N144)+SUM(W132:W144)</f>
        <v>36856450</v>
      </c>
      <c r="Y144" s="66">
        <f>SUM(O132:O144)</f>
        <v>35.77771</v>
      </c>
      <c r="Z144" s="66">
        <f>SUM(W132:W144)</f>
        <v>1078740</v>
      </c>
      <c r="AA144" s="23">
        <f>X144/$AJ$2</f>
        <v>36.85645</v>
      </c>
      <c r="AB144" s="24">
        <f>X144/H144</f>
        <v>1.17526945153061</v>
      </c>
      <c r="AC144" s="25"/>
      <c r="AD144" s="25"/>
      <c r="AI144" s="42"/>
      <c r="AJ144" s="42"/>
    </row>
    <row r="145" spans="1:36">
      <c r="A145" s="46">
        <f t="shared" si="13"/>
        <v>4</v>
      </c>
      <c r="B145" s="47">
        <v>15</v>
      </c>
      <c r="C145" s="47"/>
      <c r="D145" s="47"/>
      <c r="E145" s="14"/>
      <c r="F145" s="14" t="str">
        <f t="shared" si="18"/>
        <v/>
      </c>
      <c r="G145" s="14"/>
      <c r="H145" s="30"/>
      <c r="I145" s="17"/>
      <c r="J145" s="18">
        <f t="shared" si="19"/>
        <v>0</v>
      </c>
      <c r="K145" s="19" t="s">
        <v>408</v>
      </c>
      <c r="L145" s="38">
        <v>3</v>
      </c>
      <c r="M145" s="21">
        <v>3</v>
      </c>
      <c r="N145" s="14"/>
      <c r="O145" s="22"/>
      <c r="P145" s="60">
        <f t="shared" si="14"/>
        <v>0</v>
      </c>
      <c r="Q145" s="60">
        <f t="shared" si="15"/>
        <v>0</v>
      </c>
      <c r="R145" s="60">
        <f t="shared" si="16"/>
        <v>0</v>
      </c>
      <c r="S145" s="62" cm="1">
        <f t="array" ref="S145">_xlfn.IFNA(MATCH(SUMIFS(R:R,A:A,"="&amp;A145,B:B,"&lt;"&amp;(B145+1)),_xlfn._xlws.FILTER(AO:AO,AL:AL=A145),1),1)</f>
        <v>1</v>
      </c>
      <c r="T145" s="62">
        <f t="shared" si="17"/>
        <v>100</v>
      </c>
      <c r="U145" s="62"/>
      <c r="V145" s="62"/>
      <c r="W145" s="63"/>
      <c r="X145" s="30"/>
      <c r="Y145" s="64"/>
      <c r="Z145" s="64"/>
      <c r="AA145" s="23"/>
      <c r="AB145" s="24"/>
      <c r="AC145" s="25"/>
      <c r="AD145" s="25"/>
      <c r="AI145" s="42"/>
      <c r="AJ145" s="42"/>
    </row>
    <row r="146" spans="1:36">
      <c r="A146" s="46">
        <f t="shared" si="13"/>
        <v>4</v>
      </c>
      <c r="B146" s="47">
        <v>16</v>
      </c>
      <c r="C146" s="47"/>
      <c r="D146" s="47"/>
      <c r="E146" s="14"/>
      <c r="F146" s="14" t="str">
        <f t="shared" si="18"/>
        <v/>
      </c>
      <c r="G146" s="14"/>
      <c r="H146" s="30"/>
      <c r="I146" s="17"/>
      <c r="J146" s="18">
        <f t="shared" si="19"/>
        <v>0.1</v>
      </c>
      <c r="K146" s="19" t="s">
        <v>2</v>
      </c>
      <c r="L146" s="38">
        <v>17</v>
      </c>
      <c r="M146" s="21">
        <f>J146*$AD$135</f>
        <v>2008050</v>
      </c>
      <c r="N146" s="14"/>
      <c r="O146" s="22"/>
      <c r="P146" s="60">
        <f t="shared" si="14"/>
        <v>0</v>
      </c>
      <c r="Q146" s="60">
        <f t="shared" si="15"/>
        <v>0</v>
      </c>
      <c r="R146" s="60">
        <f t="shared" si="16"/>
        <v>0</v>
      </c>
      <c r="S146" s="62" cm="1">
        <f t="array" ref="S146">_xlfn.IFNA(MATCH(SUMIFS(R:R,A:A,"="&amp;A146,B:B,"&lt;"&amp;(B146+1)),_xlfn._xlws.FILTER(AO:AO,AL:AL=A146),1),1)</f>
        <v>1</v>
      </c>
      <c r="T146" s="62">
        <f t="shared" si="17"/>
        <v>100</v>
      </c>
      <c r="U146" s="62"/>
      <c r="V146" s="62"/>
      <c r="W146" s="63"/>
      <c r="X146" s="30"/>
      <c r="Y146" s="64"/>
      <c r="Z146" s="64"/>
      <c r="AA146" s="23"/>
      <c r="AB146" s="24"/>
      <c r="AC146" s="25"/>
      <c r="AD146" s="25"/>
      <c r="AI146" s="42"/>
      <c r="AJ146" s="42"/>
    </row>
    <row r="147" spans="1:36">
      <c r="A147" s="46">
        <f t="shared" si="13"/>
        <v>4</v>
      </c>
      <c r="B147" s="47">
        <v>17</v>
      </c>
      <c r="C147" s="47"/>
      <c r="D147" s="47"/>
      <c r="E147" s="14"/>
      <c r="F147" s="14" t="str">
        <f t="shared" si="18"/>
        <v/>
      </c>
      <c r="G147" s="14"/>
      <c r="H147" s="30"/>
      <c r="I147" s="17"/>
      <c r="J147" s="18">
        <f t="shared" si="19"/>
        <v>0</v>
      </c>
      <c r="K147" s="19" t="s">
        <v>461</v>
      </c>
      <c r="L147" s="38">
        <v>4</v>
      </c>
      <c r="M147" s="21">
        <v>1</v>
      </c>
      <c r="N147" s="14"/>
      <c r="O147" s="22"/>
      <c r="P147" s="60">
        <f t="shared" si="14"/>
        <v>0</v>
      </c>
      <c r="Q147" s="60">
        <f t="shared" si="15"/>
        <v>0</v>
      </c>
      <c r="R147" s="60">
        <f t="shared" si="16"/>
        <v>25</v>
      </c>
      <c r="S147" s="62" cm="1">
        <f t="array" ref="S147">_xlfn.IFNA(MATCH(SUMIFS(R:R,A:A,"="&amp;A147,B:B,"&lt;"&amp;(B147+1)),_xlfn._xlws.FILTER(AO:AO,AL:AL=A147),1),1)</f>
        <v>1</v>
      </c>
      <c r="T147" s="62">
        <f t="shared" si="17"/>
        <v>125</v>
      </c>
      <c r="U147" s="62"/>
      <c r="V147" s="62"/>
      <c r="W147" s="63"/>
      <c r="X147" s="30"/>
      <c r="Y147" s="64"/>
      <c r="Z147" s="64"/>
      <c r="AA147" s="23"/>
      <c r="AB147" s="24"/>
      <c r="AC147" s="25"/>
      <c r="AD147" s="25"/>
      <c r="AI147" s="42"/>
      <c r="AJ147" s="42"/>
    </row>
    <row r="148" spans="1:36">
      <c r="A148" s="46">
        <f t="shared" si="13"/>
        <v>4</v>
      </c>
      <c r="B148" s="47">
        <v>18</v>
      </c>
      <c r="C148" s="47"/>
      <c r="D148" s="47"/>
      <c r="E148" s="14"/>
      <c r="F148" s="14" t="str">
        <f t="shared" si="18"/>
        <v/>
      </c>
      <c r="G148" s="14"/>
      <c r="H148" s="30"/>
      <c r="I148" s="17"/>
      <c r="J148" s="18">
        <f t="shared" si="19"/>
        <v>0</v>
      </c>
      <c r="K148" s="19" t="s">
        <v>453</v>
      </c>
      <c r="L148" s="38">
        <v>3</v>
      </c>
      <c r="M148" s="21">
        <v>15</v>
      </c>
      <c r="N148" s="14"/>
      <c r="O148" s="22"/>
      <c r="P148" s="60">
        <f t="shared" si="14"/>
        <v>0</v>
      </c>
      <c r="Q148" s="60">
        <f t="shared" si="15"/>
        <v>0</v>
      </c>
      <c r="R148" s="60">
        <f t="shared" si="16"/>
        <v>0</v>
      </c>
      <c r="S148" s="62" cm="1">
        <f t="array" ref="S148">_xlfn.IFNA(MATCH(SUMIFS(R:R,A:A,"="&amp;A148,B:B,"&lt;"&amp;(B148+1)),_xlfn._xlws.FILTER(AO:AO,AL:AL=A148),1),1)</f>
        <v>1</v>
      </c>
      <c r="T148" s="62">
        <f t="shared" si="17"/>
        <v>125</v>
      </c>
      <c r="U148" s="62"/>
      <c r="V148" s="62"/>
      <c r="W148" s="63"/>
      <c r="X148" s="30"/>
      <c r="Y148" s="64"/>
      <c r="Z148" s="64"/>
      <c r="AA148" s="23"/>
      <c r="AB148" s="24"/>
      <c r="AC148" s="25"/>
      <c r="AD148" s="25"/>
      <c r="AI148" s="42"/>
      <c r="AJ148" s="42"/>
    </row>
    <row r="149" spans="1:36">
      <c r="A149" s="46">
        <f t="shared" si="13"/>
        <v>4</v>
      </c>
      <c r="B149" s="47">
        <v>19</v>
      </c>
      <c r="C149" s="47"/>
      <c r="D149" s="47"/>
      <c r="E149" s="14"/>
      <c r="F149" s="14" t="str">
        <f t="shared" si="18"/>
        <v/>
      </c>
      <c r="G149" s="14"/>
      <c r="H149" s="30"/>
      <c r="I149" s="17"/>
      <c r="J149" s="18">
        <f t="shared" si="19"/>
        <v>0</v>
      </c>
      <c r="K149" t="s">
        <v>424</v>
      </c>
      <c r="L149" s="38">
        <v>3</v>
      </c>
      <c r="M149" s="21">
        <v>1</v>
      </c>
      <c r="N149" s="14"/>
      <c r="O149" s="22"/>
      <c r="P149" s="60">
        <f t="shared" si="14"/>
        <v>0</v>
      </c>
      <c r="Q149" s="60">
        <f t="shared" si="15"/>
        <v>0</v>
      </c>
      <c r="R149" s="60">
        <f t="shared" si="16"/>
        <v>0</v>
      </c>
      <c r="S149" s="62" cm="1">
        <f t="array" ref="S149">_xlfn.IFNA(MATCH(SUMIFS(R:R,A:A,"="&amp;A149,B:B,"&lt;"&amp;(B149+1)),_xlfn._xlws.FILTER(AO:AO,AL:AL=A149),1),1)</f>
        <v>1</v>
      </c>
      <c r="T149" s="62">
        <f t="shared" si="17"/>
        <v>125</v>
      </c>
      <c r="U149" s="62"/>
      <c r="V149" s="62"/>
      <c r="W149" s="63"/>
      <c r="X149" s="30"/>
      <c r="Y149" s="64"/>
      <c r="Z149" s="64"/>
      <c r="AA149" s="23"/>
      <c r="AB149" s="24"/>
      <c r="AC149" s="25"/>
      <c r="AD149" s="25"/>
      <c r="AI149" s="42"/>
      <c r="AJ149" s="42"/>
    </row>
    <row r="150" spans="1:36">
      <c r="A150" s="46">
        <f t="shared" si="13"/>
        <v>4</v>
      </c>
      <c r="B150" s="47">
        <v>20</v>
      </c>
      <c r="C150" s="47"/>
      <c r="D150" s="47"/>
      <c r="E150" s="14">
        <v>12.99</v>
      </c>
      <c r="F150" s="14">
        <f t="shared" si="18"/>
        <v>149</v>
      </c>
      <c r="G150" s="36">
        <f>(E150+0.01)*F150*$AJ$2/100</f>
        <v>19370000</v>
      </c>
      <c r="H150" s="37">
        <f>SUM(G132:G150)</f>
        <v>50730000</v>
      </c>
      <c r="I150" s="17">
        <f>SUM(E132:E150)</f>
        <v>36.96</v>
      </c>
      <c r="J150" s="18">
        <f t="shared" si="19"/>
        <v>0.24</v>
      </c>
      <c r="K150" s="14" t="s">
        <v>2</v>
      </c>
      <c r="L150" s="29">
        <v>9</v>
      </c>
      <c r="M150" s="21">
        <f>G150</f>
        <v>19370000</v>
      </c>
      <c r="N150" s="36">
        <f>SUMIF(K150:K155,"="&amp;"金币",M150:M155)</f>
        <v>20976440</v>
      </c>
      <c r="O150" s="22">
        <f>N150/$AJ$2</f>
        <v>20.97644</v>
      </c>
      <c r="P150" s="60">
        <f t="shared" si="14"/>
        <v>2</v>
      </c>
      <c r="Q150" s="60" t="str">
        <f t="shared" si="15"/>
        <v>金币</v>
      </c>
      <c r="R150" s="60">
        <f t="shared" si="16"/>
        <v>0</v>
      </c>
      <c r="S150" s="62" cm="1">
        <f t="array" ref="S150">_xlfn.IFNA(MATCH(SUMIFS(R:R,A:A,"="&amp;A150,B:B,"&lt;"&amp;(B150+1)),_xlfn._xlws.FILTER(AO:AO,AL:AL=A150),1),1)</f>
        <v>1</v>
      </c>
      <c r="T150" s="62">
        <f t="shared" si="17"/>
        <v>125</v>
      </c>
      <c r="U150" s="62">
        <f>_xlfn.IFNA(VLOOKUP(Q150,道具!B:C,2,FALSE),"")</f>
        <v>1</v>
      </c>
      <c r="V150" s="62">
        <f>IF(U150=1,CEILING(W150*100/$AJ$2,5),IF(U150=2,J150*100,0))</f>
        <v>220</v>
      </c>
      <c r="W150" s="63">
        <f>IF(U150=1,J150*$AD$6,IF(U150=2,J150*$AJ$2,0))</f>
        <v>2157480</v>
      </c>
      <c r="X150" s="37">
        <f>SUM(N132:N150)+SUM(W132:W150)</f>
        <v>59990370</v>
      </c>
      <c r="Y150" s="66">
        <f>SUM(O132:O150)</f>
        <v>56.75415</v>
      </c>
      <c r="Z150" s="66">
        <f>SUM(W132:W150)</f>
        <v>3236220</v>
      </c>
      <c r="AA150" s="23">
        <f>X150/$AJ$2</f>
        <v>59.99037</v>
      </c>
      <c r="AB150" s="24">
        <f>X150/H150</f>
        <v>1.18254228267297</v>
      </c>
      <c r="AC150" s="25"/>
      <c r="AD150" s="25"/>
      <c r="AI150" s="42"/>
      <c r="AJ150" s="42"/>
    </row>
    <row r="151" spans="1:36">
      <c r="A151" s="46">
        <f t="shared" si="13"/>
        <v>4</v>
      </c>
      <c r="B151" s="47">
        <v>21</v>
      </c>
      <c r="C151" s="47"/>
      <c r="D151" s="47"/>
      <c r="E151" s="14"/>
      <c r="F151" s="14" t="str">
        <f t="shared" si="18"/>
        <v/>
      </c>
      <c r="G151" s="14"/>
      <c r="H151" s="30"/>
      <c r="I151" s="17"/>
      <c r="J151" s="18">
        <f t="shared" si="19"/>
        <v>0</v>
      </c>
      <c r="K151" s="19" t="s">
        <v>408</v>
      </c>
      <c r="L151" s="38">
        <v>3</v>
      </c>
      <c r="M151" s="21">
        <v>4</v>
      </c>
      <c r="N151" s="14"/>
      <c r="O151" s="22"/>
      <c r="P151" s="60">
        <f t="shared" si="14"/>
        <v>0</v>
      </c>
      <c r="Q151" s="60">
        <f t="shared" si="15"/>
        <v>0</v>
      </c>
      <c r="R151" s="60">
        <f t="shared" si="16"/>
        <v>0</v>
      </c>
      <c r="S151" s="62" cm="1">
        <f t="array" ref="S151">_xlfn.IFNA(MATCH(SUMIFS(R:R,A:A,"="&amp;A151,B:B,"&lt;"&amp;(B151+1)),_xlfn._xlws.FILTER(AO:AO,AL:AL=A151),1),1)</f>
        <v>1</v>
      </c>
      <c r="T151" s="62">
        <f t="shared" si="17"/>
        <v>125</v>
      </c>
      <c r="U151" s="62"/>
      <c r="V151" s="62"/>
      <c r="W151" s="63"/>
      <c r="X151" s="30"/>
      <c r="Y151" s="64"/>
      <c r="Z151" s="64"/>
      <c r="AA151" s="23"/>
      <c r="AB151" s="24"/>
      <c r="AC151" s="25"/>
      <c r="AD151" s="25"/>
      <c r="AI151" s="42"/>
      <c r="AJ151" s="42"/>
    </row>
    <row r="152" spans="1:36">
      <c r="A152" s="46">
        <f t="shared" si="13"/>
        <v>4</v>
      </c>
      <c r="B152" s="47">
        <v>22</v>
      </c>
      <c r="C152" s="47"/>
      <c r="D152" s="47"/>
      <c r="E152" s="14"/>
      <c r="F152" s="14" t="str">
        <f t="shared" si="18"/>
        <v/>
      </c>
      <c r="G152" s="14"/>
      <c r="H152" s="30"/>
      <c r="I152" s="17"/>
      <c r="J152" s="18">
        <f t="shared" si="19"/>
        <v>0.08</v>
      </c>
      <c r="K152" s="19" t="s">
        <v>2</v>
      </c>
      <c r="L152" s="38">
        <v>17</v>
      </c>
      <c r="M152" s="21">
        <f>J152*$AD$135</f>
        <v>1606440</v>
      </c>
      <c r="N152" s="14"/>
      <c r="O152" s="22"/>
      <c r="P152" s="60">
        <f t="shared" si="14"/>
        <v>0</v>
      </c>
      <c r="Q152" s="60">
        <f t="shared" si="15"/>
        <v>0</v>
      </c>
      <c r="R152" s="60">
        <f t="shared" si="16"/>
        <v>0</v>
      </c>
      <c r="S152" s="62" cm="1">
        <f t="array" ref="S152">_xlfn.IFNA(MATCH(SUMIFS(R:R,A:A,"="&amp;A152,B:B,"&lt;"&amp;(B152+1)),_xlfn._xlws.FILTER(AO:AO,AL:AL=A152),1),1)</f>
        <v>1</v>
      </c>
      <c r="T152" s="62">
        <f t="shared" si="17"/>
        <v>125</v>
      </c>
      <c r="U152" s="62"/>
      <c r="V152" s="62"/>
      <c r="W152" s="63"/>
      <c r="X152" s="30"/>
      <c r="Y152" s="64"/>
      <c r="Z152" s="64"/>
      <c r="AA152" s="23"/>
      <c r="AB152" s="24"/>
      <c r="AC152" s="25"/>
      <c r="AD152" s="25"/>
      <c r="AI152" s="42"/>
      <c r="AJ152" s="42"/>
    </row>
    <row r="153" spans="1:36">
      <c r="A153" s="46">
        <f t="shared" si="13"/>
        <v>4</v>
      </c>
      <c r="B153" s="47">
        <v>23</v>
      </c>
      <c r="C153" s="47"/>
      <c r="D153" s="47"/>
      <c r="E153" s="14"/>
      <c r="F153" s="14" t="str">
        <f t="shared" si="18"/>
        <v/>
      </c>
      <c r="G153" s="14"/>
      <c r="H153" s="30"/>
      <c r="I153" s="17"/>
      <c r="J153" s="18">
        <f t="shared" si="19"/>
        <v>0</v>
      </c>
      <c r="K153" s="19" t="s">
        <v>461</v>
      </c>
      <c r="L153" s="38">
        <v>4</v>
      </c>
      <c r="M153" s="21">
        <v>1</v>
      </c>
      <c r="N153" s="14"/>
      <c r="O153" s="22"/>
      <c r="P153" s="60">
        <f t="shared" si="14"/>
        <v>0</v>
      </c>
      <c r="Q153" s="60">
        <f t="shared" si="15"/>
        <v>0</v>
      </c>
      <c r="R153" s="60">
        <f t="shared" si="16"/>
        <v>15</v>
      </c>
      <c r="S153" s="62" cm="1">
        <f t="array" ref="S153">_xlfn.IFNA(MATCH(SUMIFS(R:R,A:A,"="&amp;A153,B:B,"&lt;"&amp;(B153+1)),_xlfn._xlws.FILTER(AO:AO,AL:AL=A153),1),1)</f>
        <v>1</v>
      </c>
      <c r="T153" s="62">
        <f t="shared" si="17"/>
        <v>140</v>
      </c>
      <c r="U153" s="62"/>
      <c r="V153" s="62"/>
      <c r="W153" s="63"/>
      <c r="X153" s="30"/>
      <c r="Y153" s="64"/>
      <c r="Z153" s="64"/>
      <c r="AA153" s="23"/>
      <c r="AB153" s="24"/>
      <c r="AC153" s="25"/>
      <c r="AD153" s="25"/>
      <c r="AI153" s="42"/>
      <c r="AJ153" s="42"/>
    </row>
    <row r="154" spans="1:36">
      <c r="A154" s="46">
        <f t="shared" si="13"/>
        <v>4</v>
      </c>
      <c r="B154" s="47">
        <v>24</v>
      </c>
      <c r="C154" s="47"/>
      <c r="D154" s="47"/>
      <c r="E154" s="14"/>
      <c r="F154" s="14" t="str">
        <f t="shared" si="18"/>
        <v/>
      </c>
      <c r="G154" s="14"/>
      <c r="H154" s="30"/>
      <c r="I154" s="17"/>
      <c r="J154" s="18">
        <f t="shared" si="19"/>
        <v>0</v>
      </c>
      <c r="K154" s="19" t="s">
        <v>453</v>
      </c>
      <c r="L154" s="38">
        <v>3</v>
      </c>
      <c r="M154" s="21">
        <v>20</v>
      </c>
      <c r="N154" s="14"/>
      <c r="O154" s="22"/>
      <c r="P154" s="60">
        <f t="shared" si="14"/>
        <v>0</v>
      </c>
      <c r="Q154" s="60">
        <f t="shared" si="15"/>
        <v>0</v>
      </c>
      <c r="R154" s="60">
        <f t="shared" si="16"/>
        <v>0</v>
      </c>
      <c r="S154" s="62" cm="1">
        <f t="array" ref="S154">_xlfn.IFNA(MATCH(SUMIFS(R:R,A:A,"="&amp;A154,B:B,"&lt;"&amp;(B154+1)),_xlfn._xlws.FILTER(AO:AO,AL:AL=A154),1),1)</f>
        <v>1</v>
      </c>
      <c r="T154" s="62">
        <f t="shared" si="17"/>
        <v>140</v>
      </c>
      <c r="U154" s="62"/>
      <c r="V154" s="62"/>
      <c r="W154" s="63"/>
      <c r="X154" s="30"/>
      <c r="Y154" s="64"/>
      <c r="Z154" s="64"/>
      <c r="AA154" s="23"/>
      <c r="AB154" s="24"/>
      <c r="AC154" s="25"/>
      <c r="AD154" s="25"/>
      <c r="AI154" s="42"/>
      <c r="AJ154" s="42"/>
    </row>
    <row r="155" spans="1:36">
      <c r="A155" s="46">
        <f t="shared" si="13"/>
        <v>4</v>
      </c>
      <c r="B155" s="47">
        <v>25</v>
      </c>
      <c r="C155" s="47"/>
      <c r="D155" s="47"/>
      <c r="E155" s="14"/>
      <c r="F155" s="14" t="str">
        <f t="shared" si="18"/>
        <v/>
      </c>
      <c r="G155" s="14"/>
      <c r="H155" s="30"/>
      <c r="I155" s="17"/>
      <c r="J155" s="18">
        <f t="shared" si="19"/>
        <v>0</v>
      </c>
      <c r="K155" t="s">
        <v>426</v>
      </c>
      <c r="L155" s="38">
        <v>3</v>
      </c>
      <c r="M155" s="21">
        <v>1</v>
      </c>
      <c r="N155" s="14"/>
      <c r="O155" s="22"/>
      <c r="P155" s="60">
        <f t="shared" si="14"/>
        <v>0</v>
      </c>
      <c r="Q155" s="60">
        <f t="shared" si="15"/>
        <v>0</v>
      </c>
      <c r="R155" s="60">
        <f t="shared" si="16"/>
        <v>0</v>
      </c>
      <c r="S155" s="62" cm="1">
        <f t="array" ref="S155">_xlfn.IFNA(MATCH(SUMIFS(R:R,A:A,"="&amp;A155,B:B,"&lt;"&amp;(B155+1)),_xlfn._xlws.FILTER(AO:AO,AL:AL=A155),1),1)</f>
        <v>1</v>
      </c>
      <c r="T155" s="62">
        <f t="shared" si="17"/>
        <v>140</v>
      </c>
      <c r="U155" s="62"/>
      <c r="V155" s="62"/>
      <c r="W155" s="63"/>
      <c r="X155" s="30"/>
      <c r="Y155" s="64"/>
      <c r="Z155" s="64"/>
      <c r="AA155" s="23"/>
      <c r="AB155" s="24"/>
      <c r="AC155" s="25"/>
      <c r="AD155" s="25"/>
      <c r="AI155" s="42"/>
      <c r="AJ155" s="42"/>
    </row>
    <row r="156" spans="1:36">
      <c r="A156" s="46">
        <f t="shared" si="13"/>
        <v>4</v>
      </c>
      <c r="B156" s="47">
        <v>26</v>
      </c>
      <c r="C156" s="47"/>
      <c r="D156" s="47"/>
      <c r="E156" s="14">
        <v>14.99</v>
      </c>
      <c r="F156" s="14">
        <f t="shared" si="18"/>
        <v>154</v>
      </c>
      <c r="G156" s="36">
        <f>(E156+0.01)*F156*$AJ$2/100</f>
        <v>23100000</v>
      </c>
      <c r="H156" s="37">
        <f>SUM(G132:G156)</f>
        <v>73830000</v>
      </c>
      <c r="I156" s="17">
        <f>SUM(E132:E156)</f>
        <v>51.95</v>
      </c>
      <c r="J156" s="18">
        <f t="shared" si="19"/>
        <v>0</v>
      </c>
      <c r="K156" s="14" t="s">
        <v>2</v>
      </c>
      <c r="L156" s="29">
        <v>9</v>
      </c>
      <c r="M156" s="21">
        <f>G156</f>
        <v>23100000</v>
      </c>
      <c r="N156" s="36">
        <f>SUMIF(K156:K161,"="&amp;"金币",M156:M161)</f>
        <v>24104025</v>
      </c>
      <c r="O156" s="22">
        <f>N156/$AJ$2</f>
        <v>24.104025</v>
      </c>
      <c r="P156" s="60">
        <f t="shared" si="14"/>
        <v>0</v>
      </c>
      <c r="Q156" s="60">
        <f t="shared" si="15"/>
        <v>0</v>
      </c>
      <c r="R156" s="60">
        <f t="shared" si="16"/>
        <v>10</v>
      </c>
      <c r="S156" s="62" cm="1">
        <f t="array" ref="S156">_xlfn.IFNA(MATCH(SUMIFS(R:R,A:A,"="&amp;A156,B:B,"&lt;"&amp;(B156+1)),_xlfn._xlws.FILTER(AO:AO,AL:AL=A156),1),1)</f>
        <v>2</v>
      </c>
      <c r="T156" s="62">
        <f t="shared" si="17"/>
        <v>150</v>
      </c>
      <c r="U156" s="62" t="str">
        <f>_xlfn.IFNA(VLOOKUP(Q156,道具!B:C,2,FALSE),"")</f>
        <v/>
      </c>
      <c r="V156" s="62">
        <f>IF(U156=1,CEILING(W156*100/$AJ$2,5),IF(U156=2,J156*100,0))</f>
        <v>0</v>
      </c>
      <c r="W156" s="63">
        <f>IF(U156=1,J156*$AD$6,IF(U156=2,J156*$AJ$2,0))</f>
        <v>0</v>
      </c>
      <c r="X156" s="37">
        <f>SUM(N132:N156)+SUM(W132:W156)</f>
        <v>84094395</v>
      </c>
      <c r="Y156" s="66">
        <f>SUM(O132:O156)</f>
        <v>80.858175</v>
      </c>
      <c r="Z156" s="66">
        <f>SUM(W132:W156)</f>
        <v>3236220</v>
      </c>
      <c r="AA156" s="23">
        <f>X156/$AJ$2</f>
        <v>84.094395</v>
      </c>
      <c r="AB156" s="24">
        <f>X156/H156</f>
        <v>1.13902742787485</v>
      </c>
      <c r="AC156" s="25"/>
      <c r="AD156" s="25"/>
      <c r="AI156" s="42"/>
      <c r="AJ156" s="42"/>
    </row>
    <row r="157" spans="1:36">
      <c r="A157" s="46">
        <f t="shared" si="13"/>
        <v>4</v>
      </c>
      <c r="B157" s="47">
        <v>27</v>
      </c>
      <c r="C157" s="47"/>
      <c r="D157" s="47"/>
      <c r="E157" s="14"/>
      <c r="F157" s="14" t="str">
        <f t="shared" si="18"/>
        <v/>
      </c>
      <c r="G157" s="14"/>
      <c r="H157" s="30"/>
      <c r="I157" s="17"/>
      <c r="J157" s="18">
        <f t="shared" si="19"/>
        <v>0</v>
      </c>
      <c r="K157" s="19" t="s">
        <v>408</v>
      </c>
      <c r="L157" s="38">
        <v>3</v>
      </c>
      <c r="M157" s="21">
        <v>5</v>
      </c>
      <c r="N157" s="14"/>
      <c r="O157" s="22"/>
      <c r="P157" s="60">
        <f t="shared" si="14"/>
        <v>0</v>
      </c>
      <c r="Q157" s="60">
        <f t="shared" si="15"/>
        <v>0</v>
      </c>
      <c r="R157" s="60">
        <f t="shared" si="16"/>
        <v>0</v>
      </c>
      <c r="S157" s="62" cm="1">
        <f t="array" ref="S157">_xlfn.IFNA(MATCH(SUMIFS(R:R,A:A,"="&amp;A157,B:B,"&lt;"&amp;(B157+1)),_xlfn._xlws.FILTER(AO:AO,AL:AL=A157),1),1)</f>
        <v>2</v>
      </c>
      <c r="T157" s="62">
        <f t="shared" si="17"/>
        <v>150</v>
      </c>
      <c r="U157" s="62"/>
      <c r="V157" s="62"/>
      <c r="W157" s="63"/>
      <c r="X157" s="30"/>
      <c r="Y157" s="64"/>
      <c r="Z157" s="64"/>
      <c r="AA157" s="23"/>
      <c r="AB157" s="24"/>
      <c r="AC157" s="25"/>
      <c r="AD157" s="25"/>
      <c r="AI157" s="42"/>
      <c r="AJ157" s="42"/>
    </row>
    <row r="158" spans="1:36">
      <c r="A158" s="46">
        <f t="shared" si="13"/>
        <v>4</v>
      </c>
      <c r="B158" s="47">
        <v>28</v>
      </c>
      <c r="C158" s="47"/>
      <c r="D158" s="47"/>
      <c r="E158" s="14"/>
      <c r="F158" s="14" t="str">
        <f t="shared" si="18"/>
        <v/>
      </c>
      <c r="G158" s="14"/>
      <c r="H158" s="30"/>
      <c r="I158" s="17"/>
      <c r="J158" s="18">
        <f t="shared" si="19"/>
        <v>0.05</v>
      </c>
      <c r="K158" s="19" t="s">
        <v>2</v>
      </c>
      <c r="L158" s="38">
        <v>17</v>
      </c>
      <c r="M158" s="21">
        <f>J158*$AD$135</f>
        <v>1004025</v>
      </c>
      <c r="N158" s="14"/>
      <c r="O158" s="22"/>
      <c r="P158" s="60">
        <f t="shared" si="14"/>
        <v>0</v>
      </c>
      <c r="Q158" s="60">
        <f t="shared" si="15"/>
        <v>0</v>
      </c>
      <c r="R158" s="60">
        <f t="shared" si="16"/>
        <v>0</v>
      </c>
      <c r="S158" s="62" cm="1">
        <f t="array" ref="S158">_xlfn.IFNA(MATCH(SUMIFS(R:R,A:A,"="&amp;A158,B:B,"&lt;"&amp;(B158+1)),_xlfn._xlws.FILTER(AO:AO,AL:AL=A158),1),1)</f>
        <v>2</v>
      </c>
      <c r="T158" s="62">
        <f t="shared" si="17"/>
        <v>150</v>
      </c>
      <c r="U158" s="62"/>
      <c r="V158" s="62"/>
      <c r="W158" s="63"/>
      <c r="X158" s="30"/>
      <c r="Y158" s="64"/>
      <c r="Z158" s="64"/>
      <c r="AA158" s="23"/>
      <c r="AB158" s="24"/>
      <c r="AC158" s="25"/>
      <c r="AD158" s="25"/>
      <c r="AI158" s="42"/>
      <c r="AJ158" s="42"/>
    </row>
    <row r="159" spans="1:36">
      <c r="A159" s="46">
        <f t="shared" si="13"/>
        <v>4</v>
      </c>
      <c r="B159" s="47">
        <v>29</v>
      </c>
      <c r="C159" s="47"/>
      <c r="D159" s="47"/>
      <c r="E159" s="14"/>
      <c r="F159" s="14" t="str">
        <f t="shared" si="18"/>
        <v/>
      </c>
      <c r="G159" s="14"/>
      <c r="H159" s="30"/>
      <c r="I159" s="17"/>
      <c r="J159" s="18">
        <f t="shared" si="19"/>
        <v>0</v>
      </c>
      <c r="K159" s="19" t="s">
        <v>463</v>
      </c>
      <c r="L159" s="38">
        <v>4</v>
      </c>
      <c r="M159" s="21">
        <v>1</v>
      </c>
      <c r="N159" s="14"/>
      <c r="O159" s="22"/>
      <c r="P159" s="60">
        <f t="shared" si="14"/>
        <v>0</v>
      </c>
      <c r="Q159" s="60">
        <f t="shared" si="15"/>
        <v>0</v>
      </c>
      <c r="R159" s="60">
        <f t="shared" si="16"/>
        <v>25</v>
      </c>
      <c r="S159" s="62" cm="1">
        <f t="array" ref="S159">_xlfn.IFNA(MATCH(SUMIFS(R:R,A:A,"="&amp;A159,B:B,"&lt;"&amp;(B159+1)),_xlfn._xlws.FILTER(AO:AO,AL:AL=A159),1),1)</f>
        <v>2</v>
      </c>
      <c r="T159" s="62">
        <f t="shared" si="17"/>
        <v>175</v>
      </c>
      <c r="U159" s="62"/>
      <c r="V159" s="62"/>
      <c r="W159" s="63"/>
      <c r="X159" s="30"/>
      <c r="Y159" s="64"/>
      <c r="Z159" s="64"/>
      <c r="AA159" s="23"/>
      <c r="AB159" s="24"/>
      <c r="AC159" s="25"/>
      <c r="AD159" s="25"/>
      <c r="AI159" s="42"/>
      <c r="AJ159" s="42"/>
    </row>
    <row r="160" spans="1:36">
      <c r="A160" s="46">
        <f t="shared" si="13"/>
        <v>4</v>
      </c>
      <c r="B160" s="47">
        <v>30</v>
      </c>
      <c r="C160" s="47"/>
      <c r="D160" s="47"/>
      <c r="E160" s="14"/>
      <c r="F160" s="14" t="str">
        <f t="shared" si="18"/>
        <v/>
      </c>
      <c r="G160" s="14"/>
      <c r="H160" s="30"/>
      <c r="I160" s="17"/>
      <c r="J160" s="18">
        <f t="shared" si="19"/>
        <v>0</v>
      </c>
      <c r="K160" s="19" t="s">
        <v>453</v>
      </c>
      <c r="L160" s="38">
        <v>3</v>
      </c>
      <c r="M160" s="21">
        <v>25</v>
      </c>
      <c r="N160" s="14"/>
      <c r="O160" s="22"/>
      <c r="P160" s="60">
        <f t="shared" si="14"/>
        <v>0</v>
      </c>
      <c r="Q160" s="60">
        <f t="shared" si="15"/>
        <v>0</v>
      </c>
      <c r="R160" s="60">
        <f t="shared" si="16"/>
        <v>0</v>
      </c>
      <c r="S160" s="62" cm="1">
        <f t="array" ref="S160">_xlfn.IFNA(MATCH(SUMIFS(R:R,A:A,"="&amp;A160,B:B,"&lt;"&amp;(B160+1)),_xlfn._xlws.FILTER(AO:AO,AL:AL=A160),1),1)</f>
        <v>2</v>
      </c>
      <c r="T160" s="62">
        <f t="shared" si="17"/>
        <v>175</v>
      </c>
      <c r="U160" s="62"/>
      <c r="V160" s="62"/>
      <c r="W160" s="63"/>
      <c r="X160" s="30"/>
      <c r="Y160" s="64"/>
      <c r="Z160" s="64"/>
      <c r="AA160" s="23"/>
      <c r="AB160" s="24"/>
      <c r="AC160" s="25"/>
      <c r="AD160" s="25"/>
      <c r="AI160" s="42"/>
      <c r="AJ160" s="42"/>
    </row>
    <row r="161" spans="1:36">
      <c r="A161" s="46">
        <f t="shared" si="13"/>
        <v>4</v>
      </c>
      <c r="B161" s="47">
        <v>31</v>
      </c>
      <c r="C161" s="47"/>
      <c r="D161" s="47"/>
      <c r="E161" s="14"/>
      <c r="F161" s="14" t="str">
        <f t="shared" si="18"/>
        <v/>
      </c>
      <c r="G161" s="14"/>
      <c r="H161" s="30"/>
      <c r="I161" s="17"/>
      <c r="J161" s="18">
        <f t="shared" si="19"/>
        <v>0</v>
      </c>
      <c r="K161" t="s">
        <v>424</v>
      </c>
      <c r="L161" s="38">
        <v>3</v>
      </c>
      <c r="M161" s="21">
        <v>1</v>
      </c>
      <c r="N161" s="14"/>
      <c r="O161" s="22"/>
      <c r="P161" s="60">
        <f t="shared" si="14"/>
        <v>0</v>
      </c>
      <c r="Q161" s="60">
        <f t="shared" si="15"/>
        <v>0</v>
      </c>
      <c r="R161" s="60">
        <f t="shared" si="16"/>
        <v>0</v>
      </c>
      <c r="S161" s="62" cm="1">
        <f t="array" ref="S161">_xlfn.IFNA(MATCH(SUMIFS(R:R,A:A,"="&amp;A161,B:B,"&lt;"&amp;(B161+1)),_xlfn._xlws.FILTER(AO:AO,AL:AL=A161),1),1)</f>
        <v>2</v>
      </c>
      <c r="T161" s="62">
        <f t="shared" si="17"/>
        <v>175</v>
      </c>
      <c r="U161" s="62"/>
      <c r="V161" s="62"/>
      <c r="W161" s="63"/>
      <c r="X161" s="30"/>
      <c r="Y161" s="64"/>
      <c r="Z161" s="64"/>
      <c r="AA161" s="23"/>
      <c r="AB161" s="24"/>
      <c r="AC161" s="25"/>
      <c r="AD161" s="25"/>
      <c r="AI161" s="42"/>
      <c r="AJ161" s="42"/>
    </row>
    <row r="162" spans="1:36">
      <c r="A162" s="46">
        <f t="shared" si="13"/>
        <v>4</v>
      </c>
      <c r="B162" s="47">
        <v>32</v>
      </c>
      <c r="C162" s="47"/>
      <c r="D162" s="47"/>
      <c r="E162" s="14">
        <v>17.99</v>
      </c>
      <c r="F162" s="14">
        <f t="shared" si="18"/>
        <v>158</v>
      </c>
      <c r="G162" s="36">
        <f>(E162+0.01)*F162*$AJ$2/100</f>
        <v>28440000</v>
      </c>
      <c r="H162" s="37">
        <f>SUM(G132:G162)</f>
        <v>102270000</v>
      </c>
      <c r="I162" s="17">
        <f>SUM(E132:E162)</f>
        <v>69.94</v>
      </c>
      <c r="J162" s="18">
        <f t="shared" si="19"/>
        <v>0</v>
      </c>
      <c r="K162" s="14" t="s">
        <v>2</v>
      </c>
      <c r="L162" s="29">
        <v>9</v>
      </c>
      <c r="M162" s="21">
        <f>G162</f>
        <v>28440000</v>
      </c>
      <c r="N162" s="36">
        <f>SUMIF(K162:K167,"="&amp;"金币",M162:M167)</f>
        <v>30849660</v>
      </c>
      <c r="O162" s="22">
        <f>N162/$AJ$2</f>
        <v>30.84966</v>
      </c>
      <c r="P162" s="60">
        <f t="shared" si="14"/>
        <v>0</v>
      </c>
      <c r="Q162" s="60">
        <f t="shared" si="15"/>
        <v>0</v>
      </c>
      <c r="R162" s="60">
        <f t="shared" si="16"/>
        <v>25</v>
      </c>
      <c r="S162" s="62" cm="1">
        <f t="array" ref="S162">_xlfn.IFNA(MATCH(SUMIFS(R:R,A:A,"="&amp;A162,B:B,"&lt;"&amp;(B162+1)),_xlfn._xlws.FILTER(AO:AO,AL:AL=A162),1),1)</f>
        <v>2</v>
      </c>
      <c r="T162" s="62">
        <f t="shared" si="17"/>
        <v>200</v>
      </c>
      <c r="U162" s="62" t="str">
        <f>_xlfn.IFNA(VLOOKUP(Q162,道具!B:C,2,FALSE),"")</f>
        <v/>
      </c>
      <c r="V162" s="62">
        <f>IF(U162=1,CEILING(W162*100/$AJ$2,5),IF(U162=2,J162*100,0))</f>
        <v>0</v>
      </c>
      <c r="W162" s="63">
        <f>IF(U162=1,J162*$AD$6,IF(U162=2,J162*$AJ$2,0))</f>
        <v>0</v>
      </c>
      <c r="X162" s="37">
        <f>SUM(N132:N162)+SUM(W132:W162)</f>
        <v>114944055</v>
      </c>
      <c r="Y162" s="66">
        <f>SUM(O132:O162)</f>
        <v>111.707835</v>
      </c>
      <c r="Z162" s="66">
        <f>SUM(W132:W162)</f>
        <v>3236220</v>
      </c>
      <c r="AA162" s="23">
        <f>X162/$AJ$2</f>
        <v>114.944055</v>
      </c>
      <c r="AB162" s="24">
        <f>X162/H162</f>
        <v>1.12392739806395</v>
      </c>
      <c r="AC162" s="25"/>
      <c r="AD162" s="25"/>
      <c r="AI162" s="42"/>
      <c r="AJ162" s="42"/>
    </row>
    <row r="163" spans="1:36">
      <c r="A163" s="46">
        <f t="shared" si="13"/>
        <v>4</v>
      </c>
      <c r="B163" s="47">
        <v>33</v>
      </c>
      <c r="C163" s="47"/>
      <c r="D163" s="47"/>
      <c r="E163" s="14"/>
      <c r="F163" s="14" t="str">
        <f t="shared" si="18"/>
        <v/>
      </c>
      <c r="G163" s="14"/>
      <c r="H163" s="30"/>
      <c r="I163" s="17"/>
      <c r="J163" s="18">
        <f t="shared" si="19"/>
        <v>0</v>
      </c>
      <c r="K163" s="19" t="s">
        <v>408</v>
      </c>
      <c r="L163" s="38">
        <v>3</v>
      </c>
      <c r="M163" s="21">
        <v>6</v>
      </c>
      <c r="N163" s="14"/>
      <c r="O163" s="22"/>
      <c r="P163" s="60">
        <f t="shared" si="14"/>
        <v>0</v>
      </c>
      <c r="Q163" s="60">
        <f t="shared" si="15"/>
        <v>0</v>
      </c>
      <c r="R163" s="60">
        <f t="shared" si="16"/>
        <v>0</v>
      </c>
      <c r="S163" s="62" cm="1">
        <f t="array" ref="S163">_xlfn.IFNA(MATCH(SUMIFS(R:R,A:A,"="&amp;A163,B:B,"&lt;"&amp;(B163+1)),_xlfn._xlws.FILTER(AO:AO,AL:AL=A163),1),1)</f>
        <v>2</v>
      </c>
      <c r="T163" s="62">
        <f t="shared" si="17"/>
        <v>200</v>
      </c>
      <c r="U163" s="62"/>
      <c r="V163" s="62"/>
      <c r="W163" s="63"/>
      <c r="X163" s="30"/>
      <c r="Y163" s="64"/>
      <c r="Z163" s="64"/>
      <c r="AA163" s="23"/>
      <c r="AB163" s="24"/>
      <c r="AC163" s="25"/>
      <c r="AD163" s="25"/>
      <c r="AI163" s="42"/>
      <c r="AJ163" s="42"/>
    </row>
    <row r="164" spans="1:36">
      <c r="A164" s="46">
        <f t="shared" si="13"/>
        <v>4</v>
      </c>
      <c r="B164" s="47">
        <v>34</v>
      </c>
      <c r="C164" s="47"/>
      <c r="D164" s="47"/>
      <c r="E164" s="14"/>
      <c r="F164" s="14" t="str">
        <f t="shared" si="18"/>
        <v/>
      </c>
      <c r="G164" s="14"/>
      <c r="H164" s="30"/>
      <c r="I164" s="17"/>
      <c r="J164" s="18">
        <f t="shared" si="19"/>
        <v>0.12</v>
      </c>
      <c r="K164" s="19" t="s">
        <v>2</v>
      </c>
      <c r="L164" s="38">
        <v>17</v>
      </c>
      <c r="M164" s="21">
        <f>J164*$AD$135</f>
        <v>2409660</v>
      </c>
      <c r="N164" s="14"/>
      <c r="O164" s="22"/>
      <c r="P164" s="60">
        <f t="shared" si="14"/>
        <v>0</v>
      </c>
      <c r="Q164" s="60">
        <f t="shared" si="15"/>
        <v>0</v>
      </c>
      <c r="R164" s="60">
        <f t="shared" si="16"/>
        <v>0</v>
      </c>
      <c r="S164" s="62" cm="1">
        <f t="array" ref="S164">_xlfn.IFNA(MATCH(SUMIFS(R:R,A:A,"="&amp;A164,B:B,"&lt;"&amp;(B164+1)),_xlfn._xlws.FILTER(AO:AO,AL:AL=A164),1),1)</f>
        <v>2</v>
      </c>
      <c r="T164" s="62">
        <f t="shared" si="17"/>
        <v>200</v>
      </c>
      <c r="U164" s="62"/>
      <c r="V164" s="62"/>
      <c r="W164" s="63"/>
      <c r="X164" s="30"/>
      <c r="Y164" s="64"/>
      <c r="Z164" s="64"/>
      <c r="AA164" s="23"/>
      <c r="AB164" s="24"/>
      <c r="AC164" s="25"/>
      <c r="AD164" s="25"/>
      <c r="AI164" s="42"/>
      <c r="AJ164" s="42"/>
    </row>
    <row r="165" spans="1:36">
      <c r="A165" s="46">
        <f t="shared" si="13"/>
        <v>4</v>
      </c>
      <c r="B165" s="47">
        <v>35</v>
      </c>
      <c r="C165" s="47"/>
      <c r="D165" s="47"/>
      <c r="E165" s="14"/>
      <c r="F165" s="14" t="str">
        <f t="shared" si="18"/>
        <v/>
      </c>
      <c r="G165" s="14"/>
      <c r="H165" s="30"/>
      <c r="I165" s="17"/>
      <c r="J165" s="18">
        <f t="shared" si="19"/>
        <v>0</v>
      </c>
      <c r="K165" s="19" t="s">
        <v>463</v>
      </c>
      <c r="L165" s="38">
        <v>4</v>
      </c>
      <c r="M165" s="21">
        <v>1</v>
      </c>
      <c r="N165" s="14"/>
      <c r="O165" s="22"/>
      <c r="P165" s="60">
        <f t="shared" si="14"/>
        <v>0</v>
      </c>
      <c r="Q165" s="60">
        <f t="shared" si="15"/>
        <v>0</v>
      </c>
      <c r="R165" s="60">
        <f t="shared" si="16"/>
        <v>15</v>
      </c>
      <c r="S165" s="62" cm="1">
        <f t="array" ref="S165">_xlfn.IFNA(MATCH(SUMIFS(R:R,A:A,"="&amp;A165,B:B,"&lt;"&amp;(B165+1)),_xlfn._xlws.FILTER(AO:AO,AL:AL=A165),1),1)</f>
        <v>2</v>
      </c>
      <c r="T165" s="62">
        <f t="shared" si="17"/>
        <v>215</v>
      </c>
      <c r="U165" s="62"/>
      <c r="V165" s="62"/>
      <c r="W165" s="63"/>
      <c r="X165" s="30"/>
      <c r="Y165" s="64"/>
      <c r="Z165" s="64"/>
      <c r="AA165" s="23"/>
      <c r="AB165" s="24"/>
      <c r="AC165" s="25"/>
      <c r="AD165" s="25"/>
      <c r="AI165" s="42"/>
      <c r="AJ165" s="42"/>
    </row>
    <row r="166" spans="1:36">
      <c r="A166" s="46">
        <f t="shared" si="13"/>
        <v>4</v>
      </c>
      <c r="B166" s="47">
        <v>36</v>
      </c>
      <c r="C166" s="47"/>
      <c r="D166" s="47"/>
      <c r="E166" s="14"/>
      <c r="F166" s="14" t="str">
        <f t="shared" si="18"/>
        <v/>
      </c>
      <c r="G166" s="14"/>
      <c r="H166" s="30"/>
      <c r="I166" s="17"/>
      <c r="J166" s="18">
        <f t="shared" si="19"/>
        <v>0</v>
      </c>
      <c r="K166" s="19" t="s">
        <v>453</v>
      </c>
      <c r="L166" s="38">
        <v>3</v>
      </c>
      <c r="M166" s="21">
        <v>30</v>
      </c>
      <c r="N166" s="14"/>
      <c r="O166" s="22"/>
      <c r="P166" s="60">
        <f t="shared" si="14"/>
        <v>0</v>
      </c>
      <c r="Q166" s="60">
        <f t="shared" si="15"/>
        <v>0</v>
      </c>
      <c r="R166" s="60">
        <f t="shared" si="16"/>
        <v>0</v>
      </c>
      <c r="S166" s="62" cm="1">
        <f t="array" ref="S166">_xlfn.IFNA(MATCH(SUMIFS(R:R,A:A,"="&amp;A166,B:B,"&lt;"&amp;(B166+1)),_xlfn._xlws.FILTER(AO:AO,AL:AL=A166),1),1)</f>
        <v>2</v>
      </c>
      <c r="T166" s="62">
        <f t="shared" si="17"/>
        <v>215</v>
      </c>
      <c r="U166" s="62"/>
      <c r="V166" s="62"/>
      <c r="W166" s="63"/>
      <c r="X166" s="30"/>
      <c r="Y166" s="64"/>
      <c r="Z166" s="64"/>
      <c r="AA166" s="23"/>
      <c r="AB166" s="24"/>
      <c r="AC166" s="25"/>
      <c r="AD166" s="25"/>
      <c r="AI166" s="42"/>
      <c r="AJ166" s="42"/>
    </row>
    <row r="167" spans="1:36">
      <c r="A167" s="46">
        <f t="shared" si="13"/>
        <v>4</v>
      </c>
      <c r="B167" s="47">
        <v>37</v>
      </c>
      <c r="C167" s="47"/>
      <c r="D167" s="47"/>
      <c r="E167" s="14"/>
      <c r="F167" s="14" t="str">
        <f t="shared" si="18"/>
        <v/>
      </c>
      <c r="G167" s="14"/>
      <c r="H167" s="30"/>
      <c r="I167" s="17"/>
      <c r="J167" s="18">
        <f t="shared" si="19"/>
        <v>0</v>
      </c>
      <c r="K167" t="s">
        <v>426</v>
      </c>
      <c r="L167" s="38">
        <v>3</v>
      </c>
      <c r="M167" s="21">
        <v>1</v>
      </c>
      <c r="N167" s="14"/>
      <c r="O167" s="22"/>
      <c r="P167" s="60">
        <f t="shared" si="14"/>
        <v>0</v>
      </c>
      <c r="Q167" s="60">
        <f t="shared" si="15"/>
        <v>0</v>
      </c>
      <c r="R167" s="60">
        <f t="shared" si="16"/>
        <v>0</v>
      </c>
      <c r="S167" s="62" cm="1">
        <f t="array" ref="S167">_xlfn.IFNA(MATCH(SUMIFS(R:R,A:A,"="&amp;A167,B:B,"&lt;"&amp;(B167+1)),_xlfn._xlws.FILTER(AO:AO,AL:AL=A167),1),1)</f>
        <v>2</v>
      </c>
      <c r="T167" s="62">
        <f t="shared" si="17"/>
        <v>215</v>
      </c>
      <c r="U167" s="62"/>
      <c r="V167" s="62"/>
      <c r="W167" s="63"/>
      <c r="X167" s="30"/>
      <c r="Y167" s="64"/>
      <c r="Z167" s="64"/>
      <c r="AA167" s="23"/>
      <c r="AB167" s="24"/>
      <c r="AC167" s="25"/>
      <c r="AD167" s="25"/>
      <c r="AI167" s="42"/>
      <c r="AJ167" s="42"/>
    </row>
    <row r="168" spans="1:36">
      <c r="A168" s="46">
        <f t="shared" si="13"/>
        <v>4</v>
      </c>
      <c r="B168" s="47">
        <v>38</v>
      </c>
      <c r="C168" s="47"/>
      <c r="D168" s="47"/>
      <c r="E168" s="14">
        <v>19.99</v>
      </c>
      <c r="F168" s="14">
        <f t="shared" si="18"/>
        <v>158</v>
      </c>
      <c r="G168" s="36">
        <f>(E168+0.01)*F168*$AJ$2/100</f>
        <v>31600000</v>
      </c>
      <c r="H168" s="37">
        <f>SUM(G132:G168)</f>
        <v>133870000</v>
      </c>
      <c r="I168" s="17">
        <f>SUM(E132:E168)</f>
        <v>89.93</v>
      </c>
      <c r="J168" s="18">
        <f t="shared" si="19"/>
        <v>0.45</v>
      </c>
      <c r="K168" s="14" t="s">
        <v>2</v>
      </c>
      <c r="L168" s="29">
        <v>9</v>
      </c>
      <c r="M168" s="21">
        <f>G168</f>
        <v>31600000</v>
      </c>
      <c r="N168" s="36">
        <f>SUMIF(K168:K173,"="&amp;"金币",M168:M173)</f>
        <v>34009660</v>
      </c>
      <c r="O168" s="22">
        <f>N168/$AJ$2</f>
        <v>34.00966</v>
      </c>
      <c r="P168" s="60">
        <f t="shared" si="14"/>
        <v>3</v>
      </c>
      <c r="Q168" s="60" t="str">
        <f t="shared" si="15"/>
        <v>金币</v>
      </c>
      <c r="R168" s="60">
        <f t="shared" si="16"/>
        <v>35</v>
      </c>
      <c r="S168" s="62" cm="1">
        <f t="array" ref="S168">_xlfn.IFNA(MATCH(SUMIFS(R:R,A:A,"="&amp;A168,B:B,"&lt;"&amp;(B168+1)),_xlfn._xlws.FILTER(AO:AO,AL:AL=A168),1),1)</f>
        <v>2</v>
      </c>
      <c r="T168" s="62">
        <f t="shared" si="17"/>
        <v>250</v>
      </c>
      <c r="U168" s="62">
        <f>_xlfn.IFNA(VLOOKUP(Q168,道具!B:C,2,FALSE),"")</f>
        <v>1</v>
      </c>
      <c r="V168" s="62">
        <f>IF(U168=1,CEILING(W168*100/$AJ$2,5),IF(U168=2,J168*100,0))</f>
        <v>405</v>
      </c>
      <c r="W168" s="63">
        <f>IF(U168=1,J168*$AD$6,IF(U168=2,J168*$AJ$2,0))</f>
        <v>4045275</v>
      </c>
      <c r="X168" s="37">
        <f>SUM(N132:N168)+SUM(W132:W168)</f>
        <v>152998990</v>
      </c>
      <c r="Y168" s="66">
        <f>SUM(O132:O168)</f>
        <v>145.717495</v>
      </c>
      <c r="Z168" s="66">
        <f>SUM(W132:W168)</f>
        <v>7281494.99999999</v>
      </c>
      <c r="AA168" s="23">
        <f>X168/$AJ$2</f>
        <v>152.99899</v>
      </c>
      <c r="AB168" s="24">
        <f>X168/H168</f>
        <v>1.14289228355868</v>
      </c>
      <c r="AC168" s="25"/>
      <c r="AD168" s="25"/>
      <c r="AI168" s="42"/>
      <c r="AJ168" s="42"/>
    </row>
    <row r="169" spans="1:36">
      <c r="A169" s="46">
        <f t="shared" si="13"/>
        <v>4</v>
      </c>
      <c r="B169" s="47">
        <v>39</v>
      </c>
      <c r="C169" s="47"/>
      <c r="D169" s="47"/>
      <c r="E169" s="14"/>
      <c r="F169" s="14" t="str">
        <f t="shared" si="18"/>
        <v/>
      </c>
      <c r="G169" s="14"/>
      <c r="H169" s="30"/>
      <c r="I169" s="17"/>
      <c r="J169" s="18">
        <f t="shared" si="19"/>
        <v>0</v>
      </c>
      <c r="K169" s="19" t="s">
        <v>408</v>
      </c>
      <c r="L169" s="38">
        <v>3</v>
      </c>
      <c r="M169" s="21">
        <v>7</v>
      </c>
      <c r="N169" s="14"/>
      <c r="O169" s="22"/>
      <c r="P169" s="60">
        <f t="shared" si="14"/>
        <v>0</v>
      </c>
      <c r="Q169" s="60">
        <f t="shared" si="15"/>
        <v>0</v>
      </c>
      <c r="R169" s="60">
        <f t="shared" si="16"/>
        <v>0</v>
      </c>
      <c r="S169" s="62" cm="1">
        <f t="array" ref="S169">_xlfn.IFNA(MATCH(SUMIFS(R:R,A:A,"="&amp;A169,B:B,"&lt;"&amp;(B169+1)),_xlfn._xlws.FILTER(AO:AO,AL:AL=A169),1),1)</f>
        <v>2</v>
      </c>
      <c r="T169" s="62">
        <f t="shared" si="17"/>
        <v>250</v>
      </c>
      <c r="U169" s="62"/>
      <c r="V169" s="62"/>
      <c r="W169" s="63"/>
      <c r="X169" s="30"/>
      <c r="Y169" s="64"/>
      <c r="Z169" s="64"/>
      <c r="AA169" s="23"/>
      <c r="AB169" s="24"/>
      <c r="AC169" s="25"/>
      <c r="AD169" s="25"/>
      <c r="AI169" s="42"/>
      <c r="AJ169" s="42"/>
    </row>
    <row r="170" spans="1:36">
      <c r="A170" s="46">
        <f t="shared" si="13"/>
        <v>4</v>
      </c>
      <c r="B170" s="47">
        <v>40</v>
      </c>
      <c r="C170" s="47"/>
      <c r="D170" s="47"/>
      <c r="E170" s="14"/>
      <c r="F170" s="14" t="str">
        <f t="shared" si="18"/>
        <v/>
      </c>
      <c r="G170" s="14"/>
      <c r="H170" s="30"/>
      <c r="I170" s="17"/>
      <c r="J170" s="18">
        <f t="shared" si="19"/>
        <v>0.12</v>
      </c>
      <c r="K170" s="19" t="s">
        <v>2</v>
      </c>
      <c r="L170" s="38">
        <v>17</v>
      </c>
      <c r="M170" s="21">
        <f>J170*$AD$135</f>
        <v>2409660</v>
      </c>
      <c r="N170" s="14"/>
      <c r="O170" s="22"/>
      <c r="P170" s="60">
        <f t="shared" si="14"/>
        <v>0</v>
      </c>
      <c r="Q170" s="60">
        <f t="shared" si="15"/>
        <v>0</v>
      </c>
      <c r="R170" s="60">
        <f t="shared" si="16"/>
        <v>0</v>
      </c>
      <c r="S170" s="62" cm="1">
        <f t="array" ref="S170">_xlfn.IFNA(MATCH(SUMIFS(R:R,A:A,"="&amp;A170,B:B,"&lt;"&amp;(B170+1)),_xlfn._xlws.FILTER(AO:AO,AL:AL=A170),1),1)</f>
        <v>2</v>
      </c>
      <c r="T170" s="62">
        <f t="shared" si="17"/>
        <v>250</v>
      </c>
      <c r="U170" s="62"/>
      <c r="V170" s="62"/>
      <c r="W170" s="63"/>
      <c r="X170" s="30"/>
      <c r="Y170" s="64"/>
      <c r="Z170" s="64"/>
      <c r="AA170" s="23"/>
      <c r="AB170" s="24"/>
      <c r="AC170" s="25"/>
      <c r="AD170" s="25"/>
      <c r="AI170" s="42"/>
      <c r="AJ170" s="42"/>
    </row>
    <row r="171" spans="1:36">
      <c r="A171" s="46">
        <f t="shared" si="13"/>
        <v>4</v>
      </c>
      <c r="B171" s="47">
        <v>41</v>
      </c>
      <c r="C171" s="47"/>
      <c r="D171" s="47"/>
      <c r="E171" s="14"/>
      <c r="F171" s="14" t="str">
        <f t="shared" si="18"/>
        <v/>
      </c>
      <c r="G171" s="14"/>
      <c r="H171" s="30"/>
      <c r="I171" s="17"/>
      <c r="J171" s="18">
        <f t="shared" si="19"/>
        <v>0</v>
      </c>
      <c r="K171" s="19" t="s">
        <v>473</v>
      </c>
      <c r="L171" s="38">
        <v>4</v>
      </c>
      <c r="M171" s="21">
        <v>1</v>
      </c>
      <c r="N171" s="14"/>
      <c r="O171" s="22"/>
      <c r="P171" s="60">
        <f t="shared" si="14"/>
        <v>0</v>
      </c>
      <c r="Q171" s="60">
        <f t="shared" si="15"/>
        <v>0</v>
      </c>
      <c r="R171" s="60">
        <f t="shared" si="16"/>
        <v>50</v>
      </c>
      <c r="S171" s="62" cm="1">
        <f t="array" ref="S171">_xlfn.IFNA(MATCH(SUMIFS(R:R,A:A,"="&amp;A171,B:B,"&lt;"&amp;(B171+1)),_xlfn._xlws.FILTER(AO:AO,AL:AL=A171),1),1)</f>
        <v>3</v>
      </c>
      <c r="T171" s="62">
        <f t="shared" si="17"/>
        <v>300</v>
      </c>
      <c r="U171" s="62"/>
      <c r="V171" s="62"/>
      <c r="W171" s="63"/>
      <c r="X171" s="30"/>
      <c r="Y171" s="64"/>
      <c r="Z171" s="64"/>
      <c r="AA171" s="23"/>
      <c r="AB171" s="24"/>
      <c r="AC171" s="25"/>
      <c r="AD171" s="25"/>
      <c r="AI171" s="42"/>
      <c r="AJ171" s="42"/>
    </row>
    <row r="172" spans="1:36">
      <c r="A172" s="46">
        <f t="shared" si="13"/>
        <v>4</v>
      </c>
      <c r="B172" s="47">
        <v>42</v>
      </c>
      <c r="C172" s="47"/>
      <c r="D172" s="47"/>
      <c r="E172" s="14"/>
      <c r="F172" s="14" t="str">
        <f t="shared" si="18"/>
        <v/>
      </c>
      <c r="G172" s="14"/>
      <c r="H172" s="30"/>
      <c r="I172" s="17"/>
      <c r="J172" s="18">
        <f t="shared" si="19"/>
        <v>0</v>
      </c>
      <c r="K172" s="19" t="s">
        <v>453</v>
      </c>
      <c r="L172" s="38">
        <v>3</v>
      </c>
      <c r="M172" s="21">
        <v>35</v>
      </c>
      <c r="N172" s="14"/>
      <c r="O172" s="22"/>
      <c r="P172" s="60">
        <f t="shared" si="14"/>
        <v>0</v>
      </c>
      <c r="Q172" s="60">
        <f t="shared" si="15"/>
        <v>0</v>
      </c>
      <c r="R172" s="60">
        <f t="shared" si="16"/>
        <v>0</v>
      </c>
      <c r="S172" s="62" cm="1">
        <f t="array" ref="S172">_xlfn.IFNA(MATCH(SUMIFS(R:R,A:A,"="&amp;A172,B:B,"&lt;"&amp;(B172+1)),_xlfn._xlws.FILTER(AO:AO,AL:AL=A172),1),1)</f>
        <v>3</v>
      </c>
      <c r="T172" s="62">
        <f t="shared" si="17"/>
        <v>300</v>
      </c>
      <c r="U172" s="62"/>
      <c r="V172" s="62"/>
      <c r="W172" s="63"/>
      <c r="X172" s="30"/>
      <c r="Y172" s="64"/>
      <c r="Z172" s="64"/>
      <c r="AA172" s="23"/>
      <c r="AB172" s="24"/>
      <c r="AC172" s="25"/>
      <c r="AD172" s="25"/>
      <c r="AI172" s="42"/>
      <c r="AJ172" s="42"/>
    </row>
    <row r="173" spans="1:36">
      <c r="A173" s="46">
        <f t="shared" ref="A173:A236" si="20">A130+1</f>
        <v>4</v>
      </c>
      <c r="B173" s="47">
        <v>43</v>
      </c>
      <c r="C173" s="47"/>
      <c r="D173" s="47"/>
      <c r="E173" s="14"/>
      <c r="F173" s="14" t="str">
        <f t="shared" si="18"/>
        <v/>
      </c>
      <c r="G173" s="14"/>
      <c r="H173" s="30"/>
      <c r="I173" s="17"/>
      <c r="J173" s="18">
        <f t="shared" si="19"/>
        <v>0</v>
      </c>
      <c r="K173" t="s">
        <v>424</v>
      </c>
      <c r="L173" s="38">
        <v>3</v>
      </c>
      <c r="M173" s="21">
        <v>1</v>
      </c>
      <c r="N173" s="14"/>
      <c r="O173" s="22"/>
      <c r="P173" s="60">
        <f t="shared" ref="P173:P236" si="21">P130</f>
        <v>0</v>
      </c>
      <c r="Q173" s="60">
        <f t="shared" ref="Q173:Q236" si="22">Q130</f>
        <v>0</v>
      </c>
      <c r="R173" s="60">
        <f t="shared" ref="R173:R236" si="23">R130</f>
        <v>0</v>
      </c>
      <c r="S173" s="62" cm="1">
        <f t="array" ref="S173">_xlfn.IFNA(MATCH(SUMIFS(R:R,A:A,"="&amp;A173,B:B,"&lt;"&amp;(B173+1)),_xlfn._xlws.FILTER(AO:AO,AL:AL=A173),1),1)</f>
        <v>3</v>
      </c>
      <c r="T173" s="62">
        <f t="shared" si="17"/>
        <v>300</v>
      </c>
      <c r="U173" s="62"/>
      <c r="V173" s="62"/>
      <c r="W173" s="63"/>
      <c r="X173" s="30"/>
      <c r="Y173" s="64"/>
      <c r="Z173" s="64"/>
      <c r="AA173" s="23"/>
      <c r="AB173" s="24"/>
      <c r="AC173" s="25"/>
      <c r="AD173" s="25"/>
      <c r="AI173" s="42"/>
      <c r="AJ173" s="42"/>
    </row>
    <row r="174" spans="1:36">
      <c r="A174" s="46">
        <f t="shared" si="20"/>
        <v>5</v>
      </c>
      <c r="B174" s="47">
        <v>1</v>
      </c>
      <c r="C174" s="47"/>
      <c r="D174" s="47"/>
      <c r="E174" s="14"/>
      <c r="F174" s="14" t="str">
        <f t="shared" si="18"/>
        <v/>
      </c>
      <c r="G174" s="14"/>
      <c r="H174" s="30"/>
      <c r="I174" s="17"/>
      <c r="J174" s="18">
        <f t="shared" si="19"/>
        <v>0</v>
      </c>
      <c r="K174" s="14" t="s">
        <v>2</v>
      </c>
      <c r="L174" s="29">
        <v>1</v>
      </c>
      <c r="M174" s="21">
        <v>5000</v>
      </c>
      <c r="N174" s="14"/>
      <c r="O174" s="22"/>
      <c r="P174" s="60">
        <f t="shared" si="21"/>
        <v>0</v>
      </c>
      <c r="Q174" s="60">
        <f t="shared" si="22"/>
        <v>0</v>
      </c>
      <c r="R174" s="60">
        <f t="shared" si="23"/>
        <v>20</v>
      </c>
      <c r="S174" s="62" cm="1">
        <f t="array" ref="S174">_xlfn.IFNA(MATCH(SUMIFS(R:R,A:A,"="&amp;A174,B:B,"&lt;"&amp;(B174+1)),_xlfn._xlws.FILTER(AO:AO,AL:AL=A174),1),1)</f>
        <v>1</v>
      </c>
      <c r="T174" s="62">
        <f t="shared" si="17"/>
        <v>20</v>
      </c>
      <c r="U174" s="62"/>
      <c r="V174" s="62"/>
      <c r="W174" s="63"/>
      <c r="X174" s="30"/>
      <c r="Y174" s="64"/>
      <c r="Z174" s="64"/>
      <c r="AA174" s="23"/>
      <c r="AB174" s="24"/>
      <c r="AC174" s="25"/>
      <c r="AD174" s="31">
        <f>SUM(E174:E216)</f>
        <v>89.93</v>
      </c>
      <c r="AI174" s="42"/>
      <c r="AJ174" s="42"/>
    </row>
    <row r="175" spans="1:36">
      <c r="A175" s="46">
        <f t="shared" si="20"/>
        <v>5</v>
      </c>
      <c r="B175" s="47">
        <v>2</v>
      </c>
      <c r="C175" s="47"/>
      <c r="D175" s="47"/>
      <c r="E175" s="35">
        <v>5.99</v>
      </c>
      <c r="F175" s="14">
        <f t="shared" si="18"/>
        <v>119</v>
      </c>
      <c r="G175" s="36">
        <f>(E175+0.01)*F175*$AJ$2/100</f>
        <v>7140000</v>
      </c>
      <c r="H175" s="37">
        <f>SUM(G175)</f>
        <v>7140000</v>
      </c>
      <c r="I175" s="17">
        <f>SUM(E175)</f>
        <v>5.99</v>
      </c>
      <c r="J175" s="18">
        <f t="shared" si="19"/>
        <v>0</v>
      </c>
      <c r="K175" s="14" t="s">
        <v>2</v>
      </c>
      <c r="L175" s="29">
        <v>9</v>
      </c>
      <c r="M175" s="21">
        <f>G175</f>
        <v>7140000</v>
      </c>
      <c r="N175" s="36">
        <f>SUMIF(K175:K180,"="&amp;"金币",M175:M180)</f>
        <v>9148050</v>
      </c>
      <c r="O175" s="22">
        <f>N175/$AJ$2</f>
        <v>9.14805</v>
      </c>
      <c r="P175" s="60">
        <f t="shared" si="21"/>
        <v>0</v>
      </c>
      <c r="Q175" s="60">
        <f t="shared" si="22"/>
        <v>0</v>
      </c>
      <c r="R175" s="60">
        <f t="shared" si="23"/>
        <v>10</v>
      </c>
      <c r="S175" s="62" cm="1">
        <f t="array" ref="S175">_xlfn.IFNA(MATCH(SUMIFS(R:R,A:A,"="&amp;A175,B:B,"&lt;"&amp;(B175+1)),_xlfn._xlws.FILTER(AO:AO,AL:AL=A175),1),1)</f>
        <v>1</v>
      </c>
      <c r="T175" s="62">
        <f t="shared" si="17"/>
        <v>30</v>
      </c>
      <c r="U175" s="62" t="str">
        <f>_xlfn.IFNA(VLOOKUP(Q175,道具!B:C,2,FALSE),"")</f>
        <v/>
      </c>
      <c r="V175" s="62">
        <f>IF(U175=1,CEILING(W175*100/$AJ$2,5),IF(U175=2,J175*100,0))</f>
        <v>0</v>
      </c>
      <c r="W175" s="63">
        <f>IF(U175=1,J175*$AD$6,IF(U175=2,J175*$AJ$2,0))</f>
        <v>0</v>
      </c>
      <c r="X175" s="37">
        <f>SUM(N175)+SUM(W175)</f>
        <v>9148050</v>
      </c>
      <c r="Y175" s="66">
        <f>SUM(O175)</f>
        <v>9.14805</v>
      </c>
      <c r="Z175" s="66">
        <f>SUM(W175)</f>
        <v>0</v>
      </c>
      <c r="AA175" s="23">
        <f>X175/$AJ$2</f>
        <v>9.14805</v>
      </c>
      <c r="AB175" s="24">
        <f>X175/H175</f>
        <v>1.28123949579832</v>
      </c>
      <c r="AC175" s="25"/>
      <c r="AD175" s="26" t="s">
        <v>556</v>
      </c>
      <c r="AI175" s="42"/>
      <c r="AJ175" s="42"/>
    </row>
    <row r="176" spans="1:36">
      <c r="A176" s="46">
        <f t="shared" si="20"/>
        <v>5</v>
      </c>
      <c r="B176" s="47">
        <v>3</v>
      </c>
      <c r="C176" s="47"/>
      <c r="D176" s="47"/>
      <c r="E176" s="14"/>
      <c r="F176" s="14" t="str">
        <f t="shared" si="18"/>
        <v/>
      </c>
      <c r="G176" s="14"/>
      <c r="H176" s="30"/>
      <c r="I176" s="17"/>
      <c r="J176" s="18">
        <f t="shared" si="19"/>
        <v>0</v>
      </c>
      <c r="K176" s="19" t="s">
        <v>408</v>
      </c>
      <c r="L176" s="38">
        <v>3</v>
      </c>
      <c r="M176" s="21">
        <v>1</v>
      </c>
      <c r="N176" s="14"/>
      <c r="O176" s="22"/>
      <c r="P176" s="60">
        <f t="shared" si="21"/>
        <v>0</v>
      </c>
      <c r="Q176" s="60">
        <f t="shared" si="22"/>
        <v>0</v>
      </c>
      <c r="R176" s="60">
        <f t="shared" si="23"/>
        <v>0</v>
      </c>
      <c r="S176" s="62" cm="1">
        <f t="array" ref="S176">_xlfn.IFNA(MATCH(SUMIFS(R:R,A:A,"="&amp;A176,B:B,"&lt;"&amp;(B176+1)),_xlfn._xlws.FILTER(AO:AO,AL:AL=A176),1),1)</f>
        <v>1</v>
      </c>
      <c r="T176" s="62">
        <f t="shared" si="17"/>
        <v>30</v>
      </c>
      <c r="U176" s="62"/>
      <c r="V176" s="62"/>
      <c r="W176" s="63"/>
      <c r="X176" s="30"/>
      <c r="Y176" s="64"/>
      <c r="Z176" s="64"/>
      <c r="AA176" s="23"/>
      <c r="AB176" s="24"/>
      <c r="AC176" s="25"/>
      <c r="AD176" s="39">
        <v>1.15</v>
      </c>
      <c r="AI176" s="42"/>
      <c r="AJ176" s="42"/>
    </row>
    <row r="177" spans="1:36">
      <c r="A177" s="46">
        <f t="shared" si="20"/>
        <v>5</v>
      </c>
      <c r="B177" s="47">
        <v>4</v>
      </c>
      <c r="C177" s="47"/>
      <c r="D177" s="47"/>
      <c r="E177" s="14"/>
      <c r="F177" s="14" t="str">
        <f t="shared" si="18"/>
        <v/>
      </c>
      <c r="G177" s="14"/>
      <c r="H177" s="30"/>
      <c r="I177" s="17"/>
      <c r="J177" s="18">
        <f t="shared" si="19"/>
        <v>0.1</v>
      </c>
      <c r="K177" s="19" t="s">
        <v>2</v>
      </c>
      <c r="L177" s="38">
        <v>17</v>
      </c>
      <c r="M177" s="21">
        <f>J177*$AD$178</f>
        <v>2008050</v>
      </c>
      <c r="N177" s="14"/>
      <c r="O177" s="22"/>
      <c r="P177" s="60">
        <f t="shared" si="21"/>
        <v>0</v>
      </c>
      <c r="Q177" s="60">
        <f t="shared" si="22"/>
        <v>0</v>
      </c>
      <c r="R177" s="60">
        <f t="shared" si="23"/>
        <v>0</v>
      </c>
      <c r="S177" s="62" cm="1">
        <f t="array" ref="S177">_xlfn.IFNA(MATCH(SUMIFS(R:R,A:A,"="&amp;A177,B:B,"&lt;"&amp;(B177+1)),_xlfn._xlws.FILTER(AO:AO,AL:AL=A177),1),1)</f>
        <v>1</v>
      </c>
      <c r="T177" s="62">
        <f t="shared" si="17"/>
        <v>30</v>
      </c>
      <c r="U177" s="62"/>
      <c r="V177" s="62"/>
      <c r="W177" s="63"/>
      <c r="X177" s="30"/>
      <c r="Y177" s="64"/>
      <c r="Z177" s="64"/>
      <c r="AA177" s="23"/>
      <c r="AB177" s="24"/>
      <c r="AC177" s="25"/>
      <c r="AD177" s="26" t="s">
        <v>557</v>
      </c>
      <c r="AI177" s="42"/>
      <c r="AJ177" s="42"/>
    </row>
    <row r="178" spans="1:36">
      <c r="A178" s="46">
        <f t="shared" si="20"/>
        <v>5</v>
      </c>
      <c r="B178" s="47">
        <v>5</v>
      </c>
      <c r="C178" s="47"/>
      <c r="D178" s="47"/>
      <c r="E178" s="14"/>
      <c r="F178" s="14" t="str">
        <f t="shared" si="18"/>
        <v/>
      </c>
      <c r="G178" s="14"/>
      <c r="H178" s="30"/>
      <c r="I178" s="17"/>
      <c r="J178" s="18">
        <f t="shared" si="19"/>
        <v>0</v>
      </c>
      <c r="K178" s="19" t="s">
        <v>457</v>
      </c>
      <c r="L178" s="38">
        <v>4</v>
      </c>
      <c r="M178" s="21">
        <v>1</v>
      </c>
      <c r="N178" s="14"/>
      <c r="O178" s="22"/>
      <c r="P178" s="60">
        <f t="shared" si="21"/>
        <v>0</v>
      </c>
      <c r="Q178" s="60">
        <f t="shared" si="22"/>
        <v>0</v>
      </c>
      <c r="R178" s="60">
        <f t="shared" si="23"/>
        <v>10</v>
      </c>
      <c r="S178" s="62" cm="1">
        <f t="array" ref="S178">_xlfn.IFNA(MATCH(SUMIFS(R:R,A:A,"="&amp;A178,B:B,"&lt;"&amp;(B178+1)),_xlfn._xlws.FILTER(AO:AO,AL:AL=A178),1),1)</f>
        <v>1</v>
      </c>
      <c r="T178" s="62">
        <f t="shared" si="17"/>
        <v>40</v>
      </c>
      <c r="U178" s="62"/>
      <c r="V178" s="62"/>
      <c r="W178" s="63"/>
      <c r="X178" s="30"/>
      <c r="Y178" s="64"/>
      <c r="Z178" s="64"/>
      <c r="AA178" s="23"/>
      <c r="AB178" s="24"/>
      <c r="AC178" s="25"/>
      <c r="AD178" s="40">
        <f>SUM(G174:G216)*(AD176-1)</f>
        <v>20080500</v>
      </c>
      <c r="AI178" s="42"/>
      <c r="AJ178" s="42"/>
    </row>
    <row r="179" spans="1:36">
      <c r="A179" s="46">
        <f t="shared" si="20"/>
        <v>5</v>
      </c>
      <c r="B179" s="47">
        <v>6</v>
      </c>
      <c r="C179" s="47"/>
      <c r="D179" s="47"/>
      <c r="E179" s="14"/>
      <c r="F179" s="14" t="str">
        <f t="shared" si="18"/>
        <v/>
      </c>
      <c r="G179" s="14"/>
      <c r="H179" s="30"/>
      <c r="I179" s="17"/>
      <c r="J179" s="18">
        <f t="shared" si="19"/>
        <v>0</v>
      </c>
      <c r="K179" s="19" t="s">
        <v>453</v>
      </c>
      <c r="L179" s="38">
        <v>3</v>
      </c>
      <c r="M179" s="21">
        <v>5</v>
      </c>
      <c r="N179" s="14"/>
      <c r="O179" s="22"/>
      <c r="P179" s="60">
        <f t="shared" si="21"/>
        <v>0</v>
      </c>
      <c r="Q179" s="60">
        <f t="shared" si="22"/>
        <v>0</v>
      </c>
      <c r="R179" s="60">
        <f t="shared" si="23"/>
        <v>0</v>
      </c>
      <c r="S179" s="62" cm="1">
        <f t="array" ref="S179">_xlfn.IFNA(MATCH(SUMIFS(R:R,A:A,"="&amp;A179,B:B,"&lt;"&amp;(B179+1)),_xlfn._xlws.FILTER(AO:AO,AL:AL=A179),1),1)</f>
        <v>1</v>
      </c>
      <c r="T179" s="62">
        <f t="shared" si="17"/>
        <v>40</v>
      </c>
      <c r="U179" s="62"/>
      <c r="V179" s="62"/>
      <c r="W179" s="63"/>
      <c r="X179" s="30"/>
      <c r="Y179" s="64"/>
      <c r="Z179" s="64"/>
      <c r="AA179" s="23"/>
      <c r="AB179" s="24"/>
      <c r="AC179" s="25"/>
      <c r="AD179" s="24" t="s">
        <v>558</v>
      </c>
      <c r="AI179" s="42"/>
      <c r="AJ179" s="42"/>
    </row>
    <row r="180" spans="1:36">
      <c r="A180" s="46">
        <f t="shared" si="20"/>
        <v>5</v>
      </c>
      <c r="B180" s="47">
        <v>7</v>
      </c>
      <c r="C180" s="47"/>
      <c r="D180" s="47"/>
      <c r="E180" s="14"/>
      <c r="F180" s="14" t="str">
        <f t="shared" si="18"/>
        <v/>
      </c>
      <c r="G180" s="14"/>
      <c r="H180" s="30"/>
      <c r="I180" s="17"/>
      <c r="J180" s="18">
        <f t="shared" si="19"/>
        <v>0</v>
      </c>
      <c r="K180" t="s">
        <v>424</v>
      </c>
      <c r="L180" s="38">
        <v>3</v>
      </c>
      <c r="M180" s="21">
        <v>1</v>
      </c>
      <c r="N180" s="14"/>
      <c r="O180" s="22"/>
      <c r="P180" s="60">
        <f t="shared" si="21"/>
        <v>0</v>
      </c>
      <c r="Q180" s="60">
        <f t="shared" si="22"/>
        <v>0</v>
      </c>
      <c r="R180" s="60">
        <f t="shared" si="23"/>
        <v>0</v>
      </c>
      <c r="S180" s="62" cm="1">
        <f t="array" ref="S180">_xlfn.IFNA(MATCH(SUMIFS(R:R,A:A,"="&amp;A180,B:B,"&lt;"&amp;(B180+1)),_xlfn._xlws.FILTER(AO:AO,AL:AL=A180),1),1)</f>
        <v>1</v>
      </c>
      <c r="T180" s="62">
        <f t="shared" si="17"/>
        <v>40</v>
      </c>
      <c r="U180" s="62"/>
      <c r="V180" s="62"/>
      <c r="W180" s="63"/>
      <c r="X180" s="30"/>
      <c r="Y180" s="64"/>
      <c r="Z180" s="64"/>
      <c r="AA180" s="23"/>
      <c r="AB180" s="24"/>
      <c r="AC180" s="25"/>
      <c r="AD180" s="24">
        <f>SUMIF(U174:U216,"&lt;&gt;2",J174:J216)+SUMIF(U174:U216,"=2",J174:J216)*$AJ$2/SUMIFS(AD:AD,A:A,"="&amp;A180,B:B,"=5")</f>
        <v>1.4</v>
      </c>
      <c r="AI180" s="42"/>
      <c r="AJ180" s="42"/>
    </row>
    <row r="181" spans="1:36">
      <c r="A181" s="46">
        <f t="shared" si="20"/>
        <v>5</v>
      </c>
      <c r="B181" s="47">
        <v>8</v>
      </c>
      <c r="C181" s="47"/>
      <c r="D181" s="47"/>
      <c r="E181" s="14">
        <v>7.99</v>
      </c>
      <c r="F181" s="14">
        <f t="shared" si="18"/>
        <v>129</v>
      </c>
      <c r="G181" s="36">
        <f>(E181+0.01)*F181*$AJ$2/100</f>
        <v>10320000</v>
      </c>
      <c r="H181" s="37">
        <f>SUM(G175:G181)</f>
        <v>17460000</v>
      </c>
      <c r="I181" s="17">
        <f>SUM(E175:E181)</f>
        <v>13.98</v>
      </c>
      <c r="J181" s="18">
        <f t="shared" si="19"/>
        <v>0.12</v>
      </c>
      <c r="K181" s="14" t="s">
        <v>2</v>
      </c>
      <c r="L181" s="29">
        <v>9</v>
      </c>
      <c r="M181" s="21">
        <f>G181</f>
        <v>10320000</v>
      </c>
      <c r="N181" s="36">
        <f>SUMIF(K181:K186,"="&amp;"金币",M181:M186)</f>
        <v>10721610</v>
      </c>
      <c r="O181" s="22">
        <f>N181/$AJ$2</f>
        <v>10.72161</v>
      </c>
      <c r="P181" s="60">
        <f t="shared" si="21"/>
        <v>1</v>
      </c>
      <c r="Q181" s="60" t="str">
        <f t="shared" si="22"/>
        <v>金币</v>
      </c>
      <c r="R181" s="60">
        <f t="shared" si="23"/>
        <v>25</v>
      </c>
      <c r="S181" s="62" cm="1">
        <f t="array" ref="S181">_xlfn.IFNA(MATCH(SUMIFS(R:R,A:A,"="&amp;A181,B:B,"&lt;"&amp;(B181+1)),_xlfn._xlws.FILTER(AO:AO,AL:AL=A181),1),1)</f>
        <v>1</v>
      </c>
      <c r="T181" s="62">
        <f t="shared" si="17"/>
        <v>65</v>
      </c>
      <c r="U181" s="62">
        <f>_xlfn.IFNA(VLOOKUP(Q181,道具!B:C,2,FALSE),"")</f>
        <v>1</v>
      </c>
      <c r="V181" s="62">
        <f>IF(U181=1,CEILING(W181*100/$AJ$2,5),IF(U181=2,J181*100,0))</f>
        <v>110</v>
      </c>
      <c r="W181" s="63">
        <f>IF(U181=1,J181*$AD$6,IF(U181=2,J181*$AJ$2,0))</f>
        <v>1078740</v>
      </c>
      <c r="X181" s="37">
        <f>SUM(N175:N181)+SUM(W175:W181)</f>
        <v>20948400</v>
      </c>
      <c r="Y181" s="66">
        <f>SUM(O175:O181)</f>
        <v>19.86966</v>
      </c>
      <c r="Z181" s="66">
        <f>SUM(W175:W181)</f>
        <v>1078740</v>
      </c>
      <c r="AA181" s="23">
        <f>X181/$AJ$2</f>
        <v>20.9484</v>
      </c>
      <c r="AB181" s="24">
        <f>X181/H181</f>
        <v>1.19979381443299</v>
      </c>
      <c r="AC181" s="25"/>
      <c r="AD181" s="25"/>
      <c r="AI181" s="42"/>
      <c r="AJ181" s="42"/>
    </row>
    <row r="182" spans="1:36">
      <c r="A182" s="46">
        <f t="shared" si="20"/>
        <v>5</v>
      </c>
      <c r="B182" s="47">
        <v>9</v>
      </c>
      <c r="C182" s="47"/>
      <c r="D182" s="47"/>
      <c r="E182" s="14"/>
      <c r="F182" s="14" t="str">
        <f t="shared" si="18"/>
        <v/>
      </c>
      <c r="G182" s="14"/>
      <c r="H182" s="30"/>
      <c r="I182" s="17"/>
      <c r="J182" s="18">
        <f t="shared" si="19"/>
        <v>0</v>
      </c>
      <c r="K182" s="19" t="s">
        <v>408</v>
      </c>
      <c r="L182" s="38">
        <v>3</v>
      </c>
      <c r="M182" s="21">
        <v>2</v>
      </c>
      <c r="N182" s="14"/>
      <c r="O182" s="22"/>
      <c r="P182" s="60">
        <f t="shared" si="21"/>
        <v>0</v>
      </c>
      <c r="Q182" s="60">
        <f t="shared" si="22"/>
        <v>0</v>
      </c>
      <c r="R182" s="60">
        <f t="shared" si="23"/>
        <v>0</v>
      </c>
      <c r="S182" s="62" cm="1">
        <f t="array" ref="S182">_xlfn.IFNA(MATCH(SUMIFS(R:R,A:A,"="&amp;A182,B:B,"&lt;"&amp;(B182+1)),_xlfn._xlws.FILTER(AO:AO,AL:AL=A182),1),1)</f>
        <v>1</v>
      </c>
      <c r="T182" s="62">
        <f t="shared" si="17"/>
        <v>65</v>
      </c>
      <c r="U182" s="62"/>
      <c r="V182" s="62"/>
      <c r="W182" s="63"/>
      <c r="X182" s="30"/>
      <c r="Y182" s="64"/>
      <c r="Z182" s="64"/>
      <c r="AA182" s="23"/>
      <c r="AB182" s="24"/>
      <c r="AC182" s="25"/>
      <c r="AD182" s="69"/>
      <c r="AI182" s="42"/>
      <c r="AJ182" s="42"/>
    </row>
    <row r="183" spans="1:36">
      <c r="A183" s="46">
        <f t="shared" si="20"/>
        <v>5</v>
      </c>
      <c r="B183" s="47">
        <v>10</v>
      </c>
      <c r="C183" s="47"/>
      <c r="D183" s="47"/>
      <c r="E183" s="14"/>
      <c r="F183" s="14" t="str">
        <f t="shared" si="18"/>
        <v/>
      </c>
      <c r="G183" s="14"/>
      <c r="H183" s="30"/>
      <c r="I183" s="17"/>
      <c r="J183" s="18">
        <f t="shared" si="19"/>
        <v>0.02</v>
      </c>
      <c r="K183" s="19" t="s">
        <v>2</v>
      </c>
      <c r="L183" s="38">
        <v>17</v>
      </c>
      <c r="M183" s="21">
        <f>J183*$AD$178</f>
        <v>401610</v>
      </c>
      <c r="N183" s="14"/>
      <c r="O183" s="22"/>
      <c r="P183" s="60">
        <f t="shared" si="21"/>
        <v>0</v>
      </c>
      <c r="Q183" s="60">
        <f t="shared" si="22"/>
        <v>0</v>
      </c>
      <c r="R183" s="60">
        <f t="shared" si="23"/>
        <v>0</v>
      </c>
      <c r="S183" s="62" cm="1">
        <f t="array" ref="S183">_xlfn.IFNA(MATCH(SUMIFS(R:R,A:A,"="&amp;A183,B:B,"&lt;"&amp;(B183+1)),_xlfn._xlws.FILTER(AO:AO,AL:AL=A183),1),1)</f>
        <v>1</v>
      </c>
      <c r="T183" s="62">
        <f t="shared" si="17"/>
        <v>65</v>
      </c>
      <c r="U183" s="62"/>
      <c r="V183" s="62"/>
      <c r="W183" s="63"/>
      <c r="X183" s="30"/>
      <c r="Y183" s="64"/>
      <c r="Z183" s="64"/>
      <c r="AA183" s="23"/>
      <c r="AB183" s="24"/>
      <c r="AC183" s="25"/>
      <c r="AD183" s="25"/>
      <c r="AI183" s="42"/>
      <c r="AJ183" s="42"/>
    </row>
    <row r="184" spans="1:36">
      <c r="A184" s="46">
        <f t="shared" si="20"/>
        <v>5</v>
      </c>
      <c r="B184" s="47">
        <v>11</v>
      </c>
      <c r="C184" s="47"/>
      <c r="D184" s="47"/>
      <c r="E184" s="14"/>
      <c r="F184" s="14" t="str">
        <f t="shared" si="18"/>
        <v/>
      </c>
      <c r="G184" s="14"/>
      <c r="H184" s="30"/>
      <c r="I184" s="17"/>
      <c r="J184" s="18">
        <f t="shared" si="19"/>
        <v>0</v>
      </c>
      <c r="K184" s="19" t="s">
        <v>459</v>
      </c>
      <c r="L184" s="38">
        <v>4</v>
      </c>
      <c r="M184" s="21">
        <v>1</v>
      </c>
      <c r="N184" s="14"/>
      <c r="O184" s="22"/>
      <c r="P184" s="60">
        <f t="shared" si="21"/>
        <v>0</v>
      </c>
      <c r="Q184" s="60">
        <f t="shared" si="22"/>
        <v>0</v>
      </c>
      <c r="R184" s="60">
        <f t="shared" si="23"/>
        <v>0</v>
      </c>
      <c r="S184" s="62" cm="1">
        <f t="array" ref="S184">_xlfn.IFNA(MATCH(SUMIFS(R:R,A:A,"="&amp;A184,B:B,"&lt;"&amp;(B184+1)),_xlfn._xlws.FILTER(AO:AO,AL:AL=A184),1),1)</f>
        <v>1</v>
      </c>
      <c r="T184" s="62">
        <f t="shared" si="17"/>
        <v>65</v>
      </c>
      <c r="U184" s="62"/>
      <c r="V184" s="62"/>
      <c r="W184" s="63"/>
      <c r="X184" s="30"/>
      <c r="Y184" s="64"/>
      <c r="Z184" s="64"/>
      <c r="AA184" s="23"/>
      <c r="AB184" s="24"/>
      <c r="AC184" s="25"/>
      <c r="AD184" s="25"/>
      <c r="AI184" s="42"/>
      <c r="AJ184" s="42"/>
    </row>
    <row r="185" spans="1:36">
      <c r="A185" s="46">
        <f t="shared" si="20"/>
        <v>5</v>
      </c>
      <c r="B185" s="47">
        <v>12</v>
      </c>
      <c r="C185" s="47"/>
      <c r="D185" s="47"/>
      <c r="E185" s="14"/>
      <c r="F185" s="14" t="str">
        <f t="shared" si="18"/>
        <v/>
      </c>
      <c r="G185" s="14"/>
      <c r="H185" s="30"/>
      <c r="I185" s="17"/>
      <c r="J185" s="18">
        <f t="shared" si="19"/>
        <v>0</v>
      </c>
      <c r="K185" s="19" t="s">
        <v>453</v>
      </c>
      <c r="L185" s="38">
        <v>3</v>
      </c>
      <c r="M185" s="21">
        <v>10</v>
      </c>
      <c r="N185" s="14"/>
      <c r="O185" s="22"/>
      <c r="P185" s="60">
        <f t="shared" si="21"/>
        <v>0</v>
      </c>
      <c r="Q185" s="60">
        <f t="shared" si="22"/>
        <v>0</v>
      </c>
      <c r="R185" s="60">
        <f t="shared" si="23"/>
        <v>0</v>
      </c>
      <c r="S185" s="62" cm="1">
        <f t="array" ref="S185">_xlfn.IFNA(MATCH(SUMIFS(R:R,A:A,"="&amp;A185,B:B,"&lt;"&amp;(B185+1)),_xlfn._xlws.FILTER(AO:AO,AL:AL=A185),1),1)</f>
        <v>1</v>
      </c>
      <c r="T185" s="62">
        <f t="shared" si="17"/>
        <v>65</v>
      </c>
      <c r="U185" s="62"/>
      <c r="V185" s="62"/>
      <c r="W185" s="63"/>
      <c r="X185" s="30"/>
      <c r="Y185" s="64"/>
      <c r="Z185" s="64"/>
      <c r="AA185" s="23"/>
      <c r="AB185" s="24"/>
      <c r="AC185" s="25"/>
      <c r="AD185" s="25"/>
      <c r="AI185" s="42"/>
      <c r="AJ185" s="42"/>
    </row>
    <row r="186" spans="1:36">
      <c r="A186" s="46">
        <f t="shared" si="20"/>
        <v>5</v>
      </c>
      <c r="B186" s="47">
        <v>13</v>
      </c>
      <c r="C186" s="47"/>
      <c r="D186" s="47"/>
      <c r="E186" s="14"/>
      <c r="F186" s="14" t="str">
        <f t="shared" si="18"/>
        <v/>
      </c>
      <c r="G186" s="14"/>
      <c r="H186" s="30"/>
      <c r="I186" s="17"/>
      <c r="J186" s="18">
        <f t="shared" si="19"/>
        <v>0</v>
      </c>
      <c r="K186" t="s">
        <v>426</v>
      </c>
      <c r="L186" s="38">
        <v>3</v>
      </c>
      <c r="M186" s="21">
        <v>1</v>
      </c>
      <c r="N186" s="14"/>
      <c r="O186" s="22"/>
      <c r="P186" s="60">
        <f t="shared" si="21"/>
        <v>0</v>
      </c>
      <c r="Q186" s="60">
        <f t="shared" si="22"/>
        <v>0</v>
      </c>
      <c r="R186" s="60">
        <f t="shared" si="23"/>
        <v>0</v>
      </c>
      <c r="S186" s="62" cm="1">
        <f t="array" ref="S186">_xlfn.IFNA(MATCH(SUMIFS(R:R,A:A,"="&amp;A186,B:B,"&lt;"&amp;(B186+1)),_xlfn._xlws.FILTER(AO:AO,AL:AL=A186),1),1)</f>
        <v>1</v>
      </c>
      <c r="T186" s="62">
        <f t="shared" si="17"/>
        <v>65</v>
      </c>
      <c r="U186" s="62"/>
      <c r="V186" s="62"/>
      <c r="W186" s="63"/>
      <c r="X186" s="30"/>
      <c r="Y186" s="64"/>
      <c r="Z186" s="64"/>
      <c r="AA186" s="23"/>
      <c r="AB186" s="24"/>
      <c r="AC186" s="25"/>
      <c r="AD186" s="25"/>
      <c r="AI186" s="42"/>
      <c r="AJ186" s="42"/>
    </row>
    <row r="187" spans="1:36">
      <c r="A187" s="46">
        <f t="shared" si="20"/>
        <v>5</v>
      </c>
      <c r="B187" s="47">
        <v>14</v>
      </c>
      <c r="C187" s="47"/>
      <c r="D187" s="47"/>
      <c r="E187" s="14">
        <v>9.99</v>
      </c>
      <c r="F187" s="14">
        <f t="shared" si="18"/>
        <v>139</v>
      </c>
      <c r="G187" s="36">
        <f>(E187+0.01)*F187*$AJ$2/100</f>
        <v>13900000</v>
      </c>
      <c r="H187" s="37">
        <f>SUM(G175:G187)</f>
        <v>31360000</v>
      </c>
      <c r="I187" s="17">
        <f>SUM(E175:E187)</f>
        <v>23.97</v>
      </c>
      <c r="J187" s="18">
        <f t="shared" si="19"/>
        <v>0</v>
      </c>
      <c r="K187" s="14" t="s">
        <v>2</v>
      </c>
      <c r="L187" s="29">
        <v>9</v>
      </c>
      <c r="M187" s="21">
        <f>G187</f>
        <v>13900000</v>
      </c>
      <c r="N187" s="36">
        <f>SUMIF(K187:K192,"="&amp;"金币",M187:M192)</f>
        <v>15908050</v>
      </c>
      <c r="O187" s="22">
        <f>N187/$AJ$2</f>
        <v>15.90805</v>
      </c>
      <c r="P187" s="60">
        <f t="shared" si="21"/>
        <v>0</v>
      </c>
      <c r="Q187" s="60">
        <f t="shared" si="22"/>
        <v>0</v>
      </c>
      <c r="R187" s="60">
        <f t="shared" si="23"/>
        <v>35</v>
      </c>
      <c r="S187" s="62" cm="1">
        <f t="array" ref="S187">_xlfn.IFNA(MATCH(SUMIFS(R:R,A:A,"="&amp;A187,B:B,"&lt;"&amp;(B187+1)),_xlfn._xlws.FILTER(AO:AO,AL:AL=A187),1),1)</f>
        <v>1</v>
      </c>
      <c r="T187" s="62">
        <f t="shared" si="17"/>
        <v>100</v>
      </c>
      <c r="U187" s="62" t="str">
        <f>_xlfn.IFNA(VLOOKUP(Q187,道具!B:C,2,FALSE),"")</f>
        <v/>
      </c>
      <c r="V187" s="62"/>
      <c r="W187" s="63">
        <f>IF(U187=1,J187*$AD$6,IF(U187=2,J187*$AJ$2,0))</f>
        <v>0</v>
      </c>
      <c r="X187" s="37">
        <f>SUM(N175:N187)+SUM(W175:W187)</f>
        <v>36856450</v>
      </c>
      <c r="Y187" s="66">
        <f>SUM(O175:O187)</f>
        <v>35.77771</v>
      </c>
      <c r="Z187" s="66">
        <f>SUM(W175:W187)</f>
        <v>1078740</v>
      </c>
      <c r="AA187" s="23">
        <f>X187/$AJ$2</f>
        <v>36.85645</v>
      </c>
      <c r="AB187" s="24">
        <f>X187/H187</f>
        <v>1.17526945153061</v>
      </c>
      <c r="AC187" s="25"/>
      <c r="AD187" s="25"/>
      <c r="AI187" s="42"/>
      <c r="AJ187" s="42"/>
    </row>
    <row r="188" spans="1:36">
      <c r="A188" s="46">
        <f t="shared" si="20"/>
        <v>5</v>
      </c>
      <c r="B188" s="47">
        <v>15</v>
      </c>
      <c r="C188" s="47"/>
      <c r="D188" s="47"/>
      <c r="E188" s="14"/>
      <c r="F188" s="14" t="str">
        <f t="shared" si="18"/>
        <v/>
      </c>
      <c r="G188" s="14"/>
      <c r="H188" s="30"/>
      <c r="I188" s="17"/>
      <c r="J188" s="18">
        <f t="shared" si="19"/>
        <v>0</v>
      </c>
      <c r="K188" s="19" t="s">
        <v>408</v>
      </c>
      <c r="L188" s="38">
        <v>3</v>
      </c>
      <c r="M188" s="21">
        <v>3</v>
      </c>
      <c r="N188" s="14"/>
      <c r="O188" s="22"/>
      <c r="P188" s="60">
        <f t="shared" si="21"/>
        <v>0</v>
      </c>
      <c r="Q188" s="60">
        <f t="shared" si="22"/>
        <v>0</v>
      </c>
      <c r="R188" s="60">
        <f t="shared" si="23"/>
        <v>0</v>
      </c>
      <c r="S188" s="62" cm="1">
        <f t="array" ref="S188">_xlfn.IFNA(MATCH(SUMIFS(R:R,A:A,"="&amp;A188,B:B,"&lt;"&amp;(B188+1)),_xlfn._xlws.FILTER(AO:AO,AL:AL=A188),1),1)</f>
        <v>1</v>
      </c>
      <c r="T188" s="62">
        <f t="shared" si="17"/>
        <v>100</v>
      </c>
      <c r="U188" s="62"/>
      <c r="V188" s="62"/>
      <c r="W188" s="63"/>
      <c r="X188" s="30"/>
      <c r="Y188" s="64"/>
      <c r="Z188" s="64"/>
      <c r="AA188" s="23"/>
      <c r="AB188" s="24"/>
      <c r="AC188" s="25"/>
      <c r="AD188" s="25"/>
      <c r="AI188" s="42"/>
      <c r="AJ188" s="42"/>
    </row>
    <row r="189" spans="1:36">
      <c r="A189" s="46">
        <f t="shared" si="20"/>
        <v>5</v>
      </c>
      <c r="B189" s="47">
        <v>16</v>
      </c>
      <c r="C189" s="47"/>
      <c r="D189" s="47"/>
      <c r="E189" s="14"/>
      <c r="F189" s="14" t="str">
        <f t="shared" si="18"/>
        <v/>
      </c>
      <c r="G189" s="14"/>
      <c r="H189" s="30"/>
      <c r="I189" s="17"/>
      <c r="J189" s="18">
        <f t="shared" si="19"/>
        <v>0.1</v>
      </c>
      <c r="K189" s="19" t="s">
        <v>2</v>
      </c>
      <c r="L189" s="38">
        <v>17</v>
      </c>
      <c r="M189" s="21">
        <f>J189*$AD$178</f>
        <v>2008050</v>
      </c>
      <c r="N189" s="14"/>
      <c r="O189" s="22"/>
      <c r="P189" s="60">
        <f t="shared" si="21"/>
        <v>0</v>
      </c>
      <c r="Q189" s="60">
        <f t="shared" si="22"/>
        <v>0</v>
      </c>
      <c r="R189" s="60">
        <f t="shared" si="23"/>
        <v>0</v>
      </c>
      <c r="S189" s="62" cm="1">
        <f t="array" ref="S189">_xlfn.IFNA(MATCH(SUMIFS(R:R,A:A,"="&amp;A189,B:B,"&lt;"&amp;(B189+1)),_xlfn._xlws.FILTER(AO:AO,AL:AL=A189),1),1)</f>
        <v>1</v>
      </c>
      <c r="T189" s="62">
        <f t="shared" si="17"/>
        <v>100</v>
      </c>
      <c r="U189" s="62"/>
      <c r="V189" s="62"/>
      <c r="W189" s="63"/>
      <c r="X189" s="30"/>
      <c r="Y189" s="64"/>
      <c r="Z189" s="64"/>
      <c r="AA189" s="23"/>
      <c r="AB189" s="24"/>
      <c r="AC189" s="25"/>
      <c r="AD189" s="25"/>
      <c r="AI189" s="42"/>
      <c r="AJ189" s="42"/>
    </row>
    <row r="190" spans="1:36">
      <c r="A190" s="46">
        <f t="shared" si="20"/>
        <v>5</v>
      </c>
      <c r="B190" s="47">
        <v>17</v>
      </c>
      <c r="C190" s="47"/>
      <c r="D190" s="47"/>
      <c r="E190" s="14"/>
      <c r="F190" s="14" t="str">
        <f t="shared" si="18"/>
        <v/>
      </c>
      <c r="G190" s="14"/>
      <c r="H190" s="30"/>
      <c r="I190" s="17"/>
      <c r="J190" s="18">
        <f t="shared" si="19"/>
        <v>0</v>
      </c>
      <c r="K190" s="19" t="s">
        <v>461</v>
      </c>
      <c r="L190" s="38">
        <v>4</v>
      </c>
      <c r="M190" s="21">
        <v>1</v>
      </c>
      <c r="N190" s="14"/>
      <c r="O190" s="22"/>
      <c r="P190" s="60">
        <f t="shared" si="21"/>
        <v>0</v>
      </c>
      <c r="Q190" s="60">
        <f t="shared" si="22"/>
        <v>0</v>
      </c>
      <c r="R190" s="60">
        <f t="shared" si="23"/>
        <v>25</v>
      </c>
      <c r="S190" s="62" cm="1">
        <f t="array" ref="S190">_xlfn.IFNA(MATCH(SUMIFS(R:R,A:A,"="&amp;A190,B:B,"&lt;"&amp;(B190+1)),_xlfn._xlws.FILTER(AO:AO,AL:AL=A190),1),1)</f>
        <v>1</v>
      </c>
      <c r="T190" s="62">
        <f t="shared" si="17"/>
        <v>125</v>
      </c>
      <c r="U190" s="62"/>
      <c r="V190" s="62"/>
      <c r="W190" s="63"/>
      <c r="X190" s="30"/>
      <c r="Y190" s="64"/>
      <c r="Z190" s="64"/>
      <c r="AA190" s="23"/>
      <c r="AB190" s="24"/>
      <c r="AC190" s="25"/>
      <c r="AD190" s="25"/>
      <c r="AI190" s="42"/>
      <c r="AJ190" s="42"/>
    </row>
    <row r="191" spans="1:36">
      <c r="A191" s="46">
        <f t="shared" si="20"/>
        <v>5</v>
      </c>
      <c r="B191" s="47">
        <v>18</v>
      </c>
      <c r="C191" s="47"/>
      <c r="D191" s="47"/>
      <c r="E191" s="14"/>
      <c r="F191" s="14" t="str">
        <f t="shared" si="18"/>
        <v/>
      </c>
      <c r="G191" s="14"/>
      <c r="H191" s="30"/>
      <c r="I191" s="17"/>
      <c r="J191" s="18">
        <f t="shared" si="19"/>
        <v>0</v>
      </c>
      <c r="K191" s="19" t="s">
        <v>453</v>
      </c>
      <c r="L191" s="38">
        <v>3</v>
      </c>
      <c r="M191" s="21">
        <v>15</v>
      </c>
      <c r="N191" s="14"/>
      <c r="O191" s="22"/>
      <c r="P191" s="60">
        <f t="shared" si="21"/>
        <v>0</v>
      </c>
      <c r="Q191" s="60">
        <f t="shared" si="22"/>
        <v>0</v>
      </c>
      <c r="R191" s="60">
        <f t="shared" si="23"/>
        <v>0</v>
      </c>
      <c r="S191" s="62" cm="1">
        <f t="array" ref="S191">_xlfn.IFNA(MATCH(SUMIFS(R:R,A:A,"="&amp;A191,B:B,"&lt;"&amp;(B191+1)),_xlfn._xlws.FILTER(AO:AO,AL:AL=A191),1),1)</f>
        <v>1</v>
      </c>
      <c r="T191" s="62">
        <f t="shared" si="17"/>
        <v>125</v>
      </c>
      <c r="U191" s="62"/>
      <c r="V191" s="62"/>
      <c r="W191" s="63"/>
      <c r="X191" s="30"/>
      <c r="Y191" s="64"/>
      <c r="Z191" s="64"/>
      <c r="AA191" s="23"/>
      <c r="AB191" s="24"/>
      <c r="AC191" s="25"/>
      <c r="AD191" s="25"/>
      <c r="AI191" s="42"/>
      <c r="AJ191" s="42"/>
    </row>
    <row r="192" spans="1:36">
      <c r="A192" s="46">
        <f t="shared" si="20"/>
        <v>5</v>
      </c>
      <c r="B192" s="47">
        <v>19</v>
      </c>
      <c r="C192" s="47"/>
      <c r="D192" s="47"/>
      <c r="E192" s="14"/>
      <c r="F192" s="14" t="str">
        <f t="shared" si="18"/>
        <v/>
      </c>
      <c r="G192" s="14"/>
      <c r="H192" s="30"/>
      <c r="I192" s="17"/>
      <c r="J192" s="18">
        <f t="shared" si="19"/>
        <v>0</v>
      </c>
      <c r="K192" t="s">
        <v>424</v>
      </c>
      <c r="L192" s="38">
        <v>3</v>
      </c>
      <c r="M192" s="21">
        <v>1</v>
      </c>
      <c r="N192" s="14"/>
      <c r="O192" s="22"/>
      <c r="P192" s="60">
        <f t="shared" si="21"/>
        <v>0</v>
      </c>
      <c r="Q192" s="60">
        <f t="shared" si="22"/>
        <v>0</v>
      </c>
      <c r="R192" s="60">
        <f t="shared" si="23"/>
        <v>0</v>
      </c>
      <c r="S192" s="62" cm="1">
        <f t="array" ref="S192">_xlfn.IFNA(MATCH(SUMIFS(R:R,A:A,"="&amp;A192,B:B,"&lt;"&amp;(B192+1)),_xlfn._xlws.FILTER(AO:AO,AL:AL=A192),1),1)</f>
        <v>1</v>
      </c>
      <c r="T192" s="62">
        <f t="shared" si="17"/>
        <v>125</v>
      </c>
      <c r="U192" s="62"/>
      <c r="V192" s="62"/>
      <c r="W192" s="63"/>
      <c r="X192" s="30"/>
      <c r="Y192" s="64"/>
      <c r="Z192" s="64"/>
      <c r="AA192" s="23"/>
      <c r="AB192" s="24"/>
      <c r="AC192" s="25"/>
      <c r="AD192" s="25"/>
      <c r="AI192" s="42"/>
      <c r="AJ192" s="42"/>
    </row>
    <row r="193" spans="1:36">
      <c r="A193" s="46">
        <f t="shared" si="20"/>
        <v>5</v>
      </c>
      <c r="B193" s="47">
        <v>20</v>
      </c>
      <c r="C193" s="47"/>
      <c r="D193" s="47"/>
      <c r="E193" s="14">
        <v>12.99</v>
      </c>
      <c r="F193" s="14">
        <f t="shared" si="18"/>
        <v>149</v>
      </c>
      <c r="G193" s="36">
        <f>(E193+0.01)*F193*$AJ$2/100</f>
        <v>19370000</v>
      </c>
      <c r="H193" s="37">
        <f>SUM(G175:G193)</f>
        <v>50730000</v>
      </c>
      <c r="I193" s="17">
        <f>SUM(E175:E193)</f>
        <v>36.96</v>
      </c>
      <c r="J193" s="18">
        <f t="shared" si="19"/>
        <v>0.24</v>
      </c>
      <c r="K193" s="14" t="s">
        <v>2</v>
      </c>
      <c r="L193" s="29">
        <v>9</v>
      </c>
      <c r="M193" s="21">
        <f>G193</f>
        <v>19370000</v>
      </c>
      <c r="N193" s="36">
        <f>SUMIF(K193:K198,"="&amp;"金币",M193:M198)</f>
        <v>20976440</v>
      </c>
      <c r="O193" s="22">
        <f>N193/$AJ$2</f>
        <v>20.97644</v>
      </c>
      <c r="P193" s="60">
        <f t="shared" si="21"/>
        <v>2</v>
      </c>
      <c r="Q193" s="60" t="str">
        <f t="shared" si="22"/>
        <v>金币</v>
      </c>
      <c r="R193" s="60">
        <f t="shared" si="23"/>
        <v>0</v>
      </c>
      <c r="S193" s="62" cm="1">
        <f t="array" ref="S193">_xlfn.IFNA(MATCH(SUMIFS(R:R,A:A,"="&amp;A193,B:B,"&lt;"&amp;(B193+1)),_xlfn._xlws.FILTER(AO:AO,AL:AL=A193),1),1)</f>
        <v>1</v>
      </c>
      <c r="T193" s="62">
        <f t="shared" si="17"/>
        <v>125</v>
      </c>
      <c r="U193" s="62">
        <f>_xlfn.IFNA(VLOOKUP(Q193,道具!B:C,2,FALSE),"")</f>
        <v>1</v>
      </c>
      <c r="V193" s="62">
        <f>IF(U193=1,CEILING(W193*100/$AJ$2,5),IF(U193=2,J193*100,0))</f>
        <v>220</v>
      </c>
      <c r="W193" s="63">
        <f>IF(U193=1,J193*$AD$6,IF(U193=2,J193*$AJ$2,0))</f>
        <v>2157480</v>
      </c>
      <c r="X193" s="37">
        <f>SUM(N175:N193)+SUM(W175:W193)</f>
        <v>59990370</v>
      </c>
      <c r="Y193" s="66">
        <f>SUM(O175:O193)</f>
        <v>56.75415</v>
      </c>
      <c r="Z193" s="66">
        <f>SUM(W175:W193)</f>
        <v>3236220</v>
      </c>
      <c r="AA193" s="23">
        <f>X193/$AJ$2</f>
        <v>59.99037</v>
      </c>
      <c r="AB193" s="24">
        <f>X193/H193</f>
        <v>1.18254228267297</v>
      </c>
      <c r="AC193" s="25"/>
      <c r="AD193" s="25"/>
      <c r="AI193" s="42"/>
      <c r="AJ193" s="42"/>
    </row>
    <row r="194" spans="1:36">
      <c r="A194" s="46">
        <f t="shared" si="20"/>
        <v>5</v>
      </c>
      <c r="B194" s="47">
        <v>21</v>
      </c>
      <c r="C194" s="47"/>
      <c r="D194" s="47"/>
      <c r="E194" s="14"/>
      <c r="F194" s="14" t="str">
        <f t="shared" si="18"/>
        <v/>
      </c>
      <c r="G194" s="14"/>
      <c r="H194" s="30"/>
      <c r="I194" s="17"/>
      <c r="J194" s="18">
        <f t="shared" si="19"/>
        <v>0</v>
      </c>
      <c r="K194" s="19" t="s">
        <v>408</v>
      </c>
      <c r="L194" s="38">
        <v>3</v>
      </c>
      <c r="M194" s="21">
        <v>4</v>
      </c>
      <c r="N194" s="14"/>
      <c r="O194" s="22"/>
      <c r="P194" s="60">
        <f t="shared" si="21"/>
        <v>0</v>
      </c>
      <c r="Q194" s="60">
        <f t="shared" si="22"/>
        <v>0</v>
      </c>
      <c r="R194" s="60">
        <f t="shared" si="23"/>
        <v>0</v>
      </c>
      <c r="S194" s="62" cm="1">
        <f t="array" ref="S194">_xlfn.IFNA(MATCH(SUMIFS(R:R,A:A,"="&amp;A194,B:B,"&lt;"&amp;(B194+1)),_xlfn._xlws.FILTER(AO:AO,AL:AL=A194),1),1)</f>
        <v>1</v>
      </c>
      <c r="T194" s="62">
        <f t="shared" ref="T194:T257" si="24">SUMIFS(R:R,A:A,"="&amp;A194,B:B,"&lt;"&amp;(B194+1))</f>
        <v>125</v>
      </c>
      <c r="U194" s="62"/>
      <c r="V194" s="62"/>
      <c r="W194" s="63"/>
      <c r="X194" s="30"/>
      <c r="Y194" s="64"/>
      <c r="Z194" s="64"/>
      <c r="AA194" s="23"/>
      <c r="AB194" s="24"/>
      <c r="AC194" s="25"/>
      <c r="AD194" s="25"/>
      <c r="AI194" s="42"/>
      <c r="AJ194" s="42"/>
    </row>
    <row r="195" spans="1:36">
      <c r="A195" s="46">
        <f t="shared" si="20"/>
        <v>5</v>
      </c>
      <c r="B195" s="47">
        <v>22</v>
      </c>
      <c r="C195" s="47"/>
      <c r="D195" s="47"/>
      <c r="E195" s="14"/>
      <c r="F195" s="14" t="str">
        <f t="shared" ref="F195:F258" si="25">IFERROR(VLOOKUP(ROUND(E195*100,0),AF:AG,2,FALSE),"")</f>
        <v/>
      </c>
      <c r="G195" s="14"/>
      <c r="H195" s="30"/>
      <c r="I195" s="17"/>
      <c r="J195" s="18">
        <f t="shared" si="19"/>
        <v>0.08</v>
      </c>
      <c r="K195" s="19" t="s">
        <v>2</v>
      </c>
      <c r="L195" s="38">
        <v>17</v>
      </c>
      <c r="M195" s="21">
        <f>J195*$AD$178</f>
        <v>1606440</v>
      </c>
      <c r="N195" s="14"/>
      <c r="O195" s="22"/>
      <c r="P195" s="60">
        <f t="shared" si="21"/>
        <v>0</v>
      </c>
      <c r="Q195" s="60">
        <f t="shared" si="22"/>
        <v>0</v>
      </c>
      <c r="R195" s="60">
        <f t="shared" si="23"/>
        <v>0</v>
      </c>
      <c r="S195" s="62" cm="1">
        <f t="array" ref="S195">_xlfn.IFNA(MATCH(SUMIFS(R:R,A:A,"="&amp;A195,B:B,"&lt;"&amp;(B195+1)),_xlfn._xlws.FILTER(AO:AO,AL:AL=A195),1),1)</f>
        <v>1</v>
      </c>
      <c r="T195" s="62">
        <f t="shared" si="24"/>
        <v>125</v>
      </c>
      <c r="U195" s="62"/>
      <c r="V195" s="62"/>
      <c r="W195" s="63"/>
      <c r="X195" s="30"/>
      <c r="Y195" s="64"/>
      <c r="Z195" s="64"/>
      <c r="AA195" s="23"/>
      <c r="AB195" s="24"/>
      <c r="AC195" s="25"/>
      <c r="AD195" s="25"/>
      <c r="AI195" s="42"/>
      <c r="AJ195" s="42"/>
    </row>
    <row r="196" spans="1:36">
      <c r="A196" s="46">
        <f t="shared" si="20"/>
        <v>5</v>
      </c>
      <c r="B196" s="47">
        <v>23</v>
      </c>
      <c r="C196" s="47"/>
      <c r="D196" s="47"/>
      <c r="E196" s="14"/>
      <c r="F196" s="14" t="str">
        <f t="shared" si="25"/>
        <v/>
      </c>
      <c r="G196" s="14"/>
      <c r="H196" s="30"/>
      <c r="I196" s="17"/>
      <c r="J196" s="18">
        <f t="shared" si="19"/>
        <v>0</v>
      </c>
      <c r="K196" s="19" t="s">
        <v>461</v>
      </c>
      <c r="L196" s="38">
        <v>4</v>
      </c>
      <c r="M196" s="21">
        <v>1</v>
      </c>
      <c r="N196" s="14"/>
      <c r="O196" s="22"/>
      <c r="P196" s="60">
        <f t="shared" si="21"/>
        <v>0</v>
      </c>
      <c r="Q196" s="60">
        <f t="shared" si="22"/>
        <v>0</v>
      </c>
      <c r="R196" s="60">
        <f t="shared" si="23"/>
        <v>15</v>
      </c>
      <c r="S196" s="62" cm="1">
        <f t="array" ref="S196">_xlfn.IFNA(MATCH(SUMIFS(R:R,A:A,"="&amp;A196,B:B,"&lt;"&amp;(B196+1)),_xlfn._xlws.FILTER(AO:AO,AL:AL=A196),1),1)</f>
        <v>1</v>
      </c>
      <c r="T196" s="62">
        <f t="shared" si="24"/>
        <v>140</v>
      </c>
      <c r="U196" s="62"/>
      <c r="V196" s="62"/>
      <c r="W196" s="63"/>
      <c r="X196" s="30"/>
      <c r="Y196" s="64"/>
      <c r="Z196" s="64"/>
      <c r="AA196" s="23"/>
      <c r="AB196" s="24"/>
      <c r="AC196" s="25"/>
      <c r="AD196" s="25"/>
      <c r="AI196" s="42"/>
      <c r="AJ196" s="42"/>
    </row>
    <row r="197" spans="1:36">
      <c r="A197" s="46">
        <f t="shared" si="20"/>
        <v>5</v>
      </c>
      <c r="B197" s="47">
        <v>24</v>
      </c>
      <c r="C197" s="47"/>
      <c r="D197" s="47"/>
      <c r="E197" s="14"/>
      <c r="F197" s="14" t="str">
        <f t="shared" si="25"/>
        <v/>
      </c>
      <c r="G197" s="14"/>
      <c r="H197" s="30"/>
      <c r="I197" s="17"/>
      <c r="J197" s="18">
        <f t="shared" si="19"/>
        <v>0</v>
      </c>
      <c r="K197" s="19" t="s">
        <v>453</v>
      </c>
      <c r="L197" s="38">
        <v>3</v>
      </c>
      <c r="M197" s="21">
        <v>20</v>
      </c>
      <c r="N197" s="14"/>
      <c r="O197" s="22"/>
      <c r="P197" s="60">
        <f t="shared" si="21"/>
        <v>0</v>
      </c>
      <c r="Q197" s="60">
        <f t="shared" si="22"/>
        <v>0</v>
      </c>
      <c r="R197" s="60">
        <f t="shared" si="23"/>
        <v>0</v>
      </c>
      <c r="S197" s="62" cm="1">
        <f t="array" ref="S197">_xlfn.IFNA(MATCH(SUMIFS(R:R,A:A,"="&amp;A197,B:B,"&lt;"&amp;(B197+1)),_xlfn._xlws.FILTER(AO:AO,AL:AL=A197),1),1)</f>
        <v>1</v>
      </c>
      <c r="T197" s="62">
        <f t="shared" si="24"/>
        <v>140</v>
      </c>
      <c r="U197" s="62"/>
      <c r="V197" s="62"/>
      <c r="W197" s="63"/>
      <c r="X197" s="30"/>
      <c r="Y197" s="64"/>
      <c r="Z197" s="64"/>
      <c r="AA197" s="23"/>
      <c r="AB197" s="24"/>
      <c r="AC197" s="25"/>
      <c r="AD197" s="25"/>
      <c r="AI197" s="42"/>
      <c r="AJ197" s="42"/>
    </row>
    <row r="198" spans="1:36">
      <c r="A198" s="46">
        <f t="shared" si="20"/>
        <v>5</v>
      </c>
      <c r="B198" s="47">
        <v>25</v>
      </c>
      <c r="C198" s="47"/>
      <c r="D198" s="47"/>
      <c r="E198" s="14"/>
      <c r="F198" s="14" t="str">
        <f t="shared" si="25"/>
        <v/>
      </c>
      <c r="G198" s="14"/>
      <c r="H198" s="30"/>
      <c r="I198" s="17"/>
      <c r="J198" s="18">
        <f t="shared" si="19"/>
        <v>0</v>
      </c>
      <c r="K198" t="s">
        <v>426</v>
      </c>
      <c r="L198" s="38">
        <v>3</v>
      </c>
      <c r="M198" s="21">
        <v>1</v>
      </c>
      <c r="N198" s="14"/>
      <c r="O198" s="22"/>
      <c r="P198" s="60">
        <f t="shared" si="21"/>
        <v>0</v>
      </c>
      <c r="Q198" s="60">
        <f t="shared" si="22"/>
        <v>0</v>
      </c>
      <c r="R198" s="60">
        <f t="shared" si="23"/>
        <v>0</v>
      </c>
      <c r="S198" s="62" cm="1">
        <f t="array" ref="S198">_xlfn.IFNA(MATCH(SUMIFS(R:R,A:A,"="&amp;A198,B:B,"&lt;"&amp;(B198+1)),_xlfn._xlws.FILTER(AO:AO,AL:AL=A198),1),1)</f>
        <v>1</v>
      </c>
      <c r="T198" s="62">
        <f t="shared" si="24"/>
        <v>140</v>
      </c>
      <c r="U198" s="62"/>
      <c r="V198" s="62"/>
      <c r="W198" s="63"/>
      <c r="X198" s="30"/>
      <c r="Y198" s="64"/>
      <c r="Z198" s="64"/>
      <c r="AA198" s="23"/>
      <c r="AB198" s="24"/>
      <c r="AC198" s="25"/>
      <c r="AD198" s="25"/>
      <c r="AI198" s="42"/>
      <c r="AJ198" s="42"/>
    </row>
    <row r="199" spans="1:36">
      <c r="A199" s="46">
        <f t="shared" si="20"/>
        <v>5</v>
      </c>
      <c r="B199" s="47">
        <v>26</v>
      </c>
      <c r="C199" s="47"/>
      <c r="D199" s="47"/>
      <c r="E199" s="14">
        <v>14.99</v>
      </c>
      <c r="F199" s="14">
        <f t="shared" si="25"/>
        <v>154</v>
      </c>
      <c r="G199" s="36">
        <f>(E199+0.01)*F199*$AJ$2/100</f>
        <v>23100000</v>
      </c>
      <c r="H199" s="37">
        <f>SUM(G175:G199)</f>
        <v>73830000</v>
      </c>
      <c r="I199" s="17">
        <f>SUM(E175:E199)</f>
        <v>51.95</v>
      </c>
      <c r="J199" s="18">
        <f t="shared" si="19"/>
        <v>0</v>
      </c>
      <c r="K199" s="14" t="s">
        <v>2</v>
      </c>
      <c r="L199" s="29">
        <v>9</v>
      </c>
      <c r="M199" s="21">
        <f>G199</f>
        <v>23100000</v>
      </c>
      <c r="N199" s="36">
        <f>SUMIF(K199:K204,"="&amp;"金币",M199:M204)</f>
        <v>24104025</v>
      </c>
      <c r="O199" s="22">
        <f>N199/$AJ$2</f>
        <v>24.104025</v>
      </c>
      <c r="P199" s="60">
        <f t="shared" si="21"/>
        <v>0</v>
      </c>
      <c r="Q199" s="60">
        <f t="shared" si="22"/>
        <v>0</v>
      </c>
      <c r="R199" s="60">
        <f t="shared" si="23"/>
        <v>10</v>
      </c>
      <c r="S199" s="62" cm="1">
        <f t="array" ref="S199">_xlfn.IFNA(MATCH(SUMIFS(R:R,A:A,"="&amp;A199,B:B,"&lt;"&amp;(B199+1)),_xlfn._xlws.FILTER(AO:AO,AL:AL=A199),1),1)</f>
        <v>2</v>
      </c>
      <c r="T199" s="62">
        <f t="shared" si="24"/>
        <v>150</v>
      </c>
      <c r="U199" s="62" t="str">
        <f>_xlfn.IFNA(VLOOKUP(Q199,道具!B:C,2,FALSE),"")</f>
        <v/>
      </c>
      <c r="V199" s="62">
        <f>IF(U199=1,CEILING(W199*100/$AJ$2,5),IF(U199=2,J199*100,0))</f>
        <v>0</v>
      </c>
      <c r="W199" s="63">
        <f>IF(U199=1,J199*$AD$6,IF(U199=2,J199*$AJ$2,0))</f>
        <v>0</v>
      </c>
      <c r="X199" s="37">
        <f>SUM(N175:N199)+SUM(W175:W199)</f>
        <v>84094395</v>
      </c>
      <c r="Y199" s="66">
        <f>SUM(O175:O199)</f>
        <v>80.858175</v>
      </c>
      <c r="Z199" s="66">
        <f>SUM(W175:W199)</f>
        <v>3236220</v>
      </c>
      <c r="AA199" s="23">
        <f>X199/$AJ$2</f>
        <v>84.094395</v>
      </c>
      <c r="AB199" s="24">
        <f>X199/H199</f>
        <v>1.13902742787485</v>
      </c>
      <c r="AC199" s="25"/>
      <c r="AD199" s="25"/>
    </row>
    <row r="200" spans="1:36">
      <c r="A200" s="46">
        <f t="shared" si="20"/>
        <v>5</v>
      </c>
      <c r="B200" s="47">
        <v>27</v>
      </c>
      <c r="C200" s="47"/>
      <c r="D200" s="47"/>
      <c r="E200" s="14"/>
      <c r="F200" s="14" t="str">
        <f t="shared" si="25"/>
        <v/>
      </c>
      <c r="G200" s="14"/>
      <c r="H200" s="30"/>
      <c r="I200" s="17"/>
      <c r="J200" s="18">
        <f t="shared" si="19"/>
        <v>0</v>
      </c>
      <c r="K200" s="19" t="s">
        <v>408</v>
      </c>
      <c r="L200" s="38">
        <v>3</v>
      </c>
      <c r="M200" s="21">
        <v>5</v>
      </c>
      <c r="N200" s="14"/>
      <c r="O200" s="22"/>
      <c r="P200" s="60">
        <f t="shared" si="21"/>
        <v>0</v>
      </c>
      <c r="Q200" s="60">
        <f t="shared" si="22"/>
        <v>0</v>
      </c>
      <c r="R200" s="60">
        <f t="shared" si="23"/>
        <v>0</v>
      </c>
      <c r="S200" s="62" cm="1">
        <f t="array" ref="S200">_xlfn.IFNA(MATCH(SUMIFS(R:R,A:A,"="&amp;A200,B:B,"&lt;"&amp;(B200+1)),_xlfn._xlws.FILTER(AO:AO,AL:AL=A200),1),1)</f>
        <v>2</v>
      </c>
      <c r="T200" s="62">
        <f t="shared" si="24"/>
        <v>150</v>
      </c>
      <c r="U200" s="62"/>
      <c r="V200" s="62"/>
      <c r="W200" s="63"/>
      <c r="X200" s="30"/>
      <c r="Y200" s="64"/>
      <c r="Z200" s="64"/>
      <c r="AA200" s="23"/>
      <c r="AB200" s="24"/>
      <c r="AC200" s="25"/>
      <c r="AD200" s="25"/>
    </row>
    <row r="201" spans="1:36">
      <c r="A201" s="46">
        <f t="shared" si="20"/>
        <v>5</v>
      </c>
      <c r="B201" s="47">
        <v>28</v>
      </c>
      <c r="C201" s="47"/>
      <c r="D201" s="47"/>
      <c r="E201" s="14"/>
      <c r="F201" s="14" t="str">
        <f t="shared" si="25"/>
        <v/>
      </c>
      <c r="G201" s="14"/>
      <c r="H201" s="30"/>
      <c r="I201" s="17"/>
      <c r="J201" s="18">
        <f t="shared" ref="J201:J264" si="26">J158</f>
        <v>0.05</v>
      </c>
      <c r="K201" s="19" t="s">
        <v>2</v>
      </c>
      <c r="L201" s="38">
        <v>17</v>
      </c>
      <c r="M201" s="21">
        <f>J201*$AD$178</f>
        <v>1004025</v>
      </c>
      <c r="N201" s="14"/>
      <c r="O201" s="22"/>
      <c r="P201" s="60">
        <f t="shared" si="21"/>
        <v>0</v>
      </c>
      <c r="Q201" s="60">
        <f t="shared" si="22"/>
        <v>0</v>
      </c>
      <c r="R201" s="60">
        <f t="shared" si="23"/>
        <v>0</v>
      </c>
      <c r="S201" s="62" cm="1">
        <f t="array" ref="S201">_xlfn.IFNA(MATCH(SUMIFS(R:R,A:A,"="&amp;A201,B:B,"&lt;"&amp;(B201+1)),_xlfn._xlws.FILTER(AO:AO,AL:AL=A201),1),1)</f>
        <v>2</v>
      </c>
      <c r="T201" s="62">
        <f t="shared" si="24"/>
        <v>150</v>
      </c>
      <c r="U201" s="62"/>
      <c r="V201" s="62"/>
      <c r="W201" s="63"/>
      <c r="X201" s="30"/>
      <c r="Y201" s="64"/>
      <c r="Z201" s="64"/>
      <c r="AA201" s="23"/>
      <c r="AB201" s="24"/>
      <c r="AC201" s="25"/>
      <c r="AD201" s="25"/>
    </row>
    <row r="202" spans="1:36">
      <c r="A202" s="46">
        <f t="shared" si="20"/>
        <v>5</v>
      </c>
      <c r="B202" s="47">
        <v>29</v>
      </c>
      <c r="C202" s="47"/>
      <c r="D202" s="47"/>
      <c r="E202" s="14"/>
      <c r="F202" s="14" t="str">
        <f t="shared" si="25"/>
        <v/>
      </c>
      <c r="G202" s="14"/>
      <c r="H202" s="30"/>
      <c r="I202" s="17"/>
      <c r="J202" s="18">
        <f t="shared" si="26"/>
        <v>0</v>
      </c>
      <c r="K202" s="19" t="s">
        <v>463</v>
      </c>
      <c r="L202" s="38">
        <v>4</v>
      </c>
      <c r="M202" s="21">
        <v>1</v>
      </c>
      <c r="N202" s="14"/>
      <c r="O202" s="22"/>
      <c r="P202" s="60">
        <f t="shared" si="21"/>
        <v>0</v>
      </c>
      <c r="Q202" s="60">
        <f t="shared" si="22"/>
        <v>0</v>
      </c>
      <c r="R202" s="60">
        <f t="shared" si="23"/>
        <v>25</v>
      </c>
      <c r="S202" s="62" cm="1">
        <f t="array" ref="S202">_xlfn.IFNA(MATCH(SUMIFS(R:R,A:A,"="&amp;A202,B:B,"&lt;"&amp;(B202+1)),_xlfn._xlws.FILTER(AO:AO,AL:AL=A202),1),1)</f>
        <v>2</v>
      </c>
      <c r="T202" s="62">
        <f t="shared" si="24"/>
        <v>175</v>
      </c>
      <c r="U202" s="62"/>
      <c r="V202" s="62"/>
      <c r="W202" s="63"/>
      <c r="X202" s="30"/>
      <c r="Y202" s="64"/>
      <c r="Z202" s="64"/>
      <c r="AA202" s="23"/>
      <c r="AB202" s="24"/>
      <c r="AC202" s="25"/>
      <c r="AD202" s="25"/>
    </row>
    <row r="203" spans="1:36">
      <c r="A203" s="46">
        <f t="shared" si="20"/>
        <v>5</v>
      </c>
      <c r="B203" s="47">
        <v>30</v>
      </c>
      <c r="C203" s="47"/>
      <c r="D203" s="47"/>
      <c r="E203" s="14"/>
      <c r="F203" s="14" t="str">
        <f t="shared" si="25"/>
        <v/>
      </c>
      <c r="G203" s="14"/>
      <c r="H203" s="30"/>
      <c r="I203" s="17"/>
      <c r="J203" s="18">
        <f t="shared" si="26"/>
        <v>0</v>
      </c>
      <c r="K203" s="19" t="s">
        <v>453</v>
      </c>
      <c r="L203" s="38">
        <v>3</v>
      </c>
      <c r="M203" s="21">
        <v>25</v>
      </c>
      <c r="N203" s="14"/>
      <c r="O203" s="22"/>
      <c r="P203" s="60">
        <f t="shared" si="21"/>
        <v>0</v>
      </c>
      <c r="Q203" s="60">
        <f t="shared" si="22"/>
        <v>0</v>
      </c>
      <c r="R203" s="60">
        <f t="shared" si="23"/>
        <v>0</v>
      </c>
      <c r="S203" s="62" cm="1">
        <f t="array" ref="S203">_xlfn.IFNA(MATCH(SUMIFS(R:R,A:A,"="&amp;A203,B:B,"&lt;"&amp;(B203+1)),_xlfn._xlws.FILTER(AO:AO,AL:AL=A203),1),1)</f>
        <v>2</v>
      </c>
      <c r="T203" s="62">
        <f t="shared" si="24"/>
        <v>175</v>
      </c>
      <c r="U203" s="62"/>
      <c r="V203" s="62"/>
      <c r="W203" s="63"/>
      <c r="X203" s="30"/>
      <c r="Y203" s="64"/>
      <c r="Z203" s="64"/>
      <c r="AA203" s="23"/>
      <c r="AB203" s="24"/>
      <c r="AC203" s="25"/>
      <c r="AD203" s="25"/>
    </row>
    <row r="204" spans="1:36">
      <c r="A204" s="46">
        <f t="shared" si="20"/>
        <v>5</v>
      </c>
      <c r="B204" s="47">
        <v>31</v>
      </c>
      <c r="C204" s="47"/>
      <c r="D204" s="47"/>
      <c r="E204" s="14"/>
      <c r="F204" s="14" t="str">
        <f t="shared" si="25"/>
        <v/>
      </c>
      <c r="G204" s="14"/>
      <c r="H204" s="30"/>
      <c r="I204" s="17"/>
      <c r="J204" s="18">
        <f t="shared" si="26"/>
        <v>0</v>
      </c>
      <c r="K204" t="s">
        <v>424</v>
      </c>
      <c r="L204" s="38">
        <v>3</v>
      </c>
      <c r="M204" s="21">
        <v>1</v>
      </c>
      <c r="N204" s="14"/>
      <c r="O204" s="22"/>
      <c r="P204" s="60">
        <f t="shared" si="21"/>
        <v>0</v>
      </c>
      <c r="Q204" s="60">
        <f t="shared" si="22"/>
        <v>0</v>
      </c>
      <c r="R204" s="60">
        <f t="shared" si="23"/>
        <v>0</v>
      </c>
      <c r="S204" s="62" cm="1">
        <f t="array" ref="S204">_xlfn.IFNA(MATCH(SUMIFS(R:R,A:A,"="&amp;A204,B:B,"&lt;"&amp;(B204+1)),_xlfn._xlws.FILTER(AO:AO,AL:AL=A204),1),1)</f>
        <v>2</v>
      </c>
      <c r="T204" s="62">
        <f t="shared" si="24"/>
        <v>175</v>
      </c>
      <c r="U204" s="62"/>
      <c r="V204" s="62"/>
      <c r="W204" s="63"/>
      <c r="X204" s="30"/>
      <c r="Y204" s="64"/>
      <c r="Z204" s="64"/>
      <c r="AA204" s="23"/>
      <c r="AB204" s="24"/>
      <c r="AC204" s="25"/>
      <c r="AD204" s="25"/>
    </row>
    <row r="205" spans="1:36">
      <c r="A205" s="46">
        <f t="shared" si="20"/>
        <v>5</v>
      </c>
      <c r="B205" s="47">
        <v>32</v>
      </c>
      <c r="C205" s="47"/>
      <c r="D205" s="47"/>
      <c r="E205" s="14">
        <v>17.99</v>
      </c>
      <c r="F205" s="14">
        <f t="shared" si="25"/>
        <v>158</v>
      </c>
      <c r="G205" s="36">
        <f>(E205+0.01)*F205*$AJ$2/100</f>
        <v>28440000</v>
      </c>
      <c r="H205" s="37">
        <f>SUM(G175:G205)</f>
        <v>102270000</v>
      </c>
      <c r="I205" s="17">
        <f>SUM(E175:E205)</f>
        <v>69.94</v>
      </c>
      <c r="J205" s="18">
        <f t="shared" si="26"/>
        <v>0</v>
      </c>
      <c r="K205" s="14" t="s">
        <v>2</v>
      </c>
      <c r="L205" s="29">
        <v>9</v>
      </c>
      <c r="M205" s="21">
        <f>G205</f>
        <v>28440000</v>
      </c>
      <c r="N205" s="36">
        <f>SUMIF(K205:K210,"="&amp;"金币",M205:M210)</f>
        <v>30849660</v>
      </c>
      <c r="O205" s="22">
        <f>N205/$AJ$2</f>
        <v>30.84966</v>
      </c>
      <c r="P205" s="60">
        <f t="shared" si="21"/>
        <v>0</v>
      </c>
      <c r="Q205" s="60">
        <f t="shared" si="22"/>
        <v>0</v>
      </c>
      <c r="R205" s="60">
        <f t="shared" si="23"/>
        <v>25</v>
      </c>
      <c r="S205" s="62" cm="1">
        <f t="array" ref="S205">_xlfn.IFNA(MATCH(SUMIFS(R:R,A:A,"="&amp;A205,B:B,"&lt;"&amp;(B205+1)),_xlfn._xlws.FILTER(AO:AO,AL:AL=A205),1),1)</f>
        <v>2</v>
      </c>
      <c r="T205" s="62">
        <f t="shared" si="24"/>
        <v>200</v>
      </c>
      <c r="U205" s="62" t="str">
        <f>_xlfn.IFNA(VLOOKUP(Q205,道具!B:C,2,FALSE),"")</f>
        <v/>
      </c>
      <c r="V205" s="62">
        <f>IF(U205=1,CEILING(W205*100/$AJ$2,5),IF(U205=2,J205*100,0))</f>
        <v>0</v>
      </c>
      <c r="W205" s="63">
        <f>IF(U205=1,J205*$AD$6,IF(U205=2,J205*$AJ$2,0))</f>
        <v>0</v>
      </c>
      <c r="X205" s="37">
        <f>SUM(N175:N205)+SUM(W175:W205)</f>
        <v>114944055</v>
      </c>
      <c r="Y205" s="66">
        <f>SUM(O175:O205)</f>
        <v>111.707835</v>
      </c>
      <c r="Z205" s="66">
        <f>SUM(W175:W205)</f>
        <v>3236220</v>
      </c>
      <c r="AA205" s="23">
        <f>X205/$AJ$2</f>
        <v>114.944055</v>
      </c>
      <c r="AB205" s="24">
        <f>X205/H205</f>
        <v>1.12392739806395</v>
      </c>
      <c r="AC205" s="25"/>
      <c r="AD205" s="25"/>
    </row>
    <row r="206" spans="1:36">
      <c r="A206" s="46">
        <f t="shared" si="20"/>
        <v>5</v>
      </c>
      <c r="B206" s="47">
        <v>33</v>
      </c>
      <c r="C206" s="47"/>
      <c r="D206" s="47"/>
      <c r="E206" s="14"/>
      <c r="F206" s="14" t="str">
        <f t="shared" si="25"/>
        <v/>
      </c>
      <c r="G206" s="14"/>
      <c r="H206" s="30"/>
      <c r="I206" s="17"/>
      <c r="J206" s="18">
        <f t="shared" si="26"/>
        <v>0</v>
      </c>
      <c r="K206" s="19" t="s">
        <v>408</v>
      </c>
      <c r="L206" s="38">
        <v>3</v>
      </c>
      <c r="M206" s="21">
        <v>6</v>
      </c>
      <c r="N206" s="14"/>
      <c r="O206" s="22"/>
      <c r="P206" s="60">
        <f t="shared" si="21"/>
        <v>0</v>
      </c>
      <c r="Q206" s="60">
        <f t="shared" si="22"/>
        <v>0</v>
      </c>
      <c r="R206" s="60">
        <f t="shared" si="23"/>
        <v>0</v>
      </c>
      <c r="S206" s="62" cm="1">
        <f t="array" ref="S206">_xlfn.IFNA(MATCH(SUMIFS(R:R,A:A,"="&amp;A206,B:B,"&lt;"&amp;(B206+1)),_xlfn._xlws.FILTER(AO:AO,AL:AL=A206),1),1)</f>
        <v>2</v>
      </c>
      <c r="T206" s="62">
        <f t="shared" si="24"/>
        <v>200</v>
      </c>
      <c r="U206" s="62"/>
      <c r="V206" s="62"/>
      <c r="W206" s="63"/>
      <c r="X206" s="30"/>
      <c r="Y206" s="64"/>
      <c r="Z206" s="64"/>
      <c r="AA206" s="23"/>
      <c r="AB206" s="24"/>
      <c r="AC206" s="25"/>
      <c r="AD206" s="25"/>
    </row>
    <row r="207" spans="1:36">
      <c r="A207" s="46">
        <f t="shared" si="20"/>
        <v>5</v>
      </c>
      <c r="B207" s="47">
        <v>34</v>
      </c>
      <c r="C207" s="47"/>
      <c r="D207" s="47"/>
      <c r="E207" s="14"/>
      <c r="F207" s="14" t="str">
        <f t="shared" si="25"/>
        <v/>
      </c>
      <c r="G207" s="14"/>
      <c r="H207" s="30"/>
      <c r="I207" s="17"/>
      <c r="J207" s="18">
        <f t="shared" si="26"/>
        <v>0.12</v>
      </c>
      <c r="K207" s="19" t="s">
        <v>2</v>
      </c>
      <c r="L207" s="38">
        <v>17</v>
      </c>
      <c r="M207" s="21">
        <f>J207*$AD$178</f>
        <v>2409660</v>
      </c>
      <c r="N207" s="14"/>
      <c r="O207" s="22"/>
      <c r="P207" s="60">
        <f t="shared" si="21"/>
        <v>0</v>
      </c>
      <c r="Q207" s="60">
        <f t="shared" si="22"/>
        <v>0</v>
      </c>
      <c r="R207" s="60">
        <f t="shared" si="23"/>
        <v>0</v>
      </c>
      <c r="S207" s="62" cm="1">
        <f t="array" ref="S207">_xlfn.IFNA(MATCH(SUMIFS(R:R,A:A,"="&amp;A207,B:B,"&lt;"&amp;(B207+1)),_xlfn._xlws.FILTER(AO:AO,AL:AL=A207),1),1)</f>
        <v>2</v>
      </c>
      <c r="T207" s="62">
        <f t="shared" si="24"/>
        <v>200</v>
      </c>
      <c r="U207" s="62"/>
      <c r="V207" s="62"/>
      <c r="W207" s="63"/>
      <c r="X207" s="30"/>
      <c r="Y207" s="64"/>
      <c r="Z207" s="64"/>
      <c r="AA207" s="23"/>
      <c r="AB207" s="24"/>
      <c r="AC207" s="25"/>
      <c r="AD207" s="25"/>
    </row>
    <row r="208" spans="1:36">
      <c r="A208" s="46">
        <f t="shared" si="20"/>
        <v>5</v>
      </c>
      <c r="B208" s="47">
        <v>35</v>
      </c>
      <c r="C208" s="47"/>
      <c r="D208" s="47"/>
      <c r="E208" s="14"/>
      <c r="F208" s="14" t="str">
        <f t="shared" si="25"/>
        <v/>
      </c>
      <c r="G208" s="14"/>
      <c r="H208" s="30"/>
      <c r="I208" s="17"/>
      <c r="J208" s="18">
        <f t="shared" si="26"/>
        <v>0</v>
      </c>
      <c r="K208" s="19" t="s">
        <v>463</v>
      </c>
      <c r="L208" s="38">
        <v>4</v>
      </c>
      <c r="M208" s="21">
        <v>1</v>
      </c>
      <c r="N208" s="14"/>
      <c r="O208" s="22"/>
      <c r="P208" s="60">
        <f t="shared" si="21"/>
        <v>0</v>
      </c>
      <c r="Q208" s="60">
        <f t="shared" si="22"/>
        <v>0</v>
      </c>
      <c r="R208" s="60">
        <f t="shared" si="23"/>
        <v>15</v>
      </c>
      <c r="S208" s="62" cm="1">
        <f t="array" ref="S208">_xlfn.IFNA(MATCH(SUMIFS(R:R,A:A,"="&amp;A208,B:B,"&lt;"&amp;(B208+1)),_xlfn._xlws.FILTER(AO:AO,AL:AL=A208),1),1)</f>
        <v>2</v>
      </c>
      <c r="T208" s="62">
        <f t="shared" si="24"/>
        <v>215</v>
      </c>
      <c r="U208" s="62"/>
      <c r="V208" s="62"/>
      <c r="W208" s="63"/>
      <c r="X208" s="30"/>
      <c r="Y208" s="64"/>
      <c r="Z208" s="64"/>
      <c r="AA208" s="23"/>
      <c r="AB208" s="24"/>
      <c r="AC208" s="25"/>
      <c r="AD208" s="25"/>
    </row>
    <row r="209" spans="1:30">
      <c r="A209" s="46">
        <f t="shared" si="20"/>
        <v>5</v>
      </c>
      <c r="B209" s="47">
        <v>36</v>
      </c>
      <c r="C209" s="47"/>
      <c r="D209" s="47"/>
      <c r="E209" s="14"/>
      <c r="F209" s="14" t="str">
        <f t="shared" si="25"/>
        <v/>
      </c>
      <c r="G209" s="14"/>
      <c r="H209" s="30"/>
      <c r="I209" s="17"/>
      <c r="J209" s="18">
        <f t="shared" si="26"/>
        <v>0</v>
      </c>
      <c r="K209" s="19" t="s">
        <v>453</v>
      </c>
      <c r="L209" s="38">
        <v>3</v>
      </c>
      <c r="M209" s="21">
        <v>30</v>
      </c>
      <c r="N209" s="14"/>
      <c r="O209" s="22"/>
      <c r="P209" s="60">
        <f t="shared" si="21"/>
        <v>0</v>
      </c>
      <c r="Q209" s="60">
        <f t="shared" si="22"/>
        <v>0</v>
      </c>
      <c r="R209" s="60">
        <f t="shared" si="23"/>
        <v>0</v>
      </c>
      <c r="S209" s="62" cm="1">
        <f t="array" ref="S209">_xlfn.IFNA(MATCH(SUMIFS(R:R,A:A,"="&amp;A209,B:B,"&lt;"&amp;(B209+1)),_xlfn._xlws.FILTER(AO:AO,AL:AL=A209),1),1)</f>
        <v>2</v>
      </c>
      <c r="T209" s="62">
        <f t="shared" si="24"/>
        <v>215</v>
      </c>
      <c r="U209" s="62"/>
      <c r="V209" s="62"/>
      <c r="W209" s="63"/>
      <c r="X209" s="30"/>
      <c r="Y209" s="64"/>
      <c r="Z209" s="64"/>
      <c r="AA209" s="23"/>
      <c r="AB209" s="24"/>
      <c r="AC209" s="25"/>
      <c r="AD209" s="25"/>
    </row>
    <row r="210" spans="1:30">
      <c r="A210" s="46">
        <f t="shared" si="20"/>
        <v>5</v>
      </c>
      <c r="B210" s="47">
        <v>37</v>
      </c>
      <c r="C210" s="47"/>
      <c r="D210" s="47"/>
      <c r="E210" s="14"/>
      <c r="F210" s="14" t="str">
        <f t="shared" si="25"/>
        <v/>
      </c>
      <c r="G210" s="14"/>
      <c r="H210" s="30"/>
      <c r="I210" s="17"/>
      <c r="J210" s="18">
        <f t="shared" si="26"/>
        <v>0</v>
      </c>
      <c r="K210" t="s">
        <v>426</v>
      </c>
      <c r="L210" s="38">
        <v>3</v>
      </c>
      <c r="M210" s="21">
        <v>1</v>
      </c>
      <c r="N210" s="14"/>
      <c r="O210" s="22"/>
      <c r="P210" s="60">
        <f t="shared" si="21"/>
        <v>0</v>
      </c>
      <c r="Q210" s="60">
        <f t="shared" si="22"/>
        <v>0</v>
      </c>
      <c r="R210" s="60">
        <f t="shared" si="23"/>
        <v>0</v>
      </c>
      <c r="S210" s="62" cm="1">
        <f t="array" ref="S210">_xlfn.IFNA(MATCH(SUMIFS(R:R,A:A,"="&amp;A210,B:B,"&lt;"&amp;(B210+1)),_xlfn._xlws.FILTER(AO:AO,AL:AL=A210),1),1)</f>
        <v>2</v>
      </c>
      <c r="T210" s="62">
        <f t="shared" si="24"/>
        <v>215</v>
      </c>
      <c r="U210" s="62"/>
      <c r="V210" s="62"/>
      <c r="W210" s="63"/>
      <c r="X210" s="30"/>
      <c r="Y210" s="64"/>
      <c r="Z210" s="64"/>
      <c r="AA210" s="23"/>
      <c r="AB210" s="24"/>
      <c r="AC210" s="25"/>
      <c r="AD210" s="25"/>
    </row>
    <row r="211" spans="1:30">
      <c r="A211" s="46">
        <f t="shared" si="20"/>
        <v>5</v>
      </c>
      <c r="B211" s="47">
        <v>38</v>
      </c>
      <c r="C211" s="47"/>
      <c r="D211" s="47"/>
      <c r="E211" s="14">
        <v>19.99</v>
      </c>
      <c r="F211" s="14">
        <f t="shared" si="25"/>
        <v>158</v>
      </c>
      <c r="G211" s="36">
        <f>(E211+0.01)*F211*$AJ$2/100</f>
        <v>31600000</v>
      </c>
      <c r="H211" s="37">
        <f>SUM(G175:G211)</f>
        <v>133870000</v>
      </c>
      <c r="I211" s="17">
        <f>SUM(E175:E211)</f>
        <v>89.93</v>
      </c>
      <c r="J211" s="18">
        <f t="shared" si="26"/>
        <v>0.45</v>
      </c>
      <c r="K211" s="14" t="s">
        <v>2</v>
      </c>
      <c r="L211" s="29">
        <v>9</v>
      </c>
      <c r="M211" s="21">
        <f>G211</f>
        <v>31600000</v>
      </c>
      <c r="N211" s="36">
        <f>SUMIF(K211:K216,"="&amp;"金币",M211:M216)</f>
        <v>34009660</v>
      </c>
      <c r="O211" s="22">
        <f>N211/$AJ$2</f>
        <v>34.00966</v>
      </c>
      <c r="P211" s="60">
        <f t="shared" si="21"/>
        <v>3</v>
      </c>
      <c r="Q211" s="60" t="str">
        <f t="shared" si="22"/>
        <v>金币</v>
      </c>
      <c r="R211" s="60">
        <f t="shared" si="23"/>
        <v>35</v>
      </c>
      <c r="S211" s="62" cm="1">
        <f t="array" ref="S211">_xlfn.IFNA(MATCH(SUMIFS(R:R,A:A,"="&amp;A211,B:B,"&lt;"&amp;(B211+1)),_xlfn._xlws.FILTER(AO:AO,AL:AL=A211),1),1)</f>
        <v>2</v>
      </c>
      <c r="T211" s="62">
        <f t="shared" si="24"/>
        <v>250</v>
      </c>
      <c r="U211" s="62">
        <f>_xlfn.IFNA(VLOOKUP(Q211,道具!B:C,2,FALSE),"")</f>
        <v>1</v>
      </c>
      <c r="V211" s="62">
        <f>IF(U211=1,CEILING(W211*100/$AJ$2,5),IF(U211=2,J211*100,0))</f>
        <v>405</v>
      </c>
      <c r="W211" s="63">
        <f>IF(U211=1,J211*$AD$6,IF(U211=2,J211*$AJ$2,0))</f>
        <v>4045275</v>
      </c>
      <c r="X211" s="37">
        <f>SUM(N175:N211)+SUM(W175:W211)</f>
        <v>152998990</v>
      </c>
      <c r="Y211" s="66">
        <f>SUM(O175:O211)</f>
        <v>145.717495</v>
      </c>
      <c r="Z211" s="66">
        <f>SUM(W175:W211)</f>
        <v>7281494.99999999</v>
      </c>
      <c r="AA211" s="23">
        <f>X211/$AJ$2</f>
        <v>152.99899</v>
      </c>
      <c r="AB211" s="24">
        <f>X211/H211</f>
        <v>1.14289228355868</v>
      </c>
      <c r="AC211" s="25"/>
      <c r="AD211" s="25"/>
    </row>
    <row r="212" spans="1:30">
      <c r="A212" s="46">
        <f t="shared" si="20"/>
        <v>5</v>
      </c>
      <c r="B212" s="47">
        <v>39</v>
      </c>
      <c r="C212" s="47"/>
      <c r="D212" s="47"/>
      <c r="E212" s="14"/>
      <c r="F212" s="14" t="str">
        <f t="shared" si="25"/>
        <v/>
      </c>
      <c r="G212" s="14"/>
      <c r="H212" s="30"/>
      <c r="I212" s="17"/>
      <c r="J212" s="18">
        <f t="shared" si="26"/>
        <v>0</v>
      </c>
      <c r="K212" s="19" t="s">
        <v>408</v>
      </c>
      <c r="L212" s="38">
        <v>3</v>
      </c>
      <c r="M212" s="21">
        <v>7</v>
      </c>
      <c r="N212" s="14"/>
      <c r="O212" s="22"/>
      <c r="P212" s="60">
        <f t="shared" si="21"/>
        <v>0</v>
      </c>
      <c r="Q212" s="60">
        <f t="shared" si="22"/>
        <v>0</v>
      </c>
      <c r="R212" s="60">
        <f t="shared" si="23"/>
        <v>0</v>
      </c>
      <c r="S212" s="62" cm="1">
        <f t="array" ref="S212">_xlfn.IFNA(MATCH(SUMIFS(R:R,A:A,"="&amp;A212,B:B,"&lt;"&amp;(B212+1)),_xlfn._xlws.FILTER(AO:AO,AL:AL=A212),1),1)</f>
        <v>2</v>
      </c>
      <c r="T212" s="62">
        <f t="shared" si="24"/>
        <v>250</v>
      </c>
      <c r="U212" s="62"/>
      <c r="V212" s="62"/>
      <c r="W212" s="63"/>
      <c r="X212" s="30"/>
      <c r="Y212" s="64"/>
      <c r="Z212" s="64"/>
      <c r="AA212" s="23"/>
      <c r="AB212" s="24"/>
      <c r="AC212" s="25"/>
      <c r="AD212" s="25"/>
    </row>
    <row r="213" spans="1:30">
      <c r="A213" s="46">
        <f t="shared" si="20"/>
        <v>5</v>
      </c>
      <c r="B213" s="47">
        <v>40</v>
      </c>
      <c r="C213" s="47"/>
      <c r="D213" s="47"/>
      <c r="E213" s="14"/>
      <c r="F213" s="14" t="str">
        <f t="shared" si="25"/>
        <v/>
      </c>
      <c r="G213" s="14"/>
      <c r="H213" s="30"/>
      <c r="I213" s="17"/>
      <c r="J213" s="18">
        <f t="shared" si="26"/>
        <v>0.12</v>
      </c>
      <c r="K213" s="19" t="s">
        <v>2</v>
      </c>
      <c r="L213" s="38">
        <v>17</v>
      </c>
      <c r="M213" s="21">
        <f>J213*$AD$178</f>
        <v>2409660</v>
      </c>
      <c r="N213" s="14"/>
      <c r="O213" s="22"/>
      <c r="P213" s="60">
        <f t="shared" si="21"/>
        <v>0</v>
      </c>
      <c r="Q213" s="60">
        <f t="shared" si="22"/>
        <v>0</v>
      </c>
      <c r="R213" s="60">
        <f t="shared" si="23"/>
        <v>0</v>
      </c>
      <c r="S213" s="62" cm="1">
        <f t="array" ref="S213">_xlfn.IFNA(MATCH(SUMIFS(R:R,A:A,"="&amp;A213,B:B,"&lt;"&amp;(B213+1)),_xlfn._xlws.FILTER(AO:AO,AL:AL=A213),1),1)</f>
        <v>2</v>
      </c>
      <c r="T213" s="62">
        <f t="shared" si="24"/>
        <v>250</v>
      </c>
      <c r="U213" s="62"/>
      <c r="V213" s="62"/>
      <c r="W213" s="63"/>
      <c r="X213" s="30"/>
      <c r="Y213" s="64"/>
      <c r="Z213" s="64"/>
      <c r="AA213" s="23"/>
      <c r="AB213" s="24"/>
      <c r="AC213" s="25"/>
      <c r="AD213" s="25"/>
    </row>
    <row r="214" spans="1:30">
      <c r="A214" s="46">
        <f t="shared" si="20"/>
        <v>5</v>
      </c>
      <c r="B214" s="47">
        <v>41</v>
      </c>
      <c r="C214" s="47"/>
      <c r="D214" s="47"/>
      <c r="E214" s="14"/>
      <c r="F214" s="14" t="str">
        <f t="shared" si="25"/>
        <v/>
      </c>
      <c r="G214" s="14"/>
      <c r="H214" s="30"/>
      <c r="I214" s="17"/>
      <c r="J214" s="18">
        <f t="shared" si="26"/>
        <v>0</v>
      </c>
      <c r="K214" s="19" t="s">
        <v>473</v>
      </c>
      <c r="L214" s="38">
        <v>4</v>
      </c>
      <c r="M214" s="21">
        <v>1</v>
      </c>
      <c r="N214" s="14"/>
      <c r="O214" s="22"/>
      <c r="P214" s="60">
        <f t="shared" si="21"/>
        <v>0</v>
      </c>
      <c r="Q214" s="60">
        <f t="shared" si="22"/>
        <v>0</v>
      </c>
      <c r="R214" s="60">
        <f t="shared" si="23"/>
        <v>50</v>
      </c>
      <c r="S214" s="62" cm="1">
        <f t="array" ref="S214">_xlfn.IFNA(MATCH(SUMIFS(R:R,A:A,"="&amp;A214,B:B,"&lt;"&amp;(B214+1)),_xlfn._xlws.FILTER(AO:AO,AL:AL=A214),1),1)</f>
        <v>3</v>
      </c>
      <c r="T214" s="62">
        <f t="shared" si="24"/>
        <v>300</v>
      </c>
      <c r="U214" s="62"/>
      <c r="V214" s="62"/>
      <c r="W214" s="63"/>
      <c r="X214" s="30"/>
      <c r="Y214" s="64"/>
      <c r="Z214" s="64"/>
      <c r="AA214" s="23"/>
      <c r="AB214" s="24"/>
      <c r="AC214" s="25"/>
      <c r="AD214" s="25"/>
    </row>
    <row r="215" spans="1:30">
      <c r="A215" s="46">
        <f t="shared" si="20"/>
        <v>5</v>
      </c>
      <c r="B215" s="47">
        <v>42</v>
      </c>
      <c r="C215" s="47"/>
      <c r="D215" s="47"/>
      <c r="E215" s="14"/>
      <c r="F215" s="14" t="str">
        <f t="shared" si="25"/>
        <v/>
      </c>
      <c r="G215" s="14"/>
      <c r="H215" s="30"/>
      <c r="I215" s="17"/>
      <c r="J215" s="18">
        <f t="shared" si="26"/>
        <v>0</v>
      </c>
      <c r="K215" s="19" t="s">
        <v>453</v>
      </c>
      <c r="L215" s="38">
        <v>3</v>
      </c>
      <c r="M215" s="21">
        <v>35</v>
      </c>
      <c r="N215" s="14"/>
      <c r="O215" s="22"/>
      <c r="P215" s="60">
        <f t="shared" si="21"/>
        <v>0</v>
      </c>
      <c r="Q215" s="60">
        <f t="shared" si="22"/>
        <v>0</v>
      </c>
      <c r="R215" s="60">
        <f t="shared" si="23"/>
        <v>0</v>
      </c>
      <c r="S215" s="62" cm="1">
        <f t="array" ref="S215">_xlfn.IFNA(MATCH(SUMIFS(R:R,A:A,"="&amp;A215,B:B,"&lt;"&amp;(B215+1)),_xlfn._xlws.FILTER(AO:AO,AL:AL=A215),1),1)</f>
        <v>3</v>
      </c>
      <c r="T215" s="62">
        <f t="shared" si="24"/>
        <v>300</v>
      </c>
      <c r="U215" s="62"/>
      <c r="V215" s="62"/>
      <c r="W215" s="63"/>
      <c r="X215" s="30"/>
      <c r="Y215" s="64"/>
      <c r="Z215" s="64"/>
      <c r="AA215" s="23"/>
      <c r="AB215" s="24"/>
      <c r="AC215" s="25"/>
      <c r="AD215" s="25"/>
    </row>
    <row r="216" spans="1:30">
      <c r="A216" s="46">
        <f t="shared" si="20"/>
        <v>5</v>
      </c>
      <c r="B216" s="47">
        <v>43</v>
      </c>
      <c r="C216" s="47"/>
      <c r="D216" s="47"/>
      <c r="E216" s="14"/>
      <c r="F216" s="14" t="str">
        <f t="shared" si="25"/>
        <v/>
      </c>
      <c r="G216" s="14"/>
      <c r="H216" s="30"/>
      <c r="I216" s="17"/>
      <c r="J216" s="18">
        <f t="shared" si="26"/>
        <v>0</v>
      </c>
      <c r="K216" t="s">
        <v>424</v>
      </c>
      <c r="L216" s="38">
        <v>3</v>
      </c>
      <c r="M216" s="21">
        <v>1</v>
      </c>
      <c r="N216" s="14"/>
      <c r="O216" s="22"/>
      <c r="P216" s="60">
        <f t="shared" si="21"/>
        <v>0</v>
      </c>
      <c r="Q216" s="60">
        <f t="shared" si="22"/>
        <v>0</v>
      </c>
      <c r="R216" s="60">
        <f t="shared" si="23"/>
        <v>0</v>
      </c>
      <c r="S216" s="62" cm="1">
        <f t="array" ref="S216">_xlfn.IFNA(MATCH(SUMIFS(R:R,A:A,"="&amp;A216,B:B,"&lt;"&amp;(B216+1)),_xlfn._xlws.FILTER(AO:AO,AL:AL=A216),1),1)</f>
        <v>3</v>
      </c>
      <c r="T216" s="62">
        <f t="shared" si="24"/>
        <v>300</v>
      </c>
      <c r="U216" s="62"/>
      <c r="V216" s="62"/>
      <c r="W216" s="63"/>
      <c r="X216" s="30"/>
      <c r="Y216" s="64"/>
      <c r="Z216" s="64"/>
      <c r="AA216" s="23"/>
      <c r="AB216" s="24"/>
      <c r="AC216" s="25"/>
      <c r="AD216" s="25"/>
    </row>
    <row r="217" spans="1:30">
      <c r="A217" s="46">
        <f t="shared" si="20"/>
        <v>6</v>
      </c>
      <c r="B217" s="47">
        <v>1</v>
      </c>
      <c r="C217" s="47"/>
      <c r="D217" s="47"/>
      <c r="E217" s="14"/>
      <c r="F217" s="14" t="str">
        <f t="shared" si="25"/>
        <v/>
      </c>
      <c r="G217" s="14"/>
      <c r="H217" s="30"/>
      <c r="I217" s="17"/>
      <c r="J217" s="18">
        <f t="shared" si="26"/>
        <v>0</v>
      </c>
      <c r="K217" s="14" t="s">
        <v>2</v>
      </c>
      <c r="L217" s="29">
        <v>1</v>
      </c>
      <c r="M217" s="21">
        <v>5000</v>
      </c>
      <c r="N217" s="14"/>
      <c r="O217" s="22"/>
      <c r="P217" s="60">
        <f t="shared" si="21"/>
        <v>0</v>
      </c>
      <c r="Q217" s="60">
        <f t="shared" si="22"/>
        <v>0</v>
      </c>
      <c r="R217" s="60">
        <f t="shared" si="23"/>
        <v>20</v>
      </c>
      <c r="S217" s="62" cm="1">
        <f t="array" ref="S217">_xlfn.IFNA(MATCH(SUMIFS(R:R,A:A,"="&amp;A217,B:B,"&lt;"&amp;(B217+1)),_xlfn._xlws.FILTER(AO:AO,AL:AL=A217),1),1)</f>
        <v>1</v>
      </c>
      <c r="T217" s="62">
        <f t="shared" si="24"/>
        <v>20</v>
      </c>
      <c r="U217" s="62"/>
      <c r="V217" s="62"/>
      <c r="W217" s="63"/>
      <c r="X217" s="30"/>
      <c r="Y217" s="64"/>
      <c r="Z217" s="64"/>
      <c r="AA217" s="23"/>
      <c r="AB217" s="24"/>
      <c r="AC217" s="25"/>
      <c r="AD217" s="31">
        <f>SUM(E217:E259)</f>
        <v>89.93</v>
      </c>
    </row>
    <row r="218" spans="1:30">
      <c r="A218" s="46">
        <f t="shared" si="20"/>
        <v>6</v>
      </c>
      <c r="B218" s="47">
        <v>2</v>
      </c>
      <c r="C218" s="47"/>
      <c r="D218" s="47"/>
      <c r="E218" s="35">
        <v>5.99</v>
      </c>
      <c r="F218" s="14">
        <f t="shared" si="25"/>
        <v>119</v>
      </c>
      <c r="G218" s="36">
        <f>(E218+0.01)*F218*$AJ$2/100</f>
        <v>7140000</v>
      </c>
      <c r="H218" s="37">
        <f>SUM(G218)</f>
        <v>7140000</v>
      </c>
      <c r="I218" s="17">
        <f>SUM(E218)</f>
        <v>5.99</v>
      </c>
      <c r="J218" s="18">
        <f t="shared" si="26"/>
        <v>0</v>
      </c>
      <c r="K218" s="14" t="s">
        <v>2</v>
      </c>
      <c r="L218" s="29">
        <v>9</v>
      </c>
      <c r="M218" s="21">
        <f>G218</f>
        <v>7140000</v>
      </c>
      <c r="N218" s="36">
        <f>SUMIF(K218:K223,"="&amp;"金币",M218:M223)</f>
        <v>9148050</v>
      </c>
      <c r="O218" s="22">
        <f>N218/$AJ$2</f>
        <v>9.14805</v>
      </c>
      <c r="P218" s="60">
        <f t="shared" si="21"/>
        <v>0</v>
      </c>
      <c r="Q218" s="60">
        <f t="shared" si="22"/>
        <v>0</v>
      </c>
      <c r="R218" s="60">
        <f t="shared" si="23"/>
        <v>10</v>
      </c>
      <c r="S218" s="62" cm="1">
        <f t="array" ref="S218">_xlfn.IFNA(MATCH(SUMIFS(R:R,A:A,"="&amp;A218,B:B,"&lt;"&amp;(B218+1)),_xlfn._xlws.FILTER(AO:AO,AL:AL=A218),1),1)</f>
        <v>1</v>
      </c>
      <c r="T218" s="62">
        <f t="shared" si="24"/>
        <v>30</v>
      </c>
      <c r="U218" s="62" t="str">
        <f>_xlfn.IFNA(VLOOKUP(Q218,道具!B:C,2,FALSE),"")</f>
        <v/>
      </c>
      <c r="V218" s="62">
        <f>IF(U218=1,CEILING(W218*100/$AJ$2,5),IF(U218=2,J218*100,0))</f>
        <v>0</v>
      </c>
      <c r="W218" s="63">
        <f>IF(U218=1,J218*$AD$6,IF(U218=2,J218*$AJ$2,0))</f>
        <v>0</v>
      </c>
      <c r="X218" s="37">
        <f>SUM(N218)+SUM(W218)</f>
        <v>9148050</v>
      </c>
      <c r="Y218" s="66">
        <f>SUM(O218)</f>
        <v>9.14805</v>
      </c>
      <c r="Z218" s="66">
        <f>SUM(W218)</f>
        <v>0</v>
      </c>
      <c r="AA218" s="23">
        <f>X218/$AJ$2</f>
        <v>9.14805</v>
      </c>
      <c r="AB218" s="24">
        <f>X218/H218</f>
        <v>1.28123949579832</v>
      </c>
      <c r="AC218" s="25"/>
      <c r="AD218" s="26" t="s">
        <v>556</v>
      </c>
    </row>
    <row r="219" spans="1:30">
      <c r="A219" s="46">
        <f t="shared" si="20"/>
        <v>6</v>
      </c>
      <c r="B219" s="47">
        <v>3</v>
      </c>
      <c r="C219" s="47"/>
      <c r="D219" s="47"/>
      <c r="E219" s="14"/>
      <c r="F219" s="14" t="str">
        <f t="shared" si="25"/>
        <v/>
      </c>
      <c r="G219" s="14"/>
      <c r="H219" s="30"/>
      <c r="I219" s="17"/>
      <c r="J219" s="18">
        <f t="shared" si="26"/>
        <v>0</v>
      </c>
      <c r="K219" s="19" t="s">
        <v>408</v>
      </c>
      <c r="L219" s="38">
        <v>3</v>
      </c>
      <c r="M219" s="21">
        <v>1</v>
      </c>
      <c r="N219" s="14"/>
      <c r="O219" s="22"/>
      <c r="P219" s="60">
        <f t="shared" si="21"/>
        <v>0</v>
      </c>
      <c r="Q219" s="60">
        <f t="shared" si="22"/>
        <v>0</v>
      </c>
      <c r="R219" s="60">
        <f t="shared" si="23"/>
        <v>0</v>
      </c>
      <c r="S219" s="62" cm="1">
        <f t="array" ref="S219">_xlfn.IFNA(MATCH(SUMIFS(R:R,A:A,"="&amp;A219,B:B,"&lt;"&amp;(B219+1)),_xlfn._xlws.FILTER(AO:AO,AL:AL=A219),1),1)</f>
        <v>1</v>
      </c>
      <c r="T219" s="62">
        <f t="shared" si="24"/>
        <v>30</v>
      </c>
      <c r="U219" s="62"/>
      <c r="V219" s="62"/>
      <c r="W219" s="63"/>
      <c r="X219" s="30"/>
      <c r="Y219" s="64"/>
      <c r="Z219" s="64"/>
      <c r="AA219" s="23"/>
      <c r="AB219" s="24"/>
      <c r="AC219" s="25"/>
      <c r="AD219" s="39">
        <v>1.15</v>
      </c>
    </row>
    <row r="220" spans="1:30">
      <c r="A220" s="46">
        <f t="shared" si="20"/>
        <v>6</v>
      </c>
      <c r="B220" s="47">
        <v>4</v>
      </c>
      <c r="C220" s="47"/>
      <c r="D220" s="47"/>
      <c r="E220" s="14"/>
      <c r="F220" s="14" t="str">
        <f t="shared" si="25"/>
        <v/>
      </c>
      <c r="G220" s="14"/>
      <c r="H220" s="30"/>
      <c r="I220" s="17"/>
      <c r="J220" s="18">
        <f t="shared" si="26"/>
        <v>0.1</v>
      </c>
      <c r="K220" s="19" t="s">
        <v>2</v>
      </c>
      <c r="L220" s="38">
        <v>17</v>
      </c>
      <c r="M220" s="21">
        <f>J220*$AD$221</f>
        <v>2008050</v>
      </c>
      <c r="N220" s="14"/>
      <c r="O220" s="22"/>
      <c r="P220" s="60">
        <f t="shared" si="21"/>
        <v>0</v>
      </c>
      <c r="Q220" s="60">
        <f t="shared" si="22"/>
        <v>0</v>
      </c>
      <c r="R220" s="60">
        <f t="shared" si="23"/>
        <v>0</v>
      </c>
      <c r="S220" s="62" cm="1">
        <f t="array" ref="S220">_xlfn.IFNA(MATCH(SUMIFS(R:R,A:A,"="&amp;A220,B:B,"&lt;"&amp;(B220+1)),_xlfn._xlws.FILTER(AO:AO,AL:AL=A220),1),1)</f>
        <v>1</v>
      </c>
      <c r="T220" s="62">
        <f t="shared" si="24"/>
        <v>30</v>
      </c>
      <c r="U220" s="62"/>
      <c r="V220" s="62"/>
      <c r="W220" s="63"/>
      <c r="X220" s="30"/>
      <c r="Y220" s="64"/>
      <c r="Z220" s="64"/>
      <c r="AA220" s="23"/>
      <c r="AB220" s="24"/>
      <c r="AC220" s="25"/>
      <c r="AD220" s="26" t="s">
        <v>557</v>
      </c>
    </row>
    <row r="221" spans="1:30">
      <c r="A221" s="46">
        <f t="shared" si="20"/>
        <v>6</v>
      </c>
      <c r="B221" s="47">
        <v>5</v>
      </c>
      <c r="C221" s="47"/>
      <c r="D221" s="47"/>
      <c r="E221" s="14"/>
      <c r="F221" s="14" t="str">
        <f t="shared" si="25"/>
        <v/>
      </c>
      <c r="G221" s="14"/>
      <c r="H221" s="30"/>
      <c r="I221" s="17"/>
      <c r="J221" s="18">
        <f t="shared" si="26"/>
        <v>0</v>
      </c>
      <c r="K221" s="19" t="s">
        <v>457</v>
      </c>
      <c r="L221" s="38">
        <v>4</v>
      </c>
      <c r="M221" s="21">
        <v>1</v>
      </c>
      <c r="N221" s="14"/>
      <c r="O221" s="22"/>
      <c r="P221" s="60">
        <f t="shared" si="21"/>
        <v>0</v>
      </c>
      <c r="Q221" s="60">
        <f t="shared" si="22"/>
        <v>0</v>
      </c>
      <c r="R221" s="60">
        <f t="shared" si="23"/>
        <v>10</v>
      </c>
      <c r="S221" s="62" cm="1">
        <f t="array" ref="S221">_xlfn.IFNA(MATCH(SUMIFS(R:R,A:A,"="&amp;A221,B:B,"&lt;"&amp;(B221+1)),_xlfn._xlws.FILTER(AO:AO,AL:AL=A221),1),1)</f>
        <v>1</v>
      </c>
      <c r="T221" s="62">
        <f t="shared" si="24"/>
        <v>40</v>
      </c>
      <c r="U221" s="62"/>
      <c r="V221" s="62"/>
      <c r="W221" s="63"/>
      <c r="X221" s="30"/>
      <c r="Y221" s="64"/>
      <c r="Z221" s="64"/>
      <c r="AA221" s="23"/>
      <c r="AB221" s="24"/>
      <c r="AC221" s="25"/>
      <c r="AD221" s="40">
        <f>SUM(G217:G259)*(AD219-1)</f>
        <v>20080500</v>
      </c>
    </row>
    <row r="222" spans="1:30">
      <c r="A222" s="46">
        <f t="shared" si="20"/>
        <v>6</v>
      </c>
      <c r="B222" s="47">
        <v>6</v>
      </c>
      <c r="C222" s="47"/>
      <c r="D222" s="47"/>
      <c r="E222" s="14"/>
      <c r="F222" s="14" t="str">
        <f t="shared" si="25"/>
        <v/>
      </c>
      <c r="G222" s="14"/>
      <c r="H222" s="30"/>
      <c r="I222" s="17"/>
      <c r="J222" s="18">
        <f t="shared" si="26"/>
        <v>0</v>
      </c>
      <c r="K222" s="19" t="s">
        <v>453</v>
      </c>
      <c r="L222" s="38">
        <v>3</v>
      </c>
      <c r="M222" s="21">
        <v>5</v>
      </c>
      <c r="N222" s="14"/>
      <c r="O222" s="22"/>
      <c r="P222" s="60">
        <f t="shared" si="21"/>
        <v>0</v>
      </c>
      <c r="Q222" s="60">
        <f t="shared" si="22"/>
        <v>0</v>
      </c>
      <c r="R222" s="60">
        <f t="shared" si="23"/>
        <v>0</v>
      </c>
      <c r="S222" s="62" cm="1">
        <f t="array" ref="S222">_xlfn.IFNA(MATCH(SUMIFS(R:R,A:A,"="&amp;A222,B:B,"&lt;"&amp;(B222+1)),_xlfn._xlws.FILTER(AO:AO,AL:AL=A222),1),1)</f>
        <v>1</v>
      </c>
      <c r="T222" s="62">
        <f t="shared" si="24"/>
        <v>40</v>
      </c>
      <c r="U222" s="62"/>
      <c r="V222" s="62"/>
      <c r="W222" s="63"/>
      <c r="X222" s="30"/>
      <c r="Y222" s="64"/>
      <c r="Z222" s="64"/>
      <c r="AA222" s="23"/>
      <c r="AB222" s="24"/>
      <c r="AC222" s="25"/>
      <c r="AD222" s="24" t="s">
        <v>558</v>
      </c>
    </row>
    <row r="223" spans="1:30">
      <c r="A223" s="46">
        <f t="shared" si="20"/>
        <v>6</v>
      </c>
      <c r="B223" s="47">
        <v>7</v>
      </c>
      <c r="C223" s="47"/>
      <c r="D223" s="47"/>
      <c r="E223" s="14"/>
      <c r="F223" s="14" t="str">
        <f t="shared" si="25"/>
        <v/>
      </c>
      <c r="G223" s="14"/>
      <c r="H223" s="30"/>
      <c r="I223" s="17"/>
      <c r="J223" s="18">
        <f t="shared" si="26"/>
        <v>0</v>
      </c>
      <c r="K223" t="s">
        <v>424</v>
      </c>
      <c r="L223" s="38">
        <v>3</v>
      </c>
      <c r="M223" s="21">
        <v>1</v>
      </c>
      <c r="N223" s="14"/>
      <c r="O223" s="22"/>
      <c r="P223" s="60">
        <f t="shared" si="21"/>
        <v>0</v>
      </c>
      <c r="Q223" s="60">
        <f t="shared" si="22"/>
        <v>0</v>
      </c>
      <c r="R223" s="60">
        <f t="shared" si="23"/>
        <v>0</v>
      </c>
      <c r="S223" s="62" cm="1">
        <f t="array" ref="S223">_xlfn.IFNA(MATCH(SUMIFS(R:R,A:A,"="&amp;A223,B:B,"&lt;"&amp;(B223+1)),_xlfn._xlws.FILTER(AO:AO,AL:AL=A223),1),1)</f>
        <v>1</v>
      </c>
      <c r="T223" s="62">
        <f t="shared" si="24"/>
        <v>40</v>
      </c>
      <c r="U223" s="62"/>
      <c r="V223" s="62"/>
      <c r="W223" s="63"/>
      <c r="X223" s="30"/>
      <c r="Y223" s="64"/>
      <c r="Z223" s="64"/>
      <c r="AA223" s="23"/>
      <c r="AB223" s="24"/>
      <c r="AC223" s="25"/>
      <c r="AD223" s="24">
        <f>SUMIF(U217:U259,"&lt;&gt;2",J217:J259)+SUMIF(U217:U259,"=2",J217:J259)*$AJ$2/SUMIFS(AD:AD,A:A,"="&amp;A223,B:B,"=5")</f>
        <v>1.4</v>
      </c>
    </row>
    <row r="224" spans="1:30">
      <c r="A224" s="46">
        <f t="shared" si="20"/>
        <v>6</v>
      </c>
      <c r="B224" s="47">
        <v>8</v>
      </c>
      <c r="C224" s="47"/>
      <c r="D224" s="47"/>
      <c r="E224" s="14">
        <v>7.99</v>
      </c>
      <c r="F224" s="14">
        <f t="shared" si="25"/>
        <v>129</v>
      </c>
      <c r="G224" s="36">
        <f>(E224+0.01)*F224*$AJ$2/100</f>
        <v>10320000</v>
      </c>
      <c r="H224" s="37">
        <f>SUM(G218:G224)</f>
        <v>17460000</v>
      </c>
      <c r="I224" s="17">
        <f>SUM(E218:E224)</f>
        <v>13.98</v>
      </c>
      <c r="J224" s="18">
        <f t="shared" si="26"/>
        <v>0.12</v>
      </c>
      <c r="K224" s="14" t="s">
        <v>2</v>
      </c>
      <c r="L224" s="29">
        <v>9</v>
      </c>
      <c r="M224" s="21">
        <f>G224</f>
        <v>10320000</v>
      </c>
      <c r="N224" s="36">
        <f>SUMIF(K224:K229,"="&amp;"金币",M224:M229)</f>
        <v>10721610</v>
      </c>
      <c r="O224" s="22">
        <f>N224/$AJ$2</f>
        <v>10.72161</v>
      </c>
      <c r="P224" s="60">
        <f t="shared" si="21"/>
        <v>1</v>
      </c>
      <c r="Q224" s="60" t="str">
        <f t="shared" si="22"/>
        <v>金币</v>
      </c>
      <c r="R224" s="60">
        <f t="shared" si="23"/>
        <v>25</v>
      </c>
      <c r="S224" s="62" cm="1">
        <f t="array" ref="S224">_xlfn.IFNA(MATCH(SUMIFS(R:R,A:A,"="&amp;A224,B:B,"&lt;"&amp;(B224+1)),_xlfn._xlws.FILTER(AO:AO,AL:AL=A224),1),1)</f>
        <v>1</v>
      </c>
      <c r="T224" s="62">
        <f t="shared" si="24"/>
        <v>65</v>
      </c>
      <c r="U224" s="62">
        <f>_xlfn.IFNA(VLOOKUP(Q224,道具!B:C,2,FALSE),"")</f>
        <v>1</v>
      </c>
      <c r="V224" s="62">
        <f>IF(U224=1,CEILING(W224*100/$AJ$2,5),IF(U224=2,J224*100,0))</f>
        <v>110</v>
      </c>
      <c r="W224" s="63">
        <f>IF(U224=1,J224*$AD$6,IF(U224=2,J224*$AJ$2,0))</f>
        <v>1078740</v>
      </c>
      <c r="X224" s="37">
        <f>SUM(N218:N224)+SUM(W218:W224)</f>
        <v>20948400</v>
      </c>
      <c r="Y224" s="66">
        <f>SUM(O218:O224)</f>
        <v>19.86966</v>
      </c>
      <c r="Z224" s="66">
        <f>SUM(W218:W224)</f>
        <v>1078740</v>
      </c>
      <c r="AA224" s="23">
        <f>X224/$AJ$2</f>
        <v>20.9484</v>
      </c>
      <c r="AB224" s="24">
        <f>X224/H224</f>
        <v>1.19979381443299</v>
      </c>
      <c r="AC224" s="25"/>
      <c r="AD224" s="25"/>
    </row>
    <row r="225" spans="1:30">
      <c r="A225" s="46">
        <f t="shared" si="20"/>
        <v>6</v>
      </c>
      <c r="B225" s="47">
        <v>9</v>
      </c>
      <c r="C225" s="47"/>
      <c r="D225" s="47"/>
      <c r="E225" s="14"/>
      <c r="F225" s="14" t="str">
        <f t="shared" si="25"/>
        <v/>
      </c>
      <c r="G225" s="14"/>
      <c r="H225" s="30"/>
      <c r="I225" s="17"/>
      <c r="J225" s="18">
        <f t="shared" si="26"/>
        <v>0</v>
      </c>
      <c r="K225" s="19" t="s">
        <v>408</v>
      </c>
      <c r="L225" s="38">
        <v>3</v>
      </c>
      <c r="M225" s="21">
        <v>2</v>
      </c>
      <c r="N225" s="14"/>
      <c r="O225" s="22"/>
      <c r="P225" s="60">
        <f t="shared" si="21"/>
        <v>0</v>
      </c>
      <c r="Q225" s="60">
        <f t="shared" si="22"/>
        <v>0</v>
      </c>
      <c r="R225" s="60">
        <f t="shared" si="23"/>
        <v>0</v>
      </c>
      <c r="S225" s="62" cm="1">
        <f t="array" ref="S225">_xlfn.IFNA(MATCH(SUMIFS(R:R,A:A,"="&amp;A225,B:B,"&lt;"&amp;(B225+1)),_xlfn._xlws.FILTER(AO:AO,AL:AL=A225),1),1)</f>
        <v>1</v>
      </c>
      <c r="T225" s="62">
        <f t="shared" si="24"/>
        <v>65</v>
      </c>
      <c r="U225" s="62"/>
      <c r="V225" s="62"/>
      <c r="W225" s="63"/>
      <c r="X225" s="30"/>
      <c r="Y225" s="64"/>
      <c r="Z225" s="64"/>
      <c r="AA225" s="23"/>
      <c r="AB225" s="24"/>
      <c r="AC225" s="25"/>
      <c r="AD225" s="69"/>
    </row>
    <row r="226" spans="1:30">
      <c r="A226" s="46">
        <f t="shared" si="20"/>
        <v>6</v>
      </c>
      <c r="B226" s="47">
        <v>10</v>
      </c>
      <c r="C226" s="47"/>
      <c r="D226" s="47"/>
      <c r="E226" s="14"/>
      <c r="F226" s="14" t="str">
        <f t="shared" si="25"/>
        <v/>
      </c>
      <c r="G226" s="14"/>
      <c r="H226" s="30"/>
      <c r="I226" s="17"/>
      <c r="J226" s="18">
        <f t="shared" si="26"/>
        <v>0.02</v>
      </c>
      <c r="K226" s="19" t="s">
        <v>2</v>
      </c>
      <c r="L226" s="38">
        <v>17</v>
      </c>
      <c r="M226" s="21">
        <f>J226*$AD$221</f>
        <v>401610</v>
      </c>
      <c r="N226" s="14"/>
      <c r="O226" s="22"/>
      <c r="P226" s="60">
        <f t="shared" si="21"/>
        <v>0</v>
      </c>
      <c r="Q226" s="60">
        <f t="shared" si="22"/>
        <v>0</v>
      </c>
      <c r="R226" s="60">
        <f t="shared" si="23"/>
        <v>0</v>
      </c>
      <c r="S226" s="62" cm="1">
        <f t="array" ref="S226">_xlfn.IFNA(MATCH(SUMIFS(R:R,A:A,"="&amp;A226,B:B,"&lt;"&amp;(B226+1)),_xlfn._xlws.FILTER(AO:AO,AL:AL=A226),1),1)</f>
        <v>1</v>
      </c>
      <c r="T226" s="62">
        <f t="shared" si="24"/>
        <v>65</v>
      </c>
      <c r="U226" s="62"/>
      <c r="V226" s="62"/>
      <c r="W226" s="63"/>
      <c r="X226" s="30"/>
      <c r="Y226" s="64"/>
      <c r="Z226" s="64"/>
      <c r="AA226" s="23"/>
      <c r="AB226" s="24"/>
      <c r="AC226" s="25"/>
      <c r="AD226" s="25"/>
    </row>
    <row r="227" spans="1:30">
      <c r="A227" s="46">
        <f t="shared" si="20"/>
        <v>6</v>
      </c>
      <c r="B227" s="47">
        <v>11</v>
      </c>
      <c r="C227" s="47"/>
      <c r="D227" s="47"/>
      <c r="E227" s="14"/>
      <c r="F227" s="14" t="str">
        <f t="shared" si="25"/>
        <v/>
      </c>
      <c r="G227" s="14"/>
      <c r="H227" s="30"/>
      <c r="I227" s="17"/>
      <c r="J227" s="18">
        <f t="shared" si="26"/>
        <v>0</v>
      </c>
      <c r="K227" s="19" t="s">
        <v>459</v>
      </c>
      <c r="L227" s="38">
        <v>4</v>
      </c>
      <c r="M227" s="21">
        <v>1</v>
      </c>
      <c r="N227" s="14"/>
      <c r="O227" s="22"/>
      <c r="P227" s="60">
        <f t="shared" si="21"/>
        <v>0</v>
      </c>
      <c r="Q227" s="60">
        <f t="shared" si="22"/>
        <v>0</v>
      </c>
      <c r="R227" s="60">
        <f t="shared" si="23"/>
        <v>0</v>
      </c>
      <c r="S227" s="62" cm="1">
        <f t="array" ref="S227">_xlfn.IFNA(MATCH(SUMIFS(R:R,A:A,"="&amp;A227,B:B,"&lt;"&amp;(B227+1)),_xlfn._xlws.FILTER(AO:AO,AL:AL=A227),1),1)</f>
        <v>1</v>
      </c>
      <c r="T227" s="62">
        <f t="shared" si="24"/>
        <v>65</v>
      </c>
      <c r="U227" s="62"/>
      <c r="V227" s="62"/>
      <c r="W227" s="63"/>
      <c r="X227" s="30"/>
      <c r="Y227" s="64"/>
      <c r="Z227" s="64"/>
      <c r="AA227" s="23"/>
      <c r="AB227" s="24"/>
      <c r="AC227" s="25"/>
      <c r="AD227" s="25"/>
    </row>
    <row r="228" spans="1:30">
      <c r="A228" s="46">
        <f t="shared" si="20"/>
        <v>6</v>
      </c>
      <c r="B228" s="47">
        <v>12</v>
      </c>
      <c r="C228" s="47"/>
      <c r="D228" s="47"/>
      <c r="E228" s="14"/>
      <c r="F228" s="14" t="str">
        <f t="shared" si="25"/>
        <v/>
      </c>
      <c r="G228" s="14"/>
      <c r="H228" s="30"/>
      <c r="I228" s="17"/>
      <c r="J228" s="18">
        <f t="shared" si="26"/>
        <v>0</v>
      </c>
      <c r="K228" s="19" t="s">
        <v>453</v>
      </c>
      <c r="L228" s="38">
        <v>3</v>
      </c>
      <c r="M228" s="21">
        <v>10</v>
      </c>
      <c r="N228" s="14"/>
      <c r="O228" s="22"/>
      <c r="P228" s="60">
        <f t="shared" si="21"/>
        <v>0</v>
      </c>
      <c r="Q228" s="60">
        <f t="shared" si="22"/>
        <v>0</v>
      </c>
      <c r="R228" s="60">
        <f t="shared" si="23"/>
        <v>0</v>
      </c>
      <c r="S228" s="62" cm="1">
        <f t="array" ref="S228">_xlfn.IFNA(MATCH(SUMIFS(R:R,A:A,"="&amp;A228,B:B,"&lt;"&amp;(B228+1)),_xlfn._xlws.FILTER(AO:AO,AL:AL=A228),1),1)</f>
        <v>1</v>
      </c>
      <c r="T228" s="62">
        <f t="shared" si="24"/>
        <v>65</v>
      </c>
      <c r="U228" s="62"/>
      <c r="V228" s="62"/>
      <c r="W228" s="63"/>
      <c r="X228" s="30"/>
      <c r="Y228" s="64"/>
      <c r="Z228" s="64"/>
      <c r="AA228" s="23"/>
      <c r="AB228" s="24"/>
      <c r="AC228" s="25"/>
      <c r="AD228" s="25"/>
    </row>
    <row r="229" spans="1:30">
      <c r="A229" s="46">
        <f t="shared" si="20"/>
        <v>6</v>
      </c>
      <c r="B229" s="47">
        <v>13</v>
      </c>
      <c r="C229" s="47"/>
      <c r="D229" s="47"/>
      <c r="E229" s="14"/>
      <c r="F229" s="14" t="str">
        <f t="shared" si="25"/>
        <v/>
      </c>
      <c r="G229" s="14"/>
      <c r="H229" s="30"/>
      <c r="I229" s="17"/>
      <c r="J229" s="18">
        <f t="shared" si="26"/>
        <v>0</v>
      </c>
      <c r="K229" t="s">
        <v>426</v>
      </c>
      <c r="L229" s="38">
        <v>3</v>
      </c>
      <c r="M229" s="21">
        <v>1</v>
      </c>
      <c r="N229" s="14"/>
      <c r="O229" s="22"/>
      <c r="P229" s="60">
        <f t="shared" si="21"/>
        <v>0</v>
      </c>
      <c r="Q229" s="60">
        <f t="shared" si="22"/>
        <v>0</v>
      </c>
      <c r="R229" s="60">
        <f t="shared" si="23"/>
        <v>0</v>
      </c>
      <c r="S229" s="62" cm="1">
        <f t="array" ref="S229">_xlfn.IFNA(MATCH(SUMIFS(R:R,A:A,"="&amp;A229,B:B,"&lt;"&amp;(B229+1)),_xlfn._xlws.FILTER(AO:AO,AL:AL=A229),1),1)</f>
        <v>1</v>
      </c>
      <c r="T229" s="62">
        <f t="shared" si="24"/>
        <v>65</v>
      </c>
      <c r="U229" s="62"/>
      <c r="V229" s="62"/>
      <c r="W229" s="63"/>
      <c r="X229" s="30"/>
      <c r="Y229" s="64"/>
      <c r="Z229" s="64"/>
      <c r="AA229" s="23"/>
      <c r="AB229" s="24"/>
      <c r="AC229" s="25"/>
      <c r="AD229" s="25"/>
    </row>
    <row r="230" spans="1:30">
      <c r="A230" s="46">
        <f t="shared" si="20"/>
        <v>6</v>
      </c>
      <c r="B230" s="47">
        <v>14</v>
      </c>
      <c r="C230" s="47"/>
      <c r="D230" s="47"/>
      <c r="E230" s="14">
        <v>9.99</v>
      </c>
      <c r="F230" s="14">
        <f t="shared" si="25"/>
        <v>139</v>
      </c>
      <c r="G230" s="36">
        <f>(E230+0.01)*F230*$AJ$2/100</f>
        <v>13900000</v>
      </c>
      <c r="H230" s="37">
        <f>SUM(G218:G230)</f>
        <v>31360000</v>
      </c>
      <c r="I230" s="17">
        <f>SUM(E218:E230)</f>
        <v>23.97</v>
      </c>
      <c r="J230" s="18">
        <f t="shared" si="26"/>
        <v>0</v>
      </c>
      <c r="K230" s="14" t="s">
        <v>2</v>
      </c>
      <c r="L230" s="29">
        <v>9</v>
      </c>
      <c r="M230" s="21">
        <f>G230</f>
        <v>13900000</v>
      </c>
      <c r="N230" s="36">
        <f>SUMIF(K230:K235,"="&amp;"金币",M230:M235)</f>
        <v>15908050</v>
      </c>
      <c r="O230" s="22">
        <f>N230/$AJ$2</f>
        <v>15.90805</v>
      </c>
      <c r="P230" s="60">
        <f t="shared" si="21"/>
        <v>0</v>
      </c>
      <c r="Q230" s="60">
        <f t="shared" si="22"/>
        <v>0</v>
      </c>
      <c r="R230" s="60">
        <f t="shared" si="23"/>
        <v>35</v>
      </c>
      <c r="S230" s="62" cm="1">
        <f t="array" ref="S230">_xlfn.IFNA(MATCH(SUMIFS(R:R,A:A,"="&amp;A230,B:B,"&lt;"&amp;(B230+1)),_xlfn._xlws.FILTER(AO:AO,AL:AL=A230),1),1)</f>
        <v>1</v>
      </c>
      <c r="T230" s="62">
        <f t="shared" si="24"/>
        <v>100</v>
      </c>
      <c r="U230" s="62" t="str">
        <f>_xlfn.IFNA(VLOOKUP(Q230,道具!B:C,2,FALSE),"")</f>
        <v/>
      </c>
      <c r="V230" s="62"/>
      <c r="W230" s="63">
        <f>IF(U230=1,J230*$AD$6,IF(U230=2,J230*$AJ$2,0))</f>
        <v>0</v>
      </c>
      <c r="X230" s="37">
        <f>SUM(N218:N230)+SUM(W218:W230)</f>
        <v>36856450</v>
      </c>
      <c r="Y230" s="66">
        <f>SUM(O218:O230)</f>
        <v>35.77771</v>
      </c>
      <c r="Z230" s="66">
        <f>SUM(W218:W230)</f>
        <v>1078740</v>
      </c>
      <c r="AA230" s="23">
        <f>X230/$AJ$2</f>
        <v>36.85645</v>
      </c>
      <c r="AB230" s="24">
        <f>X230/H230</f>
        <v>1.17526945153061</v>
      </c>
      <c r="AC230" s="25"/>
      <c r="AD230" s="25"/>
    </row>
    <row r="231" spans="1:30">
      <c r="A231" s="46">
        <f t="shared" si="20"/>
        <v>6</v>
      </c>
      <c r="B231" s="47">
        <v>15</v>
      </c>
      <c r="C231" s="47"/>
      <c r="D231" s="47"/>
      <c r="E231" s="14"/>
      <c r="F231" s="14" t="str">
        <f t="shared" si="25"/>
        <v/>
      </c>
      <c r="G231" s="14"/>
      <c r="H231" s="30"/>
      <c r="I231" s="17"/>
      <c r="J231" s="18">
        <f t="shared" si="26"/>
        <v>0</v>
      </c>
      <c r="K231" s="19" t="s">
        <v>408</v>
      </c>
      <c r="L231" s="38">
        <v>3</v>
      </c>
      <c r="M231" s="21">
        <v>3</v>
      </c>
      <c r="N231" s="14"/>
      <c r="O231" s="22"/>
      <c r="P231" s="60">
        <f t="shared" si="21"/>
        <v>0</v>
      </c>
      <c r="Q231" s="60">
        <f t="shared" si="22"/>
        <v>0</v>
      </c>
      <c r="R231" s="60">
        <f t="shared" si="23"/>
        <v>0</v>
      </c>
      <c r="S231" s="62" cm="1">
        <f t="array" ref="S231">_xlfn.IFNA(MATCH(SUMIFS(R:R,A:A,"="&amp;A231,B:B,"&lt;"&amp;(B231+1)),_xlfn._xlws.FILTER(AO:AO,AL:AL=A231),1),1)</f>
        <v>1</v>
      </c>
      <c r="T231" s="62">
        <f t="shared" si="24"/>
        <v>100</v>
      </c>
      <c r="U231" s="62"/>
      <c r="V231" s="62"/>
      <c r="W231" s="63"/>
      <c r="X231" s="30"/>
      <c r="Y231" s="64"/>
      <c r="Z231" s="64"/>
      <c r="AA231" s="23"/>
      <c r="AB231" s="24"/>
      <c r="AC231" s="25"/>
      <c r="AD231" s="25"/>
    </row>
    <row r="232" spans="1:30">
      <c r="A232" s="46">
        <f t="shared" si="20"/>
        <v>6</v>
      </c>
      <c r="B232" s="47">
        <v>16</v>
      </c>
      <c r="C232" s="47"/>
      <c r="D232" s="47"/>
      <c r="E232" s="14"/>
      <c r="F232" s="14" t="str">
        <f t="shared" si="25"/>
        <v/>
      </c>
      <c r="G232" s="14"/>
      <c r="H232" s="30"/>
      <c r="I232" s="17"/>
      <c r="J232" s="18">
        <f t="shared" si="26"/>
        <v>0.1</v>
      </c>
      <c r="K232" s="19" t="s">
        <v>2</v>
      </c>
      <c r="L232" s="38">
        <v>17</v>
      </c>
      <c r="M232" s="21">
        <f>J232*$AD$221</f>
        <v>2008050</v>
      </c>
      <c r="N232" s="14"/>
      <c r="O232" s="22"/>
      <c r="P232" s="60">
        <f t="shared" si="21"/>
        <v>0</v>
      </c>
      <c r="Q232" s="60">
        <f t="shared" si="22"/>
        <v>0</v>
      </c>
      <c r="R232" s="60">
        <f t="shared" si="23"/>
        <v>0</v>
      </c>
      <c r="S232" s="62" cm="1">
        <f t="array" ref="S232">_xlfn.IFNA(MATCH(SUMIFS(R:R,A:A,"="&amp;A232,B:B,"&lt;"&amp;(B232+1)),_xlfn._xlws.FILTER(AO:AO,AL:AL=A232),1),1)</f>
        <v>1</v>
      </c>
      <c r="T232" s="62">
        <f t="shared" si="24"/>
        <v>100</v>
      </c>
      <c r="U232" s="62"/>
      <c r="V232" s="62"/>
      <c r="W232" s="63"/>
      <c r="X232" s="30"/>
      <c r="Y232" s="64"/>
      <c r="Z232" s="64"/>
      <c r="AA232" s="23"/>
      <c r="AB232" s="24"/>
      <c r="AC232" s="25"/>
      <c r="AD232" s="25"/>
    </row>
    <row r="233" spans="1:30">
      <c r="A233" s="46">
        <f t="shared" si="20"/>
        <v>6</v>
      </c>
      <c r="B233" s="47">
        <v>17</v>
      </c>
      <c r="C233" s="47"/>
      <c r="D233" s="47"/>
      <c r="E233" s="14"/>
      <c r="F233" s="14" t="str">
        <f t="shared" si="25"/>
        <v/>
      </c>
      <c r="G233" s="14"/>
      <c r="H233" s="30"/>
      <c r="I233" s="17"/>
      <c r="J233" s="18">
        <f t="shared" si="26"/>
        <v>0</v>
      </c>
      <c r="K233" s="19" t="s">
        <v>461</v>
      </c>
      <c r="L233" s="38">
        <v>4</v>
      </c>
      <c r="M233" s="21">
        <v>1</v>
      </c>
      <c r="N233" s="14"/>
      <c r="O233" s="22"/>
      <c r="P233" s="60">
        <f t="shared" si="21"/>
        <v>0</v>
      </c>
      <c r="Q233" s="60">
        <f t="shared" si="22"/>
        <v>0</v>
      </c>
      <c r="R233" s="60">
        <f t="shared" si="23"/>
        <v>25</v>
      </c>
      <c r="S233" s="62" cm="1">
        <f t="array" ref="S233">_xlfn.IFNA(MATCH(SUMIFS(R:R,A:A,"="&amp;A233,B:B,"&lt;"&amp;(B233+1)),_xlfn._xlws.FILTER(AO:AO,AL:AL=A233),1),1)</f>
        <v>1</v>
      </c>
      <c r="T233" s="62">
        <f t="shared" si="24"/>
        <v>125</v>
      </c>
      <c r="U233" s="62"/>
      <c r="V233" s="62"/>
      <c r="W233" s="63"/>
      <c r="X233" s="30"/>
      <c r="Y233" s="64"/>
      <c r="Z233" s="64"/>
      <c r="AA233" s="23"/>
      <c r="AB233" s="24"/>
      <c r="AC233" s="25"/>
      <c r="AD233" s="25"/>
    </row>
    <row r="234" spans="1:30">
      <c r="A234" s="46">
        <f t="shared" si="20"/>
        <v>6</v>
      </c>
      <c r="B234" s="47">
        <v>18</v>
      </c>
      <c r="C234" s="47"/>
      <c r="D234" s="47"/>
      <c r="E234" s="14"/>
      <c r="F234" s="14" t="str">
        <f t="shared" si="25"/>
        <v/>
      </c>
      <c r="G234" s="14"/>
      <c r="H234" s="30"/>
      <c r="I234" s="17"/>
      <c r="J234" s="18">
        <f t="shared" si="26"/>
        <v>0</v>
      </c>
      <c r="K234" s="19" t="s">
        <v>453</v>
      </c>
      <c r="L234" s="38">
        <v>3</v>
      </c>
      <c r="M234" s="21">
        <v>15</v>
      </c>
      <c r="N234" s="14"/>
      <c r="O234" s="22"/>
      <c r="P234" s="60">
        <f t="shared" si="21"/>
        <v>0</v>
      </c>
      <c r="Q234" s="60">
        <f t="shared" si="22"/>
        <v>0</v>
      </c>
      <c r="R234" s="60">
        <f t="shared" si="23"/>
        <v>0</v>
      </c>
      <c r="S234" s="62" cm="1">
        <f t="array" ref="S234">_xlfn.IFNA(MATCH(SUMIFS(R:R,A:A,"="&amp;A234,B:B,"&lt;"&amp;(B234+1)),_xlfn._xlws.FILTER(AO:AO,AL:AL=A234),1),1)</f>
        <v>1</v>
      </c>
      <c r="T234" s="62">
        <f t="shared" si="24"/>
        <v>125</v>
      </c>
      <c r="U234" s="62"/>
      <c r="V234" s="62"/>
      <c r="W234" s="63"/>
      <c r="X234" s="30"/>
      <c r="Y234" s="64"/>
      <c r="Z234" s="64"/>
      <c r="AA234" s="23"/>
      <c r="AB234" s="24"/>
      <c r="AC234" s="25"/>
      <c r="AD234" s="25"/>
    </row>
    <row r="235" spans="1:30">
      <c r="A235" s="46">
        <f t="shared" si="20"/>
        <v>6</v>
      </c>
      <c r="B235" s="47">
        <v>19</v>
      </c>
      <c r="C235" s="47"/>
      <c r="D235" s="47"/>
      <c r="E235" s="14"/>
      <c r="F235" s="14" t="str">
        <f t="shared" si="25"/>
        <v/>
      </c>
      <c r="G235" s="14"/>
      <c r="H235" s="30"/>
      <c r="I235" s="17"/>
      <c r="J235" s="18">
        <f t="shared" si="26"/>
        <v>0</v>
      </c>
      <c r="K235" t="s">
        <v>424</v>
      </c>
      <c r="L235" s="38">
        <v>3</v>
      </c>
      <c r="M235" s="21">
        <v>1</v>
      </c>
      <c r="N235" s="14"/>
      <c r="O235" s="22"/>
      <c r="P235" s="60">
        <f t="shared" si="21"/>
        <v>0</v>
      </c>
      <c r="Q235" s="60">
        <f t="shared" si="22"/>
        <v>0</v>
      </c>
      <c r="R235" s="60">
        <f t="shared" si="23"/>
        <v>0</v>
      </c>
      <c r="S235" s="62" cm="1">
        <f t="array" ref="S235">_xlfn.IFNA(MATCH(SUMIFS(R:R,A:A,"="&amp;A235,B:B,"&lt;"&amp;(B235+1)),_xlfn._xlws.FILTER(AO:AO,AL:AL=A235),1),1)</f>
        <v>1</v>
      </c>
      <c r="T235" s="62">
        <f t="shared" si="24"/>
        <v>125</v>
      </c>
      <c r="U235" s="62"/>
      <c r="V235" s="62"/>
      <c r="W235" s="63"/>
      <c r="X235" s="30"/>
      <c r="Y235" s="64"/>
      <c r="Z235" s="64"/>
      <c r="AA235" s="23"/>
      <c r="AB235" s="24"/>
      <c r="AC235" s="25"/>
      <c r="AD235" s="25"/>
    </row>
    <row r="236" spans="1:30">
      <c r="A236" s="46">
        <f t="shared" si="20"/>
        <v>6</v>
      </c>
      <c r="B236" s="47">
        <v>20</v>
      </c>
      <c r="C236" s="47"/>
      <c r="D236" s="47"/>
      <c r="E236" s="14">
        <v>12.99</v>
      </c>
      <c r="F236" s="14">
        <f t="shared" si="25"/>
        <v>149</v>
      </c>
      <c r="G236" s="36">
        <f>(E236+0.01)*F236*$AJ$2/100</f>
        <v>19370000</v>
      </c>
      <c r="H236" s="37">
        <f>SUM(G218:G236)</f>
        <v>50730000</v>
      </c>
      <c r="I236" s="17">
        <f>SUM(E218:E236)</f>
        <v>36.96</v>
      </c>
      <c r="J236" s="18">
        <f t="shared" si="26"/>
        <v>0.24</v>
      </c>
      <c r="K236" s="14" t="s">
        <v>2</v>
      </c>
      <c r="L236" s="29">
        <v>9</v>
      </c>
      <c r="M236" s="21">
        <f>G236</f>
        <v>19370000</v>
      </c>
      <c r="N236" s="36">
        <f>SUMIF(K236:K241,"="&amp;"金币",M236:M241)</f>
        <v>20976440</v>
      </c>
      <c r="O236" s="22">
        <f>N236/$AJ$2</f>
        <v>20.97644</v>
      </c>
      <c r="P236" s="60">
        <f t="shared" si="21"/>
        <v>2</v>
      </c>
      <c r="Q236" s="60" t="str">
        <f t="shared" si="22"/>
        <v>金币</v>
      </c>
      <c r="R236" s="60">
        <f t="shared" si="23"/>
        <v>0</v>
      </c>
      <c r="S236" s="62" cm="1">
        <f t="array" ref="S236">_xlfn.IFNA(MATCH(SUMIFS(R:R,A:A,"="&amp;A236,B:B,"&lt;"&amp;(B236+1)),_xlfn._xlws.FILTER(AO:AO,AL:AL=A236),1),1)</f>
        <v>1</v>
      </c>
      <c r="T236" s="62">
        <f t="shared" si="24"/>
        <v>125</v>
      </c>
      <c r="U236" s="62">
        <f>_xlfn.IFNA(VLOOKUP(Q236,道具!B:C,2,FALSE),"")</f>
        <v>1</v>
      </c>
      <c r="V236" s="62">
        <f>IF(U236=1,CEILING(W236*100/$AJ$2,5),IF(U236=2,J236*100,0))</f>
        <v>220</v>
      </c>
      <c r="W236" s="63">
        <f>IF(U236=1,J236*$AD$6,IF(U236=2,J236*$AJ$2,0))</f>
        <v>2157480</v>
      </c>
      <c r="X236" s="37">
        <f>SUM(N218:N236)+SUM(W218:W236)</f>
        <v>59990370</v>
      </c>
      <c r="Y236" s="66">
        <f>SUM(O218:O236)</f>
        <v>56.75415</v>
      </c>
      <c r="Z236" s="66">
        <f>SUM(W218:W236)</f>
        <v>3236220</v>
      </c>
      <c r="AA236" s="23">
        <f>X236/$AJ$2</f>
        <v>59.99037</v>
      </c>
      <c r="AB236" s="24">
        <f>X236/H236</f>
        <v>1.18254228267297</v>
      </c>
      <c r="AC236" s="25"/>
      <c r="AD236" s="25"/>
    </row>
    <row r="237" spans="1:30">
      <c r="A237" s="46">
        <f t="shared" ref="A237:A300" si="27">A194+1</f>
        <v>6</v>
      </c>
      <c r="B237" s="47">
        <v>21</v>
      </c>
      <c r="C237" s="47"/>
      <c r="D237" s="47"/>
      <c r="E237" s="14"/>
      <c r="F237" s="14" t="str">
        <f t="shared" si="25"/>
        <v/>
      </c>
      <c r="G237" s="14"/>
      <c r="H237" s="30"/>
      <c r="I237" s="17"/>
      <c r="J237" s="18">
        <f t="shared" si="26"/>
        <v>0</v>
      </c>
      <c r="K237" s="19" t="s">
        <v>408</v>
      </c>
      <c r="L237" s="38">
        <v>3</v>
      </c>
      <c r="M237" s="21">
        <v>4</v>
      </c>
      <c r="N237" s="14"/>
      <c r="O237" s="22"/>
      <c r="P237" s="60">
        <f t="shared" ref="P237:P300" si="28">P194</f>
        <v>0</v>
      </c>
      <c r="Q237" s="60">
        <f t="shared" ref="Q237:Q300" si="29">Q194</f>
        <v>0</v>
      </c>
      <c r="R237" s="60">
        <f t="shared" ref="R237:R300" si="30">R194</f>
        <v>0</v>
      </c>
      <c r="S237" s="62" cm="1">
        <f t="array" ref="S237">_xlfn.IFNA(MATCH(SUMIFS(R:R,A:A,"="&amp;A237,B:B,"&lt;"&amp;(B237+1)),_xlfn._xlws.FILTER(AO:AO,AL:AL=A237),1),1)</f>
        <v>1</v>
      </c>
      <c r="T237" s="62">
        <f t="shared" si="24"/>
        <v>125</v>
      </c>
      <c r="U237" s="62"/>
      <c r="V237" s="62"/>
      <c r="W237" s="63"/>
      <c r="X237" s="30"/>
      <c r="Y237" s="64"/>
      <c r="Z237" s="64"/>
      <c r="AA237" s="23"/>
      <c r="AB237" s="24"/>
      <c r="AC237" s="25"/>
      <c r="AD237" s="25"/>
    </row>
    <row r="238" spans="1:30">
      <c r="A238" s="46">
        <f t="shared" si="27"/>
        <v>6</v>
      </c>
      <c r="B238" s="47">
        <v>22</v>
      </c>
      <c r="C238" s="47"/>
      <c r="D238" s="47"/>
      <c r="E238" s="14"/>
      <c r="F238" s="14" t="str">
        <f t="shared" si="25"/>
        <v/>
      </c>
      <c r="G238" s="14"/>
      <c r="H238" s="30"/>
      <c r="I238" s="17"/>
      <c r="J238" s="18">
        <f t="shared" si="26"/>
        <v>0.08</v>
      </c>
      <c r="K238" s="19" t="s">
        <v>2</v>
      </c>
      <c r="L238" s="38">
        <v>17</v>
      </c>
      <c r="M238" s="21">
        <f>J238*$AD$221</f>
        <v>1606440</v>
      </c>
      <c r="N238" s="14"/>
      <c r="O238" s="22"/>
      <c r="P238" s="60">
        <f t="shared" si="28"/>
        <v>0</v>
      </c>
      <c r="Q238" s="60">
        <f t="shared" si="29"/>
        <v>0</v>
      </c>
      <c r="R238" s="60">
        <f t="shared" si="30"/>
        <v>0</v>
      </c>
      <c r="S238" s="62" cm="1">
        <f t="array" ref="S238">_xlfn.IFNA(MATCH(SUMIFS(R:R,A:A,"="&amp;A238,B:B,"&lt;"&amp;(B238+1)),_xlfn._xlws.FILTER(AO:AO,AL:AL=A238),1),1)</f>
        <v>1</v>
      </c>
      <c r="T238" s="62">
        <f t="shared" si="24"/>
        <v>125</v>
      </c>
      <c r="U238" s="62"/>
      <c r="V238" s="62"/>
      <c r="W238" s="63"/>
      <c r="X238" s="30"/>
      <c r="Y238" s="64"/>
      <c r="Z238" s="64"/>
      <c r="AA238" s="23"/>
      <c r="AB238" s="24"/>
      <c r="AC238" s="25"/>
      <c r="AD238" s="25"/>
    </row>
    <row r="239" spans="1:30">
      <c r="A239" s="46">
        <f t="shared" si="27"/>
        <v>6</v>
      </c>
      <c r="B239" s="47">
        <v>23</v>
      </c>
      <c r="C239" s="47"/>
      <c r="D239" s="47"/>
      <c r="E239" s="14"/>
      <c r="F239" s="14" t="str">
        <f t="shared" si="25"/>
        <v/>
      </c>
      <c r="G239" s="14"/>
      <c r="H239" s="30"/>
      <c r="I239" s="17"/>
      <c r="J239" s="18">
        <f t="shared" si="26"/>
        <v>0</v>
      </c>
      <c r="K239" s="19" t="s">
        <v>461</v>
      </c>
      <c r="L239" s="38">
        <v>4</v>
      </c>
      <c r="M239" s="21">
        <v>1</v>
      </c>
      <c r="N239" s="14"/>
      <c r="O239" s="22"/>
      <c r="P239" s="60">
        <f t="shared" si="28"/>
        <v>0</v>
      </c>
      <c r="Q239" s="60">
        <f t="shared" si="29"/>
        <v>0</v>
      </c>
      <c r="R239" s="60">
        <f t="shared" si="30"/>
        <v>15</v>
      </c>
      <c r="S239" s="62" cm="1">
        <f t="array" ref="S239">_xlfn.IFNA(MATCH(SUMIFS(R:R,A:A,"="&amp;A239,B:B,"&lt;"&amp;(B239+1)),_xlfn._xlws.FILTER(AO:AO,AL:AL=A239),1),1)</f>
        <v>1</v>
      </c>
      <c r="T239" s="62">
        <f t="shared" si="24"/>
        <v>140</v>
      </c>
      <c r="U239" s="62"/>
      <c r="V239" s="62"/>
      <c r="W239" s="63"/>
      <c r="X239" s="30"/>
      <c r="Y239" s="64"/>
      <c r="Z239" s="64"/>
      <c r="AA239" s="23"/>
      <c r="AB239" s="24"/>
      <c r="AC239" s="25"/>
      <c r="AD239" s="25"/>
    </row>
    <row r="240" spans="1:30">
      <c r="A240" s="46">
        <f t="shared" si="27"/>
        <v>6</v>
      </c>
      <c r="B240" s="47">
        <v>24</v>
      </c>
      <c r="C240" s="47"/>
      <c r="D240" s="47"/>
      <c r="E240" s="14"/>
      <c r="F240" s="14" t="str">
        <f t="shared" si="25"/>
        <v/>
      </c>
      <c r="G240" s="14"/>
      <c r="H240" s="30"/>
      <c r="I240" s="17"/>
      <c r="J240" s="18">
        <f t="shared" si="26"/>
        <v>0</v>
      </c>
      <c r="K240" s="19" t="s">
        <v>453</v>
      </c>
      <c r="L240" s="38">
        <v>3</v>
      </c>
      <c r="M240" s="21">
        <v>20</v>
      </c>
      <c r="N240" s="14"/>
      <c r="O240" s="22"/>
      <c r="P240" s="60">
        <f t="shared" si="28"/>
        <v>0</v>
      </c>
      <c r="Q240" s="60">
        <f t="shared" si="29"/>
        <v>0</v>
      </c>
      <c r="R240" s="60">
        <f t="shared" si="30"/>
        <v>0</v>
      </c>
      <c r="S240" s="62" cm="1">
        <f t="array" ref="S240">_xlfn.IFNA(MATCH(SUMIFS(R:R,A:A,"="&amp;A240,B:B,"&lt;"&amp;(B240+1)),_xlfn._xlws.FILTER(AO:AO,AL:AL=A240),1),1)</f>
        <v>1</v>
      </c>
      <c r="T240" s="62">
        <f t="shared" si="24"/>
        <v>140</v>
      </c>
      <c r="U240" s="62"/>
      <c r="V240" s="62"/>
      <c r="W240" s="63"/>
      <c r="X240" s="30"/>
      <c r="Y240" s="64"/>
      <c r="Z240" s="64"/>
      <c r="AA240" s="23"/>
      <c r="AB240" s="24"/>
      <c r="AC240" s="25"/>
      <c r="AD240" s="25"/>
    </row>
    <row r="241" spans="1:30">
      <c r="A241" s="46">
        <f t="shared" si="27"/>
        <v>6</v>
      </c>
      <c r="B241" s="47">
        <v>25</v>
      </c>
      <c r="C241" s="47"/>
      <c r="D241" s="47"/>
      <c r="E241" s="14"/>
      <c r="F241" s="14" t="str">
        <f t="shared" si="25"/>
        <v/>
      </c>
      <c r="G241" s="14"/>
      <c r="H241" s="30"/>
      <c r="I241" s="17"/>
      <c r="J241" s="18">
        <f t="shared" si="26"/>
        <v>0</v>
      </c>
      <c r="K241" t="s">
        <v>426</v>
      </c>
      <c r="L241" s="38">
        <v>3</v>
      </c>
      <c r="M241" s="21">
        <v>1</v>
      </c>
      <c r="N241" s="14"/>
      <c r="O241" s="22"/>
      <c r="P241" s="60">
        <f t="shared" si="28"/>
        <v>0</v>
      </c>
      <c r="Q241" s="60">
        <f t="shared" si="29"/>
        <v>0</v>
      </c>
      <c r="R241" s="60">
        <f t="shared" si="30"/>
        <v>0</v>
      </c>
      <c r="S241" s="62" cm="1">
        <f t="array" ref="S241">_xlfn.IFNA(MATCH(SUMIFS(R:R,A:A,"="&amp;A241,B:B,"&lt;"&amp;(B241+1)),_xlfn._xlws.FILTER(AO:AO,AL:AL=A241),1),1)</f>
        <v>1</v>
      </c>
      <c r="T241" s="62">
        <f t="shared" si="24"/>
        <v>140</v>
      </c>
      <c r="U241" s="62"/>
      <c r="V241" s="62"/>
      <c r="W241" s="63"/>
      <c r="X241" s="30"/>
      <c r="Y241" s="64"/>
      <c r="Z241" s="64"/>
      <c r="AA241" s="23"/>
      <c r="AB241" s="24"/>
      <c r="AC241" s="25"/>
      <c r="AD241" s="25"/>
    </row>
    <row r="242" spans="1:30">
      <c r="A242" s="46">
        <f t="shared" si="27"/>
        <v>6</v>
      </c>
      <c r="B242" s="47">
        <v>26</v>
      </c>
      <c r="C242" s="47"/>
      <c r="D242" s="47"/>
      <c r="E242" s="14">
        <v>14.99</v>
      </c>
      <c r="F242" s="14">
        <f t="shared" si="25"/>
        <v>154</v>
      </c>
      <c r="G242" s="36">
        <f>(E242+0.01)*F242*$AJ$2/100</f>
        <v>23100000</v>
      </c>
      <c r="H242" s="37">
        <f>SUM(G218:G242)</f>
        <v>73830000</v>
      </c>
      <c r="I242" s="17">
        <f>SUM(E218:E242)</f>
        <v>51.95</v>
      </c>
      <c r="J242" s="18">
        <f t="shared" si="26"/>
        <v>0</v>
      </c>
      <c r="K242" s="14" t="s">
        <v>2</v>
      </c>
      <c r="L242" s="29">
        <v>9</v>
      </c>
      <c r="M242" s="21">
        <f>G242</f>
        <v>23100000</v>
      </c>
      <c r="N242" s="36">
        <f>SUMIF(K242:K247,"="&amp;"金币",M242:M247)</f>
        <v>24104025</v>
      </c>
      <c r="O242" s="22">
        <f>N242/$AJ$2</f>
        <v>24.104025</v>
      </c>
      <c r="P242" s="60">
        <f t="shared" si="28"/>
        <v>0</v>
      </c>
      <c r="Q242" s="60">
        <f t="shared" si="29"/>
        <v>0</v>
      </c>
      <c r="R242" s="60">
        <f t="shared" si="30"/>
        <v>10</v>
      </c>
      <c r="S242" s="62" cm="1">
        <f t="array" ref="S242">_xlfn.IFNA(MATCH(SUMIFS(R:R,A:A,"="&amp;A242,B:B,"&lt;"&amp;(B242+1)),_xlfn._xlws.FILTER(AO:AO,AL:AL=A242),1),1)</f>
        <v>2</v>
      </c>
      <c r="T242" s="62">
        <f t="shared" si="24"/>
        <v>150</v>
      </c>
      <c r="U242" s="62" t="str">
        <f>_xlfn.IFNA(VLOOKUP(Q242,道具!B:C,2,FALSE),"")</f>
        <v/>
      </c>
      <c r="V242" s="62">
        <f>IF(U242=1,CEILING(W242*100/$AJ$2,5),IF(U242=2,J242*100,0))</f>
        <v>0</v>
      </c>
      <c r="W242" s="63">
        <f>IF(U242=1,J242*$AD$6,IF(U242=2,J242*$AJ$2,0))</f>
        <v>0</v>
      </c>
      <c r="X242" s="37">
        <f>SUM(N218:N242)+SUM(W218:W242)</f>
        <v>84094395</v>
      </c>
      <c r="Y242" s="66">
        <f>SUM(O218:O242)</f>
        <v>80.858175</v>
      </c>
      <c r="Z242" s="66">
        <f>SUM(W218:W242)</f>
        <v>3236220</v>
      </c>
      <c r="AA242" s="23">
        <f>X242/$AJ$2</f>
        <v>84.094395</v>
      </c>
      <c r="AB242" s="24">
        <f>X242/H242</f>
        <v>1.13902742787485</v>
      </c>
      <c r="AC242" s="25"/>
      <c r="AD242" s="25"/>
    </row>
    <row r="243" spans="1:30">
      <c r="A243" s="46">
        <f t="shared" si="27"/>
        <v>6</v>
      </c>
      <c r="B243" s="47">
        <v>27</v>
      </c>
      <c r="C243" s="47"/>
      <c r="D243" s="47"/>
      <c r="E243" s="14"/>
      <c r="F243" s="14" t="str">
        <f t="shared" si="25"/>
        <v/>
      </c>
      <c r="G243" s="14"/>
      <c r="H243" s="30"/>
      <c r="I243" s="17"/>
      <c r="J243" s="18">
        <f t="shared" si="26"/>
        <v>0</v>
      </c>
      <c r="K243" s="19" t="s">
        <v>408</v>
      </c>
      <c r="L243" s="38">
        <v>3</v>
      </c>
      <c r="M243" s="21">
        <v>5</v>
      </c>
      <c r="N243" s="14"/>
      <c r="O243" s="22"/>
      <c r="P243" s="60">
        <f t="shared" si="28"/>
        <v>0</v>
      </c>
      <c r="Q243" s="60">
        <f t="shared" si="29"/>
        <v>0</v>
      </c>
      <c r="R243" s="60">
        <f t="shared" si="30"/>
        <v>0</v>
      </c>
      <c r="S243" s="62" cm="1">
        <f t="array" ref="S243">_xlfn.IFNA(MATCH(SUMIFS(R:R,A:A,"="&amp;A243,B:B,"&lt;"&amp;(B243+1)),_xlfn._xlws.FILTER(AO:AO,AL:AL=A243),1),1)</f>
        <v>2</v>
      </c>
      <c r="T243" s="62">
        <f t="shared" si="24"/>
        <v>150</v>
      </c>
      <c r="U243" s="62"/>
      <c r="V243" s="62"/>
      <c r="W243" s="63"/>
      <c r="X243" s="30"/>
      <c r="Y243" s="64"/>
      <c r="Z243" s="64"/>
      <c r="AA243" s="23"/>
      <c r="AB243" s="24"/>
      <c r="AC243" s="25"/>
      <c r="AD243" s="25"/>
    </row>
    <row r="244" spans="1:30">
      <c r="A244" s="46">
        <f t="shared" si="27"/>
        <v>6</v>
      </c>
      <c r="B244" s="47">
        <v>28</v>
      </c>
      <c r="C244" s="47"/>
      <c r="D244" s="47"/>
      <c r="E244" s="14"/>
      <c r="F244" s="14" t="str">
        <f t="shared" si="25"/>
        <v/>
      </c>
      <c r="G244" s="14"/>
      <c r="H244" s="30"/>
      <c r="I244" s="17"/>
      <c r="J244" s="18">
        <f t="shared" si="26"/>
        <v>0.05</v>
      </c>
      <c r="K244" s="19" t="s">
        <v>2</v>
      </c>
      <c r="L244" s="38">
        <v>17</v>
      </c>
      <c r="M244" s="21">
        <f>J244*$AD$221</f>
        <v>1004025</v>
      </c>
      <c r="N244" s="14"/>
      <c r="O244" s="22"/>
      <c r="P244" s="60">
        <f t="shared" si="28"/>
        <v>0</v>
      </c>
      <c r="Q244" s="60">
        <f t="shared" si="29"/>
        <v>0</v>
      </c>
      <c r="R244" s="60">
        <f t="shared" si="30"/>
        <v>0</v>
      </c>
      <c r="S244" s="62" cm="1">
        <f t="array" ref="S244">_xlfn.IFNA(MATCH(SUMIFS(R:R,A:A,"="&amp;A244,B:B,"&lt;"&amp;(B244+1)),_xlfn._xlws.FILTER(AO:AO,AL:AL=A244),1),1)</f>
        <v>2</v>
      </c>
      <c r="T244" s="62">
        <f t="shared" si="24"/>
        <v>150</v>
      </c>
      <c r="U244" s="62"/>
      <c r="V244" s="62"/>
      <c r="W244" s="63"/>
      <c r="X244" s="30"/>
      <c r="Y244" s="64"/>
      <c r="Z244" s="64"/>
      <c r="AA244" s="23"/>
      <c r="AB244" s="24"/>
      <c r="AC244" s="25"/>
      <c r="AD244" s="25"/>
    </row>
    <row r="245" spans="1:30">
      <c r="A245" s="46">
        <f t="shared" si="27"/>
        <v>6</v>
      </c>
      <c r="B245" s="47">
        <v>29</v>
      </c>
      <c r="C245" s="47"/>
      <c r="D245" s="47"/>
      <c r="E245" s="14"/>
      <c r="F245" s="14" t="str">
        <f t="shared" si="25"/>
        <v/>
      </c>
      <c r="G245" s="14"/>
      <c r="H245" s="30"/>
      <c r="I245" s="17"/>
      <c r="J245" s="18">
        <f t="shared" si="26"/>
        <v>0</v>
      </c>
      <c r="K245" s="19" t="s">
        <v>463</v>
      </c>
      <c r="L245" s="38">
        <v>4</v>
      </c>
      <c r="M245" s="21">
        <v>1</v>
      </c>
      <c r="N245" s="14"/>
      <c r="O245" s="22"/>
      <c r="P245" s="60">
        <f t="shared" si="28"/>
        <v>0</v>
      </c>
      <c r="Q245" s="60">
        <f t="shared" si="29"/>
        <v>0</v>
      </c>
      <c r="R245" s="60">
        <f t="shared" si="30"/>
        <v>25</v>
      </c>
      <c r="S245" s="62" cm="1">
        <f t="array" ref="S245">_xlfn.IFNA(MATCH(SUMIFS(R:R,A:A,"="&amp;A245,B:B,"&lt;"&amp;(B245+1)),_xlfn._xlws.FILTER(AO:AO,AL:AL=A245),1),1)</f>
        <v>2</v>
      </c>
      <c r="T245" s="62">
        <f t="shared" si="24"/>
        <v>175</v>
      </c>
      <c r="U245" s="62"/>
      <c r="V245" s="62"/>
      <c r="W245" s="63"/>
      <c r="X245" s="30"/>
      <c r="Y245" s="64"/>
      <c r="Z245" s="64"/>
      <c r="AA245" s="23"/>
      <c r="AB245" s="24"/>
      <c r="AC245" s="25"/>
      <c r="AD245" s="25"/>
    </row>
    <row r="246" spans="1:30">
      <c r="A246" s="46">
        <f t="shared" si="27"/>
        <v>6</v>
      </c>
      <c r="B246" s="47">
        <v>30</v>
      </c>
      <c r="C246" s="47"/>
      <c r="D246" s="47"/>
      <c r="E246" s="14"/>
      <c r="F246" s="14" t="str">
        <f t="shared" si="25"/>
        <v/>
      </c>
      <c r="G246" s="14"/>
      <c r="H246" s="30"/>
      <c r="I246" s="17"/>
      <c r="J246" s="18">
        <f t="shared" si="26"/>
        <v>0</v>
      </c>
      <c r="K246" s="19" t="s">
        <v>453</v>
      </c>
      <c r="L246" s="38">
        <v>3</v>
      </c>
      <c r="M246" s="21">
        <v>25</v>
      </c>
      <c r="N246" s="14"/>
      <c r="O246" s="22"/>
      <c r="P246" s="60">
        <f t="shared" si="28"/>
        <v>0</v>
      </c>
      <c r="Q246" s="60">
        <f t="shared" si="29"/>
        <v>0</v>
      </c>
      <c r="R246" s="60">
        <f t="shared" si="30"/>
        <v>0</v>
      </c>
      <c r="S246" s="62" cm="1">
        <f t="array" ref="S246">_xlfn.IFNA(MATCH(SUMIFS(R:R,A:A,"="&amp;A246,B:B,"&lt;"&amp;(B246+1)),_xlfn._xlws.FILTER(AO:AO,AL:AL=A246),1),1)</f>
        <v>2</v>
      </c>
      <c r="T246" s="62">
        <f t="shared" si="24"/>
        <v>175</v>
      </c>
      <c r="U246" s="62"/>
      <c r="V246" s="62"/>
      <c r="W246" s="63"/>
      <c r="X246" s="30"/>
      <c r="Y246" s="64"/>
      <c r="Z246" s="64"/>
      <c r="AA246" s="23"/>
      <c r="AB246" s="24"/>
      <c r="AC246" s="25"/>
      <c r="AD246" s="25"/>
    </row>
    <row r="247" spans="1:30">
      <c r="A247" s="46">
        <f t="shared" si="27"/>
        <v>6</v>
      </c>
      <c r="B247" s="47">
        <v>31</v>
      </c>
      <c r="C247" s="47"/>
      <c r="D247" s="47"/>
      <c r="E247" s="14"/>
      <c r="F247" s="14" t="str">
        <f t="shared" si="25"/>
        <v/>
      </c>
      <c r="G247" s="14"/>
      <c r="H247" s="30"/>
      <c r="I247" s="17"/>
      <c r="J247" s="18">
        <f t="shared" si="26"/>
        <v>0</v>
      </c>
      <c r="K247" t="s">
        <v>424</v>
      </c>
      <c r="L247" s="38">
        <v>3</v>
      </c>
      <c r="M247" s="21">
        <v>1</v>
      </c>
      <c r="N247" s="14"/>
      <c r="O247" s="22"/>
      <c r="P247" s="60">
        <f t="shared" si="28"/>
        <v>0</v>
      </c>
      <c r="Q247" s="60">
        <f t="shared" si="29"/>
        <v>0</v>
      </c>
      <c r="R247" s="60">
        <f t="shared" si="30"/>
        <v>0</v>
      </c>
      <c r="S247" s="62" cm="1">
        <f t="array" ref="S247">_xlfn.IFNA(MATCH(SUMIFS(R:R,A:A,"="&amp;A247,B:B,"&lt;"&amp;(B247+1)),_xlfn._xlws.FILTER(AO:AO,AL:AL=A247),1),1)</f>
        <v>2</v>
      </c>
      <c r="T247" s="62">
        <f t="shared" si="24"/>
        <v>175</v>
      </c>
      <c r="U247" s="62"/>
      <c r="V247" s="62"/>
      <c r="W247" s="63"/>
      <c r="X247" s="30"/>
      <c r="Y247" s="64"/>
      <c r="Z247" s="64"/>
      <c r="AA247" s="23"/>
      <c r="AB247" s="24"/>
      <c r="AC247" s="25"/>
      <c r="AD247" s="25"/>
    </row>
    <row r="248" spans="1:30">
      <c r="A248" s="46">
        <f t="shared" si="27"/>
        <v>6</v>
      </c>
      <c r="B248" s="47">
        <v>32</v>
      </c>
      <c r="C248" s="47"/>
      <c r="D248" s="47"/>
      <c r="E248" s="14">
        <v>17.99</v>
      </c>
      <c r="F248" s="14">
        <f t="shared" si="25"/>
        <v>158</v>
      </c>
      <c r="G248" s="36">
        <f>(E248+0.01)*F248*$AJ$2/100</f>
        <v>28440000</v>
      </c>
      <c r="H248" s="37">
        <f>SUM(G218:G248)</f>
        <v>102270000</v>
      </c>
      <c r="I248" s="17">
        <f>SUM(E218:E248)</f>
        <v>69.94</v>
      </c>
      <c r="J248" s="18">
        <f t="shared" si="26"/>
        <v>0</v>
      </c>
      <c r="K248" s="14" t="s">
        <v>2</v>
      </c>
      <c r="L248" s="29">
        <v>9</v>
      </c>
      <c r="M248" s="21">
        <f>G248</f>
        <v>28440000</v>
      </c>
      <c r="N248" s="36">
        <f>SUMIF(K248:K253,"="&amp;"金币",M248:M253)</f>
        <v>30849660</v>
      </c>
      <c r="O248" s="22">
        <f>N248/$AJ$2</f>
        <v>30.84966</v>
      </c>
      <c r="P248" s="60">
        <f t="shared" si="28"/>
        <v>0</v>
      </c>
      <c r="Q248" s="60">
        <f t="shared" si="29"/>
        <v>0</v>
      </c>
      <c r="R248" s="60">
        <f t="shared" si="30"/>
        <v>25</v>
      </c>
      <c r="S248" s="62" cm="1">
        <f t="array" ref="S248">_xlfn.IFNA(MATCH(SUMIFS(R:R,A:A,"="&amp;A248,B:B,"&lt;"&amp;(B248+1)),_xlfn._xlws.FILTER(AO:AO,AL:AL=A248),1),1)</f>
        <v>2</v>
      </c>
      <c r="T248" s="62">
        <f t="shared" si="24"/>
        <v>200</v>
      </c>
      <c r="U248" s="62" t="str">
        <f>_xlfn.IFNA(VLOOKUP(Q248,道具!B:C,2,FALSE),"")</f>
        <v/>
      </c>
      <c r="V248" s="62">
        <f>IF(U248=1,CEILING(W248*100/$AJ$2,5),IF(U248=2,J248*100,0))</f>
        <v>0</v>
      </c>
      <c r="W248" s="63">
        <f>IF(U248=1,J248*$AD$6,IF(U248=2,J248*$AJ$2,0))</f>
        <v>0</v>
      </c>
      <c r="X248" s="37">
        <f>SUM(N218:N248)+SUM(W218:W248)</f>
        <v>114944055</v>
      </c>
      <c r="Y248" s="66">
        <f>SUM(O218:O248)</f>
        <v>111.707835</v>
      </c>
      <c r="Z248" s="66">
        <f>SUM(W218:W248)</f>
        <v>3236220</v>
      </c>
      <c r="AA248" s="23">
        <f>X248/$AJ$2</f>
        <v>114.944055</v>
      </c>
      <c r="AB248" s="24">
        <f>X248/H248</f>
        <v>1.12392739806395</v>
      </c>
      <c r="AC248" s="25"/>
      <c r="AD248" s="25"/>
    </row>
    <row r="249" spans="1:30">
      <c r="A249" s="46">
        <f t="shared" si="27"/>
        <v>6</v>
      </c>
      <c r="B249" s="47">
        <v>33</v>
      </c>
      <c r="C249" s="47"/>
      <c r="D249" s="47"/>
      <c r="E249" s="14"/>
      <c r="F249" s="14" t="str">
        <f t="shared" si="25"/>
        <v/>
      </c>
      <c r="G249" s="14"/>
      <c r="H249" s="30"/>
      <c r="I249" s="17"/>
      <c r="J249" s="18">
        <f t="shared" si="26"/>
        <v>0</v>
      </c>
      <c r="K249" s="19" t="s">
        <v>408</v>
      </c>
      <c r="L249" s="38">
        <v>3</v>
      </c>
      <c r="M249" s="21">
        <v>6</v>
      </c>
      <c r="N249" s="14"/>
      <c r="O249" s="22"/>
      <c r="P249" s="60">
        <f t="shared" si="28"/>
        <v>0</v>
      </c>
      <c r="Q249" s="60">
        <f t="shared" si="29"/>
        <v>0</v>
      </c>
      <c r="R249" s="60">
        <f t="shared" si="30"/>
        <v>0</v>
      </c>
      <c r="S249" s="62" cm="1">
        <f t="array" ref="S249">_xlfn.IFNA(MATCH(SUMIFS(R:R,A:A,"="&amp;A249,B:B,"&lt;"&amp;(B249+1)),_xlfn._xlws.FILTER(AO:AO,AL:AL=A249),1),1)</f>
        <v>2</v>
      </c>
      <c r="T249" s="62">
        <f t="shared" si="24"/>
        <v>200</v>
      </c>
      <c r="U249" s="62"/>
      <c r="V249" s="62"/>
      <c r="W249" s="63"/>
      <c r="X249" s="30"/>
      <c r="Y249" s="64"/>
      <c r="Z249" s="64"/>
      <c r="AA249" s="23"/>
      <c r="AB249" s="24"/>
      <c r="AC249" s="25"/>
      <c r="AD249" s="25"/>
    </row>
    <row r="250" spans="1:30">
      <c r="A250" s="46">
        <f t="shared" si="27"/>
        <v>6</v>
      </c>
      <c r="B250" s="47">
        <v>34</v>
      </c>
      <c r="C250" s="47"/>
      <c r="D250" s="47"/>
      <c r="E250" s="14"/>
      <c r="F250" s="14" t="str">
        <f t="shared" si="25"/>
        <v/>
      </c>
      <c r="G250" s="14"/>
      <c r="H250" s="30"/>
      <c r="I250" s="17"/>
      <c r="J250" s="18">
        <f t="shared" si="26"/>
        <v>0.12</v>
      </c>
      <c r="K250" s="19" t="s">
        <v>2</v>
      </c>
      <c r="L250" s="38">
        <v>17</v>
      </c>
      <c r="M250" s="21">
        <f>J250*$AD$221</f>
        <v>2409660</v>
      </c>
      <c r="N250" s="14"/>
      <c r="O250" s="22"/>
      <c r="P250" s="60">
        <f t="shared" si="28"/>
        <v>0</v>
      </c>
      <c r="Q250" s="60">
        <f t="shared" si="29"/>
        <v>0</v>
      </c>
      <c r="R250" s="60">
        <f t="shared" si="30"/>
        <v>0</v>
      </c>
      <c r="S250" s="62" cm="1">
        <f t="array" ref="S250">_xlfn.IFNA(MATCH(SUMIFS(R:R,A:A,"="&amp;A250,B:B,"&lt;"&amp;(B250+1)),_xlfn._xlws.FILTER(AO:AO,AL:AL=A250),1),1)</f>
        <v>2</v>
      </c>
      <c r="T250" s="62">
        <f t="shared" si="24"/>
        <v>200</v>
      </c>
      <c r="U250" s="62"/>
      <c r="V250" s="62"/>
      <c r="W250" s="63"/>
      <c r="X250" s="30"/>
      <c r="Y250" s="64"/>
      <c r="Z250" s="64"/>
      <c r="AA250" s="23"/>
      <c r="AB250" s="24"/>
      <c r="AC250" s="25"/>
      <c r="AD250" s="25"/>
    </row>
    <row r="251" spans="1:30">
      <c r="A251" s="46">
        <f t="shared" si="27"/>
        <v>6</v>
      </c>
      <c r="B251" s="47">
        <v>35</v>
      </c>
      <c r="C251" s="47"/>
      <c r="D251" s="47"/>
      <c r="E251" s="14"/>
      <c r="F251" s="14" t="str">
        <f t="shared" si="25"/>
        <v/>
      </c>
      <c r="G251" s="14"/>
      <c r="H251" s="30"/>
      <c r="I251" s="17"/>
      <c r="J251" s="18">
        <f t="shared" si="26"/>
        <v>0</v>
      </c>
      <c r="K251" s="19" t="s">
        <v>463</v>
      </c>
      <c r="L251" s="38">
        <v>4</v>
      </c>
      <c r="M251" s="21">
        <v>1</v>
      </c>
      <c r="N251" s="14"/>
      <c r="O251" s="22"/>
      <c r="P251" s="60">
        <f t="shared" si="28"/>
        <v>0</v>
      </c>
      <c r="Q251" s="60">
        <f t="shared" si="29"/>
        <v>0</v>
      </c>
      <c r="R251" s="60">
        <f t="shared" si="30"/>
        <v>15</v>
      </c>
      <c r="S251" s="62" cm="1">
        <f t="array" ref="S251">_xlfn.IFNA(MATCH(SUMIFS(R:R,A:A,"="&amp;A251,B:B,"&lt;"&amp;(B251+1)),_xlfn._xlws.FILTER(AO:AO,AL:AL=A251),1),1)</f>
        <v>2</v>
      </c>
      <c r="T251" s="62">
        <f t="shared" si="24"/>
        <v>215</v>
      </c>
      <c r="U251" s="62"/>
      <c r="V251" s="62"/>
      <c r="W251" s="63"/>
      <c r="X251" s="30"/>
      <c r="Y251" s="64"/>
      <c r="Z251" s="64"/>
      <c r="AA251" s="23"/>
      <c r="AB251" s="24"/>
      <c r="AC251" s="25"/>
      <c r="AD251" s="25"/>
    </row>
    <row r="252" spans="1:30">
      <c r="A252" s="46">
        <f t="shared" si="27"/>
        <v>6</v>
      </c>
      <c r="B252" s="47">
        <v>36</v>
      </c>
      <c r="C252" s="47"/>
      <c r="D252" s="47"/>
      <c r="E252" s="14"/>
      <c r="F252" s="14" t="str">
        <f t="shared" si="25"/>
        <v/>
      </c>
      <c r="G252" s="14"/>
      <c r="H252" s="30"/>
      <c r="I252" s="17"/>
      <c r="J252" s="18">
        <f t="shared" si="26"/>
        <v>0</v>
      </c>
      <c r="K252" s="19" t="s">
        <v>453</v>
      </c>
      <c r="L252" s="38">
        <v>3</v>
      </c>
      <c r="M252" s="21">
        <v>30</v>
      </c>
      <c r="N252" s="14"/>
      <c r="O252" s="22"/>
      <c r="P252" s="60">
        <f t="shared" si="28"/>
        <v>0</v>
      </c>
      <c r="Q252" s="60">
        <f t="shared" si="29"/>
        <v>0</v>
      </c>
      <c r="R252" s="60">
        <f t="shared" si="30"/>
        <v>0</v>
      </c>
      <c r="S252" s="62" cm="1">
        <f t="array" ref="S252">_xlfn.IFNA(MATCH(SUMIFS(R:R,A:A,"="&amp;A252,B:B,"&lt;"&amp;(B252+1)),_xlfn._xlws.FILTER(AO:AO,AL:AL=A252),1),1)</f>
        <v>2</v>
      </c>
      <c r="T252" s="62">
        <f t="shared" si="24"/>
        <v>215</v>
      </c>
      <c r="U252" s="62"/>
      <c r="V252" s="62"/>
      <c r="W252" s="63"/>
      <c r="X252" s="30"/>
      <c r="Y252" s="64"/>
      <c r="Z252" s="64"/>
      <c r="AA252" s="23"/>
      <c r="AB252" s="24"/>
      <c r="AC252" s="25"/>
      <c r="AD252" s="25"/>
    </row>
    <row r="253" spans="1:30">
      <c r="A253" s="46">
        <f t="shared" si="27"/>
        <v>6</v>
      </c>
      <c r="B253" s="47">
        <v>37</v>
      </c>
      <c r="C253" s="47"/>
      <c r="D253" s="47"/>
      <c r="E253" s="14"/>
      <c r="F253" s="14" t="str">
        <f t="shared" si="25"/>
        <v/>
      </c>
      <c r="G253" s="14"/>
      <c r="H253" s="30"/>
      <c r="I253" s="17"/>
      <c r="J253" s="18">
        <f t="shared" si="26"/>
        <v>0</v>
      </c>
      <c r="K253" t="s">
        <v>426</v>
      </c>
      <c r="L253" s="38">
        <v>3</v>
      </c>
      <c r="M253" s="21">
        <v>1</v>
      </c>
      <c r="N253" s="14"/>
      <c r="O253" s="22"/>
      <c r="P253" s="60">
        <f t="shared" si="28"/>
        <v>0</v>
      </c>
      <c r="Q253" s="60">
        <f t="shared" si="29"/>
        <v>0</v>
      </c>
      <c r="R253" s="60">
        <f t="shared" si="30"/>
        <v>0</v>
      </c>
      <c r="S253" s="62" cm="1">
        <f t="array" ref="S253">_xlfn.IFNA(MATCH(SUMIFS(R:R,A:A,"="&amp;A253,B:B,"&lt;"&amp;(B253+1)),_xlfn._xlws.FILTER(AO:AO,AL:AL=A253),1),1)</f>
        <v>2</v>
      </c>
      <c r="T253" s="62">
        <f t="shared" si="24"/>
        <v>215</v>
      </c>
      <c r="U253" s="62"/>
      <c r="V253" s="62"/>
      <c r="W253" s="63"/>
      <c r="X253" s="30"/>
      <c r="Y253" s="64"/>
      <c r="Z253" s="64"/>
      <c r="AA253" s="23"/>
      <c r="AB253" s="24"/>
      <c r="AC253" s="25"/>
      <c r="AD253" s="25"/>
    </row>
    <row r="254" spans="1:30">
      <c r="A254" s="46">
        <f t="shared" si="27"/>
        <v>6</v>
      </c>
      <c r="B254" s="47">
        <v>38</v>
      </c>
      <c r="C254" s="47"/>
      <c r="D254" s="47"/>
      <c r="E254" s="14">
        <v>19.99</v>
      </c>
      <c r="F254" s="14">
        <f t="shared" si="25"/>
        <v>158</v>
      </c>
      <c r="G254" s="36">
        <f>(E254+0.01)*F254*$AJ$2/100</f>
        <v>31600000</v>
      </c>
      <c r="H254" s="37">
        <f>SUM(G218:G254)</f>
        <v>133870000</v>
      </c>
      <c r="I254" s="17">
        <f>SUM(E218:E254)</f>
        <v>89.93</v>
      </c>
      <c r="J254" s="18">
        <f t="shared" si="26"/>
        <v>0.45</v>
      </c>
      <c r="K254" s="14" t="s">
        <v>2</v>
      </c>
      <c r="L254" s="29">
        <v>9</v>
      </c>
      <c r="M254" s="21">
        <f>G254</f>
        <v>31600000</v>
      </c>
      <c r="N254" s="36">
        <f>SUMIF(K254:K259,"="&amp;"金币",M254:M259)</f>
        <v>34009660</v>
      </c>
      <c r="O254" s="22">
        <f>N254/$AJ$2</f>
        <v>34.00966</v>
      </c>
      <c r="P254" s="60">
        <f t="shared" si="28"/>
        <v>3</v>
      </c>
      <c r="Q254" s="60" t="str">
        <f t="shared" si="29"/>
        <v>金币</v>
      </c>
      <c r="R254" s="60">
        <f t="shared" si="30"/>
        <v>35</v>
      </c>
      <c r="S254" s="62" cm="1">
        <f t="array" ref="S254">_xlfn.IFNA(MATCH(SUMIFS(R:R,A:A,"="&amp;A254,B:B,"&lt;"&amp;(B254+1)),_xlfn._xlws.FILTER(AO:AO,AL:AL=A254),1),1)</f>
        <v>2</v>
      </c>
      <c r="T254" s="62">
        <f t="shared" si="24"/>
        <v>250</v>
      </c>
      <c r="U254" s="62">
        <f>_xlfn.IFNA(VLOOKUP(Q254,道具!B:C,2,FALSE),"")</f>
        <v>1</v>
      </c>
      <c r="V254" s="62">
        <f>IF(U254=1,CEILING(W254*100/$AJ$2,5),IF(U254=2,J254*100,0))</f>
        <v>405</v>
      </c>
      <c r="W254" s="63">
        <f>IF(U254=1,J254*$AD$6,IF(U254=2,J254*$AJ$2,0))</f>
        <v>4045275</v>
      </c>
      <c r="X254" s="37">
        <f>SUM(N218:N254)+SUM(W218:W254)</f>
        <v>152998990</v>
      </c>
      <c r="Y254" s="66">
        <f>SUM(O218:O254)</f>
        <v>145.717495</v>
      </c>
      <c r="Z254" s="66">
        <f>SUM(W218:W254)</f>
        <v>7281494.99999999</v>
      </c>
      <c r="AA254" s="23">
        <f>X254/$AJ$2</f>
        <v>152.99899</v>
      </c>
      <c r="AB254" s="24">
        <f>X254/H254</f>
        <v>1.14289228355868</v>
      </c>
      <c r="AC254" s="25"/>
      <c r="AD254" s="25"/>
    </row>
    <row r="255" spans="1:30">
      <c r="A255" s="46">
        <f t="shared" si="27"/>
        <v>6</v>
      </c>
      <c r="B255" s="47">
        <v>39</v>
      </c>
      <c r="C255" s="47"/>
      <c r="D255" s="47"/>
      <c r="E255" s="14"/>
      <c r="F255" s="14" t="str">
        <f t="shared" si="25"/>
        <v/>
      </c>
      <c r="G255" s="14"/>
      <c r="H255" s="30"/>
      <c r="I255" s="17"/>
      <c r="J255" s="18">
        <f t="shared" si="26"/>
        <v>0</v>
      </c>
      <c r="K255" s="19" t="s">
        <v>408</v>
      </c>
      <c r="L255" s="38">
        <v>3</v>
      </c>
      <c r="M255" s="21">
        <v>7</v>
      </c>
      <c r="N255" s="14"/>
      <c r="O255" s="22"/>
      <c r="P255" s="60">
        <f t="shared" si="28"/>
        <v>0</v>
      </c>
      <c r="Q255" s="60">
        <f t="shared" si="29"/>
        <v>0</v>
      </c>
      <c r="R255" s="60">
        <f t="shared" si="30"/>
        <v>0</v>
      </c>
      <c r="S255" s="62" cm="1">
        <f t="array" ref="S255">_xlfn.IFNA(MATCH(SUMIFS(R:R,A:A,"="&amp;A255,B:B,"&lt;"&amp;(B255+1)),_xlfn._xlws.FILTER(AO:AO,AL:AL=A255),1),1)</f>
        <v>2</v>
      </c>
      <c r="T255" s="62">
        <f t="shared" si="24"/>
        <v>250</v>
      </c>
      <c r="U255" s="62"/>
      <c r="V255" s="62"/>
      <c r="W255" s="63"/>
      <c r="X255" s="30"/>
      <c r="Y255" s="64"/>
      <c r="Z255" s="64"/>
      <c r="AA255" s="23"/>
      <c r="AB255" s="24"/>
      <c r="AC255" s="25"/>
      <c r="AD255" s="25"/>
    </row>
    <row r="256" spans="1:30">
      <c r="A256" s="46">
        <f t="shared" si="27"/>
        <v>6</v>
      </c>
      <c r="B256" s="47">
        <v>40</v>
      </c>
      <c r="C256" s="47"/>
      <c r="D256" s="47"/>
      <c r="E256" s="14"/>
      <c r="F256" s="14" t="str">
        <f t="shared" si="25"/>
        <v/>
      </c>
      <c r="G256" s="14"/>
      <c r="H256" s="30"/>
      <c r="I256" s="17"/>
      <c r="J256" s="18">
        <f t="shared" si="26"/>
        <v>0.12</v>
      </c>
      <c r="K256" s="19" t="s">
        <v>2</v>
      </c>
      <c r="L256" s="38">
        <v>17</v>
      </c>
      <c r="M256" s="21">
        <f>J256*$AD$221</f>
        <v>2409660</v>
      </c>
      <c r="N256" s="14"/>
      <c r="O256" s="22"/>
      <c r="P256" s="60">
        <f t="shared" si="28"/>
        <v>0</v>
      </c>
      <c r="Q256" s="60">
        <f t="shared" si="29"/>
        <v>0</v>
      </c>
      <c r="R256" s="60">
        <f t="shared" si="30"/>
        <v>0</v>
      </c>
      <c r="S256" s="62" cm="1">
        <f t="array" ref="S256">_xlfn.IFNA(MATCH(SUMIFS(R:R,A:A,"="&amp;A256,B:B,"&lt;"&amp;(B256+1)),_xlfn._xlws.FILTER(AO:AO,AL:AL=A256),1),1)</f>
        <v>2</v>
      </c>
      <c r="T256" s="62">
        <f t="shared" si="24"/>
        <v>250</v>
      </c>
      <c r="U256" s="62"/>
      <c r="V256" s="62"/>
      <c r="W256" s="63"/>
      <c r="X256" s="30"/>
      <c r="Y256" s="64"/>
      <c r="Z256" s="64"/>
      <c r="AA256" s="23"/>
      <c r="AB256" s="24"/>
      <c r="AC256" s="25"/>
      <c r="AD256" s="25"/>
    </row>
    <row r="257" spans="1:30">
      <c r="A257" s="46">
        <f t="shared" si="27"/>
        <v>6</v>
      </c>
      <c r="B257" s="47">
        <v>41</v>
      </c>
      <c r="C257" s="47"/>
      <c r="D257" s="47"/>
      <c r="E257" s="14"/>
      <c r="F257" s="14" t="str">
        <f t="shared" si="25"/>
        <v/>
      </c>
      <c r="G257" s="14"/>
      <c r="H257" s="30"/>
      <c r="I257" s="17"/>
      <c r="J257" s="18">
        <f t="shared" si="26"/>
        <v>0</v>
      </c>
      <c r="K257" s="19" t="s">
        <v>473</v>
      </c>
      <c r="L257" s="38">
        <v>4</v>
      </c>
      <c r="M257" s="21">
        <v>1</v>
      </c>
      <c r="N257" s="14"/>
      <c r="O257" s="22"/>
      <c r="P257" s="60">
        <f t="shared" si="28"/>
        <v>0</v>
      </c>
      <c r="Q257" s="60">
        <f t="shared" si="29"/>
        <v>0</v>
      </c>
      <c r="R257" s="60">
        <f t="shared" si="30"/>
        <v>50</v>
      </c>
      <c r="S257" s="62" cm="1">
        <f t="array" ref="S257">_xlfn.IFNA(MATCH(SUMIFS(R:R,A:A,"="&amp;A257,B:B,"&lt;"&amp;(B257+1)),_xlfn._xlws.FILTER(AO:AO,AL:AL=A257),1),1)</f>
        <v>3</v>
      </c>
      <c r="T257" s="62">
        <f t="shared" si="24"/>
        <v>300</v>
      </c>
      <c r="U257" s="62"/>
      <c r="V257" s="62"/>
      <c r="W257" s="63"/>
      <c r="X257" s="30"/>
      <c r="Y257" s="64"/>
      <c r="Z257" s="64"/>
      <c r="AA257" s="23"/>
      <c r="AB257" s="24"/>
      <c r="AC257" s="25"/>
      <c r="AD257" s="25"/>
    </row>
    <row r="258" spans="1:30">
      <c r="A258" s="46">
        <f t="shared" si="27"/>
        <v>6</v>
      </c>
      <c r="B258" s="47">
        <v>42</v>
      </c>
      <c r="C258" s="47"/>
      <c r="D258" s="47"/>
      <c r="E258" s="14"/>
      <c r="F258" s="14" t="str">
        <f t="shared" si="25"/>
        <v/>
      </c>
      <c r="G258" s="14"/>
      <c r="H258" s="30"/>
      <c r="I258" s="17"/>
      <c r="J258" s="18">
        <f t="shared" si="26"/>
        <v>0</v>
      </c>
      <c r="K258" s="19" t="s">
        <v>453</v>
      </c>
      <c r="L258" s="38">
        <v>3</v>
      </c>
      <c r="M258" s="21">
        <v>35</v>
      </c>
      <c r="N258" s="14"/>
      <c r="O258" s="22"/>
      <c r="P258" s="60">
        <f t="shared" si="28"/>
        <v>0</v>
      </c>
      <c r="Q258" s="60">
        <f t="shared" si="29"/>
        <v>0</v>
      </c>
      <c r="R258" s="60">
        <f t="shared" si="30"/>
        <v>0</v>
      </c>
      <c r="S258" s="62" cm="1">
        <f t="array" ref="S258">_xlfn.IFNA(MATCH(SUMIFS(R:R,A:A,"="&amp;A258,B:B,"&lt;"&amp;(B258+1)),_xlfn._xlws.FILTER(AO:AO,AL:AL=A258),1),1)</f>
        <v>3</v>
      </c>
      <c r="T258" s="62">
        <f t="shared" ref="T258:T321" si="31">SUMIFS(R:R,A:A,"="&amp;A258,B:B,"&lt;"&amp;(B258+1))</f>
        <v>300</v>
      </c>
      <c r="U258" s="62"/>
      <c r="V258" s="62"/>
      <c r="W258" s="63"/>
      <c r="X258" s="30"/>
      <c r="Y258" s="64"/>
      <c r="Z258" s="64"/>
      <c r="AA258" s="23"/>
      <c r="AB258" s="24"/>
      <c r="AC258" s="25"/>
      <c r="AD258" s="25"/>
    </row>
    <row r="259" spans="1:30">
      <c r="A259" s="46">
        <f t="shared" si="27"/>
        <v>6</v>
      </c>
      <c r="B259" s="47">
        <v>43</v>
      </c>
      <c r="C259" s="47"/>
      <c r="D259" s="47"/>
      <c r="E259" s="14"/>
      <c r="F259" s="14" t="str">
        <f t="shared" ref="F259:F322" si="32">IFERROR(VLOOKUP(ROUND(E259*100,0),AF:AG,2,FALSE),"")</f>
        <v/>
      </c>
      <c r="G259" s="14"/>
      <c r="H259" s="30"/>
      <c r="I259" s="17"/>
      <c r="J259" s="18">
        <f t="shared" si="26"/>
        <v>0</v>
      </c>
      <c r="K259" t="s">
        <v>424</v>
      </c>
      <c r="L259" s="38">
        <v>3</v>
      </c>
      <c r="M259" s="21">
        <v>1</v>
      </c>
      <c r="N259" s="14"/>
      <c r="O259" s="22"/>
      <c r="P259" s="60">
        <f t="shared" si="28"/>
        <v>0</v>
      </c>
      <c r="Q259" s="60">
        <f t="shared" si="29"/>
        <v>0</v>
      </c>
      <c r="R259" s="60">
        <f t="shared" si="30"/>
        <v>0</v>
      </c>
      <c r="S259" s="62" cm="1">
        <f t="array" ref="S259">_xlfn.IFNA(MATCH(SUMIFS(R:R,A:A,"="&amp;A259,B:B,"&lt;"&amp;(B259+1)),_xlfn._xlws.FILTER(AO:AO,AL:AL=A259),1),1)</f>
        <v>3</v>
      </c>
      <c r="T259" s="62">
        <f t="shared" si="31"/>
        <v>300</v>
      </c>
      <c r="U259" s="62"/>
      <c r="V259" s="62"/>
      <c r="W259" s="63"/>
      <c r="X259" s="30"/>
      <c r="Y259" s="64"/>
      <c r="Z259" s="64"/>
      <c r="AA259" s="23"/>
      <c r="AB259" s="24"/>
      <c r="AC259" s="25"/>
      <c r="AD259" s="25"/>
    </row>
    <row r="260" spans="1:30">
      <c r="A260" s="46">
        <f t="shared" si="27"/>
        <v>7</v>
      </c>
      <c r="B260" s="47">
        <v>1</v>
      </c>
      <c r="C260" s="47"/>
      <c r="D260" s="47"/>
      <c r="E260" s="14"/>
      <c r="F260" s="14" t="str">
        <f t="shared" si="32"/>
        <v/>
      </c>
      <c r="G260" s="14"/>
      <c r="H260" s="30"/>
      <c r="I260" s="17"/>
      <c r="J260" s="18">
        <f t="shared" si="26"/>
        <v>0</v>
      </c>
      <c r="K260" s="14" t="s">
        <v>2</v>
      </c>
      <c r="L260" s="29">
        <v>1</v>
      </c>
      <c r="M260" s="21">
        <v>5000</v>
      </c>
      <c r="N260" s="14"/>
      <c r="O260" s="22"/>
      <c r="P260" s="60">
        <f t="shared" si="28"/>
        <v>0</v>
      </c>
      <c r="Q260" s="60">
        <f t="shared" si="29"/>
        <v>0</v>
      </c>
      <c r="R260" s="60">
        <f t="shared" si="30"/>
        <v>20</v>
      </c>
      <c r="S260" s="62" cm="1">
        <f t="array" ref="S260">_xlfn.IFNA(MATCH(SUMIFS(R:R,A:A,"="&amp;A260,B:B,"&lt;"&amp;(B260+1)),_xlfn._xlws.FILTER(AO:AO,AL:AL=A260),1),1)</f>
        <v>1</v>
      </c>
      <c r="T260" s="62">
        <f t="shared" si="31"/>
        <v>20</v>
      </c>
      <c r="U260" s="62"/>
      <c r="V260" s="62"/>
      <c r="W260" s="63"/>
      <c r="X260" s="30"/>
      <c r="Y260" s="64"/>
      <c r="Z260" s="64"/>
      <c r="AA260" s="23"/>
      <c r="AB260" s="24"/>
      <c r="AC260" s="25"/>
      <c r="AD260" s="31">
        <f>SUM(E260:E302)</f>
        <v>89.93</v>
      </c>
    </row>
    <row r="261" spans="1:30">
      <c r="A261" s="46">
        <f t="shared" si="27"/>
        <v>7</v>
      </c>
      <c r="B261" s="47">
        <v>2</v>
      </c>
      <c r="C261" s="47"/>
      <c r="D261" s="47"/>
      <c r="E261" s="35">
        <v>5.99</v>
      </c>
      <c r="F261" s="14">
        <f t="shared" si="32"/>
        <v>119</v>
      </c>
      <c r="G261" s="36">
        <f>(E261+0.01)*F261*$AJ$2/100</f>
        <v>7140000</v>
      </c>
      <c r="H261" s="37">
        <f>SUM(G261)</f>
        <v>7140000</v>
      </c>
      <c r="I261" s="17">
        <f>SUM(E261)</f>
        <v>5.99</v>
      </c>
      <c r="J261" s="18">
        <f t="shared" si="26"/>
        <v>0</v>
      </c>
      <c r="K261" s="14" t="s">
        <v>2</v>
      </c>
      <c r="L261" s="29">
        <v>9</v>
      </c>
      <c r="M261" s="21">
        <f>G261</f>
        <v>7140000</v>
      </c>
      <c r="N261" s="36">
        <f>SUMIF(K261:K266,"="&amp;"金币",M261:M266)</f>
        <v>9148050</v>
      </c>
      <c r="O261" s="22">
        <f>N261/$AJ$2</f>
        <v>9.14805</v>
      </c>
      <c r="P261" s="60">
        <f t="shared" si="28"/>
        <v>0</v>
      </c>
      <c r="Q261" s="60">
        <f t="shared" si="29"/>
        <v>0</v>
      </c>
      <c r="R261" s="60">
        <f t="shared" si="30"/>
        <v>10</v>
      </c>
      <c r="S261" s="62" cm="1">
        <f t="array" ref="S261">_xlfn.IFNA(MATCH(SUMIFS(R:R,A:A,"="&amp;A261,B:B,"&lt;"&amp;(B261+1)),_xlfn._xlws.FILTER(AO:AO,AL:AL=A261),1),1)</f>
        <v>1</v>
      </c>
      <c r="T261" s="62">
        <f t="shared" si="31"/>
        <v>30</v>
      </c>
      <c r="U261" s="62" t="str">
        <f>_xlfn.IFNA(VLOOKUP(Q261,道具!B:C,2,FALSE),"")</f>
        <v/>
      </c>
      <c r="V261" s="62">
        <f>IF(U261=1,CEILING(W261*100/$AJ$2,5),IF(U261=2,J261*100,0))</f>
        <v>0</v>
      </c>
      <c r="W261" s="63">
        <f>IF(U261=1,J261*$AD$6,IF(U261=2,J261*$AJ$2,0))</f>
        <v>0</v>
      </c>
      <c r="X261" s="37">
        <f>SUM(N261)+SUM(W261)</f>
        <v>9148050</v>
      </c>
      <c r="Y261" s="66">
        <f>SUM(O261)</f>
        <v>9.14805</v>
      </c>
      <c r="Z261" s="66">
        <f>SUM(W261)</f>
        <v>0</v>
      </c>
      <c r="AA261" s="23">
        <f>X261/$AJ$2</f>
        <v>9.14805</v>
      </c>
      <c r="AB261" s="24">
        <f>X261/H261</f>
        <v>1.28123949579832</v>
      </c>
      <c r="AC261" s="25"/>
      <c r="AD261" s="26" t="s">
        <v>556</v>
      </c>
    </row>
    <row r="262" spans="1:30">
      <c r="A262" s="46">
        <f t="shared" si="27"/>
        <v>7</v>
      </c>
      <c r="B262" s="47">
        <v>3</v>
      </c>
      <c r="C262" s="47"/>
      <c r="D262" s="47"/>
      <c r="E262" s="14"/>
      <c r="F262" s="14" t="str">
        <f t="shared" si="32"/>
        <v/>
      </c>
      <c r="G262" s="14"/>
      <c r="H262" s="30"/>
      <c r="I262" s="17"/>
      <c r="J262" s="18">
        <f t="shared" si="26"/>
        <v>0</v>
      </c>
      <c r="K262" s="19" t="s">
        <v>408</v>
      </c>
      <c r="L262" s="38">
        <v>3</v>
      </c>
      <c r="M262" s="21">
        <v>1</v>
      </c>
      <c r="N262" s="14"/>
      <c r="O262" s="22"/>
      <c r="P262" s="60">
        <f t="shared" si="28"/>
        <v>0</v>
      </c>
      <c r="Q262" s="60">
        <f t="shared" si="29"/>
        <v>0</v>
      </c>
      <c r="R262" s="60">
        <f t="shared" si="30"/>
        <v>0</v>
      </c>
      <c r="S262" s="62" cm="1">
        <f t="array" ref="S262">_xlfn.IFNA(MATCH(SUMIFS(R:R,A:A,"="&amp;A262,B:B,"&lt;"&amp;(B262+1)),_xlfn._xlws.FILTER(AO:AO,AL:AL=A262),1),1)</f>
        <v>1</v>
      </c>
      <c r="T262" s="62">
        <f t="shared" si="31"/>
        <v>30</v>
      </c>
      <c r="U262" s="62"/>
      <c r="V262" s="62"/>
      <c r="W262" s="63"/>
      <c r="X262" s="30"/>
      <c r="Y262" s="64"/>
      <c r="Z262" s="64"/>
      <c r="AA262" s="23"/>
      <c r="AB262" s="24"/>
      <c r="AC262" s="25"/>
      <c r="AD262" s="39">
        <v>1.15</v>
      </c>
    </row>
    <row r="263" spans="1:30">
      <c r="A263" s="46">
        <f t="shared" si="27"/>
        <v>7</v>
      </c>
      <c r="B263" s="47">
        <v>4</v>
      </c>
      <c r="C263" s="47"/>
      <c r="D263" s="47"/>
      <c r="E263" s="14"/>
      <c r="F263" s="14" t="str">
        <f t="shared" si="32"/>
        <v/>
      </c>
      <c r="G263" s="14"/>
      <c r="H263" s="30"/>
      <c r="I263" s="17"/>
      <c r="J263" s="18">
        <f t="shared" si="26"/>
        <v>0.1</v>
      </c>
      <c r="K263" s="19" t="s">
        <v>2</v>
      </c>
      <c r="L263" s="38">
        <v>17</v>
      </c>
      <c r="M263" s="21">
        <f>J263*$AD$264</f>
        <v>2008050</v>
      </c>
      <c r="N263" s="14"/>
      <c r="O263" s="22"/>
      <c r="P263" s="60">
        <f t="shared" si="28"/>
        <v>0</v>
      </c>
      <c r="Q263" s="60">
        <f t="shared" si="29"/>
        <v>0</v>
      </c>
      <c r="R263" s="60">
        <f t="shared" si="30"/>
        <v>0</v>
      </c>
      <c r="S263" s="62" cm="1">
        <f t="array" ref="S263">_xlfn.IFNA(MATCH(SUMIFS(R:R,A:A,"="&amp;A263,B:B,"&lt;"&amp;(B263+1)),_xlfn._xlws.FILTER(AO:AO,AL:AL=A263),1),1)</f>
        <v>1</v>
      </c>
      <c r="T263" s="62">
        <f t="shared" si="31"/>
        <v>30</v>
      </c>
      <c r="U263" s="62"/>
      <c r="V263" s="62"/>
      <c r="W263" s="63"/>
      <c r="X263" s="30"/>
      <c r="Y263" s="64"/>
      <c r="Z263" s="64"/>
      <c r="AA263" s="23"/>
      <c r="AB263" s="24"/>
      <c r="AC263" s="25"/>
      <c r="AD263" s="26" t="s">
        <v>557</v>
      </c>
    </row>
    <row r="264" spans="1:30">
      <c r="A264" s="46">
        <f t="shared" si="27"/>
        <v>7</v>
      </c>
      <c r="B264" s="47">
        <v>5</v>
      </c>
      <c r="C264" s="47"/>
      <c r="D264" s="47"/>
      <c r="E264" s="14"/>
      <c r="F264" s="14" t="str">
        <f t="shared" si="32"/>
        <v/>
      </c>
      <c r="G264" s="14"/>
      <c r="H264" s="30"/>
      <c r="I264" s="17"/>
      <c r="J264" s="18">
        <f t="shared" si="26"/>
        <v>0</v>
      </c>
      <c r="K264" s="19" t="s">
        <v>457</v>
      </c>
      <c r="L264" s="38">
        <v>4</v>
      </c>
      <c r="M264" s="21">
        <v>1</v>
      </c>
      <c r="N264" s="14"/>
      <c r="O264" s="22"/>
      <c r="P264" s="60">
        <f t="shared" si="28"/>
        <v>0</v>
      </c>
      <c r="Q264" s="60">
        <f t="shared" si="29"/>
        <v>0</v>
      </c>
      <c r="R264" s="60">
        <f t="shared" si="30"/>
        <v>10</v>
      </c>
      <c r="S264" s="62" cm="1">
        <f t="array" ref="S264">_xlfn.IFNA(MATCH(SUMIFS(R:R,A:A,"="&amp;A264,B:B,"&lt;"&amp;(B264+1)),_xlfn._xlws.FILTER(AO:AO,AL:AL=A264),1),1)</f>
        <v>1</v>
      </c>
      <c r="T264" s="62">
        <f t="shared" si="31"/>
        <v>40</v>
      </c>
      <c r="U264" s="62"/>
      <c r="V264" s="62"/>
      <c r="W264" s="63"/>
      <c r="X264" s="30"/>
      <c r="Y264" s="64"/>
      <c r="Z264" s="64"/>
      <c r="AA264" s="23"/>
      <c r="AB264" s="24"/>
      <c r="AC264" s="25"/>
      <c r="AD264" s="40">
        <f>SUM(G260:G302)*(AD262-1)</f>
        <v>20080500</v>
      </c>
    </row>
    <row r="265" spans="1:30">
      <c r="A265" s="46">
        <f t="shared" si="27"/>
        <v>7</v>
      </c>
      <c r="B265" s="47">
        <v>6</v>
      </c>
      <c r="C265" s="47"/>
      <c r="D265" s="47"/>
      <c r="E265" s="14"/>
      <c r="F265" s="14" t="str">
        <f t="shared" si="32"/>
        <v/>
      </c>
      <c r="G265" s="14"/>
      <c r="H265" s="30"/>
      <c r="I265" s="17"/>
      <c r="J265" s="18">
        <f t="shared" ref="J265:J328" si="33">J222</f>
        <v>0</v>
      </c>
      <c r="K265" s="19" t="s">
        <v>453</v>
      </c>
      <c r="L265" s="38">
        <v>3</v>
      </c>
      <c r="M265" s="21">
        <v>5</v>
      </c>
      <c r="N265" s="14"/>
      <c r="O265" s="22"/>
      <c r="P265" s="60">
        <f t="shared" si="28"/>
        <v>0</v>
      </c>
      <c r="Q265" s="60">
        <f t="shared" si="29"/>
        <v>0</v>
      </c>
      <c r="R265" s="60">
        <f t="shared" si="30"/>
        <v>0</v>
      </c>
      <c r="S265" s="62" cm="1">
        <f t="array" ref="S265">_xlfn.IFNA(MATCH(SUMIFS(R:R,A:A,"="&amp;A265,B:B,"&lt;"&amp;(B265+1)),_xlfn._xlws.FILTER(AO:AO,AL:AL=A265),1),1)</f>
        <v>1</v>
      </c>
      <c r="T265" s="62">
        <f t="shared" si="31"/>
        <v>40</v>
      </c>
      <c r="U265" s="62"/>
      <c r="V265" s="62"/>
      <c r="W265" s="63"/>
      <c r="X265" s="30"/>
      <c r="Y265" s="64"/>
      <c r="Z265" s="64"/>
      <c r="AA265" s="23"/>
      <c r="AB265" s="24"/>
      <c r="AC265" s="25"/>
      <c r="AD265" s="24" t="s">
        <v>558</v>
      </c>
    </row>
    <row r="266" spans="1:30">
      <c r="A266" s="46">
        <f t="shared" si="27"/>
        <v>7</v>
      </c>
      <c r="B266" s="47">
        <v>7</v>
      </c>
      <c r="C266" s="47"/>
      <c r="D266" s="47"/>
      <c r="E266" s="14"/>
      <c r="F266" s="14" t="str">
        <f t="shared" si="32"/>
        <v/>
      </c>
      <c r="G266" s="14"/>
      <c r="H266" s="30"/>
      <c r="I266" s="17"/>
      <c r="J266" s="18">
        <f t="shared" si="33"/>
        <v>0</v>
      </c>
      <c r="K266" t="s">
        <v>424</v>
      </c>
      <c r="L266" s="38">
        <v>3</v>
      </c>
      <c r="M266" s="21">
        <v>1</v>
      </c>
      <c r="N266" s="14"/>
      <c r="O266" s="22"/>
      <c r="P266" s="60">
        <f t="shared" si="28"/>
        <v>0</v>
      </c>
      <c r="Q266" s="60">
        <f t="shared" si="29"/>
        <v>0</v>
      </c>
      <c r="R266" s="60">
        <f t="shared" si="30"/>
        <v>0</v>
      </c>
      <c r="S266" s="62" cm="1">
        <f t="array" ref="S266">_xlfn.IFNA(MATCH(SUMIFS(R:R,A:A,"="&amp;A266,B:B,"&lt;"&amp;(B266+1)),_xlfn._xlws.FILTER(AO:AO,AL:AL=A266),1),1)</f>
        <v>1</v>
      </c>
      <c r="T266" s="62">
        <f t="shared" si="31"/>
        <v>40</v>
      </c>
      <c r="U266" s="62"/>
      <c r="V266" s="62"/>
      <c r="W266" s="63"/>
      <c r="X266" s="30"/>
      <c r="Y266" s="64"/>
      <c r="Z266" s="64"/>
      <c r="AA266" s="23"/>
      <c r="AB266" s="24"/>
      <c r="AC266" s="25"/>
      <c r="AD266" s="24">
        <f>SUMIF(U260:U302,"&lt;&gt;2",J260:J302)+SUMIF(U260:U302,"=2",J260:J302)*$AJ$2/SUMIFS(AD:AD,A:A,"="&amp;A266,B:B,"=5")</f>
        <v>1.4</v>
      </c>
    </row>
    <row r="267" spans="1:30">
      <c r="A267" s="46">
        <f t="shared" si="27"/>
        <v>7</v>
      </c>
      <c r="B267" s="47">
        <v>8</v>
      </c>
      <c r="C267" s="47"/>
      <c r="D267" s="47"/>
      <c r="E267" s="14">
        <v>7.99</v>
      </c>
      <c r="F267" s="14">
        <f t="shared" si="32"/>
        <v>129</v>
      </c>
      <c r="G267" s="36">
        <f>(E267+0.01)*F267*$AJ$2/100</f>
        <v>10320000</v>
      </c>
      <c r="H267" s="37">
        <f>SUM(G261:G267)</f>
        <v>17460000</v>
      </c>
      <c r="I267" s="17">
        <f>SUM(E261:E267)</f>
        <v>13.98</v>
      </c>
      <c r="J267" s="18">
        <f t="shared" si="33"/>
        <v>0.12</v>
      </c>
      <c r="K267" s="14" t="s">
        <v>2</v>
      </c>
      <c r="L267" s="29">
        <v>9</v>
      </c>
      <c r="M267" s="21">
        <f>G267</f>
        <v>10320000</v>
      </c>
      <c r="N267" s="36">
        <f>SUMIF(K267:K272,"="&amp;"金币",M267:M272)</f>
        <v>10721610</v>
      </c>
      <c r="O267" s="22">
        <f>N267/$AJ$2</f>
        <v>10.72161</v>
      </c>
      <c r="P267" s="60">
        <f t="shared" si="28"/>
        <v>1</v>
      </c>
      <c r="Q267" s="60" t="str">
        <f t="shared" si="29"/>
        <v>金币</v>
      </c>
      <c r="R267" s="60">
        <f t="shared" si="30"/>
        <v>25</v>
      </c>
      <c r="S267" s="62" cm="1">
        <f t="array" ref="S267">_xlfn.IFNA(MATCH(SUMIFS(R:R,A:A,"="&amp;A267,B:B,"&lt;"&amp;(B267+1)),_xlfn._xlws.FILTER(AO:AO,AL:AL=A267),1),1)</f>
        <v>1</v>
      </c>
      <c r="T267" s="62">
        <f t="shared" si="31"/>
        <v>65</v>
      </c>
      <c r="U267" s="62">
        <f>_xlfn.IFNA(VLOOKUP(Q267,道具!B:C,2,FALSE),"")</f>
        <v>1</v>
      </c>
      <c r="V267" s="62">
        <f>IF(U267=1,CEILING(W267*100/$AJ$2,5),IF(U267=2,J267*100,0))</f>
        <v>110</v>
      </c>
      <c r="W267" s="63">
        <f>IF(U267=1,J267*$AD$6,IF(U267=2,J267*$AJ$2,0))</f>
        <v>1078740</v>
      </c>
      <c r="X267" s="37">
        <f>SUM(N261:N267)+SUM(W261:W267)</f>
        <v>20948400</v>
      </c>
      <c r="Y267" s="66">
        <f>SUM(O261:O267)</f>
        <v>19.86966</v>
      </c>
      <c r="Z267" s="66">
        <f>SUM(W261:W267)</f>
        <v>1078740</v>
      </c>
      <c r="AA267" s="23">
        <f>X267/$AJ$2</f>
        <v>20.9484</v>
      </c>
      <c r="AB267" s="24">
        <f>X267/H267</f>
        <v>1.19979381443299</v>
      </c>
      <c r="AC267" s="25"/>
      <c r="AD267" s="25"/>
    </row>
    <row r="268" spans="1:30">
      <c r="A268" s="46">
        <f t="shared" si="27"/>
        <v>7</v>
      </c>
      <c r="B268" s="47">
        <v>9</v>
      </c>
      <c r="C268" s="47"/>
      <c r="D268" s="47"/>
      <c r="E268" s="14"/>
      <c r="F268" s="14" t="str">
        <f t="shared" si="32"/>
        <v/>
      </c>
      <c r="G268" s="14"/>
      <c r="H268" s="30"/>
      <c r="I268" s="17"/>
      <c r="J268" s="18">
        <f t="shared" si="33"/>
        <v>0</v>
      </c>
      <c r="K268" s="19" t="s">
        <v>408</v>
      </c>
      <c r="L268" s="38">
        <v>3</v>
      </c>
      <c r="M268" s="21">
        <v>2</v>
      </c>
      <c r="N268" s="14"/>
      <c r="O268" s="22"/>
      <c r="P268" s="60">
        <f t="shared" si="28"/>
        <v>0</v>
      </c>
      <c r="Q268" s="60">
        <f t="shared" si="29"/>
        <v>0</v>
      </c>
      <c r="R268" s="60">
        <f t="shared" si="30"/>
        <v>0</v>
      </c>
      <c r="S268" s="62" cm="1">
        <f t="array" ref="S268">_xlfn.IFNA(MATCH(SUMIFS(R:R,A:A,"="&amp;A268,B:B,"&lt;"&amp;(B268+1)),_xlfn._xlws.FILTER(AO:AO,AL:AL=A268),1),1)</f>
        <v>1</v>
      </c>
      <c r="T268" s="62">
        <f t="shared" si="31"/>
        <v>65</v>
      </c>
      <c r="U268" s="62"/>
      <c r="V268" s="62"/>
      <c r="W268" s="63"/>
      <c r="X268" s="30"/>
      <c r="Y268" s="64"/>
      <c r="Z268" s="64"/>
      <c r="AA268" s="23"/>
      <c r="AB268" s="24"/>
      <c r="AC268" s="25"/>
      <c r="AD268" s="69"/>
    </row>
    <row r="269" spans="1:30">
      <c r="A269" s="46">
        <f t="shared" si="27"/>
        <v>7</v>
      </c>
      <c r="B269" s="47">
        <v>10</v>
      </c>
      <c r="C269" s="47"/>
      <c r="D269" s="47"/>
      <c r="E269" s="14"/>
      <c r="F269" s="14" t="str">
        <f t="shared" si="32"/>
        <v/>
      </c>
      <c r="G269" s="14"/>
      <c r="H269" s="30"/>
      <c r="I269" s="17"/>
      <c r="J269" s="18">
        <f t="shared" si="33"/>
        <v>0.02</v>
      </c>
      <c r="K269" s="19" t="s">
        <v>2</v>
      </c>
      <c r="L269" s="38">
        <v>17</v>
      </c>
      <c r="M269" s="21">
        <f>J269*$AD$264</f>
        <v>401610</v>
      </c>
      <c r="N269" s="14"/>
      <c r="O269" s="22"/>
      <c r="P269" s="60">
        <f t="shared" si="28"/>
        <v>0</v>
      </c>
      <c r="Q269" s="60">
        <f t="shared" si="29"/>
        <v>0</v>
      </c>
      <c r="R269" s="60">
        <f t="shared" si="30"/>
        <v>0</v>
      </c>
      <c r="S269" s="62" cm="1">
        <f t="array" ref="S269">_xlfn.IFNA(MATCH(SUMIFS(R:R,A:A,"="&amp;A269,B:B,"&lt;"&amp;(B269+1)),_xlfn._xlws.FILTER(AO:AO,AL:AL=A269),1),1)</f>
        <v>1</v>
      </c>
      <c r="T269" s="62">
        <f t="shared" si="31"/>
        <v>65</v>
      </c>
      <c r="U269" s="62"/>
      <c r="V269" s="62"/>
      <c r="W269" s="63"/>
      <c r="X269" s="30"/>
      <c r="Y269" s="64"/>
      <c r="Z269" s="64"/>
      <c r="AA269" s="23"/>
      <c r="AB269" s="24"/>
      <c r="AC269" s="25"/>
      <c r="AD269" s="25"/>
    </row>
    <row r="270" spans="1:30">
      <c r="A270" s="46">
        <f t="shared" si="27"/>
        <v>7</v>
      </c>
      <c r="B270" s="47">
        <v>11</v>
      </c>
      <c r="C270" s="47"/>
      <c r="D270" s="47"/>
      <c r="E270" s="14"/>
      <c r="F270" s="14" t="str">
        <f t="shared" si="32"/>
        <v/>
      </c>
      <c r="G270" s="14"/>
      <c r="H270" s="30"/>
      <c r="I270" s="17"/>
      <c r="J270" s="18">
        <f t="shared" si="33"/>
        <v>0</v>
      </c>
      <c r="K270" s="19" t="s">
        <v>459</v>
      </c>
      <c r="L270" s="38">
        <v>4</v>
      </c>
      <c r="M270" s="21">
        <v>1</v>
      </c>
      <c r="N270" s="14"/>
      <c r="O270" s="22"/>
      <c r="P270" s="60">
        <f t="shared" si="28"/>
        <v>0</v>
      </c>
      <c r="Q270" s="60">
        <f t="shared" si="29"/>
        <v>0</v>
      </c>
      <c r="R270" s="60">
        <f t="shared" si="30"/>
        <v>0</v>
      </c>
      <c r="S270" s="62" cm="1">
        <f t="array" ref="S270">_xlfn.IFNA(MATCH(SUMIFS(R:R,A:A,"="&amp;A270,B:B,"&lt;"&amp;(B270+1)),_xlfn._xlws.FILTER(AO:AO,AL:AL=A270),1),1)</f>
        <v>1</v>
      </c>
      <c r="T270" s="62">
        <f t="shared" si="31"/>
        <v>65</v>
      </c>
      <c r="U270" s="62"/>
      <c r="V270" s="62"/>
      <c r="W270" s="63"/>
      <c r="X270" s="30"/>
      <c r="Y270" s="64"/>
      <c r="Z270" s="64"/>
      <c r="AA270" s="23"/>
      <c r="AB270" s="24"/>
      <c r="AC270" s="25"/>
      <c r="AD270" s="25"/>
    </row>
    <row r="271" spans="1:30">
      <c r="A271" s="46">
        <f t="shared" si="27"/>
        <v>7</v>
      </c>
      <c r="B271" s="47">
        <v>12</v>
      </c>
      <c r="C271" s="47"/>
      <c r="D271" s="47"/>
      <c r="E271" s="14"/>
      <c r="F271" s="14" t="str">
        <f t="shared" si="32"/>
        <v/>
      </c>
      <c r="G271" s="14"/>
      <c r="H271" s="30"/>
      <c r="I271" s="17"/>
      <c r="J271" s="18">
        <f t="shared" si="33"/>
        <v>0</v>
      </c>
      <c r="K271" s="19" t="s">
        <v>453</v>
      </c>
      <c r="L271" s="38">
        <v>3</v>
      </c>
      <c r="M271" s="21">
        <v>10</v>
      </c>
      <c r="N271" s="14"/>
      <c r="O271" s="22"/>
      <c r="P271" s="60">
        <f t="shared" si="28"/>
        <v>0</v>
      </c>
      <c r="Q271" s="60">
        <f t="shared" si="29"/>
        <v>0</v>
      </c>
      <c r="R271" s="60">
        <f t="shared" si="30"/>
        <v>0</v>
      </c>
      <c r="S271" s="62" cm="1">
        <f t="array" ref="S271">_xlfn.IFNA(MATCH(SUMIFS(R:R,A:A,"="&amp;A271,B:B,"&lt;"&amp;(B271+1)),_xlfn._xlws.FILTER(AO:AO,AL:AL=A271),1),1)</f>
        <v>1</v>
      </c>
      <c r="T271" s="62">
        <f t="shared" si="31"/>
        <v>65</v>
      </c>
      <c r="U271" s="62"/>
      <c r="V271" s="62"/>
      <c r="W271" s="63"/>
      <c r="X271" s="30"/>
      <c r="Y271" s="64"/>
      <c r="Z271" s="64"/>
      <c r="AA271" s="23"/>
      <c r="AB271" s="24"/>
      <c r="AC271" s="25"/>
      <c r="AD271" s="25"/>
    </row>
    <row r="272" spans="1:30">
      <c r="A272" s="46">
        <f t="shared" si="27"/>
        <v>7</v>
      </c>
      <c r="B272" s="47">
        <v>13</v>
      </c>
      <c r="C272" s="47"/>
      <c r="D272" s="47"/>
      <c r="E272" s="14"/>
      <c r="F272" s="14" t="str">
        <f t="shared" si="32"/>
        <v/>
      </c>
      <c r="G272" s="14"/>
      <c r="H272" s="30"/>
      <c r="I272" s="17"/>
      <c r="J272" s="18">
        <f t="shared" si="33"/>
        <v>0</v>
      </c>
      <c r="K272" t="s">
        <v>426</v>
      </c>
      <c r="L272" s="38">
        <v>3</v>
      </c>
      <c r="M272" s="21">
        <v>1</v>
      </c>
      <c r="N272" s="14"/>
      <c r="O272" s="22"/>
      <c r="P272" s="60">
        <f t="shared" si="28"/>
        <v>0</v>
      </c>
      <c r="Q272" s="60">
        <f t="shared" si="29"/>
        <v>0</v>
      </c>
      <c r="R272" s="60">
        <f t="shared" si="30"/>
        <v>0</v>
      </c>
      <c r="S272" s="62" cm="1">
        <f t="array" ref="S272">_xlfn.IFNA(MATCH(SUMIFS(R:R,A:A,"="&amp;A272,B:B,"&lt;"&amp;(B272+1)),_xlfn._xlws.FILTER(AO:AO,AL:AL=A272),1),1)</f>
        <v>1</v>
      </c>
      <c r="T272" s="62">
        <f t="shared" si="31"/>
        <v>65</v>
      </c>
      <c r="U272" s="62"/>
      <c r="V272" s="62"/>
      <c r="W272" s="63"/>
      <c r="X272" s="30"/>
      <c r="Y272" s="64"/>
      <c r="Z272" s="64"/>
      <c r="AA272" s="23"/>
      <c r="AB272" s="24"/>
      <c r="AC272" s="25"/>
      <c r="AD272" s="25"/>
    </row>
    <row r="273" spans="1:30">
      <c r="A273" s="46">
        <f t="shared" si="27"/>
        <v>7</v>
      </c>
      <c r="B273" s="47">
        <v>14</v>
      </c>
      <c r="C273" s="47"/>
      <c r="D273" s="47"/>
      <c r="E273" s="14">
        <v>9.99</v>
      </c>
      <c r="F273" s="14">
        <f t="shared" si="32"/>
        <v>139</v>
      </c>
      <c r="G273" s="36">
        <f>(E273+0.01)*F273*$AJ$2/100</f>
        <v>13900000</v>
      </c>
      <c r="H273" s="37">
        <f>SUM(G261:G273)</f>
        <v>31360000</v>
      </c>
      <c r="I273" s="17">
        <f>SUM(E261:E273)</f>
        <v>23.97</v>
      </c>
      <c r="J273" s="18">
        <f t="shared" si="33"/>
        <v>0</v>
      </c>
      <c r="K273" s="14" t="s">
        <v>2</v>
      </c>
      <c r="L273" s="29">
        <v>9</v>
      </c>
      <c r="M273" s="21">
        <f>G273</f>
        <v>13900000</v>
      </c>
      <c r="N273" s="36">
        <f>SUMIF(K273:K278,"="&amp;"金币",M273:M278)</f>
        <v>15908050</v>
      </c>
      <c r="O273" s="22">
        <f>N273/$AJ$2</f>
        <v>15.90805</v>
      </c>
      <c r="P273" s="60">
        <f t="shared" si="28"/>
        <v>0</v>
      </c>
      <c r="Q273" s="60">
        <f t="shared" si="29"/>
        <v>0</v>
      </c>
      <c r="R273" s="60">
        <f t="shared" si="30"/>
        <v>35</v>
      </c>
      <c r="S273" s="62" cm="1">
        <f t="array" ref="S273">_xlfn.IFNA(MATCH(SUMIFS(R:R,A:A,"="&amp;A273,B:B,"&lt;"&amp;(B273+1)),_xlfn._xlws.FILTER(AO:AO,AL:AL=A273),1),1)</f>
        <v>1</v>
      </c>
      <c r="T273" s="62">
        <f t="shared" si="31"/>
        <v>100</v>
      </c>
      <c r="U273" s="62" t="str">
        <f>_xlfn.IFNA(VLOOKUP(Q273,道具!B:C,2,FALSE),"")</f>
        <v/>
      </c>
      <c r="V273" s="62"/>
      <c r="W273" s="63">
        <f>IF(U273=1,J273*$AD$6,IF(U273=2,J273*$AJ$2,0))</f>
        <v>0</v>
      </c>
      <c r="X273" s="37">
        <f>SUM(N261:N273)+SUM(W261:W273)</f>
        <v>36856450</v>
      </c>
      <c r="Y273" s="66">
        <f>SUM(O261:O273)</f>
        <v>35.77771</v>
      </c>
      <c r="Z273" s="66">
        <f>SUM(W261:W273)</f>
        <v>1078740</v>
      </c>
      <c r="AA273" s="23">
        <f>X273/$AJ$2</f>
        <v>36.85645</v>
      </c>
      <c r="AB273" s="24">
        <f>X273/H273</f>
        <v>1.17526945153061</v>
      </c>
      <c r="AC273" s="25"/>
      <c r="AD273" s="25"/>
    </row>
    <row r="274" spans="1:30">
      <c r="A274" s="46">
        <f t="shared" si="27"/>
        <v>7</v>
      </c>
      <c r="B274" s="47">
        <v>15</v>
      </c>
      <c r="C274" s="47"/>
      <c r="D274" s="47"/>
      <c r="E274" s="14"/>
      <c r="F274" s="14" t="str">
        <f t="shared" si="32"/>
        <v/>
      </c>
      <c r="G274" s="14"/>
      <c r="H274" s="30"/>
      <c r="I274" s="17"/>
      <c r="J274" s="18">
        <f t="shared" si="33"/>
        <v>0</v>
      </c>
      <c r="K274" s="19" t="s">
        <v>408</v>
      </c>
      <c r="L274" s="38">
        <v>3</v>
      </c>
      <c r="M274" s="21">
        <v>3</v>
      </c>
      <c r="N274" s="14"/>
      <c r="O274" s="22"/>
      <c r="P274" s="60">
        <f t="shared" si="28"/>
        <v>0</v>
      </c>
      <c r="Q274" s="60">
        <f t="shared" si="29"/>
        <v>0</v>
      </c>
      <c r="R274" s="60">
        <f t="shared" si="30"/>
        <v>0</v>
      </c>
      <c r="S274" s="62" cm="1">
        <f t="array" ref="S274">_xlfn.IFNA(MATCH(SUMIFS(R:R,A:A,"="&amp;A274,B:B,"&lt;"&amp;(B274+1)),_xlfn._xlws.FILTER(AO:AO,AL:AL=A274),1),1)</f>
        <v>1</v>
      </c>
      <c r="T274" s="62">
        <f t="shared" si="31"/>
        <v>100</v>
      </c>
      <c r="U274" s="62"/>
      <c r="V274" s="62"/>
      <c r="W274" s="63"/>
      <c r="X274" s="30"/>
      <c r="Y274" s="64"/>
      <c r="Z274" s="64"/>
      <c r="AA274" s="23"/>
      <c r="AB274" s="24"/>
      <c r="AC274" s="25"/>
      <c r="AD274" s="25"/>
    </row>
    <row r="275" spans="1:30">
      <c r="A275" s="46">
        <f t="shared" si="27"/>
        <v>7</v>
      </c>
      <c r="B275" s="47">
        <v>16</v>
      </c>
      <c r="C275" s="47"/>
      <c r="D275" s="47"/>
      <c r="E275" s="14"/>
      <c r="F275" s="14" t="str">
        <f t="shared" si="32"/>
        <v/>
      </c>
      <c r="G275" s="14"/>
      <c r="H275" s="30"/>
      <c r="I275" s="17"/>
      <c r="J275" s="18">
        <f t="shared" si="33"/>
        <v>0.1</v>
      </c>
      <c r="K275" s="19" t="s">
        <v>2</v>
      </c>
      <c r="L275" s="38">
        <v>17</v>
      </c>
      <c r="M275" s="21">
        <f>J275*$AD$264</f>
        <v>2008050</v>
      </c>
      <c r="N275" s="14"/>
      <c r="O275" s="22"/>
      <c r="P275" s="60">
        <f t="shared" si="28"/>
        <v>0</v>
      </c>
      <c r="Q275" s="60">
        <f t="shared" si="29"/>
        <v>0</v>
      </c>
      <c r="R275" s="60">
        <f t="shared" si="30"/>
        <v>0</v>
      </c>
      <c r="S275" s="62" cm="1">
        <f t="array" ref="S275">_xlfn.IFNA(MATCH(SUMIFS(R:R,A:A,"="&amp;A275,B:B,"&lt;"&amp;(B275+1)),_xlfn._xlws.FILTER(AO:AO,AL:AL=A275),1),1)</f>
        <v>1</v>
      </c>
      <c r="T275" s="62">
        <f t="shared" si="31"/>
        <v>100</v>
      </c>
      <c r="U275" s="62"/>
      <c r="V275" s="62"/>
      <c r="W275" s="63"/>
      <c r="X275" s="30"/>
      <c r="Y275" s="64"/>
      <c r="Z275" s="64"/>
      <c r="AA275" s="23"/>
      <c r="AB275" s="24"/>
      <c r="AC275" s="25"/>
      <c r="AD275" s="25"/>
    </row>
    <row r="276" spans="1:30">
      <c r="A276" s="46">
        <f t="shared" si="27"/>
        <v>7</v>
      </c>
      <c r="B276" s="47">
        <v>17</v>
      </c>
      <c r="C276" s="47"/>
      <c r="D276" s="47"/>
      <c r="E276" s="14"/>
      <c r="F276" s="14" t="str">
        <f t="shared" si="32"/>
        <v/>
      </c>
      <c r="G276" s="14"/>
      <c r="H276" s="30"/>
      <c r="I276" s="17"/>
      <c r="J276" s="18">
        <f t="shared" si="33"/>
        <v>0</v>
      </c>
      <c r="K276" s="19" t="s">
        <v>461</v>
      </c>
      <c r="L276" s="38">
        <v>4</v>
      </c>
      <c r="M276" s="21">
        <v>1</v>
      </c>
      <c r="N276" s="14"/>
      <c r="O276" s="22"/>
      <c r="P276" s="60">
        <f t="shared" si="28"/>
        <v>0</v>
      </c>
      <c r="Q276" s="60">
        <f t="shared" si="29"/>
        <v>0</v>
      </c>
      <c r="R276" s="60">
        <f t="shared" si="30"/>
        <v>25</v>
      </c>
      <c r="S276" s="62" cm="1">
        <f t="array" ref="S276">_xlfn.IFNA(MATCH(SUMIFS(R:R,A:A,"="&amp;A276,B:B,"&lt;"&amp;(B276+1)),_xlfn._xlws.FILTER(AO:AO,AL:AL=A276),1),1)</f>
        <v>1</v>
      </c>
      <c r="T276" s="62">
        <f t="shared" si="31"/>
        <v>125</v>
      </c>
      <c r="U276" s="62"/>
      <c r="V276" s="62"/>
      <c r="W276" s="63"/>
      <c r="X276" s="30"/>
      <c r="Y276" s="64"/>
      <c r="Z276" s="64"/>
      <c r="AA276" s="23"/>
      <c r="AB276" s="24"/>
      <c r="AC276" s="25"/>
      <c r="AD276" s="25"/>
    </row>
    <row r="277" spans="1:30">
      <c r="A277" s="46">
        <f t="shared" si="27"/>
        <v>7</v>
      </c>
      <c r="B277" s="47">
        <v>18</v>
      </c>
      <c r="C277" s="47"/>
      <c r="D277" s="47"/>
      <c r="E277" s="14"/>
      <c r="F277" s="14" t="str">
        <f t="shared" si="32"/>
        <v/>
      </c>
      <c r="G277" s="14"/>
      <c r="H277" s="30"/>
      <c r="I277" s="17"/>
      <c r="J277" s="18">
        <f t="shared" si="33"/>
        <v>0</v>
      </c>
      <c r="K277" s="19" t="s">
        <v>453</v>
      </c>
      <c r="L277" s="38">
        <v>3</v>
      </c>
      <c r="M277" s="21">
        <v>15</v>
      </c>
      <c r="N277" s="14"/>
      <c r="O277" s="22"/>
      <c r="P277" s="60">
        <f t="shared" si="28"/>
        <v>0</v>
      </c>
      <c r="Q277" s="60">
        <f t="shared" si="29"/>
        <v>0</v>
      </c>
      <c r="R277" s="60">
        <f t="shared" si="30"/>
        <v>0</v>
      </c>
      <c r="S277" s="62" cm="1">
        <f t="array" ref="S277">_xlfn.IFNA(MATCH(SUMIFS(R:R,A:A,"="&amp;A277,B:B,"&lt;"&amp;(B277+1)),_xlfn._xlws.FILTER(AO:AO,AL:AL=A277),1),1)</f>
        <v>1</v>
      </c>
      <c r="T277" s="62">
        <f t="shared" si="31"/>
        <v>125</v>
      </c>
      <c r="U277" s="62"/>
      <c r="V277" s="62"/>
      <c r="W277" s="63"/>
      <c r="X277" s="30"/>
      <c r="Y277" s="64"/>
      <c r="Z277" s="64"/>
      <c r="AA277" s="23"/>
      <c r="AB277" s="24"/>
      <c r="AC277" s="25"/>
      <c r="AD277" s="25"/>
    </row>
    <row r="278" spans="1:30">
      <c r="A278" s="46">
        <f t="shared" si="27"/>
        <v>7</v>
      </c>
      <c r="B278" s="47">
        <v>19</v>
      </c>
      <c r="C278" s="47"/>
      <c r="D278" s="47"/>
      <c r="E278" s="14"/>
      <c r="F278" s="14" t="str">
        <f t="shared" si="32"/>
        <v/>
      </c>
      <c r="G278" s="14"/>
      <c r="H278" s="30"/>
      <c r="I278" s="17"/>
      <c r="J278" s="18">
        <f t="shared" si="33"/>
        <v>0</v>
      </c>
      <c r="K278" t="s">
        <v>424</v>
      </c>
      <c r="L278" s="38">
        <v>3</v>
      </c>
      <c r="M278" s="21">
        <v>1</v>
      </c>
      <c r="N278" s="14"/>
      <c r="O278" s="22"/>
      <c r="P278" s="60">
        <f t="shared" si="28"/>
        <v>0</v>
      </c>
      <c r="Q278" s="60">
        <f t="shared" si="29"/>
        <v>0</v>
      </c>
      <c r="R278" s="60">
        <f t="shared" si="30"/>
        <v>0</v>
      </c>
      <c r="S278" s="62" cm="1">
        <f t="array" ref="S278">_xlfn.IFNA(MATCH(SUMIFS(R:R,A:A,"="&amp;A278,B:B,"&lt;"&amp;(B278+1)),_xlfn._xlws.FILTER(AO:AO,AL:AL=A278),1),1)</f>
        <v>1</v>
      </c>
      <c r="T278" s="62">
        <f t="shared" si="31"/>
        <v>125</v>
      </c>
      <c r="U278" s="62"/>
      <c r="V278" s="62"/>
      <c r="W278" s="63"/>
      <c r="X278" s="30"/>
      <c r="Y278" s="64"/>
      <c r="Z278" s="64"/>
      <c r="AA278" s="23"/>
      <c r="AB278" s="24"/>
      <c r="AC278" s="25"/>
      <c r="AD278" s="25"/>
    </row>
    <row r="279" spans="1:30">
      <c r="A279" s="46">
        <f t="shared" si="27"/>
        <v>7</v>
      </c>
      <c r="B279" s="47">
        <v>20</v>
      </c>
      <c r="C279" s="47"/>
      <c r="D279" s="47"/>
      <c r="E279" s="14">
        <v>12.99</v>
      </c>
      <c r="F279" s="14">
        <f t="shared" si="32"/>
        <v>149</v>
      </c>
      <c r="G279" s="36">
        <f>(E279+0.01)*F279*$AJ$2/100</f>
        <v>19370000</v>
      </c>
      <c r="H279" s="37">
        <f>SUM(G261:G279)</f>
        <v>50730000</v>
      </c>
      <c r="I279" s="17">
        <f>SUM(E261:E279)</f>
        <v>36.96</v>
      </c>
      <c r="J279" s="18">
        <f t="shared" si="33"/>
        <v>0.24</v>
      </c>
      <c r="K279" s="14" t="s">
        <v>2</v>
      </c>
      <c r="L279" s="29">
        <v>9</v>
      </c>
      <c r="M279" s="21">
        <f>G279</f>
        <v>19370000</v>
      </c>
      <c r="N279" s="36">
        <f>SUMIF(K279:K284,"="&amp;"金币",M279:M284)</f>
        <v>20976440</v>
      </c>
      <c r="O279" s="22">
        <f>N279/$AJ$2</f>
        <v>20.97644</v>
      </c>
      <c r="P279" s="60">
        <f t="shared" si="28"/>
        <v>2</v>
      </c>
      <c r="Q279" s="60" t="str">
        <f t="shared" si="29"/>
        <v>金币</v>
      </c>
      <c r="R279" s="60">
        <f t="shared" si="30"/>
        <v>0</v>
      </c>
      <c r="S279" s="62" cm="1">
        <f t="array" ref="S279">_xlfn.IFNA(MATCH(SUMIFS(R:R,A:A,"="&amp;A279,B:B,"&lt;"&amp;(B279+1)),_xlfn._xlws.FILTER(AO:AO,AL:AL=A279),1),1)</f>
        <v>1</v>
      </c>
      <c r="T279" s="62">
        <f t="shared" si="31"/>
        <v>125</v>
      </c>
      <c r="U279" s="62">
        <f>_xlfn.IFNA(VLOOKUP(Q279,道具!B:C,2,FALSE),"")</f>
        <v>1</v>
      </c>
      <c r="V279" s="62">
        <f>IF(U279=1,CEILING(W279*100/$AJ$2,5),IF(U279=2,J279*100,0))</f>
        <v>220</v>
      </c>
      <c r="W279" s="63">
        <f>IF(U279=1,J279*$AD$6,IF(U279=2,J279*$AJ$2,0))</f>
        <v>2157480</v>
      </c>
      <c r="X279" s="37">
        <f>SUM(N261:N279)+SUM(W261:W279)</f>
        <v>59990370</v>
      </c>
      <c r="Y279" s="66">
        <f>SUM(O261:O279)</f>
        <v>56.75415</v>
      </c>
      <c r="Z279" s="66">
        <f>SUM(W261:W279)</f>
        <v>3236220</v>
      </c>
      <c r="AA279" s="23">
        <f>X279/$AJ$2</f>
        <v>59.99037</v>
      </c>
      <c r="AB279" s="24">
        <f>X279/H279</f>
        <v>1.18254228267297</v>
      </c>
      <c r="AC279" s="25"/>
      <c r="AD279" s="25"/>
    </row>
    <row r="280" spans="1:30">
      <c r="A280" s="46">
        <f t="shared" si="27"/>
        <v>7</v>
      </c>
      <c r="B280" s="47">
        <v>21</v>
      </c>
      <c r="C280" s="47"/>
      <c r="D280" s="47"/>
      <c r="E280" s="14"/>
      <c r="F280" s="14" t="str">
        <f t="shared" si="32"/>
        <v/>
      </c>
      <c r="G280" s="14"/>
      <c r="H280" s="30"/>
      <c r="I280" s="17"/>
      <c r="J280" s="18">
        <f t="shared" si="33"/>
        <v>0</v>
      </c>
      <c r="K280" s="19" t="s">
        <v>408</v>
      </c>
      <c r="L280" s="38">
        <v>3</v>
      </c>
      <c r="M280" s="21">
        <v>4</v>
      </c>
      <c r="N280" s="14"/>
      <c r="O280" s="22"/>
      <c r="P280" s="60">
        <f t="shared" si="28"/>
        <v>0</v>
      </c>
      <c r="Q280" s="60">
        <f t="shared" si="29"/>
        <v>0</v>
      </c>
      <c r="R280" s="60">
        <f t="shared" si="30"/>
        <v>0</v>
      </c>
      <c r="S280" s="62" cm="1">
        <f t="array" ref="S280">_xlfn.IFNA(MATCH(SUMIFS(R:R,A:A,"="&amp;A280,B:B,"&lt;"&amp;(B280+1)),_xlfn._xlws.FILTER(AO:AO,AL:AL=A280),1),1)</f>
        <v>1</v>
      </c>
      <c r="T280" s="62">
        <f t="shared" si="31"/>
        <v>125</v>
      </c>
      <c r="U280" s="62"/>
      <c r="V280" s="62"/>
      <c r="W280" s="63"/>
      <c r="X280" s="30"/>
      <c r="Y280" s="64"/>
      <c r="Z280" s="64"/>
      <c r="AA280" s="23"/>
      <c r="AB280" s="24"/>
      <c r="AC280" s="25"/>
      <c r="AD280" s="25"/>
    </row>
    <row r="281" spans="1:30">
      <c r="A281" s="46">
        <f t="shared" si="27"/>
        <v>7</v>
      </c>
      <c r="B281" s="47">
        <v>22</v>
      </c>
      <c r="C281" s="47"/>
      <c r="D281" s="47"/>
      <c r="E281" s="14"/>
      <c r="F281" s="14" t="str">
        <f t="shared" si="32"/>
        <v/>
      </c>
      <c r="G281" s="14"/>
      <c r="H281" s="30"/>
      <c r="I281" s="17"/>
      <c r="J281" s="18">
        <f t="shared" si="33"/>
        <v>0.08</v>
      </c>
      <c r="K281" s="19" t="s">
        <v>2</v>
      </c>
      <c r="L281" s="38">
        <v>17</v>
      </c>
      <c r="M281" s="21">
        <f>J281*$AD$264</f>
        <v>1606440</v>
      </c>
      <c r="N281" s="14"/>
      <c r="O281" s="22"/>
      <c r="P281" s="60">
        <f t="shared" si="28"/>
        <v>0</v>
      </c>
      <c r="Q281" s="60">
        <f t="shared" si="29"/>
        <v>0</v>
      </c>
      <c r="R281" s="60">
        <f t="shared" si="30"/>
        <v>0</v>
      </c>
      <c r="S281" s="62" cm="1">
        <f t="array" ref="S281">_xlfn.IFNA(MATCH(SUMIFS(R:R,A:A,"="&amp;A281,B:B,"&lt;"&amp;(B281+1)),_xlfn._xlws.FILTER(AO:AO,AL:AL=A281),1),1)</f>
        <v>1</v>
      </c>
      <c r="T281" s="62">
        <f t="shared" si="31"/>
        <v>125</v>
      </c>
      <c r="U281" s="62"/>
      <c r="V281" s="62"/>
      <c r="W281" s="63"/>
      <c r="X281" s="30"/>
      <c r="Y281" s="64"/>
      <c r="Z281" s="64"/>
      <c r="AA281" s="23"/>
      <c r="AB281" s="24"/>
      <c r="AC281" s="25"/>
      <c r="AD281" s="25"/>
    </row>
    <row r="282" spans="1:30">
      <c r="A282" s="46">
        <f t="shared" si="27"/>
        <v>7</v>
      </c>
      <c r="B282" s="47">
        <v>23</v>
      </c>
      <c r="C282" s="47"/>
      <c r="D282" s="47"/>
      <c r="E282" s="14"/>
      <c r="F282" s="14" t="str">
        <f t="shared" si="32"/>
        <v/>
      </c>
      <c r="G282" s="14"/>
      <c r="H282" s="30"/>
      <c r="I282" s="17"/>
      <c r="J282" s="18">
        <f t="shared" si="33"/>
        <v>0</v>
      </c>
      <c r="K282" s="19" t="s">
        <v>461</v>
      </c>
      <c r="L282" s="38">
        <v>4</v>
      </c>
      <c r="M282" s="21">
        <v>1</v>
      </c>
      <c r="N282" s="14"/>
      <c r="O282" s="22"/>
      <c r="P282" s="60">
        <f t="shared" si="28"/>
        <v>0</v>
      </c>
      <c r="Q282" s="60">
        <f t="shared" si="29"/>
        <v>0</v>
      </c>
      <c r="R282" s="60">
        <f t="shared" si="30"/>
        <v>15</v>
      </c>
      <c r="S282" s="62" cm="1">
        <f t="array" ref="S282">_xlfn.IFNA(MATCH(SUMIFS(R:R,A:A,"="&amp;A282,B:B,"&lt;"&amp;(B282+1)),_xlfn._xlws.FILTER(AO:AO,AL:AL=A282),1),1)</f>
        <v>1</v>
      </c>
      <c r="T282" s="62">
        <f t="shared" si="31"/>
        <v>140</v>
      </c>
      <c r="U282" s="62"/>
      <c r="V282" s="62"/>
      <c r="W282" s="63"/>
      <c r="X282" s="30"/>
      <c r="Y282" s="64"/>
      <c r="Z282" s="64"/>
      <c r="AA282" s="23"/>
      <c r="AB282" s="24"/>
      <c r="AC282" s="25"/>
      <c r="AD282" s="25"/>
    </row>
    <row r="283" spans="1:30">
      <c r="A283" s="46">
        <f t="shared" si="27"/>
        <v>7</v>
      </c>
      <c r="B283" s="47">
        <v>24</v>
      </c>
      <c r="C283" s="47"/>
      <c r="D283" s="47"/>
      <c r="E283" s="14"/>
      <c r="F283" s="14" t="str">
        <f t="shared" si="32"/>
        <v/>
      </c>
      <c r="G283" s="14"/>
      <c r="H283" s="30"/>
      <c r="I283" s="17"/>
      <c r="J283" s="18">
        <f t="shared" si="33"/>
        <v>0</v>
      </c>
      <c r="K283" s="19" t="s">
        <v>453</v>
      </c>
      <c r="L283" s="38">
        <v>3</v>
      </c>
      <c r="M283" s="21">
        <v>20</v>
      </c>
      <c r="N283" s="14"/>
      <c r="O283" s="22"/>
      <c r="P283" s="60">
        <f t="shared" si="28"/>
        <v>0</v>
      </c>
      <c r="Q283" s="60">
        <f t="shared" si="29"/>
        <v>0</v>
      </c>
      <c r="R283" s="60">
        <f t="shared" si="30"/>
        <v>0</v>
      </c>
      <c r="S283" s="62" cm="1">
        <f t="array" ref="S283">_xlfn.IFNA(MATCH(SUMIFS(R:R,A:A,"="&amp;A283,B:B,"&lt;"&amp;(B283+1)),_xlfn._xlws.FILTER(AO:AO,AL:AL=A283),1),1)</f>
        <v>1</v>
      </c>
      <c r="T283" s="62">
        <f t="shared" si="31"/>
        <v>140</v>
      </c>
      <c r="U283" s="62"/>
      <c r="V283" s="62"/>
      <c r="W283" s="63"/>
      <c r="X283" s="30"/>
      <c r="Y283" s="64"/>
      <c r="Z283" s="64"/>
      <c r="AA283" s="23"/>
      <c r="AB283" s="24"/>
      <c r="AC283" s="25"/>
      <c r="AD283" s="25"/>
    </row>
    <row r="284" spans="1:30">
      <c r="A284" s="46">
        <f t="shared" si="27"/>
        <v>7</v>
      </c>
      <c r="B284" s="47">
        <v>25</v>
      </c>
      <c r="C284" s="47"/>
      <c r="D284" s="47"/>
      <c r="E284" s="14"/>
      <c r="F284" s="14" t="str">
        <f t="shared" si="32"/>
        <v/>
      </c>
      <c r="G284" s="14"/>
      <c r="H284" s="30"/>
      <c r="I284" s="17"/>
      <c r="J284" s="18">
        <f t="shared" si="33"/>
        <v>0</v>
      </c>
      <c r="K284" t="s">
        <v>426</v>
      </c>
      <c r="L284" s="38">
        <v>3</v>
      </c>
      <c r="M284" s="21">
        <v>1</v>
      </c>
      <c r="N284" s="14"/>
      <c r="O284" s="22"/>
      <c r="P284" s="60">
        <f t="shared" si="28"/>
        <v>0</v>
      </c>
      <c r="Q284" s="60">
        <f t="shared" si="29"/>
        <v>0</v>
      </c>
      <c r="R284" s="60">
        <f t="shared" si="30"/>
        <v>0</v>
      </c>
      <c r="S284" s="62" cm="1">
        <f t="array" ref="S284">_xlfn.IFNA(MATCH(SUMIFS(R:R,A:A,"="&amp;A284,B:B,"&lt;"&amp;(B284+1)),_xlfn._xlws.FILTER(AO:AO,AL:AL=A284),1),1)</f>
        <v>1</v>
      </c>
      <c r="T284" s="62">
        <f t="shared" si="31"/>
        <v>140</v>
      </c>
      <c r="U284" s="62"/>
      <c r="V284" s="62"/>
      <c r="W284" s="63"/>
      <c r="X284" s="30"/>
      <c r="Y284" s="64"/>
      <c r="Z284" s="64"/>
      <c r="AA284" s="23"/>
      <c r="AB284" s="24"/>
      <c r="AC284" s="25"/>
      <c r="AD284" s="25"/>
    </row>
    <row r="285" spans="1:30">
      <c r="A285" s="46">
        <f t="shared" si="27"/>
        <v>7</v>
      </c>
      <c r="B285" s="47">
        <v>26</v>
      </c>
      <c r="C285" s="47"/>
      <c r="D285" s="47"/>
      <c r="E285" s="14">
        <v>14.99</v>
      </c>
      <c r="F285" s="14">
        <f t="shared" si="32"/>
        <v>154</v>
      </c>
      <c r="G285" s="36">
        <f>(E285+0.01)*F285*$AJ$2/100</f>
        <v>23100000</v>
      </c>
      <c r="H285" s="37">
        <f>SUM(G261:G285)</f>
        <v>73830000</v>
      </c>
      <c r="I285" s="17">
        <f>SUM(E261:E285)</f>
        <v>51.95</v>
      </c>
      <c r="J285" s="18">
        <f t="shared" si="33"/>
        <v>0</v>
      </c>
      <c r="K285" s="14" t="s">
        <v>2</v>
      </c>
      <c r="L285" s="29">
        <v>9</v>
      </c>
      <c r="M285" s="21">
        <f>G285</f>
        <v>23100000</v>
      </c>
      <c r="N285" s="36">
        <f>SUMIF(K285:K290,"="&amp;"金币",M285:M290)</f>
        <v>24104025</v>
      </c>
      <c r="O285" s="22">
        <f>N285/$AJ$2</f>
        <v>24.104025</v>
      </c>
      <c r="P285" s="60">
        <f t="shared" si="28"/>
        <v>0</v>
      </c>
      <c r="Q285" s="60">
        <f t="shared" si="29"/>
        <v>0</v>
      </c>
      <c r="R285" s="60">
        <f t="shared" si="30"/>
        <v>10</v>
      </c>
      <c r="S285" s="62" cm="1">
        <f t="array" ref="S285">_xlfn.IFNA(MATCH(SUMIFS(R:R,A:A,"="&amp;A285,B:B,"&lt;"&amp;(B285+1)),_xlfn._xlws.FILTER(AO:AO,AL:AL=A285),1),1)</f>
        <v>2</v>
      </c>
      <c r="T285" s="62">
        <f t="shared" si="31"/>
        <v>150</v>
      </c>
      <c r="U285" s="62" t="str">
        <f>_xlfn.IFNA(VLOOKUP(Q285,道具!B:C,2,FALSE),"")</f>
        <v/>
      </c>
      <c r="V285" s="62">
        <f>IF(U285=1,CEILING(W285*100/$AJ$2,5),IF(U285=2,J285*100,0))</f>
        <v>0</v>
      </c>
      <c r="W285" s="63">
        <f>IF(U285=1,J285*$AD$6,IF(U285=2,J285*$AJ$2,0))</f>
        <v>0</v>
      </c>
      <c r="X285" s="37">
        <f>SUM(N261:N285)+SUM(W261:W285)</f>
        <v>84094395</v>
      </c>
      <c r="Y285" s="66">
        <f>SUM(O261:O285)</f>
        <v>80.858175</v>
      </c>
      <c r="Z285" s="66">
        <f>SUM(W261:W285)</f>
        <v>3236220</v>
      </c>
      <c r="AA285" s="23">
        <f>X285/$AJ$2</f>
        <v>84.094395</v>
      </c>
      <c r="AB285" s="24">
        <f>X285/H285</f>
        <v>1.13902742787485</v>
      </c>
      <c r="AC285" s="25"/>
      <c r="AD285" s="25"/>
    </row>
    <row r="286" spans="1:30">
      <c r="A286" s="46">
        <f t="shared" si="27"/>
        <v>7</v>
      </c>
      <c r="B286" s="47">
        <v>27</v>
      </c>
      <c r="C286" s="47"/>
      <c r="D286" s="47"/>
      <c r="E286" s="14"/>
      <c r="F286" s="14" t="str">
        <f t="shared" si="32"/>
        <v/>
      </c>
      <c r="G286" s="14"/>
      <c r="H286" s="30"/>
      <c r="I286" s="17"/>
      <c r="J286" s="18">
        <f t="shared" si="33"/>
        <v>0</v>
      </c>
      <c r="K286" s="19" t="s">
        <v>408</v>
      </c>
      <c r="L286" s="38">
        <v>3</v>
      </c>
      <c r="M286" s="21">
        <v>5</v>
      </c>
      <c r="N286" s="14"/>
      <c r="O286" s="22"/>
      <c r="P286" s="60">
        <f t="shared" si="28"/>
        <v>0</v>
      </c>
      <c r="Q286" s="60">
        <f t="shared" si="29"/>
        <v>0</v>
      </c>
      <c r="R286" s="60">
        <f t="shared" si="30"/>
        <v>0</v>
      </c>
      <c r="S286" s="62" cm="1">
        <f t="array" ref="S286">_xlfn.IFNA(MATCH(SUMIFS(R:R,A:A,"="&amp;A286,B:B,"&lt;"&amp;(B286+1)),_xlfn._xlws.FILTER(AO:AO,AL:AL=A286),1),1)</f>
        <v>2</v>
      </c>
      <c r="T286" s="62">
        <f t="shared" si="31"/>
        <v>150</v>
      </c>
      <c r="U286" s="62"/>
      <c r="V286" s="62"/>
      <c r="W286" s="63"/>
      <c r="X286" s="30"/>
      <c r="Y286" s="64"/>
      <c r="Z286" s="64"/>
      <c r="AA286" s="23"/>
      <c r="AB286" s="24"/>
      <c r="AC286" s="25"/>
      <c r="AD286" s="25"/>
    </row>
    <row r="287" spans="1:30">
      <c r="A287" s="46">
        <f t="shared" si="27"/>
        <v>7</v>
      </c>
      <c r="B287" s="47">
        <v>28</v>
      </c>
      <c r="C287" s="47"/>
      <c r="D287" s="47"/>
      <c r="E287" s="14"/>
      <c r="F287" s="14" t="str">
        <f t="shared" si="32"/>
        <v/>
      </c>
      <c r="G287" s="14"/>
      <c r="H287" s="30"/>
      <c r="I287" s="17"/>
      <c r="J287" s="18">
        <f t="shared" si="33"/>
        <v>0.05</v>
      </c>
      <c r="K287" s="19" t="s">
        <v>2</v>
      </c>
      <c r="L287" s="38">
        <v>17</v>
      </c>
      <c r="M287" s="21">
        <f>J287*$AD$264</f>
        <v>1004025</v>
      </c>
      <c r="N287" s="14"/>
      <c r="O287" s="22"/>
      <c r="P287" s="60">
        <f t="shared" si="28"/>
        <v>0</v>
      </c>
      <c r="Q287" s="60">
        <f t="shared" si="29"/>
        <v>0</v>
      </c>
      <c r="R287" s="60">
        <f t="shared" si="30"/>
        <v>0</v>
      </c>
      <c r="S287" s="62" cm="1">
        <f t="array" ref="S287">_xlfn.IFNA(MATCH(SUMIFS(R:R,A:A,"="&amp;A287,B:B,"&lt;"&amp;(B287+1)),_xlfn._xlws.FILTER(AO:AO,AL:AL=A287),1),1)</f>
        <v>2</v>
      </c>
      <c r="T287" s="62">
        <f t="shared" si="31"/>
        <v>150</v>
      </c>
      <c r="U287" s="62"/>
      <c r="V287" s="62"/>
      <c r="W287" s="63"/>
      <c r="X287" s="30"/>
      <c r="Y287" s="64"/>
      <c r="Z287" s="64"/>
      <c r="AA287" s="23"/>
      <c r="AB287" s="24"/>
      <c r="AC287" s="25"/>
      <c r="AD287" s="25"/>
    </row>
    <row r="288" spans="1:30">
      <c r="A288" s="46">
        <f t="shared" si="27"/>
        <v>7</v>
      </c>
      <c r="B288" s="47">
        <v>29</v>
      </c>
      <c r="C288" s="47"/>
      <c r="D288" s="47"/>
      <c r="E288" s="14"/>
      <c r="F288" s="14" t="str">
        <f t="shared" si="32"/>
        <v/>
      </c>
      <c r="G288" s="14"/>
      <c r="H288" s="30"/>
      <c r="I288" s="17"/>
      <c r="J288" s="18">
        <f t="shared" si="33"/>
        <v>0</v>
      </c>
      <c r="K288" s="19" t="s">
        <v>463</v>
      </c>
      <c r="L288" s="38">
        <v>4</v>
      </c>
      <c r="M288" s="21">
        <v>1</v>
      </c>
      <c r="N288" s="14"/>
      <c r="O288" s="22"/>
      <c r="P288" s="60">
        <f t="shared" si="28"/>
        <v>0</v>
      </c>
      <c r="Q288" s="60">
        <f t="shared" si="29"/>
        <v>0</v>
      </c>
      <c r="R288" s="60">
        <f t="shared" si="30"/>
        <v>25</v>
      </c>
      <c r="S288" s="62" cm="1">
        <f t="array" ref="S288">_xlfn.IFNA(MATCH(SUMIFS(R:R,A:A,"="&amp;A288,B:B,"&lt;"&amp;(B288+1)),_xlfn._xlws.FILTER(AO:AO,AL:AL=A288),1),1)</f>
        <v>2</v>
      </c>
      <c r="T288" s="62">
        <f t="shared" si="31"/>
        <v>175</v>
      </c>
      <c r="U288" s="62"/>
      <c r="V288" s="62"/>
      <c r="W288" s="63"/>
      <c r="X288" s="30"/>
      <c r="Y288" s="64"/>
      <c r="Z288" s="64"/>
      <c r="AA288" s="23"/>
      <c r="AB288" s="24"/>
      <c r="AC288" s="25"/>
      <c r="AD288" s="25"/>
    </row>
    <row r="289" spans="1:30">
      <c r="A289" s="46">
        <f t="shared" si="27"/>
        <v>7</v>
      </c>
      <c r="B289" s="47">
        <v>30</v>
      </c>
      <c r="C289" s="47"/>
      <c r="D289" s="47"/>
      <c r="E289" s="14"/>
      <c r="F289" s="14" t="str">
        <f t="shared" si="32"/>
        <v/>
      </c>
      <c r="G289" s="14"/>
      <c r="H289" s="30"/>
      <c r="I289" s="17"/>
      <c r="J289" s="18">
        <f t="shared" si="33"/>
        <v>0</v>
      </c>
      <c r="K289" s="19" t="s">
        <v>453</v>
      </c>
      <c r="L289" s="38">
        <v>3</v>
      </c>
      <c r="M289" s="21">
        <v>25</v>
      </c>
      <c r="N289" s="14"/>
      <c r="O289" s="22"/>
      <c r="P289" s="60">
        <f t="shared" si="28"/>
        <v>0</v>
      </c>
      <c r="Q289" s="60">
        <f t="shared" si="29"/>
        <v>0</v>
      </c>
      <c r="R289" s="60">
        <f t="shared" si="30"/>
        <v>0</v>
      </c>
      <c r="S289" s="62" cm="1">
        <f t="array" ref="S289">_xlfn.IFNA(MATCH(SUMIFS(R:R,A:A,"="&amp;A289,B:B,"&lt;"&amp;(B289+1)),_xlfn._xlws.FILTER(AO:AO,AL:AL=A289),1),1)</f>
        <v>2</v>
      </c>
      <c r="T289" s="62">
        <f t="shared" si="31"/>
        <v>175</v>
      </c>
      <c r="U289" s="62"/>
      <c r="V289" s="62"/>
      <c r="W289" s="63"/>
      <c r="X289" s="30"/>
      <c r="Y289" s="64"/>
      <c r="Z289" s="64"/>
      <c r="AA289" s="23"/>
      <c r="AB289" s="24"/>
      <c r="AC289" s="25"/>
      <c r="AD289" s="25"/>
    </row>
    <row r="290" spans="1:30">
      <c r="A290" s="46">
        <f t="shared" si="27"/>
        <v>7</v>
      </c>
      <c r="B290" s="47">
        <v>31</v>
      </c>
      <c r="C290" s="47"/>
      <c r="D290" s="47"/>
      <c r="E290" s="14"/>
      <c r="F290" s="14" t="str">
        <f t="shared" si="32"/>
        <v/>
      </c>
      <c r="G290" s="14"/>
      <c r="H290" s="30"/>
      <c r="I290" s="17"/>
      <c r="J290" s="18">
        <f t="shared" si="33"/>
        <v>0</v>
      </c>
      <c r="K290" t="s">
        <v>424</v>
      </c>
      <c r="L290" s="38">
        <v>3</v>
      </c>
      <c r="M290" s="21">
        <v>1</v>
      </c>
      <c r="N290" s="14"/>
      <c r="O290" s="22"/>
      <c r="P290" s="60">
        <f t="shared" si="28"/>
        <v>0</v>
      </c>
      <c r="Q290" s="60">
        <f t="shared" si="29"/>
        <v>0</v>
      </c>
      <c r="R290" s="60">
        <f t="shared" si="30"/>
        <v>0</v>
      </c>
      <c r="S290" s="62" cm="1">
        <f t="array" ref="S290">_xlfn.IFNA(MATCH(SUMIFS(R:R,A:A,"="&amp;A290,B:B,"&lt;"&amp;(B290+1)),_xlfn._xlws.FILTER(AO:AO,AL:AL=A290),1),1)</f>
        <v>2</v>
      </c>
      <c r="T290" s="62">
        <f t="shared" si="31"/>
        <v>175</v>
      </c>
      <c r="U290" s="62"/>
      <c r="V290" s="62"/>
      <c r="W290" s="63"/>
      <c r="X290" s="30"/>
      <c r="Y290" s="64"/>
      <c r="Z290" s="64"/>
      <c r="AA290" s="23"/>
      <c r="AB290" s="24"/>
      <c r="AC290" s="25"/>
      <c r="AD290" s="25"/>
    </row>
    <row r="291" spans="1:30">
      <c r="A291" s="46">
        <f t="shared" si="27"/>
        <v>7</v>
      </c>
      <c r="B291" s="47">
        <v>32</v>
      </c>
      <c r="C291" s="47"/>
      <c r="D291" s="47"/>
      <c r="E291" s="14">
        <v>17.99</v>
      </c>
      <c r="F291" s="14">
        <f t="shared" si="32"/>
        <v>158</v>
      </c>
      <c r="G291" s="36">
        <f>(E291+0.01)*F291*$AJ$2/100</f>
        <v>28440000</v>
      </c>
      <c r="H291" s="37">
        <f>SUM(G261:G291)</f>
        <v>102270000</v>
      </c>
      <c r="I291" s="17">
        <f>SUM(E261:E291)</f>
        <v>69.94</v>
      </c>
      <c r="J291" s="18">
        <f t="shared" si="33"/>
        <v>0</v>
      </c>
      <c r="K291" s="14" t="s">
        <v>2</v>
      </c>
      <c r="L291" s="29">
        <v>9</v>
      </c>
      <c r="M291" s="21">
        <f>G291</f>
        <v>28440000</v>
      </c>
      <c r="N291" s="36">
        <f>SUMIF(K291:K296,"="&amp;"金币",M291:M296)</f>
        <v>30849660</v>
      </c>
      <c r="O291" s="22">
        <f>N291/$AJ$2</f>
        <v>30.84966</v>
      </c>
      <c r="P291" s="60">
        <f t="shared" si="28"/>
        <v>0</v>
      </c>
      <c r="Q291" s="60">
        <f t="shared" si="29"/>
        <v>0</v>
      </c>
      <c r="R291" s="60">
        <f t="shared" si="30"/>
        <v>25</v>
      </c>
      <c r="S291" s="62" cm="1">
        <f t="array" ref="S291">_xlfn.IFNA(MATCH(SUMIFS(R:R,A:A,"="&amp;A291,B:B,"&lt;"&amp;(B291+1)),_xlfn._xlws.FILTER(AO:AO,AL:AL=A291),1),1)</f>
        <v>2</v>
      </c>
      <c r="T291" s="62">
        <f t="shared" si="31"/>
        <v>200</v>
      </c>
      <c r="U291" s="62" t="str">
        <f>_xlfn.IFNA(VLOOKUP(Q291,道具!B:C,2,FALSE),"")</f>
        <v/>
      </c>
      <c r="V291" s="62">
        <f>IF(U291=1,CEILING(W291*100/$AJ$2,5),IF(U291=2,J291*100,0))</f>
        <v>0</v>
      </c>
      <c r="W291" s="63">
        <f>IF(U291=1,J291*$AD$6,IF(U291=2,J291*$AJ$2,0))</f>
        <v>0</v>
      </c>
      <c r="X291" s="37">
        <f>SUM(N261:N291)+SUM(W261:W291)</f>
        <v>114944055</v>
      </c>
      <c r="Y291" s="66">
        <f>SUM(O261:O291)</f>
        <v>111.707835</v>
      </c>
      <c r="Z291" s="66">
        <f>SUM(W261:W291)</f>
        <v>3236220</v>
      </c>
      <c r="AA291" s="23">
        <f>X291/$AJ$2</f>
        <v>114.944055</v>
      </c>
      <c r="AB291" s="24">
        <f>X291/H291</f>
        <v>1.12392739806395</v>
      </c>
      <c r="AC291" s="25"/>
      <c r="AD291" s="25"/>
    </row>
    <row r="292" spans="1:30">
      <c r="A292" s="46">
        <f t="shared" si="27"/>
        <v>7</v>
      </c>
      <c r="B292" s="47">
        <v>33</v>
      </c>
      <c r="C292" s="47"/>
      <c r="D292" s="47"/>
      <c r="E292" s="14"/>
      <c r="F292" s="14" t="str">
        <f t="shared" si="32"/>
        <v/>
      </c>
      <c r="G292" s="14"/>
      <c r="H292" s="30"/>
      <c r="I292" s="17"/>
      <c r="J292" s="18">
        <f t="shared" si="33"/>
        <v>0</v>
      </c>
      <c r="K292" s="19" t="s">
        <v>408</v>
      </c>
      <c r="L292" s="38">
        <v>3</v>
      </c>
      <c r="M292" s="21">
        <v>6</v>
      </c>
      <c r="N292" s="14"/>
      <c r="O292" s="22"/>
      <c r="P292" s="60">
        <f t="shared" si="28"/>
        <v>0</v>
      </c>
      <c r="Q292" s="60">
        <f t="shared" si="29"/>
        <v>0</v>
      </c>
      <c r="R292" s="60">
        <f t="shared" si="30"/>
        <v>0</v>
      </c>
      <c r="S292" s="62" cm="1">
        <f t="array" ref="S292">_xlfn.IFNA(MATCH(SUMIFS(R:R,A:A,"="&amp;A292,B:B,"&lt;"&amp;(B292+1)),_xlfn._xlws.FILTER(AO:AO,AL:AL=A292),1),1)</f>
        <v>2</v>
      </c>
      <c r="T292" s="62">
        <f t="shared" si="31"/>
        <v>200</v>
      </c>
      <c r="U292" s="62"/>
      <c r="V292" s="62"/>
      <c r="W292" s="63"/>
      <c r="X292" s="30"/>
      <c r="Y292" s="64"/>
      <c r="Z292" s="64"/>
      <c r="AA292" s="23"/>
      <c r="AB292" s="24"/>
      <c r="AC292" s="25"/>
      <c r="AD292" s="25"/>
    </row>
    <row r="293" spans="1:30">
      <c r="A293" s="46">
        <f t="shared" si="27"/>
        <v>7</v>
      </c>
      <c r="B293" s="47">
        <v>34</v>
      </c>
      <c r="C293" s="47"/>
      <c r="D293" s="47"/>
      <c r="E293" s="14"/>
      <c r="F293" s="14" t="str">
        <f t="shared" si="32"/>
        <v/>
      </c>
      <c r="G293" s="14"/>
      <c r="H293" s="30"/>
      <c r="I293" s="17"/>
      <c r="J293" s="18">
        <f t="shared" si="33"/>
        <v>0.12</v>
      </c>
      <c r="K293" s="19" t="s">
        <v>2</v>
      </c>
      <c r="L293" s="38">
        <v>17</v>
      </c>
      <c r="M293" s="21">
        <f>J293*$AD$264</f>
        <v>2409660</v>
      </c>
      <c r="N293" s="14"/>
      <c r="O293" s="22"/>
      <c r="P293" s="60">
        <f t="shared" si="28"/>
        <v>0</v>
      </c>
      <c r="Q293" s="60">
        <f t="shared" si="29"/>
        <v>0</v>
      </c>
      <c r="R293" s="60">
        <f t="shared" si="30"/>
        <v>0</v>
      </c>
      <c r="S293" s="62" cm="1">
        <f t="array" ref="S293">_xlfn.IFNA(MATCH(SUMIFS(R:R,A:A,"="&amp;A293,B:B,"&lt;"&amp;(B293+1)),_xlfn._xlws.FILTER(AO:AO,AL:AL=A293),1),1)</f>
        <v>2</v>
      </c>
      <c r="T293" s="62">
        <f t="shared" si="31"/>
        <v>200</v>
      </c>
      <c r="U293" s="62"/>
      <c r="V293" s="62"/>
      <c r="W293" s="63"/>
      <c r="X293" s="30"/>
      <c r="Y293" s="64"/>
      <c r="Z293" s="64"/>
      <c r="AA293" s="23"/>
      <c r="AB293" s="24"/>
      <c r="AC293" s="25"/>
      <c r="AD293" s="25"/>
    </row>
    <row r="294" spans="1:30">
      <c r="A294" s="46">
        <f t="shared" si="27"/>
        <v>7</v>
      </c>
      <c r="B294" s="47">
        <v>35</v>
      </c>
      <c r="C294" s="47"/>
      <c r="D294" s="47"/>
      <c r="E294" s="14"/>
      <c r="F294" s="14" t="str">
        <f t="shared" si="32"/>
        <v/>
      </c>
      <c r="G294" s="14"/>
      <c r="H294" s="30"/>
      <c r="I294" s="17"/>
      <c r="J294" s="18">
        <f t="shared" si="33"/>
        <v>0</v>
      </c>
      <c r="K294" s="19" t="s">
        <v>463</v>
      </c>
      <c r="L294" s="38">
        <v>4</v>
      </c>
      <c r="M294" s="21">
        <v>1</v>
      </c>
      <c r="N294" s="14"/>
      <c r="O294" s="22"/>
      <c r="P294" s="60">
        <f t="shared" si="28"/>
        <v>0</v>
      </c>
      <c r="Q294" s="60">
        <f t="shared" si="29"/>
        <v>0</v>
      </c>
      <c r="R294" s="60">
        <f t="shared" si="30"/>
        <v>15</v>
      </c>
      <c r="S294" s="62" cm="1">
        <f t="array" ref="S294">_xlfn.IFNA(MATCH(SUMIFS(R:R,A:A,"="&amp;A294,B:B,"&lt;"&amp;(B294+1)),_xlfn._xlws.FILTER(AO:AO,AL:AL=A294),1),1)</f>
        <v>2</v>
      </c>
      <c r="T294" s="62">
        <f t="shared" si="31"/>
        <v>215</v>
      </c>
      <c r="U294" s="62"/>
      <c r="V294" s="62"/>
      <c r="W294" s="63"/>
      <c r="X294" s="30"/>
      <c r="Y294" s="64"/>
      <c r="Z294" s="64"/>
      <c r="AA294" s="23"/>
      <c r="AB294" s="24"/>
      <c r="AC294" s="25"/>
      <c r="AD294" s="25"/>
    </row>
    <row r="295" spans="1:30">
      <c r="A295" s="46">
        <f t="shared" si="27"/>
        <v>7</v>
      </c>
      <c r="B295" s="47">
        <v>36</v>
      </c>
      <c r="C295" s="47"/>
      <c r="D295" s="47"/>
      <c r="E295" s="14"/>
      <c r="F295" s="14" t="str">
        <f t="shared" si="32"/>
        <v/>
      </c>
      <c r="G295" s="14"/>
      <c r="H295" s="30"/>
      <c r="I295" s="17"/>
      <c r="J295" s="18">
        <f t="shared" si="33"/>
        <v>0</v>
      </c>
      <c r="K295" s="19" t="s">
        <v>453</v>
      </c>
      <c r="L295" s="38">
        <v>3</v>
      </c>
      <c r="M295" s="21">
        <v>30</v>
      </c>
      <c r="N295" s="14"/>
      <c r="O295" s="22"/>
      <c r="P295" s="60">
        <f t="shared" si="28"/>
        <v>0</v>
      </c>
      <c r="Q295" s="60">
        <f t="shared" si="29"/>
        <v>0</v>
      </c>
      <c r="R295" s="60">
        <f t="shared" si="30"/>
        <v>0</v>
      </c>
      <c r="S295" s="62" cm="1">
        <f t="array" ref="S295">_xlfn.IFNA(MATCH(SUMIFS(R:R,A:A,"="&amp;A295,B:B,"&lt;"&amp;(B295+1)),_xlfn._xlws.FILTER(AO:AO,AL:AL=A295),1),1)</f>
        <v>2</v>
      </c>
      <c r="T295" s="62">
        <f t="shared" si="31"/>
        <v>215</v>
      </c>
      <c r="U295" s="62"/>
      <c r="V295" s="62"/>
      <c r="W295" s="63"/>
      <c r="X295" s="30"/>
      <c r="Y295" s="64"/>
      <c r="Z295" s="64"/>
      <c r="AA295" s="23"/>
      <c r="AB295" s="24"/>
      <c r="AC295" s="25"/>
      <c r="AD295" s="25"/>
    </row>
    <row r="296" spans="1:30">
      <c r="A296" s="46">
        <f t="shared" si="27"/>
        <v>7</v>
      </c>
      <c r="B296" s="47">
        <v>37</v>
      </c>
      <c r="C296" s="47"/>
      <c r="D296" s="47"/>
      <c r="E296" s="14"/>
      <c r="F296" s="14" t="str">
        <f t="shared" si="32"/>
        <v/>
      </c>
      <c r="G296" s="14"/>
      <c r="H296" s="30"/>
      <c r="I296" s="17"/>
      <c r="J296" s="18">
        <f t="shared" si="33"/>
        <v>0</v>
      </c>
      <c r="K296" t="s">
        <v>426</v>
      </c>
      <c r="L296" s="38">
        <v>3</v>
      </c>
      <c r="M296" s="21">
        <v>1</v>
      </c>
      <c r="N296" s="14"/>
      <c r="O296" s="22"/>
      <c r="P296" s="60">
        <f t="shared" si="28"/>
        <v>0</v>
      </c>
      <c r="Q296" s="60">
        <f t="shared" si="29"/>
        <v>0</v>
      </c>
      <c r="R296" s="60">
        <f t="shared" si="30"/>
        <v>0</v>
      </c>
      <c r="S296" s="62" cm="1">
        <f t="array" ref="S296">_xlfn.IFNA(MATCH(SUMIFS(R:R,A:A,"="&amp;A296,B:B,"&lt;"&amp;(B296+1)),_xlfn._xlws.FILTER(AO:AO,AL:AL=A296),1),1)</f>
        <v>2</v>
      </c>
      <c r="T296" s="62">
        <f t="shared" si="31"/>
        <v>215</v>
      </c>
      <c r="U296" s="62"/>
      <c r="V296" s="62"/>
      <c r="W296" s="63"/>
      <c r="X296" s="30"/>
      <c r="Y296" s="64"/>
      <c r="Z296" s="64"/>
      <c r="AA296" s="23"/>
      <c r="AB296" s="24"/>
      <c r="AC296" s="25"/>
      <c r="AD296" s="25"/>
    </row>
    <row r="297" spans="1:30">
      <c r="A297" s="46">
        <f t="shared" si="27"/>
        <v>7</v>
      </c>
      <c r="B297" s="47">
        <v>38</v>
      </c>
      <c r="C297" s="47"/>
      <c r="D297" s="47"/>
      <c r="E297" s="14">
        <v>19.99</v>
      </c>
      <c r="F297" s="14">
        <f t="shared" si="32"/>
        <v>158</v>
      </c>
      <c r="G297" s="36">
        <f>(E297+0.01)*F297*$AJ$2/100</f>
        <v>31600000</v>
      </c>
      <c r="H297" s="37">
        <f>SUM(G261:G297)</f>
        <v>133870000</v>
      </c>
      <c r="I297" s="17">
        <f>SUM(E261:E297)</f>
        <v>89.93</v>
      </c>
      <c r="J297" s="18">
        <f t="shared" si="33"/>
        <v>0.45</v>
      </c>
      <c r="K297" s="14" t="s">
        <v>2</v>
      </c>
      <c r="L297" s="29">
        <v>9</v>
      </c>
      <c r="M297" s="21">
        <f>G297</f>
        <v>31600000</v>
      </c>
      <c r="N297" s="36">
        <f>SUMIF(K297:K302,"="&amp;"金币",M297:M302)</f>
        <v>34009660</v>
      </c>
      <c r="O297" s="22">
        <f>N297/$AJ$2</f>
        <v>34.00966</v>
      </c>
      <c r="P297" s="60">
        <f t="shared" si="28"/>
        <v>3</v>
      </c>
      <c r="Q297" s="60" t="str">
        <f t="shared" si="29"/>
        <v>金币</v>
      </c>
      <c r="R297" s="60">
        <f t="shared" si="30"/>
        <v>35</v>
      </c>
      <c r="S297" s="62" cm="1">
        <f t="array" ref="S297">_xlfn.IFNA(MATCH(SUMIFS(R:R,A:A,"="&amp;A297,B:B,"&lt;"&amp;(B297+1)),_xlfn._xlws.FILTER(AO:AO,AL:AL=A297),1),1)</f>
        <v>2</v>
      </c>
      <c r="T297" s="62">
        <f t="shared" si="31"/>
        <v>250</v>
      </c>
      <c r="U297" s="62">
        <f>_xlfn.IFNA(VLOOKUP(Q297,道具!B:C,2,FALSE),"")</f>
        <v>1</v>
      </c>
      <c r="V297" s="62">
        <f>IF(U297=1,CEILING(W297*100/$AJ$2,5),IF(U297=2,J297*100,0))</f>
        <v>405</v>
      </c>
      <c r="W297" s="63">
        <f>IF(U297=1,J297*$AD$6,IF(U297=2,J297*$AJ$2,0))</f>
        <v>4045275</v>
      </c>
      <c r="X297" s="37">
        <f>SUM(N261:N297)+SUM(W261:W297)</f>
        <v>152998990</v>
      </c>
      <c r="Y297" s="66">
        <f>SUM(O261:O297)</f>
        <v>145.717495</v>
      </c>
      <c r="Z297" s="66">
        <f>SUM(W261:W297)</f>
        <v>7281494.99999999</v>
      </c>
      <c r="AA297" s="23">
        <f>X297/$AJ$2</f>
        <v>152.99899</v>
      </c>
      <c r="AB297" s="24">
        <f>X297/H297</f>
        <v>1.14289228355868</v>
      </c>
      <c r="AC297" s="25"/>
      <c r="AD297" s="25"/>
    </row>
    <row r="298" spans="1:30">
      <c r="A298" s="46">
        <f t="shared" si="27"/>
        <v>7</v>
      </c>
      <c r="B298" s="47">
        <v>39</v>
      </c>
      <c r="C298" s="47"/>
      <c r="D298" s="47"/>
      <c r="E298" s="14"/>
      <c r="F298" s="14" t="str">
        <f t="shared" si="32"/>
        <v/>
      </c>
      <c r="G298" s="14"/>
      <c r="H298" s="30"/>
      <c r="I298" s="17"/>
      <c r="J298" s="18">
        <f t="shared" si="33"/>
        <v>0</v>
      </c>
      <c r="K298" s="19" t="s">
        <v>408</v>
      </c>
      <c r="L298" s="38">
        <v>3</v>
      </c>
      <c r="M298" s="21">
        <v>7</v>
      </c>
      <c r="N298" s="14"/>
      <c r="O298" s="22"/>
      <c r="P298" s="60">
        <f t="shared" si="28"/>
        <v>0</v>
      </c>
      <c r="Q298" s="60">
        <f t="shared" si="29"/>
        <v>0</v>
      </c>
      <c r="R298" s="60">
        <f t="shared" si="30"/>
        <v>0</v>
      </c>
      <c r="S298" s="62" cm="1">
        <f t="array" ref="S298">_xlfn.IFNA(MATCH(SUMIFS(R:R,A:A,"="&amp;A298,B:B,"&lt;"&amp;(B298+1)),_xlfn._xlws.FILTER(AO:AO,AL:AL=A298),1),1)</f>
        <v>2</v>
      </c>
      <c r="T298" s="62">
        <f t="shared" si="31"/>
        <v>250</v>
      </c>
      <c r="U298" s="62"/>
      <c r="V298" s="62"/>
      <c r="W298" s="63"/>
      <c r="X298" s="30"/>
      <c r="Y298" s="64"/>
      <c r="Z298" s="64"/>
      <c r="AA298" s="23"/>
      <c r="AB298" s="24"/>
      <c r="AC298" s="25"/>
      <c r="AD298" s="25"/>
    </row>
    <row r="299" spans="1:30">
      <c r="A299" s="46">
        <f t="shared" si="27"/>
        <v>7</v>
      </c>
      <c r="B299" s="47">
        <v>40</v>
      </c>
      <c r="C299" s="47"/>
      <c r="D299" s="47"/>
      <c r="E299" s="14"/>
      <c r="F299" s="14" t="str">
        <f t="shared" si="32"/>
        <v/>
      </c>
      <c r="G299" s="14"/>
      <c r="H299" s="30"/>
      <c r="I299" s="17"/>
      <c r="J299" s="18">
        <f t="shared" si="33"/>
        <v>0.12</v>
      </c>
      <c r="K299" s="19" t="s">
        <v>2</v>
      </c>
      <c r="L299" s="38">
        <v>17</v>
      </c>
      <c r="M299" s="21">
        <f>J299*$AD$264</f>
        <v>2409660</v>
      </c>
      <c r="N299" s="14"/>
      <c r="O299" s="22"/>
      <c r="P299" s="60">
        <f t="shared" si="28"/>
        <v>0</v>
      </c>
      <c r="Q299" s="60">
        <f t="shared" si="29"/>
        <v>0</v>
      </c>
      <c r="R299" s="60">
        <f t="shared" si="30"/>
        <v>0</v>
      </c>
      <c r="S299" s="62" cm="1">
        <f t="array" ref="S299">_xlfn.IFNA(MATCH(SUMIFS(R:R,A:A,"="&amp;A299,B:B,"&lt;"&amp;(B299+1)),_xlfn._xlws.FILTER(AO:AO,AL:AL=A299),1),1)</f>
        <v>2</v>
      </c>
      <c r="T299" s="62">
        <f t="shared" si="31"/>
        <v>250</v>
      </c>
      <c r="U299" s="62"/>
      <c r="V299" s="62"/>
      <c r="W299" s="63"/>
      <c r="X299" s="30"/>
      <c r="Y299" s="64"/>
      <c r="Z299" s="64"/>
      <c r="AA299" s="23"/>
      <c r="AB299" s="24"/>
      <c r="AC299" s="25"/>
      <c r="AD299" s="25"/>
    </row>
    <row r="300" spans="1:30">
      <c r="A300" s="46">
        <f t="shared" si="27"/>
        <v>7</v>
      </c>
      <c r="B300" s="47">
        <v>41</v>
      </c>
      <c r="C300" s="47"/>
      <c r="D300" s="47"/>
      <c r="E300" s="14"/>
      <c r="F300" s="14" t="str">
        <f t="shared" si="32"/>
        <v/>
      </c>
      <c r="G300" s="14"/>
      <c r="H300" s="30"/>
      <c r="I300" s="17"/>
      <c r="J300" s="18">
        <f t="shared" si="33"/>
        <v>0</v>
      </c>
      <c r="K300" s="19" t="s">
        <v>473</v>
      </c>
      <c r="L300" s="38">
        <v>4</v>
      </c>
      <c r="M300" s="21">
        <v>1</v>
      </c>
      <c r="N300" s="14"/>
      <c r="O300" s="22"/>
      <c r="P300" s="60">
        <f t="shared" si="28"/>
        <v>0</v>
      </c>
      <c r="Q300" s="60">
        <f t="shared" si="29"/>
        <v>0</v>
      </c>
      <c r="R300" s="60">
        <f t="shared" si="30"/>
        <v>50</v>
      </c>
      <c r="S300" s="62" cm="1">
        <f t="array" ref="S300">_xlfn.IFNA(MATCH(SUMIFS(R:R,A:A,"="&amp;A300,B:B,"&lt;"&amp;(B300+1)),_xlfn._xlws.FILTER(AO:AO,AL:AL=A300),1),1)</f>
        <v>3</v>
      </c>
      <c r="T300" s="62">
        <f t="shared" si="31"/>
        <v>300</v>
      </c>
      <c r="U300" s="62"/>
      <c r="V300" s="62"/>
      <c r="W300" s="63"/>
      <c r="X300" s="30"/>
      <c r="Y300" s="64"/>
      <c r="Z300" s="64"/>
      <c r="AA300" s="23"/>
      <c r="AB300" s="24"/>
      <c r="AC300" s="25"/>
      <c r="AD300" s="25"/>
    </row>
    <row r="301" spans="1:30">
      <c r="A301" s="46">
        <f t="shared" ref="A301:A364" si="34">A258+1</f>
        <v>7</v>
      </c>
      <c r="B301" s="47">
        <v>42</v>
      </c>
      <c r="C301" s="47"/>
      <c r="D301" s="47"/>
      <c r="E301" s="14"/>
      <c r="F301" s="14" t="str">
        <f t="shared" si="32"/>
        <v/>
      </c>
      <c r="G301" s="14"/>
      <c r="H301" s="30"/>
      <c r="I301" s="17"/>
      <c r="J301" s="18">
        <f t="shared" si="33"/>
        <v>0</v>
      </c>
      <c r="K301" s="19" t="s">
        <v>453</v>
      </c>
      <c r="L301" s="38">
        <v>3</v>
      </c>
      <c r="M301" s="21">
        <v>35</v>
      </c>
      <c r="N301" s="14"/>
      <c r="O301" s="22"/>
      <c r="P301" s="60">
        <f t="shared" ref="P301:P364" si="35">P258</f>
        <v>0</v>
      </c>
      <c r="Q301" s="60">
        <f t="shared" ref="Q301:Q364" si="36">Q258</f>
        <v>0</v>
      </c>
      <c r="R301" s="60">
        <f t="shared" ref="R301:R364" si="37">R258</f>
        <v>0</v>
      </c>
      <c r="S301" s="62" cm="1">
        <f t="array" ref="S301">_xlfn.IFNA(MATCH(SUMIFS(R:R,A:A,"="&amp;A301,B:B,"&lt;"&amp;(B301+1)),_xlfn._xlws.FILTER(AO:AO,AL:AL=A301),1),1)</f>
        <v>3</v>
      </c>
      <c r="T301" s="62">
        <f t="shared" si="31"/>
        <v>300</v>
      </c>
      <c r="U301" s="62"/>
      <c r="V301" s="62"/>
      <c r="W301" s="63"/>
      <c r="X301" s="30"/>
      <c r="Y301" s="64"/>
      <c r="Z301" s="64"/>
      <c r="AA301" s="23"/>
      <c r="AB301" s="24"/>
      <c r="AC301" s="25"/>
      <c r="AD301" s="25"/>
    </row>
    <row r="302" spans="1:30">
      <c r="A302" s="46">
        <f t="shared" si="34"/>
        <v>7</v>
      </c>
      <c r="B302" s="47">
        <v>43</v>
      </c>
      <c r="C302" s="47"/>
      <c r="D302" s="47"/>
      <c r="E302" s="14"/>
      <c r="F302" s="14" t="str">
        <f t="shared" si="32"/>
        <v/>
      </c>
      <c r="G302" s="14"/>
      <c r="H302" s="30"/>
      <c r="I302" s="17"/>
      <c r="J302" s="18">
        <f t="shared" si="33"/>
        <v>0</v>
      </c>
      <c r="K302" t="s">
        <v>424</v>
      </c>
      <c r="L302" s="38">
        <v>3</v>
      </c>
      <c r="M302" s="21">
        <v>1</v>
      </c>
      <c r="N302" s="14"/>
      <c r="O302" s="22"/>
      <c r="P302" s="60">
        <f t="shared" si="35"/>
        <v>0</v>
      </c>
      <c r="Q302" s="60">
        <f t="shared" si="36"/>
        <v>0</v>
      </c>
      <c r="R302" s="60">
        <f t="shared" si="37"/>
        <v>0</v>
      </c>
      <c r="S302" s="62" cm="1">
        <f t="array" ref="S302">_xlfn.IFNA(MATCH(SUMIFS(R:R,A:A,"="&amp;A302,B:B,"&lt;"&amp;(B302+1)),_xlfn._xlws.FILTER(AO:AO,AL:AL=A302),1),1)</f>
        <v>3</v>
      </c>
      <c r="T302" s="62">
        <f t="shared" si="31"/>
        <v>300</v>
      </c>
      <c r="U302" s="62"/>
      <c r="V302" s="62"/>
      <c r="W302" s="63"/>
      <c r="X302" s="30"/>
      <c r="Y302" s="64"/>
      <c r="Z302" s="64"/>
      <c r="AA302" s="23"/>
      <c r="AB302" s="24"/>
      <c r="AC302" s="25"/>
      <c r="AD302" s="25"/>
    </row>
    <row r="303" spans="1:30">
      <c r="A303" s="46">
        <f t="shared" si="34"/>
        <v>8</v>
      </c>
      <c r="B303" s="47">
        <v>1</v>
      </c>
      <c r="C303" s="47"/>
      <c r="D303" s="47"/>
      <c r="E303" s="14"/>
      <c r="F303" s="14" t="str">
        <f t="shared" si="32"/>
        <v/>
      </c>
      <c r="G303" s="14"/>
      <c r="H303" s="30"/>
      <c r="I303" s="17"/>
      <c r="J303" s="18">
        <f t="shared" si="33"/>
        <v>0</v>
      </c>
      <c r="K303" s="14" t="s">
        <v>2</v>
      </c>
      <c r="L303" s="29">
        <v>1</v>
      </c>
      <c r="M303" s="21">
        <v>5000</v>
      </c>
      <c r="N303" s="14"/>
      <c r="O303" s="22"/>
      <c r="P303" s="60">
        <f t="shared" si="35"/>
        <v>0</v>
      </c>
      <c r="Q303" s="60">
        <f t="shared" si="36"/>
        <v>0</v>
      </c>
      <c r="R303" s="60">
        <f t="shared" si="37"/>
        <v>20</v>
      </c>
      <c r="S303" s="62" cm="1">
        <f t="array" ref="S303">_xlfn.IFNA(MATCH(SUMIFS(R:R,A:A,"="&amp;A303,B:B,"&lt;"&amp;(B303+1)),_xlfn._xlws.FILTER(AO:AO,AL:AL=A303),1),1)</f>
        <v>1</v>
      </c>
      <c r="T303" s="62">
        <f t="shared" si="31"/>
        <v>20</v>
      </c>
      <c r="U303" s="62"/>
      <c r="V303" s="62"/>
      <c r="W303" s="63"/>
      <c r="X303" s="30"/>
      <c r="Y303" s="64"/>
      <c r="Z303" s="64"/>
      <c r="AA303" s="23"/>
      <c r="AB303" s="24"/>
      <c r="AC303" s="25"/>
      <c r="AD303" s="31">
        <f>SUM(E303:E345)</f>
        <v>89.93</v>
      </c>
    </row>
    <row r="304" spans="1:30">
      <c r="A304" s="46">
        <f t="shared" si="34"/>
        <v>8</v>
      </c>
      <c r="B304" s="47">
        <v>2</v>
      </c>
      <c r="C304" s="47"/>
      <c r="D304" s="47"/>
      <c r="E304" s="35">
        <v>5.99</v>
      </c>
      <c r="F304" s="14">
        <f t="shared" si="32"/>
        <v>119</v>
      </c>
      <c r="G304" s="36">
        <f>(E304+0.01)*F304*$AJ$2/100</f>
        <v>7140000</v>
      </c>
      <c r="H304" s="37">
        <f>SUM(G304)</f>
        <v>7140000</v>
      </c>
      <c r="I304" s="17">
        <f>SUM(E304)</f>
        <v>5.99</v>
      </c>
      <c r="J304" s="18">
        <f t="shared" si="33"/>
        <v>0</v>
      </c>
      <c r="K304" s="14" t="s">
        <v>2</v>
      </c>
      <c r="L304" s="29">
        <v>9</v>
      </c>
      <c r="M304" s="21">
        <f>G304</f>
        <v>7140000</v>
      </c>
      <c r="N304" s="36">
        <f>SUMIF(K304:K309,"="&amp;"金币",M304:M309)</f>
        <v>9148050</v>
      </c>
      <c r="O304" s="22">
        <f>N304/$AJ$2</f>
        <v>9.14805</v>
      </c>
      <c r="P304" s="60">
        <f t="shared" si="35"/>
        <v>0</v>
      </c>
      <c r="Q304" s="60">
        <f t="shared" si="36"/>
        <v>0</v>
      </c>
      <c r="R304" s="60">
        <f t="shared" si="37"/>
        <v>10</v>
      </c>
      <c r="S304" s="62" cm="1">
        <f t="array" ref="S304">_xlfn.IFNA(MATCH(SUMIFS(R:R,A:A,"="&amp;A304,B:B,"&lt;"&amp;(B304+1)),_xlfn._xlws.FILTER(AO:AO,AL:AL=A304),1),1)</f>
        <v>1</v>
      </c>
      <c r="T304" s="62">
        <f t="shared" si="31"/>
        <v>30</v>
      </c>
      <c r="U304" s="62" t="str">
        <f>_xlfn.IFNA(VLOOKUP(Q304,道具!B:C,2,FALSE),"")</f>
        <v/>
      </c>
      <c r="V304" s="62">
        <f>IF(U304=1,CEILING(W304*100/$AJ$2,5),IF(U304=2,J304*100,0))</f>
        <v>0</v>
      </c>
      <c r="W304" s="63">
        <f>IF(U304=1,J304*$AD$6,IF(U304=2,J304*$AJ$2,0))</f>
        <v>0</v>
      </c>
      <c r="X304" s="37">
        <f>SUM(N304)+SUM(W304)</f>
        <v>9148050</v>
      </c>
      <c r="Y304" s="66">
        <f>SUM(O304)</f>
        <v>9.14805</v>
      </c>
      <c r="Z304" s="66">
        <f>SUM(W304)</f>
        <v>0</v>
      </c>
      <c r="AA304" s="23">
        <f>X304/$AJ$2</f>
        <v>9.14805</v>
      </c>
      <c r="AB304" s="24">
        <f>X304/H304</f>
        <v>1.28123949579832</v>
      </c>
      <c r="AC304" s="25"/>
      <c r="AD304" s="26" t="s">
        <v>556</v>
      </c>
    </row>
    <row r="305" spans="1:30">
      <c r="A305" s="46">
        <f t="shared" si="34"/>
        <v>8</v>
      </c>
      <c r="B305" s="47">
        <v>3</v>
      </c>
      <c r="C305" s="47"/>
      <c r="D305" s="47"/>
      <c r="E305" s="14"/>
      <c r="F305" s="14" t="str">
        <f t="shared" si="32"/>
        <v/>
      </c>
      <c r="G305" s="14"/>
      <c r="H305" s="30"/>
      <c r="I305" s="17"/>
      <c r="J305" s="18">
        <f t="shared" si="33"/>
        <v>0</v>
      </c>
      <c r="K305" s="19" t="s">
        <v>408</v>
      </c>
      <c r="L305" s="38">
        <v>3</v>
      </c>
      <c r="M305" s="21">
        <v>1</v>
      </c>
      <c r="N305" s="14"/>
      <c r="O305" s="22"/>
      <c r="P305" s="60">
        <f t="shared" si="35"/>
        <v>0</v>
      </c>
      <c r="Q305" s="60">
        <f t="shared" si="36"/>
        <v>0</v>
      </c>
      <c r="R305" s="60">
        <f t="shared" si="37"/>
        <v>0</v>
      </c>
      <c r="S305" s="62" cm="1">
        <f t="array" ref="S305">_xlfn.IFNA(MATCH(SUMIFS(R:R,A:A,"="&amp;A305,B:B,"&lt;"&amp;(B305+1)),_xlfn._xlws.FILTER(AO:AO,AL:AL=A305),1),1)</f>
        <v>1</v>
      </c>
      <c r="T305" s="62">
        <f t="shared" si="31"/>
        <v>30</v>
      </c>
      <c r="U305" s="62"/>
      <c r="V305" s="62"/>
      <c r="W305" s="63"/>
      <c r="X305" s="30"/>
      <c r="Y305" s="64"/>
      <c r="Z305" s="64"/>
      <c r="AA305" s="23"/>
      <c r="AB305" s="24"/>
      <c r="AC305" s="25"/>
      <c r="AD305" s="39">
        <v>1.15</v>
      </c>
    </row>
    <row r="306" spans="1:30">
      <c r="A306" s="46">
        <f t="shared" si="34"/>
        <v>8</v>
      </c>
      <c r="B306" s="47">
        <v>4</v>
      </c>
      <c r="C306" s="47"/>
      <c r="D306" s="47"/>
      <c r="E306" s="14"/>
      <c r="F306" s="14" t="str">
        <f t="shared" si="32"/>
        <v/>
      </c>
      <c r="G306" s="14"/>
      <c r="H306" s="30"/>
      <c r="I306" s="17"/>
      <c r="J306" s="18">
        <f t="shared" si="33"/>
        <v>0.1</v>
      </c>
      <c r="K306" s="19" t="s">
        <v>2</v>
      </c>
      <c r="L306" s="38">
        <v>17</v>
      </c>
      <c r="M306" s="21">
        <f>J306*$AD$307</f>
        <v>2008050</v>
      </c>
      <c r="N306" s="14"/>
      <c r="O306" s="22"/>
      <c r="P306" s="60">
        <f t="shared" si="35"/>
        <v>0</v>
      </c>
      <c r="Q306" s="60">
        <f t="shared" si="36"/>
        <v>0</v>
      </c>
      <c r="R306" s="60">
        <f t="shared" si="37"/>
        <v>0</v>
      </c>
      <c r="S306" s="62" cm="1">
        <f t="array" ref="S306">_xlfn.IFNA(MATCH(SUMIFS(R:R,A:A,"="&amp;A306,B:B,"&lt;"&amp;(B306+1)),_xlfn._xlws.FILTER(AO:AO,AL:AL=A306),1),1)</f>
        <v>1</v>
      </c>
      <c r="T306" s="62">
        <f t="shared" si="31"/>
        <v>30</v>
      </c>
      <c r="U306" s="62"/>
      <c r="V306" s="62"/>
      <c r="W306" s="63"/>
      <c r="X306" s="30"/>
      <c r="Y306" s="64"/>
      <c r="Z306" s="64"/>
      <c r="AA306" s="23"/>
      <c r="AB306" s="24"/>
      <c r="AC306" s="25"/>
      <c r="AD306" s="26" t="s">
        <v>557</v>
      </c>
    </row>
    <row r="307" spans="1:30">
      <c r="A307" s="46">
        <f t="shared" si="34"/>
        <v>8</v>
      </c>
      <c r="B307" s="47">
        <v>5</v>
      </c>
      <c r="C307" s="47"/>
      <c r="D307" s="47"/>
      <c r="E307" s="14"/>
      <c r="F307" s="14" t="str">
        <f t="shared" si="32"/>
        <v/>
      </c>
      <c r="G307" s="14"/>
      <c r="H307" s="30"/>
      <c r="I307" s="17"/>
      <c r="J307" s="18">
        <f t="shared" si="33"/>
        <v>0</v>
      </c>
      <c r="K307" s="19" t="s">
        <v>457</v>
      </c>
      <c r="L307" s="38">
        <v>4</v>
      </c>
      <c r="M307" s="21">
        <v>1</v>
      </c>
      <c r="N307" s="14"/>
      <c r="O307" s="22"/>
      <c r="P307" s="60">
        <f t="shared" si="35"/>
        <v>0</v>
      </c>
      <c r="Q307" s="60">
        <f t="shared" si="36"/>
        <v>0</v>
      </c>
      <c r="R307" s="60">
        <f t="shared" si="37"/>
        <v>10</v>
      </c>
      <c r="S307" s="62" cm="1">
        <f t="array" ref="S307">_xlfn.IFNA(MATCH(SUMIFS(R:R,A:A,"="&amp;A307,B:B,"&lt;"&amp;(B307+1)),_xlfn._xlws.FILTER(AO:AO,AL:AL=A307),1),1)</f>
        <v>1</v>
      </c>
      <c r="T307" s="62">
        <f t="shared" si="31"/>
        <v>40</v>
      </c>
      <c r="U307" s="62"/>
      <c r="V307" s="62"/>
      <c r="W307" s="63"/>
      <c r="X307" s="30"/>
      <c r="Y307" s="64"/>
      <c r="Z307" s="64"/>
      <c r="AA307" s="23"/>
      <c r="AB307" s="24"/>
      <c r="AC307" s="25"/>
      <c r="AD307" s="40">
        <f>SUM(G303:G345)*(AD305-1)</f>
        <v>20080500</v>
      </c>
    </row>
    <row r="308" spans="1:30">
      <c r="A308" s="46">
        <f t="shared" si="34"/>
        <v>8</v>
      </c>
      <c r="B308" s="47">
        <v>6</v>
      </c>
      <c r="C308" s="47"/>
      <c r="D308" s="47"/>
      <c r="E308" s="14"/>
      <c r="F308" s="14" t="str">
        <f t="shared" si="32"/>
        <v/>
      </c>
      <c r="G308" s="14"/>
      <c r="H308" s="30"/>
      <c r="I308" s="17"/>
      <c r="J308" s="18">
        <f t="shared" si="33"/>
        <v>0</v>
      </c>
      <c r="K308" s="19" t="s">
        <v>453</v>
      </c>
      <c r="L308" s="38">
        <v>3</v>
      </c>
      <c r="M308" s="21">
        <v>5</v>
      </c>
      <c r="N308" s="14"/>
      <c r="O308" s="22"/>
      <c r="P308" s="60">
        <f t="shared" si="35"/>
        <v>0</v>
      </c>
      <c r="Q308" s="60">
        <f t="shared" si="36"/>
        <v>0</v>
      </c>
      <c r="R308" s="60">
        <f t="shared" si="37"/>
        <v>0</v>
      </c>
      <c r="S308" s="62" cm="1">
        <f t="array" ref="S308">_xlfn.IFNA(MATCH(SUMIFS(R:R,A:A,"="&amp;A308,B:B,"&lt;"&amp;(B308+1)),_xlfn._xlws.FILTER(AO:AO,AL:AL=A308),1),1)</f>
        <v>1</v>
      </c>
      <c r="T308" s="62">
        <f t="shared" si="31"/>
        <v>40</v>
      </c>
      <c r="U308" s="62"/>
      <c r="V308" s="62"/>
      <c r="W308" s="63"/>
      <c r="X308" s="30"/>
      <c r="Y308" s="64"/>
      <c r="Z308" s="64"/>
      <c r="AA308" s="23"/>
      <c r="AB308" s="24"/>
      <c r="AC308" s="25"/>
      <c r="AD308" s="24" t="s">
        <v>558</v>
      </c>
    </row>
    <row r="309" spans="1:30">
      <c r="A309" s="46">
        <f t="shared" si="34"/>
        <v>8</v>
      </c>
      <c r="B309" s="47">
        <v>7</v>
      </c>
      <c r="C309" s="47"/>
      <c r="D309" s="47"/>
      <c r="E309" s="14"/>
      <c r="F309" s="14" t="str">
        <f t="shared" si="32"/>
        <v/>
      </c>
      <c r="G309" s="14"/>
      <c r="H309" s="30"/>
      <c r="I309" s="17"/>
      <c r="J309" s="18">
        <f t="shared" si="33"/>
        <v>0</v>
      </c>
      <c r="K309" t="s">
        <v>424</v>
      </c>
      <c r="L309" s="38">
        <v>3</v>
      </c>
      <c r="M309" s="21">
        <v>1</v>
      </c>
      <c r="N309" s="14"/>
      <c r="O309" s="22"/>
      <c r="P309" s="60">
        <f t="shared" si="35"/>
        <v>0</v>
      </c>
      <c r="Q309" s="60">
        <f t="shared" si="36"/>
        <v>0</v>
      </c>
      <c r="R309" s="60">
        <f t="shared" si="37"/>
        <v>0</v>
      </c>
      <c r="S309" s="62" cm="1">
        <f t="array" ref="S309">_xlfn.IFNA(MATCH(SUMIFS(R:R,A:A,"="&amp;A309,B:B,"&lt;"&amp;(B309+1)),_xlfn._xlws.FILTER(AO:AO,AL:AL=A309),1),1)</f>
        <v>1</v>
      </c>
      <c r="T309" s="62">
        <f t="shared" si="31"/>
        <v>40</v>
      </c>
      <c r="U309" s="62"/>
      <c r="V309" s="62"/>
      <c r="W309" s="63"/>
      <c r="X309" s="30"/>
      <c r="Y309" s="64"/>
      <c r="Z309" s="64"/>
      <c r="AA309" s="23"/>
      <c r="AB309" s="24"/>
      <c r="AC309" s="25"/>
      <c r="AD309" s="24">
        <f>SUMIF(U303:U345,"&lt;&gt;2",J303:J345)+SUMIF(U303:U345,"=2",J303:J345)*$AJ$2/SUMIFS(AD:AD,A:A,"="&amp;A309,B:B,"=5")</f>
        <v>1.4</v>
      </c>
    </row>
    <row r="310" spans="1:30">
      <c r="A310" s="46">
        <f t="shared" si="34"/>
        <v>8</v>
      </c>
      <c r="B310" s="47">
        <v>8</v>
      </c>
      <c r="C310" s="47"/>
      <c r="D310" s="47"/>
      <c r="E310" s="14">
        <v>7.99</v>
      </c>
      <c r="F310" s="14">
        <f t="shared" si="32"/>
        <v>129</v>
      </c>
      <c r="G310" s="36">
        <f>(E310+0.01)*F310*$AJ$2/100</f>
        <v>10320000</v>
      </c>
      <c r="H310" s="37">
        <f>SUM(G304:G310)</f>
        <v>17460000</v>
      </c>
      <c r="I310" s="17">
        <f>SUM(E304:E310)</f>
        <v>13.98</v>
      </c>
      <c r="J310" s="18">
        <f t="shared" si="33"/>
        <v>0.12</v>
      </c>
      <c r="K310" s="14" t="s">
        <v>2</v>
      </c>
      <c r="L310" s="29">
        <v>9</v>
      </c>
      <c r="M310" s="21">
        <f>G310</f>
        <v>10320000</v>
      </c>
      <c r="N310" s="36">
        <f>SUMIF(K310:K315,"="&amp;"金币",M310:M315)</f>
        <v>10721610</v>
      </c>
      <c r="O310" s="22">
        <f>N310/$AJ$2</f>
        <v>10.72161</v>
      </c>
      <c r="P310" s="60">
        <f t="shared" si="35"/>
        <v>1</v>
      </c>
      <c r="Q310" s="60" t="str">
        <f t="shared" si="36"/>
        <v>金币</v>
      </c>
      <c r="R310" s="60">
        <f t="shared" si="37"/>
        <v>25</v>
      </c>
      <c r="S310" s="62" cm="1">
        <f t="array" ref="S310">_xlfn.IFNA(MATCH(SUMIFS(R:R,A:A,"="&amp;A310,B:B,"&lt;"&amp;(B310+1)),_xlfn._xlws.FILTER(AO:AO,AL:AL=A310),1),1)</f>
        <v>1</v>
      </c>
      <c r="T310" s="62">
        <f t="shared" si="31"/>
        <v>65</v>
      </c>
      <c r="U310" s="62">
        <f>_xlfn.IFNA(VLOOKUP(Q310,道具!B:C,2,FALSE),"")</f>
        <v>1</v>
      </c>
      <c r="V310" s="62">
        <f>IF(U310=1,CEILING(W310*100/$AJ$2,5),IF(U310=2,J310*100,0))</f>
        <v>110</v>
      </c>
      <c r="W310" s="63">
        <f>IF(U310=1,J310*$AD$6,IF(U310=2,J310*$AJ$2,0))</f>
        <v>1078740</v>
      </c>
      <c r="X310" s="37">
        <f>SUM(N304:N310)+SUM(W304:W310)</f>
        <v>20948400</v>
      </c>
      <c r="Y310" s="66">
        <f>SUM(O304:O310)</f>
        <v>19.86966</v>
      </c>
      <c r="Z310" s="66">
        <f>SUM(W304:W310)</f>
        <v>1078740</v>
      </c>
      <c r="AA310" s="23">
        <f>X310/$AJ$2</f>
        <v>20.9484</v>
      </c>
      <c r="AB310" s="24">
        <f>X310/H310</f>
        <v>1.19979381443299</v>
      </c>
      <c r="AC310" s="25"/>
      <c r="AD310" s="25"/>
    </row>
    <row r="311" spans="1:30">
      <c r="A311" s="46">
        <f t="shared" si="34"/>
        <v>8</v>
      </c>
      <c r="B311" s="47">
        <v>9</v>
      </c>
      <c r="C311" s="47"/>
      <c r="D311" s="47"/>
      <c r="E311" s="14"/>
      <c r="F311" s="14" t="str">
        <f t="shared" si="32"/>
        <v/>
      </c>
      <c r="G311" s="14"/>
      <c r="H311" s="30"/>
      <c r="I311" s="17"/>
      <c r="J311" s="18">
        <f t="shared" si="33"/>
        <v>0</v>
      </c>
      <c r="K311" s="19" t="s">
        <v>408</v>
      </c>
      <c r="L311" s="38">
        <v>3</v>
      </c>
      <c r="M311" s="21">
        <v>2</v>
      </c>
      <c r="N311" s="14"/>
      <c r="O311" s="22"/>
      <c r="P311" s="60">
        <f t="shared" si="35"/>
        <v>0</v>
      </c>
      <c r="Q311" s="60">
        <f t="shared" si="36"/>
        <v>0</v>
      </c>
      <c r="R311" s="60">
        <f t="shared" si="37"/>
        <v>0</v>
      </c>
      <c r="S311" s="62" cm="1">
        <f t="array" ref="S311">_xlfn.IFNA(MATCH(SUMIFS(R:R,A:A,"="&amp;A311,B:B,"&lt;"&amp;(B311+1)),_xlfn._xlws.FILTER(AO:AO,AL:AL=A311),1),1)</f>
        <v>1</v>
      </c>
      <c r="T311" s="62">
        <f t="shared" si="31"/>
        <v>65</v>
      </c>
      <c r="U311" s="62"/>
      <c r="V311" s="62"/>
      <c r="W311" s="63"/>
      <c r="X311" s="30"/>
      <c r="Y311" s="64"/>
      <c r="Z311" s="64"/>
      <c r="AA311" s="23"/>
      <c r="AB311" s="24"/>
      <c r="AC311" s="25"/>
      <c r="AD311" s="69"/>
    </row>
    <row r="312" spans="1:30">
      <c r="A312" s="46">
        <f t="shared" si="34"/>
        <v>8</v>
      </c>
      <c r="B312" s="47">
        <v>10</v>
      </c>
      <c r="C312" s="47"/>
      <c r="D312" s="47"/>
      <c r="E312" s="14"/>
      <c r="F312" s="14" t="str">
        <f t="shared" si="32"/>
        <v/>
      </c>
      <c r="G312" s="14"/>
      <c r="H312" s="30"/>
      <c r="I312" s="17"/>
      <c r="J312" s="18">
        <f t="shared" si="33"/>
        <v>0.02</v>
      </c>
      <c r="K312" s="19" t="s">
        <v>2</v>
      </c>
      <c r="L312" s="38">
        <v>17</v>
      </c>
      <c r="M312" s="21">
        <f>J312*$AD$307</f>
        <v>401610</v>
      </c>
      <c r="N312" s="14"/>
      <c r="O312" s="22"/>
      <c r="P312" s="60">
        <f t="shared" si="35"/>
        <v>0</v>
      </c>
      <c r="Q312" s="60">
        <f t="shared" si="36"/>
        <v>0</v>
      </c>
      <c r="R312" s="60">
        <f t="shared" si="37"/>
        <v>0</v>
      </c>
      <c r="S312" s="62" cm="1">
        <f t="array" ref="S312">_xlfn.IFNA(MATCH(SUMIFS(R:R,A:A,"="&amp;A312,B:B,"&lt;"&amp;(B312+1)),_xlfn._xlws.FILTER(AO:AO,AL:AL=A312),1),1)</f>
        <v>1</v>
      </c>
      <c r="T312" s="62">
        <f t="shared" si="31"/>
        <v>65</v>
      </c>
      <c r="U312" s="62"/>
      <c r="V312" s="62"/>
      <c r="W312" s="63"/>
      <c r="X312" s="30"/>
      <c r="Y312" s="64"/>
      <c r="Z312" s="64"/>
      <c r="AA312" s="23"/>
      <c r="AB312" s="24"/>
      <c r="AC312" s="25"/>
      <c r="AD312" s="25"/>
    </row>
    <row r="313" spans="1:30">
      <c r="A313" s="46">
        <f t="shared" si="34"/>
        <v>8</v>
      </c>
      <c r="B313" s="47">
        <v>11</v>
      </c>
      <c r="C313" s="47"/>
      <c r="D313" s="47"/>
      <c r="E313" s="14"/>
      <c r="F313" s="14" t="str">
        <f t="shared" si="32"/>
        <v/>
      </c>
      <c r="G313" s="14"/>
      <c r="H313" s="30"/>
      <c r="I313" s="17"/>
      <c r="J313" s="18">
        <f t="shared" si="33"/>
        <v>0</v>
      </c>
      <c r="K313" s="19" t="s">
        <v>459</v>
      </c>
      <c r="L313" s="38">
        <v>4</v>
      </c>
      <c r="M313" s="21">
        <v>1</v>
      </c>
      <c r="N313" s="14"/>
      <c r="O313" s="22"/>
      <c r="P313" s="60">
        <f t="shared" si="35"/>
        <v>0</v>
      </c>
      <c r="Q313" s="60">
        <f t="shared" si="36"/>
        <v>0</v>
      </c>
      <c r="R313" s="60">
        <f t="shared" si="37"/>
        <v>0</v>
      </c>
      <c r="S313" s="62" cm="1">
        <f t="array" ref="S313">_xlfn.IFNA(MATCH(SUMIFS(R:R,A:A,"="&amp;A313,B:B,"&lt;"&amp;(B313+1)),_xlfn._xlws.FILTER(AO:AO,AL:AL=A313),1),1)</f>
        <v>1</v>
      </c>
      <c r="T313" s="62">
        <f t="shared" si="31"/>
        <v>65</v>
      </c>
      <c r="U313" s="62"/>
      <c r="V313" s="62"/>
      <c r="W313" s="63"/>
      <c r="X313" s="30"/>
      <c r="Y313" s="64"/>
      <c r="Z313" s="64"/>
      <c r="AA313" s="23"/>
      <c r="AB313" s="24"/>
      <c r="AC313" s="25"/>
      <c r="AD313" s="25"/>
    </row>
    <row r="314" spans="1:30">
      <c r="A314" s="46">
        <f t="shared" si="34"/>
        <v>8</v>
      </c>
      <c r="B314" s="47">
        <v>12</v>
      </c>
      <c r="C314" s="47"/>
      <c r="D314" s="47"/>
      <c r="E314" s="14"/>
      <c r="F314" s="14" t="str">
        <f t="shared" si="32"/>
        <v/>
      </c>
      <c r="G314" s="14"/>
      <c r="H314" s="30"/>
      <c r="I314" s="17"/>
      <c r="J314" s="18">
        <f t="shared" si="33"/>
        <v>0</v>
      </c>
      <c r="K314" s="19" t="s">
        <v>453</v>
      </c>
      <c r="L314" s="38">
        <v>3</v>
      </c>
      <c r="M314" s="21">
        <v>10</v>
      </c>
      <c r="N314" s="14"/>
      <c r="O314" s="22"/>
      <c r="P314" s="60">
        <f t="shared" si="35"/>
        <v>0</v>
      </c>
      <c r="Q314" s="60">
        <f t="shared" si="36"/>
        <v>0</v>
      </c>
      <c r="R314" s="60">
        <f t="shared" si="37"/>
        <v>0</v>
      </c>
      <c r="S314" s="62" cm="1">
        <f t="array" ref="S314">_xlfn.IFNA(MATCH(SUMIFS(R:R,A:A,"="&amp;A314,B:B,"&lt;"&amp;(B314+1)),_xlfn._xlws.FILTER(AO:AO,AL:AL=A314),1),1)</f>
        <v>1</v>
      </c>
      <c r="T314" s="62">
        <f t="shared" si="31"/>
        <v>65</v>
      </c>
      <c r="U314" s="62"/>
      <c r="V314" s="62"/>
      <c r="W314" s="63"/>
      <c r="X314" s="30"/>
      <c r="Y314" s="64"/>
      <c r="Z314" s="64"/>
      <c r="AA314" s="23"/>
      <c r="AB314" s="24"/>
      <c r="AC314" s="25"/>
      <c r="AD314" s="25"/>
    </row>
    <row r="315" spans="1:30">
      <c r="A315" s="46">
        <f t="shared" si="34"/>
        <v>8</v>
      </c>
      <c r="B315" s="47">
        <v>13</v>
      </c>
      <c r="C315" s="47"/>
      <c r="D315" s="47"/>
      <c r="E315" s="14"/>
      <c r="F315" s="14" t="str">
        <f t="shared" si="32"/>
        <v/>
      </c>
      <c r="G315" s="14"/>
      <c r="H315" s="30"/>
      <c r="I315" s="17"/>
      <c r="J315" s="18">
        <f t="shared" si="33"/>
        <v>0</v>
      </c>
      <c r="K315" t="s">
        <v>426</v>
      </c>
      <c r="L315" s="38">
        <v>3</v>
      </c>
      <c r="M315" s="21">
        <v>1</v>
      </c>
      <c r="N315" s="14"/>
      <c r="O315" s="22"/>
      <c r="P315" s="60">
        <f t="shared" si="35"/>
        <v>0</v>
      </c>
      <c r="Q315" s="60">
        <f t="shared" si="36"/>
        <v>0</v>
      </c>
      <c r="R315" s="60">
        <f t="shared" si="37"/>
        <v>0</v>
      </c>
      <c r="S315" s="62" cm="1">
        <f t="array" ref="S315">_xlfn.IFNA(MATCH(SUMIFS(R:R,A:A,"="&amp;A315,B:B,"&lt;"&amp;(B315+1)),_xlfn._xlws.FILTER(AO:AO,AL:AL=A315),1),1)</f>
        <v>1</v>
      </c>
      <c r="T315" s="62">
        <f t="shared" si="31"/>
        <v>65</v>
      </c>
      <c r="U315" s="62"/>
      <c r="V315" s="62"/>
      <c r="W315" s="63"/>
      <c r="X315" s="30"/>
      <c r="Y315" s="64"/>
      <c r="Z315" s="64"/>
      <c r="AA315" s="23"/>
      <c r="AB315" s="24"/>
      <c r="AC315" s="25"/>
      <c r="AD315" s="25"/>
    </row>
    <row r="316" spans="1:30">
      <c r="A316" s="46">
        <f t="shared" si="34"/>
        <v>8</v>
      </c>
      <c r="B316" s="47">
        <v>14</v>
      </c>
      <c r="C316" s="47"/>
      <c r="D316" s="47"/>
      <c r="E316" s="14">
        <v>9.99</v>
      </c>
      <c r="F316" s="14">
        <f t="shared" si="32"/>
        <v>139</v>
      </c>
      <c r="G316" s="36">
        <f>(E316+0.01)*F316*$AJ$2/100</f>
        <v>13900000</v>
      </c>
      <c r="H316" s="37">
        <f>SUM(G304:G316)</f>
        <v>31360000</v>
      </c>
      <c r="I316" s="17">
        <f>SUM(E304:E316)</f>
        <v>23.97</v>
      </c>
      <c r="J316" s="18">
        <f t="shared" si="33"/>
        <v>0</v>
      </c>
      <c r="K316" s="14" t="s">
        <v>2</v>
      </c>
      <c r="L316" s="29">
        <v>9</v>
      </c>
      <c r="M316" s="21">
        <f>G316</f>
        <v>13900000</v>
      </c>
      <c r="N316" s="36">
        <f>SUMIF(K316:K321,"="&amp;"金币",M316:M321)</f>
        <v>15908050</v>
      </c>
      <c r="O316" s="22">
        <f>N316/$AJ$2</f>
        <v>15.90805</v>
      </c>
      <c r="P316" s="60">
        <f t="shared" si="35"/>
        <v>0</v>
      </c>
      <c r="Q316" s="60">
        <f t="shared" si="36"/>
        <v>0</v>
      </c>
      <c r="R316" s="60">
        <f t="shared" si="37"/>
        <v>35</v>
      </c>
      <c r="S316" s="62" cm="1">
        <f t="array" ref="S316">_xlfn.IFNA(MATCH(SUMIFS(R:R,A:A,"="&amp;A316,B:B,"&lt;"&amp;(B316+1)),_xlfn._xlws.FILTER(AO:AO,AL:AL=A316),1),1)</f>
        <v>1</v>
      </c>
      <c r="T316" s="62">
        <f t="shared" si="31"/>
        <v>100</v>
      </c>
      <c r="U316" s="62" t="str">
        <f>_xlfn.IFNA(VLOOKUP(Q316,道具!B:C,2,FALSE),"")</f>
        <v/>
      </c>
      <c r="V316" s="62"/>
      <c r="W316" s="63">
        <f>IF(U316=1,J316*$AD$6,IF(U316=2,J316*$AJ$2,0))</f>
        <v>0</v>
      </c>
      <c r="X316" s="37">
        <f>SUM(N304:N316)+SUM(W304:W316)</f>
        <v>36856450</v>
      </c>
      <c r="Y316" s="66">
        <f>SUM(O304:O316)</f>
        <v>35.77771</v>
      </c>
      <c r="Z316" s="66">
        <f>SUM(W304:W316)</f>
        <v>1078740</v>
      </c>
      <c r="AA316" s="23">
        <f>X316/$AJ$2</f>
        <v>36.85645</v>
      </c>
      <c r="AB316" s="24">
        <f>X316/H316</f>
        <v>1.17526945153061</v>
      </c>
      <c r="AC316" s="25"/>
      <c r="AD316" s="25"/>
    </row>
    <row r="317" spans="1:30">
      <c r="A317" s="46">
        <f t="shared" si="34"/>
        <v>8</v>
      </c>
      <c r="B317" s="47">
        <v>15</v>
      </c>
      <c r="C317" s="47"/>
      <c r="D317" s="47"/>
      <c r="E317" s="14"/>
      <c r="F317" s="14" t="str">
        <f t="shared" si="32"/>
        <v/>
      </c>
      <c r="G317" s="14"/>
      <c r="H317" s="30"/>
      <c r="I317" s="17"/>
      <c r="J317" s="18">
        <f t="shared" si="33"/>
        <v>0</v>
      </c>
      <c r="K317" s="19" t="s">
        <v>408</v>
      </c>
      <c r="L317" s="38">
        <v>3</v>
      </c>
      <c r="M317" s="21">
        <v>3</v>
      </c>
      <c r="N317" s="14"/>
      <c r="O317" s="22"/>
      <c r="P317" s="60">
        <f t="shared" si="35"/>
        <v>0</v>
      </c>
      <c r="Q317" s="60">
        <f t="shared" si="36"/>
        <v>0</v>
      </c>
      <c r="R317" s="60">
        <f t="shared" si="37"/>
        <v>0</v>
      </c>
      <c r="S317" s="62" cm="1">
        <f t="array" ref="S317">_xlfn.IFNA(MATCH(SUMIFS(R:R,A:A,"="&amp;A317,B:B,"&lt;"&amp;(B317+1)),_xlfn._xlws.FILTER(AO:AO,AL:AL=A317),1),1)</f>
        <v>1</v>
      </c>
      <c r="T317" s="62">
        <f t="shared" si="31"/>
        <v>100</v>
      </c>
      <c r="U317" s="62"/>
      <c r="V317" s="62"/>
      <c r="W317" s="63"/>
      <c r="X317" s="30"/>
      <c r="Y317" s="64"/>
      <c r="Z317" s="64"/>
      <c r="AA317" s="23"/>
      <c r="AB317" s="24"/>
      <c r="AC317" s="25"/>
      <c r="AD317" s="25"/>
    </row>
    <row r="318" spans="1:30">
      <c r="A318" s="46">
        <f t="shared" si="34"/>
        <v>8</v>
      </c>
      <c r="B318" s="47">
        <v>16</v>
      </c>
      <c r="C318" s="47"/>
      <c r="D318" s="47"/>
      <c r="E318" s="14"/>
      <c r="F318" s="14" t="str">
        <f t="shared" si="32"/>
        <v/>
      </c>
      <c r="G318" s="14"/>
      <c r="H318" s="30"/>
      <c r="I318" s="17"/>
      <c r="J318" s="18">
        <f t="shared" si="33"/>
        <v>0.1</v>
      </c>
      <c r="K318" s="19" t="s">
        <v>2</v>
      </c>
      <c r="L318" s="38">
        <v>17</v>
      </c>
      <c r="M318" s="21">
        <f>J318*$AD$307</f>
        <v>2008050</v>
      </c>
      <c r="N318" s="14"/>
      <c r="O318" s="22"/>
      <c r="P318" s="60">
        <f t="shared" si="35"/>
        <v>0</v>
      </c>
      <c r="Q318" s="60">
        <f t="shared" si="36"/>
        <v>0</v>
      </c>
      <c r="R318" s="60">
        <f t="shared" si="37"/>
        <v>0</v>
      </c>
      <c r="S318" s="62" cm="1">
        <f t="array" ref="S318">_xlfn.IFNA(MATCH(SUMIFS(R:R,A:A,"="&amp;A318,B:B,"&lt;"&amp;(B318+1)),_xlfn._xlws.FILTER(AO:AO,AL:AL=A318),1),1)</f>
        <v>1</v>
      </c>
      <c r="T318" s="62">
        <f t="shared" si="31"/>
        <v>100</v>
      </c>
      <c r="U318" s="62"/>
      <c r="V318" s="62"/>
      <c r="W318" s="63"/>
      <c r="X318" s="30"/>
      <c r="Y318" s="64"/>
      <c r="Z318" s="64"/>
      <c r="AA318" s="23"/>
      <c r="AB318" s="24"/>
      <c r="AC318" s="25"/>
      <c r="AD318" s="25"/>
    </row>
    <row r="319" spans="1:30">
      <c r="A319" s="46">
        <f t="shared" si="34"/>
        <v>8</v>
      </c>
      <c r="B319" s="47">
        <v>17</v>
      </c>
      <c r="C319" s="47"/>
      <c r="D319" s="47"/>
      <c r="E319" s="14"/>
      <c r="F319" s="14" t="str">
        <f t="shared" si="32"/>
        <v/>
      </c>
      <c r="G319" s="14"/>
      <c r="H319" s="30"/>
      <c r="I319" s="17"/>
      <c r="J319" s="18">
        <f t="shared" si="33"/>
        <v>0</v>
      </c>
      <c r="K319" s="19" t="s">
        <v>461</v>
      </c>
      <c r="L319" s="38">
        <v>4</v>
      </c>
      <c r="M319" s="21">
        <v>1</v>
      </c>
      <c r="N319" s="14"/>
      <c r="O319" s="22"/>
      <c r="P319" s="60">
        <f t="shared" si="35"/>
        <v>0</v>
      </c>
      <c r="Q319" s="60">
        <f t="shared" si="36"/>
        <v>0</v>
      </c>
      <c r="R319" s="60">
        <f t="shared" si="37"/>
        <v>25</v>
      </c>
      <c r="S319" s="62" cm="1">
        <f t="array" ref="S319">_xlfn.IFNA(MATCH(SUMIFS(R:R,A:A,"="&amp;A319,B:B,"&lt;"&amp;(B319+1)),_xlfn._xlws.FILTER(AO:AO,AL:AL=A319),1),1)</f>
        <v>1</v>
      </c>
      <c r="T319" s="62">
        <f t="shared" si="31"/>
        <v>125</v>
      </c>
      <c r="U319" s="62"/>
      <c r="V319" s="62"/>
      <c r="W319" s="63"/>
      <c r="X319" s="30"/>
      <c r="Y319" s="64"/>
      <c r="Z319" s="64"/>
      <c r="AA319" s="23"/>
      <c r="AB319" s="24"/>
      <c r="AC319" s="25"/>
      <c r="AD319" s="25"/>
    </row>
    <row r="320" spans="1:30">
      <c r="A320" s="46">
        <f t="shared" si="34"/>
        <v>8</v>
      </c>
      <c r="B320" s="47">
        <v>18</v>
      </c>
      <c r="C320" s="47"/>
      <c r="D320" s="47"/>
      <c r="E320" s="14"/>
      <c r="F320" s="14" t="str">
        <f t="shared" si="32"/>
        <v/>
      </c>
      <c r="G320" s="14"/>
      <c r="H320" s="30"/>
      <c r="I320" s="17"/>
      <c r="J320" s="18">
        <f t="shared" si="33"/>
        <v>0</v>
      </c>
      <c r="K320" s="19" t="s">
        <v>453</v>
      </c>
      <c r="L320" s="38">
        <v>3</v>
      </c>
      <c r="M320" s="21">
        <v>15</v>
      </c>
      <c r="N320" s="14"/>
      <c r="O320" s="22"/>
      <c r="P320" s="60">
        <f t="shared" si="35"/>
        <v>0</v>
      </c>
      <c r="Q320" s="60">
        <f t="shared" si="36"/>
        <v>0</v>
      </c>
      <c r="R320" s="60">
        <f t="shared" si="37"/>
        <v>0</v>
      </c>
      <c r="S320" s="62" cm="1">
        <f t="array" ref="S320">_xlfn.IFNA(MATCH(SUMIFS(R:R,A:A,"="&amp;A320,B:B,"&lt;"&amp;(B320+1)),_xlfn._xlws.FILTER(AO:AO,AL:AL=A320),1),1)</f>
        <v>1</v>
      </c>
      <c r="T320" s="62">
        <f t="shared" si="31"/>
        <v>125</v>
      </c>
      <c r="U320" s="62"/>
      <c r="V320" s="62"/>
      <c r="W320" s="63"/>
      <c r="X320" s="30"/>
      <c r="Y320" s="64"/>
      <c r="Z320" s="64"/>
      <c r="AA320" s="23"/>
      <c r="AB320" s="24"/>
      <c r="AC320" s="25"/>
      <c r="AD320" s="25"/>
    </row>
    <row r="321" spans="1:30">
      <c r="A321" s="46">
        <f t="shared" si="34"/>
        <v>8</v>
      </c>
      <c r="B321" s="47">
        <v>19</v>
      </c>
      <c r="C321" s="47"/>
      <c r="D321" s="47"/>
      <c r="E321" s="14"/>
      <c r="F321" s="14" t="str">
        <f t="shared" si="32"/>
        <v/>
      </c>
      <c r="G321" s="14"/>
      <c r="H321" s="30"/>
      <c r="I321" s="17"/>
      <c r="J321" s="18">
        <f t="shared" si="33"/>
        <v>0</v>
      </c>
      <c r="K321" t="s">
        <v>424</v>
      </c>
      <c r="L321" s="38">
        <v>3</v>
      </c>
      <c r="M321" s="21">
        <v>1</v>
      </c>
      <c r="N321" s="14"/>
      <c r="O321" s="22"/>
      <c r="P321" s="60">
        <f t="shared" si="35"/>
        <v>0</v>
      </c>
      <c r="Q321" s="60">
        <f t="shared" si="36"/>
        <v>0</v>
      </c>
      <c r="R321" s="60">
        <f t="shared" si="37"/>
        <v>0</v>
      </c>
      <c r="S321" s="62" cm="1">
        <f t="array" ref="S321">_xlfn.IFNA(MATCH(SUMIFS(R:R,A:A,"="&amp;A321,B:B,"&lt;"&amp;(B321+1)),_xlfn._xlws.FILTER(AO:AO,AL:AL=A321),1),1)</f>
        <v>1</v>
      </c>
      <c r="T321" s="62">
        <f t="shared" si="31"/>
        <v>125</v>
      </c>
      <c r="U321" s="62"/>
      <c r="V321" s="62"/>
      <c r="W321" s="63"/>
      <c r="X321" s="30"/>
      <c r="Y321" s="64"/>
      <c r="Z321" s="64"/>
      <c r="AA321" s="23"/>
      <c r="AB321" s="24"/>
      <c r="AC321" s="25"/>
      <c r="AD321" s="25"/>
    </row>
    <row r="322" spans="1:30">
      <c r="A322" s="46">
        <f t="shared" si="34"/>
        <v>8</v>
      </c>
      <c r="B322" s="47">
        <v>20</v>
      </c>
      <c r="C322" s="47"/>
      <c r="D322" s="47"/>
      <c r="E322" s="14">
        <v>12.99</v>
      </c>
      <c r="F322" s="14">
        <f t="shared" si="32"/>
        <v>149</v>
      </c>
      <c r="G322" s="36">
        <f>(E322+0.01)*F322*$AJ$2/100</f>
        <v>19370000</v>
      </c>
      <c r="H322" s="37">
        <f>SUM(G304:G322)</f>
        <v>50730000</v>
      </c>
      <c r="I322" s="17">
        <f>SUM(E304:E322)</f>
        <v>36.96</v>
      </c>
      <c r="J322" s="18">
        <f t="shared" si="33"/>
        <v>0.24</v>
      </c>
      <c r="K322" s="14" t="s">
        <v>2</v>
      </c>
      <c r="L322" s="29">
        <v>9</v>
      </c>
      <c r="M322" s="21">
        <f>G322</f>
        <v>19370000</v>
      </c>
      <c r="N322" s="36">
        <f>SUMIF(K322:K327,"="&amp;"金币",M322:M327)</f>
        <v>20976440</v>
      </c>
      <c r="O322" s="22">
        <f>N322/$AJ$2</f>
        <v>20.97644</v>
      </c>
      <c r="P322" s="60">
        <f t="shared" si="35"/>
        <v>2</v>
      </c>
      <c r="Q322" s="60" t="str">
        <f t="shared" si="36"/>
        <v>金币</v>
      </c>
      <c r="R322" s="60">
        <f t="shared" si="37"/>
        <v>0</v>
      </c>
      <c r="S322" s="62" cm="1">
        <f t="array" ref="S322">_xlfn.IFNA(MATCH(SUMIFS(R:R,A:A,"="&amp;A322,B:B,"&lt;"&amp;(B322+1)),_xlfn._xlws.FILTER(AO:AO,AL:AL=A322),1),1)</f>
        <v>1</v>
      </c>
      <c r="T322" s="62">
        <f t="shared" ref="T322:T385" si="38">SUMIFS(R:R,A:A,"="&amp;A322,B:B,"&lt;"&amp;(B322+1))</f>
        <v>125</v>
      </c>
      <c r="U322" s="62">
        <f>_xlfn.IFNA(VLOOKUP(Q322,道具!B:C,2,FALSE),"")</f>
        <v>1</v>
      </c>
      <c r="V322" s="62">
        <f>IF(U322=1,CEILING(W322*100/$AJ$2,5),IF(U322=2,J322*100,0))</f>
        <v>220</v>
      </c>
      <c r="W322" s="63">
        <f>IF(U322=1,J322*$AD$6,IF(U322=2,J322*$AJ$2,0))</f>
        <v>2157480</v>
      </c>
      <c r="X322" s="37">
        <f>SUM(N304:N322)+SUM(W304:W322)</f>
        <v>59990370</v>
      </c>
      <c r="Y322" s="66">
        <f>SUM(O304:O322)</f>
        <v>56.75415</v>
      </c>
      <c r="Z322" s="66">
        <f>SUM(W304:W322)</f>
        <v>3236220</v>
      </c>
      <c r="AA322" s="23">
        <f>X322/$AJ$2</f>
        <v>59.99037</v>
      </c>
      <c r="AB322" s="24">
        <f>X322/H322</f>
        <v>1.18254228267297</v>
      </c>
      <c r="AC322" s="25"/>
      <c r="AD322" s="25"/>
    </row>
    <row r="323" spans="1:30">
      <c r="A323" s="46">
        <f t="shared" si="34"/>
        <v>8</v>
      </c>
      <c r="B323" s="47">
        <v>21</v>
      </c>
      <c r="C323" s="47"/>
      <c r="D323" s="47"/>
      <c r="E323" s="14"/>
      <c r="F323" s="14" t="str">
        <f t="shared" ref="F323:F386" si="39">IFERROR(VLOOKUP(ROUND(E323*100,0),AF:AG,2,FALSE),"")</f>
        <v/>
      </c>
      <c r="G323" s="14"/>
      <c r="H323" s="30"/>
      <c r="I323" s="17"/>
      <c r="J323" s="18">
        <f t="shared" si="33"/>
        <v>0</v>
      </c>
      <c r="K323" s="19" t="s">
        <v>408</v>
      </c>
      <c r="L323" s="38">
        <v>3</v>
      </c>
      <c r="M323" s="21">
        <v>4</v>
      </c>
      <c r="N323" s="14"/>
      <c r="O323" s="22"/>
      <c r="P323" s="60">
        <f t="shared" si="35"/>
        <v>0</v>
      </c>
      <c r="Q323" s="60">
        <f t="shared" si="36"/>
        <v>0</v>
      </c>
      <c r="R323" s="60">
        <f t="shared" si="37"/>
        <v>0</v>
      </c>
      <c r="S323" s="62" cm="1">
        <f t="array" ref="S323">_xlfn.IFNA(MATCH(SUMIFS(R:R,A:A,"="&amp;A323,B:B,"&lt;"&amp;(B323+1)),_xlfn._xlws.FILTER(AO:AO,AL:AL=A323),1),1)</f>
        <v>1</v>
      </c>
      <c r="T323" s="62">
        <f t="shared" si="38"/>
        <v>125</v>
      </c>
      <c r="U323" s="62"/>
      <c r="V323" s="62"/>
      <c r="W323" s="63"/>
      <c r="X323" s="30"/>
      <c r="Y323" s="64"/>
      <c r="Z323" s="64"/>
      <c r="AA323" s="23"/>
      <c r="AB323" s="24"/>
      <c r="AC323" s="25"/>
      <c r="AD323" s="25"/>
    </row>
    <row r="324" spans="1:30">
      <c r="A324" s="46">
        <f t="shared" si="34"/>
        <v>8</v>
      </c>
      <c r="B324" s="47">
        <v>22</v>
      </c>
      <c r="C324" s="47"/>
      <c r="D324" s="47"/>
      <c r="E324" s="14"/>
      <c r="F324" s="14" t="str">
        <f t="shared" si="39"/>
        <v/>
      </c>
      <c r="G324" s="14"/>
      <c r="H324" s="30"/>
      <c r="I324" s="17"/>
      <c r="J324" s="18">
        <f t="shared" si="33"/>
        <v>0.08</v>
      </c>
      <c r="K324" s="19" t="s">
        <v>2</v>
      </c>
      <c r="L324" s="38">
        <v>17</v>
      </c>
      <c r="M324" s="21">
        <f>J324*$AD$307</f>
        <v>1606440</v>
      </c>
      <c r="N324" s="14"/>
      <c r="O324" s="22"/>
      <c r="P324" s="60">
        <f t="shared" si="35"/>
        <v>0</v>
      </c>
      <c r="Q324" s="60">
        <f t="shared" si="36"/>
        <v>0</v>
      </c>
      <c r="R324" s="60">
        <f t="shared" si="37"/>
        <v>0</v>
      </c>
      <c r="S324" s="62" cm="1">
        <f t="array" ref="S324">_xlfn.IFNA(MATCH(SUMIFS(R:R,A:A,"="&amp;A324,B:B,"&lt;"&amp;(B324+1)),_xlfn._xlws.FILTER(AO:AO,AL:AL=A324),1),1)</f>
        <v>1</v>
      </c>
      <c r="T324" s="62">
        <f t="shared" si="38"/>
        <v>125</v>
      </c>
      <c r="U324" s="62"/>
      <c r="V324" s="62"/>
      <c r="W324" s="63"/>
      <c r="X324" s="30"/>
      <c r="Y324" s="64"/>
      <c r="Z324" s="64"/>
      <c r="AA324" s="23"/>
      <c r="AB324" s="24"/>
      <c r="AC324" s="25"/>
      <c r="AD324" s="25"/>
    </row>
    <row r="325" spans="1:30">
      <c r="A325" s="46">
        <f t="shared" si="34"/>
        <v>8</v>
      </c>
      <c r="B325" s="47">
        <v>23</v>
      </c>
      <c r="C325" s="47"/>
      <c r="D325" s="47"/>
      <c r="E325" s="14"/>
      <c r="F325" s="14" t="str">
        <f t="shared" si="39"/>
        <v/>
      </c>
      <c r="G325" s="14"/>
      <c r="H325" s="30"/>
      <c r="I325" s="17"/>
      <c r="J325" s="18">
        <f t="shared" si="33"/>
        <v>0</v>
      </c>
      <c r="K325" s="19" t="s">
        <v>461</v>
      </c>
      <c r="L325" s="38">
        <v>4</v>
      </c>
      <c r="M325" s="21">
        <v>1</v>
      </c>
      <c r="N325" s="14"/>
      <c r="O325" s="22"/>
      <c r="P325" s="60">
        <f t="shared" si="35"/>
        <v>0</v>
      </c>
      <c r="Q325" s="60">
        <f t="shared" si="36"/>
        <v>0</v>
      </c>
      <c r="R325" s="60">
        <f t="shared" si="37"/>
        <v>15</v>
      </c>
      <c r="S325" s="62" cm="1">
        <f t="array" ref="S325">_xlfn.IFNA(MATCH(SUMIFS(R:R,A:A,"="&amp;A325,B:B,"&lt;"&amp;(B325+1)),_xlfn._xlws.FILTER(AO:AO,AL:AL=A325),1),1)</f>
        <v>1</v>
      </c>
      <c r="T325" s="62">
        <f t="shared" si="38"/>
        <v>140</v>
      </c>
      <c r="U325" s="62"/>
      <c r="V325" s="62"/>
      <c r="W325" s="63"/>
      <c r="X325" s="30"/>
      <c r="Y325" s="64"/>
      <c r="Z325" s="64"/>
      <c r="AA325" s="23"/>
      <c r="AB325" s="24"/>
      <c r="AC325" s="25"/>
      <c r="AD325" s="25"/>
    </row>
    <row r="326" spans="1:30">
      <c r="A326" s="46">
        <f t="shared" si="34"/>
        <v>8</v>
      </c>
      <c r="B326" s="47">
        <v>24</v>
      </c>
      <c r="C326" s="47"/>
      <c r="D326" s="47"/>
      <c r="E326" s="14"/>
      <c r="F326" s="14" t="str">
        <f t="shared" si="39"/>
        <v/>
      </c>
      <c r="G326" s="14"/>
      <c r="H326" s="30"/>
      <c r="I326" s="17"/>
      <c r="J326" s="18">
        <f t="shared" si="33"/>
        <v>0</v>
      </c>
      <c r="K326" s="19" t="s">
        <v>453</v>
      </c>
      <c r="L326" s="38">
        <v>3</v>
      </c>
      <c r="M326" s="21">
        <v>20</v>
      </c>
      <c r="N326" s="14"/>
      <c r="O326" s="22"/>
      <c r="P326" s="60">
        <f t="shared" si="35"/>
        <v>0</v>
      </c>
      <c r="Q326" s="60">
        <f t="shared" si="36"/>
        <v>0</v>
      </c>
      <c r="R326" s="60">
        <f t="shared" si="37"/>
        <v>0</v>
      </c>
      <c r="S326" s="62" cm="1">
        <f t="array" ref="S326">_xlfn.IFNA(MATCH(SUMIFS(R:R,A:A,"="&amp;A326,B:B,"&lt;"&amp;(B326+1)),_xlfn._xlws.FILTER(AO:AO,AL:AL=A326),1),1)</f>
        <v>1</v>
      </c>
      <c r="T326" s="62">
        <f t="shared" si="38"/>
        <v>140</v>
      </c>
      <c r="U326" s="62"/>
      <c r="V326" s="62"/>
      <c r="W326" s="63"/>
      <c r="X326" s="30"/>
      <c r="Y326" s="64"/>
      <c r="Z326" s="64"/>
      <c r="AA326" s="23"/>
      <c r="AB326" s="24"/>
      <c r="AC326" s="25"/>
      <c r="AD326" s="25"/>
    </row>
    <row r="327" spans="1:30">
      <c r="A327" s="46">
        <f t="shared" si="34"/>
        <v>8</v>
      </c>
      <c r="B327" s="47">
        <v>25</v>
      </c>
      <c r="C327" s="47"/>
      <c r="D327" s="47"/>
      <c r="E327" s="14"/>
      <c r="F327" s="14" t="str">
        <f t="shared" si="39"/>
        <v/>
      </c>
      <c r="G327" s="14"/>
      <c r="H327" s="30"/>
      <c r="I327" s="17"/>
      <c r="J327" s="18">
        <f t="shared" si="33"/>
        <v>0</v>
      </c>
      <c r="K327" t="s">
        <v>426</v>
      </c>
      <c r="L327" s="38">
        <v>3</v>
      </c>
      <c r="M327" s="21">
        <v>1</v>
      </c>
      <c r="N327" s="14"/>
      <c r="O327" s="22"/>
      <c r="P327" s="60">
        <f t="shared" si="35"/>
        <v>0</v>
      </c>
      <c r="Q327" s="60">
        <f t="shared" si="36"/>
        <v>0</v>
      </c>
      <c r="R327" s="60">
        <f t="shared" si="37"/>
        <v>0</v>
      </c>
      <c r="S327" s="62" cm="1">
        <f t="array" ref="S327">_xlfn.IFNA(MATCH(SUMIFS(R:R,A:A,"="&amp;A327,B:B,"&lt;"&amp;(B327+1)),_xlfn._xlws.FILTER(AO:AO,AL:AL=A327),1),1)</f>
        <v>1</v>
      </c>
      <c r="T327" s="62">
        <f t="shared" si="38"/>
        <v>140</v>
      </c>
      <c r="U327" s="62"/>
      <c r="V327" s="62"/>
      <c r="W327" s="63"/>
      <c r="X327" s="30"/>
      <c r="Y327" s="64"/>
      <c r="Z327" s="64"/>
      <c r="AA327" s="23"/>
      <c r="AB327" s="24"/>
      <c r="AC327" s="25"/>
      <c r="AD327" s="25"/>
    </row>
    <row r="328" spans="1:30">
      <c r="A328" s="46">
        <f t="shared" si="34"/>
        <v>8</v>
      </c>
      <c r="B328" s="47">
        <v>26</v>
      </c>
      <c r="C328" s="47"/>
      <c r="D328" s="47"/>
      <c r="E328" s="14">
        <v>14.99</v>
      </c>
      <c r="F328" s="14">
        <f t="shared" si="39"/>
        <v>154</v>
      </c>
      <c r="G328" s="36">
        <f>(E328+0.01)*F328*$AJ$2/100</f>
        <v>23100000</v>
      </c>
      <c r="H328" s="37">
        <f>SUM(G304:G328)</f>
        <v>73830000</v>
      </c>
      <c r="I328" s="17">
        <f>SUM(E304:E328)</f>
        <v>51.95</v>
      </c>
      <c r="J328" s="18">
        <f t="shared" si="33"/>
        <v>0</v>
      </c>
      <c r="K328" s="14" t="s">
        <v>2</v>
      </c>
      <c r="L328" s="29">
        <v>9</v>
      </c>
      <c r="M328" s="21">
        <f>G328</f>
        <v>23100000</v>
      </c>
      <c r="N328" s="36">
        <f>SUMIF(K328:K333,"="&amp;"金币",M328:M333)</f>
        <v>24104025</v>
      </c>
      <c r="O328" s="22">
        <f>N328/$AJ$2</f>
        <v>24.104025</v>
      </c>
      <c r="P328" s="60">
        <f t="shared" si="35"/>
        <v>0</v>
      </c>
      <c r="Q328" s="60">
        <f t="shared" si="36"/>
        <v>0</v>
      </c>
      <c r="R328" s="60">
        <f t="shared" si="37"/>
        <v>10</v>
      </c>
      <c r="S328" s="62" cm="1">
        <f t="array" ref="S328">_xlfn.IFNA(MATCH(SUMIFS(R:R,A:A,"="&amp;A328,B:B,"&lt;"&amp;(B328+1)),_xlfn._xlws.FILTER(AO:AO,AL:AL=A328),1),1)</f>
        <v>2</v>
      </c>
      <c r="T328" s="62">
        <f t="shared" si="38"/>
        <v>150</v>
      </c>
      <c r="U328" s="62" t="str">
        <f>_xlfn.IFNA(VLOOKUP(Q328,道具!B:C,2,FALSE),"")</f>
        <v/>
      </c>
      <c r="V328" s="62">
        <f>IF(U328=1,CEILING(W328*100/$AJ$2,5),IF(U328=2,J328*100,0))</f>
        <v>0</v>
      </c>
      <c r="W328" s="63">
        <f>IF(U328=1,J328*$AD$6,IF(U328=2,J328*$AJ$2,0))</f>
        <v>0</v>
      </c>
      <c r="X328" s="37">
        <f>SUM(N304:N328)+SUM(W304:W328)</f>
        <v>84094395</v>
      </c>
      <c r="Y328" s="66">
        <f>SUM(O304:O328)</f>
        <v>80.858175</v>
      </c>
      <c r="Z328" s="66">
        <f>SUM(W304:W328)</f>
        <v>3236220</v>
      </c>
      <c r="AA328" s="23">
        <f>X328/$AJ$2</f>
        <v>84.094395</v>
      </c>
      <c r="AB328" s="24">
        <f>X328/H328</f>
        <v>1.13902742787485</v>
      </c>
      <c r="AC328" s="25"/>
      <c r="AD328" s="25"/>
    </row>
    <row r="329" spans="1:30">
      <c r="A329" s="46">
        <f t="shared" si="34"/>
        <v>8</v>
      </c>
      <c r="B329" s="47">
        <v>27</v>
      </c>
      <c r="C329" s="47"/>
      <c r="D329" s="47"/>
      <c r="E329" s="14"/>
      <c r="F329" s="14" t="str">
        <f t="shared" si="39"/>
        <v/>
      </c>
      <c r="G329" s="14"/>
      <c r="H329" s="30"/>
      <c r="I329" s="17"/>
      <c r="J329" s="18">
        <f t="shared" ref="J329:J392" si="40">J286</f>
        <v>0</v>
      </c>
      <c r="K329" s="19" t="s">
        <v>408</v>
      </c>
      <c r="L329" s="38">
        <v>3</v>
      </c>
      <c r="M329" s="21">
        <v>5</v>
      </c>
      <c r="N329" s="14"/>
      <c r="O329" s="22"/>
      <c r="P329" s="60">
        <f t="shared" si="35"/>
        <v>0</v>
      </c>
      <c r="Q329" s="60">
        <f t="shared" si="36"/>
        <v>0</v>
      </c>
      <c r="R329" s="60">
        <f t="shared" si="37"/>
        <v>0</v>
      </c>
      <c r="S329" s="62" cm="1">
        <f t="array" ref="S329">_xlfn.IFNA(MATCH(SUMIFS(R:R,A:A,"="&amp;A329,B:B,"&lt;"&amp;(B329+1)),_xlfn._xlws.FILTER(AO:AO,AL:AL=A329),1),1)</f>
        <v>2</v>
      </c>
      <c r="T329" s="62">
        <f t="shared" si="38"/>
        <v>150</v>
      </c>
      <c r="U329" s="62"/>
      <c r="V329" s="62"/>
      <c r="W329" s="63"/>
      <c r="X329" s="30"/>
      <c r="Y329" s="64"/>
      <c r="Z329" s="64"/>
      <c r="AA329" s="23"/>
      <c r="AB329" s="24"/>
      <c r="AC329" s="25"/>
      <c r="AD329" s="25"/>
    </row>
    <row r="330" spans="1:30">
      <c r="A330" s="46">
        <f t="shared" si="34"/>
        <v>8</v>
      </c>
      <c r="B330" s="47">
        <v>28</v>
      </c>
      <c r="C330" s="47"/>
      <c r="D330" s="47"/>
      <c r="E330" s="14"/>
      <c r="F330" s="14" t="str">
        <f t="shared" si="39"/>
        <v/>
      </c>
      <c r="G330" s="14"/>
      <c r="H330" s="30"/>
      <c r="I330" s="17"/>
      <c r="J330" s="18">
        <f t="shared" si="40"/>
        <v>0.05</v>
      </c>
      <c r="K330" s="19" t="s">
        <v>2</v>
      </c>
      <c r="L330" s="38">
        <v>17</v>
      </c>
      <c r="M330" s="21">
        <f>J330*$AD$307</f>
        <v>1004025</v>
      </c>
      <c r="N330" s="14"/>
      <c r="O330" s="22"/>
      <c r="P330" s="60">
        <f t="shared" si="35"/>
        <v>0</v>
      </c>
      <c r="Q330" s="60">
        <f t="shared" si="36"/>
        <v>0</v>
      </c>
      <c r="R330" s="60">
        <f t="shared" si="37"/>
        <v>0</v>
      </c>
      <c r="S330" s="62" cm="1">
        <f t="array" ref="S330">_xlfn.IFNA(MATCH(SUMIFS(R:R,A:A,"="&amp;A330,B:B,"&lt;"&amp;(B330+1)),_xlfn._xlws.FILTER(AO:AO,AL:AL=A330),1),1)</f>
        <v>2</v>
      </c>
      <c r="T330" s="62">
        <f t="shared" si="38"/>
        <v>150</v>
      </c>
      <c r="U330" s="62"/>
      <c r="V330" s="62"/>
      <c r="W330" s="63"/>
      <c r="X330" s="30"/>
      <c r="Y330" s="64"/>
      <c r="Z330" s="64"/>
      <c r="AA330" s="23"/>
      <c r="AB330" s="24"/>
      <c r="AC330" s="25"/>
      <c r="AD330" s="25"/>
    </row>
    <row r="331" spans="1:30">
      <c r="A331" s="46">
        <f t="shared" si="34"/>
        <v>8</v>
      </c>
      <c r="B331" s="47">
        <v>29</v>
      </c>
      <c r="C331" s="47"/>
      <c r="D331" s="47"/>
      <c r="E331" s="14"/>
      <c r="F331" s="14" t="str">
        <f t="shared" si="39"/>
        <v/>
      </c>
      <c r="G331" s="14"/>
      <c r="H331" s="30"/>
      <c r="I331" s="17"/>
      <c r="J331" s="18">
        <f t="shared" si="40"/>
        <v>0</v>
      </c>
      <c r="K331" s="19" t="s">
        <v>463</v>
      </c>
      <c r="L331" s="38">
        <v>4</v>
      </c>
      <c r="M331" s="21">
        <v>1</v>
      </c>
      <c r="N331" s="14"/>
      <c r="O331" s="22"/>
      <c r="P331" s="60">
        <f t="shared" si="35"/>
        <v>0</v>
      </c>
      <c r="Q331" s="60">
        <f t="shared" si="36"/>
        <v>0</v>
      </c>
      <c r="R331" s="60">
        <f t="shared" si="37"/>
        <v>25</v>
      </c>
      <c r="S331" s="62" cm="1">
        <f t="array" ref="S331">_xlfn.IFNA(MATCH(SUMIFS(R:R,A:A,"="&amp;A331,B:B,"&lt;"&amp;(B331+1)),_xlfn._xlws.FILTER(AO:AO,AL:AL=A331),1),1)</f>
        <v>2</v>
      </c>
      <c r="T331" s="62">
        <f t="shared" si="38"/>
        <v>175</v>
      </c>
      <c r="U331" s="62"/>
      <c r="V331" s="62"/>
      <c r="W331" s="63"/>
      <c r="X331" s="30"/>
      <c r="Y331" s="64"/>
      <c r="Z331" s="64"/>
      <c r="AA331" s="23"/>
      <c r="AB331" s="24"/>
      <c r="AC331" s="25"/>
      <c r="AD331" s="25"/>
    </row>
    <row r="332" spans="1:30">
      <c r="A332" s="46">
        <f t="shared" si="34"/>
        <v>8</v>
      </c>
      <c r="B332" s="47">
        <v>30</v>
      </c>
      <c r="C332" s="47"/>
      <c r="D332" s="47"/>
      <c r="E332" s="14"/>
      <c r="F332" s="14" t="str">
        <f t="shared" si="39"/>
        <v/>
      </c>
      <c r="G332" s="14"/>
      <c r="H332" s="30"/>
      <c r="I332" s="17"/>
      <c r="J332" s="18">
        <f t="shared" si="40"/>
        <v>0</v>
      </c>
      <c r="K332" s="19" t="s">
        <v>453</v>
      </c>
      <c r="L332" s="38">
        <v>3</v>
      </c>
      <c r="M332" s="21">
        <v>25</v>
      </c>
      <c r="N332" s="14"/>
      <c r="O332" s="22"/>
      <c r="P332" s="60">
        <f t="shared" si="35"/>
        <v>0</v>
      </c>
      <c r="Q332" s="60">
        <f t="shared" si="36"/>
        <v>0</v>
      </c>
      <c r="R332" s="60">
        <f t="shared" si="37"/>
        <v>0</v>
      </c>
      <c r="S332" s="62" cm="1">
        <f t="array" ref="S332">_xlfn.IFNA(MATCH(SUMIFS(R:R,A:A,"="&amp;A332,B:B,"&lt;"&amp;(B332+1)),_xlfn._xlws.FILTER(AO:AO,AL:AL=A332),1),1)</f>
        <v>2</v>
      </c>
      <c r="T332" s="62">
        <f t="shared" si="38"/>
        <v>175</v>
      </c>
      <c r="U332" s="62"/>
      <c r="V332" s="62"/>
      <c r="W332" s="63"/>
      <c r="X332" s="30"/>
      <c r="Y332" s="64"/>
      <c r="Z332" s="64"/>
      <c r="AA332" s="23"/>
      <c r="AB332" s="24"/>
      <c r="AC332" s="25"/>
      <c r="AD332" s="25"/>
    </row>
    <row r="333" spans="1:30">
      <c r="A333" s="46">
        <f t="shared" si="34"/>
        <v>8</v>
      </c>
      <c r="B333" s="47">
        <v>31</v>
      </c>
      <c r="C333" s="47"/>
      <c r="D333" s="47"/>
      <c r="E333" s="14"/>
      <c r="F333" s="14" t="str">
        <f t="shared" si="39"/>
        <v/>
      </c>
      <c r="G333" s="14"/>
      <c r="H333" s="30"/>
      <c r="I333" s="17"/>
      <c r="J333" s="18">
        <f t="shared" si="40"/>
        <v>0</v>
      </c>
      <c r="K333" t="s">
        <v>424</v>
      </c>
      <c r="L333" s="38">
        <v>3</v>
      </c>
      <c r="M333" s="21">
        <v>1</v>
      </c>
      <c r="N333" s="14"/>
      <c r="O333" s="22"/>
      <c r="P333" s="60">
        <f t="shared" si="35"/>
        <v>0</v>
      </c>
      <c r="Q333" s="60">
        <f t="shared" si="36"/>
        <v>0</v>
      </c>
      <c r="R333" s="60">
        <f t="shared" si="37"/>
        <v>0</v>
      </c>
      <c r="S333" s="62" cm="1">
        <f t="array" ref="S333">_xlfn.IFNA(MATCH(SUMIFS(R:R,A:A,"="&amp;A333,B:B,"&lt;"&amp;(B333+1)),_xlfn._xlws.FILTER(AO:AO,AL:AL=A333),1),1)</f>
        <v>2</v>
      </c>
      <c r="T333" s="62">
        <f t="shared" si="38"/>
        <v>175</v>
      </c>
      <c r="U333" s="62"/>
      <c r="V333" s="62"/>
      <c r="W333" s="63"/>
      <c r="X333" s="30"/>
      <c r="Y333" s="64"/>
      <c r="Z333" s="64"/>
      <c r="AA333" s="23"/>
      <c r="AB333" s="24"/>
      <c r="AC333" s="25"/>
      <c r="AD333" s="25"/>
    </row>
    <row r="334" spans="1:30">
      <c r="A334" s="46">
        <f t="shared" si="34"/>
        <v>8</v>
      </c>
      <c r="B334" s="47">
        <v>32</v>
      </c>
      <c r="C334" s="47"/>
      <c r="D334" s="47"/>
      <c r="E334" s="14">
        <v>17.99</v>
      </c>
      <c r="F334" s="14">
        <f t="shared" si="39"/>
        <v>158</v>
      </c>
      <c r="G334" s="36">
        <f>(E334+0.01)*F334*$AJ$2/100</f>
        <v>28440000</v>
      </c>
      <c r="H334" s="37">
        <f>SUM(G304:G334)</f>
        <v>102270000</v>
      </c>
      <c r="I334" s="17">
        <f>SUM(E304:E334)</f>
        <v>69.94</v>
      </c>
      <c r="J334" s="18">
        <f t="shared" si="40"/>
        <v>0</v>
      </c>
      <c r="K334" s="14" t="s">
        <v>2</v>
      </c>
      <c r="L334" s="29">
        <v>9</v>
      </c>
      <c r="M334" s="21">
        <f>G334</f>
        <v>28440000</v>
      </c>
      <c r="N334" s="36">
        <f>SUMIF(K334:K339,"="&amp;"金币",M334:M339)</f>
        <v>30849660</v>
      </c>
      <c r="O334" s="22">
        <f>N334/$AJ$2</f>
        <v>30.84966</v>
      </c>
      <c r="P334" s="60">
        <f t="shared" si="35"/>
        <v>0</v>
      </c>
      <c r="Q334" s="60">
        <f t="shared" si="36"/>
        <v>0</v>
      </c>
      <c r="R334" s="60">
        <f t="shared" si="37"/>
        <v>25</v>
      </c>
      <c r="S334" s="62" cm="1">
        <f t="array" ref="S334">_xlfn.IFNA(MATCH(SUMIFS(R:R,A:A,"="&amp;A334,B:B,"&lt;"&amp;(B334+1)),_xlfn._xlws.FILTER(AO:AO,AL:AL=A334),1),1)</f>
        <v>2</v>
      </c>
      <c r="T334" s="62">
        <f t="shared" si="38"/>
        <v>200</v>
      </c>
      <c r="U334" s="62" t="str">
        <f>_xlfn.IFNA(VLOOKUP(Q334,道具!B:C,2,FALSE),"")</f>
        <v/>
      </c>
      <c r="V334" s="62">
        <f>IF(U334=1,CEILING(W334*100/$AJ$2,5),IF(U334=2,J334*100,0))</f>
        <v>0</v>
      </c>
      <c r="W334" s="63">
        <f>IF(U334=1,J334*$AD$6,IF(U334=2,J334*$AJ$2,0))</f>
        <v>0</v>
      </c>
      <c r="X334" s="37">
        <f>SUM(N304:N334)+SUM(W304:W334)</f>
        <v>114944055</v>
      </c>
      <c r="Y334" s="66">
        <f>SUM(O304:O334)</f>
        <v>111.707835</v>
      </c>
      <c r="Z334" s="66">
        <f>SUM(W304:W334)</f>
        <v>3236220</v>
      </c>
      <c r="AA334" s="23">
        <f>X334/$AJ$2</f>
        <v>114.944055</v>
      </c>
      <c r="AB334" s="24">
        <f>X334/H334</f>
        <v>1.12392739806395</v>
      </c>
      <c r="AC334" s="25"/>
      <c r="AD334" s="25"/>
    </row>
    <row r="335" spans="1:30">
      <c r="A335" s="46">
        <f t="shared" si="34"/>
        <v>8</v>
      </c>
      <c r="B335" s="47">
        <v>33</v>
      </c>
      <c r="C335" s="47"/>
      <c r="D335" s="47"/>
      <c r="E335" s="14"/>
      <c r="F335" s="14" t="str">
        <f t="shared" si="39"/>
        <v/>
      </c>
      <c r="G335" s="14"/>
      <c r="H335" s="30"/>
      <c r="I335" s="17"/>
      <c r="J335" s="18">
        <f t="shared" si="40"/>
        <v>0</v>
      </c>
      <c r="K335" s="19" t="s">
        <v>408</v>
      </c>
      <c r="L335" s="38">
        <v>3</v>
      </c>
      <c r="M335" s="21">
        <v>6</v>
      </c>
      <c r="N335" s="14"/>
      <c r="O335" s="22"/>
      <c r="P335" s="60">
        <f t="shared" si="35"/>
        <v>0</v>
      </c>
      <c r="Q335" s="60">
        <f t="shared" si="36"/>
        <v>0</v>
      </c>
      <c r="R335" s="60">
        <f t="shared" si="37"/>
        <v>0</v>
      </c>
      <c r="S335" s="62" cm="1">
        <f t="array" ref="S335">_xlfn.IFNA(MATCH(SUMIFS(R:R,A:A,"="&amp;A335,B:B,"&lt;"&amp;(B335+1)),_xlfn._xlws.FILTER(AO:AO,AL:AL=A335),1),1)</f>
        <v>2</v>
      </c>
      <c r="T335" s="62">
        <f t="shared" si="38"/>
        <v>200</v>
      </c>
      <c r="U335" s="62"/>
      <c r="V335" s="62"/>
      <c r="W335" s="63"/>
      <c r="X335" s="30"/>
      <c r="Y335" s="64"/>
      <c r="Z335" s="64"/>
      <c r="AA335" s="23"/>
      <c r="AB335" s="24"/>
      <c r="AC335" s="25"/>
      <c r="AD335" s="25"/>
    </row>
    <row r="336" spans="1:30">
      <c r="A336" s="46">
        <f t="shared" si="34"/>
        <v>8</v>
      </c>
      <c r="B336" s="47">
        <v>34</v>
      </c>
      <c r="C336" s="47"/>
      <c r="D336" s="47"/>
      <c r="E336" s="14"/>
      <c r="F336" s="14" t="str">
        <f t="shared" si="39"/>
        <v/>
      </c>
      <c r="G336" s="14"/>
      <c r="H336" s="30"/>
      <c r="I336" s="17"/>
      <c r="J336" s="18">
        <f t="shared" si="40"/>
        <v>0.12</v>
      </c>
      <c r="K336" s="19" t="s">
        <v>2</v>
      </c>
      <c r="L336" s="38">
        <v>17</v>
      </c>
      <c r="M336" s="21">
        <f>J336*$AD$307</f>
        <v>2409660</v>
      </c>
      <c r="N336" s="14"/>
      <c r="O336" s="22"/>
      <c r="P336" s="60">
        <f t="shared" si="35"/>
        <v>0</v>
      </c>
      <c r="Q336" s="60">
        <f t="shared" si="36"/>
        <v>0</v>
      </c>
      <c r="R336" s="60">
        <f t="shared" si="37"/>
        <v>0</v>
      </c>
      <c r="S336" s="62" cm="1">
        <f t="array" ref="S336">_xlfn.IFNA(MATCH(SUMIFS(R:R,A:A,"="&amp;A336,B:B,"&lt;"&amp;(B336+1)),_xlfn._xlws.FILTER(AO:AO,AL:AL=A336),1),1)</f>
        <v>2</v>
      </c>
      <c r="T336" s="62">
        <f t="shared" si="38"/>
        <v>200</v>
      </c>
      <c r="U336" s="62"/>
      <c r="V336" s="62"/>
      <c r="W336" s="63"/>
      <c r="X336" s="30"/>
      <c r="Y336" s="64"/>
      <c r="Z336" s="64"/>
      <c r="AA336" s="23"/>
      <c r="AB336" s="24"/>
      <c r="AC336" s="25"/>
      <c r="AD336" s="25"/>
    </row>
    <row r="337" spans="1:30">
      <c r="A337" s="46">
        <f t="shared" si="34"/>
        <v>8</v>
      </c>
      <c r="B337" s="47">
        <v>35</v>
      </c>
      <c r="C337" s="47"/>
      <c r="D337" s="47"/>
      <c r="E337" s="14"/>
      <c r="F337" s="14" t="str">
        <f t="shared" si="39"/>
        <v/>
      </c>
      <c r="G337" s="14"/>
      <c r="H337" s="30"/>
      <c r="I337" s="17"/>
      <c r="J337" s="18">
        <f t="shared" si="40"/>
        <v>0</v>
      </c>
      <c r="K337" s="19" t="s">
        <v>463</v>
      </c>
      <c r="L337" s="38">
        <v>4</v>
      </c>
      <c r="M337" s="21">
        <v>1</v>
      </c>
      <c r="N337" s="14"/>
      <c r="O337" s="22"/>
      <c r="P337" s="60">
        <f t="shared" si="35"/>
        <v>0</v>
      </c>
      <c r="Q337" s="60">
        <f t="shared" si="36"/>
        <v>0</v>
      </c>
      <c r="R337" s="60">
        <f t="shared" si="37"/>
        <v>15</v>
      </c>
      <c r="S337" s="62" cm="1">
        <f t="array" ref="S337">_xlfn.IFNA(MATCH(SUMIFS(R:R,A:A,"="&amp;A337,B:B,"&lt;"&amp;(B337+1)),_xlfn._xlws.FILTER(AO:AO,AL:AL=A337),1),1)</f>
        <v>2</v>
      </c>
      <c r="T337" s="62">
        <f t="shared" si="38"/>
        <v>215</v>
      </c>
      <c r="U337" s="62"/>
      <c r="V337" s="62"/>
      <c r="W337" s="63"/>
      <c r="X337" s="30"/>
      <c r="Y337" s="64"/>
      <c r="Z337" s="64"/>
      <c r="AA337" s="23"/>
      <c r="AB337" s="24"/>
      <c r="AC337" s="25"/>
      <c r="AD337" s="25"/>
    </row>
    <row r="338" spans="1:30">
      <c r="A338" s="46">
        <f t="shared" si="34"/>
        <v>8</v>
      </c>
      <c r="B338" s="47">
        <v>36</v>
      </c>
      <c r="C338" s="47"/>
      <c r="D338" s="47"/>
      <c r="E338" s="14"/>
      <c r="F338" s="14" t="str">
        <f t="shared" si="39"/>
        <v/>
      </c>
      <c r="G338" s="14"/>
      <c r="H338" s="30"/>
      <c r="I338" s="17"/>
      <c r="J338" s="18">
        <f t="shared" si="40"/>
        <v>0</v>
      </c>
      <c r="K338" s="19" t="s">
        <v>453</v>
      </c>
      <c r="L338" s="38">
        <v>3</v>
      </c>
      <c r="M338" s="21">
        <v>30</v>
      </c>
      <c r="N338" s="14"/>
      <c r="O338" s="22"/>
      <c r="P338" s="60">
        <f t="shared" si="35"/>
        <v>0</v>
      </c>
      <c r="Q338" s="60">
        <f t="shared" si="36"/>
        <v>0</v>
      </c>
      <c r="R338" s="60">
        <f t="shared" si="37"/>
        <v>0</v>
      </c>
      <c r="S338" s="62" cm="1">
        <f t="array" ref="S338">_xlfn.IFNA(MATCH(SUMIFS(R:R,A:A,"="&amp;A338,B:B,"&lt;"&amp;(B338+1)),_xlfn._xlws.FILTER(AO:AO,AL:AL=A338),1),1)</f>
        <v>2</v>
      </c>
      <c r="T338" s="62">
        <f t="shared" si="38"/>
        <v>215</v>
      </c>
      <c r="U338" s="62"/>
      <c r="V338" s="62"/>
      <c r="W338" s="63"/>
      <c r="X338" s="30"/>
      <c r="Y338" s="64"/>
      <c r="Z338" s="64"/>
      <c r="AA338" s="23"/>
      <c r="AB338" s="24"/>
      <c r="AC338" s="25"/>
      <c r="AD338" s="25"/>
    </row>
    <row r="339" spans="1:30">
      <c r="A339" s="46">
        <f t="shared" si="34"/>
        <v>8</v>
      </c>
      <c r="B339" s="47">
        <v>37</v>
      </c>
      <c r="C339" s="47"/>
      <c r="D339" s="47"/>
      <c r="E339" s="14"/>
      <c r="F339" s="14" t="str">
        <f t="shared" si="39"/>
        <v/>
      </c>
      <c r="G339" s="14"/>
      <c r="H339" s="30"/>
      <c r="I339" s="17"/>
      <c r="J339" s="18">
        <f t="shared" si="40"/>
        <v>0</v>
      </c>
      <c r="K339" t="s">
        <v>426</v>
      </c>
      <c r="L339" s="38">
        <v>3</v>
      </c>
      <c r="M339" s="21">
        <v>1</v>
      </c>
      <c r="N339" s="14"/>
      <c r="O339" s="22"/>
      <c r="P339" s="60">
        <f t="shared" si="35"/>
        <v>0</v>
      </c>
      <c r="Q339" s="60">
        <f t="shared" si="36"/>
        <v>0</v>
      </c>
      <c r="R339" s="60">
        <f t="shared" si="37"/>
        <v>0</v>
      </c>
      <c r="S339" s="62" cm="1">
        <f t="array" ref="S339">_xlfn.IFNA(MATCH(SUMIFS(R:R,A:A,"="&amp;A339,B:B,"&lt;"&amp;(B339+1)),_xlfn._xlws.FILTER(AO:AO,AL:AL=A339),1),1)</f>
        <v>2</v>
      </c>
      <c r="T339" s="62">
        <f t="shared" si="38"/>
        <v>215</v>
      </c>
      <c r="U339" s="62"/>
      <c r="V339" s="62"/>
      <c r="W339" s="63"/>
      <c r="X339" s="30"/>
      <c r="Y339" s="64"/>
      <c r="Z339" s="64"/>
      <c r="AA339" s="23"/>
      <c r="AB339" s="24"/>
      <c r="AC339" s="25"/>
      <c r="AD339" s="25"/>
    </row>
    <row r="340" spans="1:30">
      <c r="A340" s="46">
        <f t="shared" si="34"/>
        <v>8</v>
      </c>
      <c r="B340" s="47">
        <v>38</v>
      </c>
      <c r="C340" s="47"/>
      <c r="D340" s="47"/>
      <c r="E340" s="14">
        <v>19.99</v>
      </c>
      <c r="F340" s="14">
        <f t="shared" si="39"/>
        <v>158</v>
      </c>
      <c r="G340" s="36">
        <f>(E340+0.01)*F340*$AJ$2/100</f>
        <v>31600000</v>
      </c>
      <c r="H340" s="37">
        <f>SUM(G304:G340)</f>
        <v>133870000</v>
      </c>
      <c r="I340" s="17">
        <f>SUM(E304:E340)</f>
        <v>89.93</v>
      </c>
      <c r="J340" s="18">
        <f t="shared" si="40"/>
        <v>0.45</v>
      </c>
      <c r="K340" s="14" t="s">
        <v>2</v>
      </c>
      <c r="L340" s="29">
        <v>9</v>
      </c>
      <c r="M340" s="21">
        <f>G340</f>
        <v>31600000</v>
      </c>
      <c r="N340" s="36">
        <f>SUMIF(K340:K345,"="&amp;"金币",M340:M345)</f>
        <v>34009660</v>
      </c>
      <c r="O340" s="22">
        <f>N340/$AJ$2</f>
        <v>34.00966</v>
      </c>
      <c r="P340" s="60">
        <f t="shared" si="35"/>
        <v>3</v>
      </c>
      <c r="Q340" s="60" t="str">
        <f t="shared" si="36"/>
        <v>金币</v>
      </c>
      <c r="R340" s="60">
        <f t="shared" si="37"/>
        <v>35</v>
      </c>
      <c r="S340" s="62" cm="1">
        <f t="array" ref="S340">_xlfn.IFNA(MATCH(SUMIFS(R:R,A:A,"="&amp;A340,B:B,"&lt;"&amp;(B340+1)),_xlfn._xlws.FILTER(AO:AO,AL:AL=A340),1),1)</f>
        <v>2</v>
      </c>
      <c r="T340" s="62">
        <f t="shared" si="38"/>
        <v>250</v>
      </c>
      <c r="U340" s="62">
        <f>_xlfn.IFNA(VLOOKUP(Q340,道具!B:C,2,FALSE),"")</f>
        <v>1</v>
      </c>
      <c r="V340" s="62">
        <f>IF(U340=1,CEILING(W340*100/$AJ$2,5),IF(U340=2,J340*100,0))</f>
        <v>405</v>
      </c>
      <c r="W340" s="63">
        <f>IF(U340=1,J340*$AD$6,IF(U340=2,J340*$AJ$2,0))</f>
        <v>4045275</v>
      </c>
      <c r="X340" s="37">
        <f>SUM(N304:N340)+SUM(W304:W340)</f>
        <v>152998990</v>
      </c>
      <c r="Y340" s="66">
        <f>SUM(O304:O340)</f>
        <v>145.717495</v>
      </c>
      <c r="Z340" s="66">
        <f>SUM(W304:W340)</f>
        <v>7281494.99999999</v>
      </c>
      <c r="AA340" s="23">
        <f>X340/$AJ$2</f>
        <v>152.99899</v>
      </c>
      <c r="AB340" s="24">
        <f>X340/H340</f>
        <v>1.14289228355868</v>
      </c>
      <c r="AC340" s="25"/>
      <c r="AD340" s="25"/>
    </row>
    <row r="341" spans="1:30">
      <c r="A341" s="46">
        <f t="shared" si="34"/>
        <v>8</v>
      </c>
      <c r="B341" s="47">
        <v>39</v>
      </c>
      <c r="C341" s="47"/>
      <c r="D341" s="47"/>
      <c r="E341" s="14"/>
      <c r="F341" s="14" t="str">
        <f t="shared" si="39"/>
        <v/>
      </c>
      <c r="G341" s="14"/>
      <c r="H341" s="30"/>
      <c r="I341" s="17"/>
      <c r="J341" s="18">
        <f t="shared" si="40"/>
        <v>0</v>
      </c>
      <c r="K341" s="19" t="s">
        <v>408</v>
      </c>
      <c r="L341" s="38">
        <v>3</v>
      </c>
      <c r="M341" s="21">
        <v>7</v>
      </c>
      <c r="N341" s="14"/>
      <c r="O341" s="22"/>
      <c r="P341" s="60">
        <f t="shared" si="35"/>
        <v>0</v>
      </c>
      <c r="Q341" s="60">
        <f t="shared" si="36"/>
        <v>0</v>
      </c>
      <c r="R341" s="60">
        <f t="shared" si="37"/>
        <v>0</v>
      </c>
      <c r="S341" s="62" cm="1">
        <f t="array" ref="S341">_xlfn.IFNA(MATCH(SUMIFS(R:R,A:A,"="&amp;A341,B:B,"&lt;"&amp;(B341+1)),_xlfn._xlws.FILTER(AO:AO,AL:AL=A341),1),1)</f>
        <v>2</v>
      </c>
      <c r="T341" s="62">
        <f t="shared" si="38"/>
        <v>250</v>
      </c>
      <c r="U341" s="62"/>
      <c r="V341" s="62"/>
      <c r="W341" s="63"/>
      <c r="X341" s="30"/>
      <c r="Y341" s="64"/>
      <c r="Z341" s="64"/>
      <c r="AA341" s="23"/>
      <c r="AB341" s="24"/>
      <c r="AC341" s="25"/>
      <c r="AD341" s="25"/>
    </row>
    <row r="342" spans="1:30">
      <c r="A342" s="46">
        <f t="shared" si="34"/>
        <v>8</v>
      </c>
      <c r="B342" s="47">
        <v>40</v>
      </c>
      <c r="C342" s="47"/>
      <c r="D342" s="47"/>
      <c r="E342" s="14"/>
      <c r="F342" s="14" t="str">
        <f t="shared" si="39"/>
        <v/>
      </c>
      <c r="G342" s="14"/>
      <c r="H342" s="30"/>
      <c r="I342" s="17"/>
      <c r="J342" s="18">
        <f t="shared" si="40"/>
        <v>0.12</v>
      </c>
      <c r="K342" s="19" t="s">
        <v>2</v>
      </c>
      <c r="L342" s="38">
        <v>17</v>
      </c>
      <c r="M342" s="21">
        <f>J342*$AD$307</f>
        <v>2409660</v>
      </c>
      <c r="N342" s="14"/>
      <c r="O342" s="22"/>
      <c r="P342" s="60">
        <f t="shared" si="35"/>
        <v>0</v>
      </c>
      <c r="Q342" s="60">
        <f t="shared" si="36"/>
        <v>0</v>
      </c>
      <c r="R342" s="60">
        <f t="shared" si="37"/>
        <v>0</v>
      </c>
      <c r="S342" s="62" cm="1">
        <f t="array" ref="S342">_xlfn.IFNA(MATCH(SUMIFS(R:R,A:A,"="&amp;A342,B:B,"&lt;"&amp;(B342+1)),_xlfn._xlws.FILTER(AO:AO,AL:AL=A342),1),1)</f>
        <v>2</v>
      </c>
      <c r="T342" s="62">
        <f t="shared" si="38"/>
        <v>250</v>
      </c>
      <c r="U342" s="62"/>
      <c r="V342" s="62"/>
      <c r="W342" s="63"/>
      <c r="X342" s="30"/>
      <c r="Y342" s="64"/>
      <c r="Z342" s="64"/>
      <c r="AA342" s="23"/>
      <c r="AB342" s="24"/>
      <c r="AC342" s="25"/>
      <c r="AD342" s="25"/>
    </row>
    <row r="343" spans="1:30">
      <c r="A343" s="46">
        <f t="shared" si="34"/>
        <v>8</v>
      </c>
      <c r="B343" s="47">
        <v>41</v>
      </c>
      <c r="C343" s="47"/>
      <c r="D343" s="47"/>
      <c r="E343" s="14"/>
      <c r="F343" s="14" t="str">
        <f t="shared" si="39"/>
        <v/>
      </c>
      <c r="G343" s="14"/>
      <c r="H343" s="30"/>
      <c r="I343" s="17"/>
      <c r="J343" s="18">
        <f t="shared" si="40"/>
        <v>0</v>
      </c>
      <c r="K343" s="19" t="s">
        <v>473</v>
      </c>
      <c r="L343" s="38">
        <v>4</v>
      </c>
      <c r="M343" s="21">
        <v>1</v>
      </c>
      <c r="N343" s="14"/>
      <c r="O343" s="22"/>
      <c r="P343" s="60">
        <f t="shared" si="35"/>
        <v>0</v>
      </c>
      <c r="Q343" s="60">
        <f t="shared" si="36"/>
        <v>0</v>
      </c>
      <c r="R343" s="60">
        <f t="shared" si="37"/>
        <v>50</v>
      </c>
      <c r="S343" s="62" cm="1">
        <f t="array" ref="S343">_xlfn.IFNA(MATCH(SUMIFS(R:R,A:A,"="&amp;A343,B:B,"&lt;"&amp;(B343+1)),_xlfn._xlws.FILTER(AO:AO,AL:AL=A343),1),1)</f>
        <v>3</v>
      </c>
      <c r="T343" s="62">
        <f t="shared" si="38"/>
        <v>300</v>
      </c>
      <c r="U343" s="62"/>
      <c r="V343" s="62"/>
      <c r="W343" s="63"/>
      <c r="X343" s="30"/>
      <c r="Y343" s="64"/>
      <c r="Z343" s="64"/>
      <c r="AA343" s="23"/>
      <c r="AB343" s="24"/>
      <c r="AC343" s="25"/>
      <c r="AD343" s="25"/>
    </row>
    <row r="344" spans="1:30">
      <c r="A344" s="46">
        <f t="shared" si="34"/>
        <v>8</v>
      </c>
      <c r="B344" s="47">
        <v>42</v>
      </c>
      <c r="C344" s="47"/>
      <c r="D344" s="47"/>
      <c r="E344" s="14"/>
      <c r="F344" s="14" t="str">
        <f t="shared" si="39"/>
        <v/>
      </c>
      <c r="G344" s="14"/>
      <c r="H344" s="30"/>
      <c r="I344" s="17"/>
      <c r="J344" s="18">
        <f t="shared" si="40"/>
        <v>0</v>
      </c>
      <c r="K344" s="19" t="s">
        <v>453</v>
      </c>
      <c r="L344" s="38">
        <v>3</v>
      </c>
      <c r="M344" s="21">
        <v>35</v>
      </c>
      <c r="N344" s="14"/>
      <c r="O344" s="22"/>
      <c r="P344" s="60">
        <f t="shared" si="35"/>
        <v>0</v>
      </c>
      <c r="Q344" s="60">
        <f t="shared" si="36"/>
        <v>0</v>
      </c>
      <c r="R344" s="60">
        <f t="shared" si="37"/>
        <v>0</v>
      </c>
      <c r="S344" s="62" cm="1">
        <f t="array" ref="S344">_xlfn.IFNA(MATCH(SUMIFS(R:R,A:A,"="&amp;A344,B:B,"&lt;"&amp;(B344+1)),_xlfn._xlws.FILTER(AO:AO,AL:AL=A344),1),1)</f>
        <v>3</v>
      </c>
      <c r="T344" s="62">
        <f t="shared" si="38"/>
        <v>300</v>
      </c>
      <c r="U344" s="62"/>
      <c r="V344" s="62"/>
      <c r="W344" s="63"/>
      <c r="X344" s="30"/>
      <c r="Y344" s="64"/>
      <c r="Z344" s="64"/>
      <c r="AA344" s="23"/>
      <c r="AB344" s="24"/>
      <c r="AC344" s="25"/>
      <c r="AD344" s="25"/>
    </row>
    <row r="345" spans="1:30">
      <c r="A345" s="46">
        <f t="shared" si="34"/>
        <v>8</v>
      </c>
      <c r="B345" s="47">
        <v>43</v>
      </c>
      <c r="C345" s="47"/>
      <c r="D345" s="47"/>
      <c r="E345" s="14"/>
      <c r="F345" s="14" t="str">
        <f t="shared" si="39"/>
        <v/>
      </c>
      <c r="G345" s="14"/>
      <c r="H345" s="30"/>
      <c r="I345" s="17"/>
      <c r="J345" s="18">
        <f t="shared" si="40"/>
        <v>0</v>
      </c>
      <c r="K345" t="s">
        <v>424</v>
      </c>
      <c r="L345" s="38">
        <v>3</v>
      </c>
      <c r="M345" s="21">
        <v>1</v>
      </c>
      <c r="N345" s="14"/>
      <c r="O345" s="22"/>
      <c r="P345" s="60">
        <f t="shared" si="35"/>
        <v>0</v>
      </c>
      <c r="Q345" s="60">
        <f t="shared" si="36"/>
        <v>0</v>
      </c>
      <c r="R345" s="60">
        <f t="shared" si="37"/>
        <v>0</v>
      </c>
      <c r="S345" s="62" cm="1">
        <f t="array" ref="S345">_xlfn.IFNA(MATCH(SUMIFS(R:R,A:A,"="&amp;A345,B:B,"&lt;"&amp;(B345+1)),_xlfn._xlws.FILTER(AO:AO,AL:AL=A345),1),1)</f>
        <v>3</v>
      </c>
      <c r="T345" s="62">
        <f t="shared" si="38"/>
        <v>300</v>
      </c>
      <c r="U345" s="62"/>
      <c r="V345" s="62"/>
      <c r="W345" s="63"/>
      <c r="X345" s="30"/>
      <c r="Y345" s="64"/>
      <c r="Z345" s="64"/>
      <c r="AA345" s="23"/>
      <c r="AB345" s="24"/>
      <c r="AC345" s="25"/>
      <c r="AD345" s="25"/>
    </row>
    <row r="346" spans="1:30">
      <c r="A346" s="46">
        <f t="shared" si="34"/>
        <v>9</v>
      </c>
      <c r="B346" s="47">
        <v>1</v>
      </c>
      <c r="C346" s="47"/>
      <c r="D346" s="47"/>
      <c r="E346" s="14"/>
      <c r="F346" s="14" t="str">
        <f t="shared" si="39"/>
        <v/>
      </c>
      <c r="G346" s="14"/>
      <c r="H346" s="30"/>
      <c r="I346" s="17"/>
      <c r="J346" s="18">
        <f t="shared" si="40"/>
        <v>0</v>
      </c>
      <c r="K346" s="14" t="s">
        <v>2</v>
      </c>
      <c r="L346" s="29">
        <v>1</v>
      </c>
      <c r="M346" s="21">
        <v>5000</v>
      </c>
      <c r="N346" s="14"/>
      <c r="O346" s="22"/>
      <c r="P346" s="60">
        <f t="shared" si="35"/>
        <v>0</v>
      </c>
      <c r="Q346" s="60">
        <f t="shared" si="36"/>
        <v>0</v>
      </c>
      <c r="R346" s="60">
        <f t="shared" si="37"/>
        <v>20</v>
      </c>
      <c r="S346" s="62" cm="1">
        <f t="array" ref="S346">_xlfn.IFNA(MATCH(SUMIFS(R:R,A:A,"="&amp;A346,B:B,"&lt;"&amp;(B346+1)),_xlfn._xlws.FILTER(AO:AO,AL:AL=A346),1),1)</f>
        <v>1</v>
      </c>
      <c r="T346" s="62">
        <f t="shared" si="38"/>
        <v>20</v>
      </c>
      <c r="U346" s="62"/>
      <c r="V346" s="62"/>
      <c r="W346" s="63"/>
      <c r="X346" s="30"/>
      <c r="Y346" s="64"/>
      <c r="Z346" s="64"/>
      <c r="AA346" s="23"/>
      <c r="AB346" s="24"/>
      <c r="AC346" s="25"/>
      <c r="AD346" s="31">
        <f>SUM(E346:E388)</f>
        <v>89.93</v>
      </c>
    </row>
    <row r="347" spans="1:30">
      <c r="A347" s="46">
        <f t="shared" si="34"/>
        <v>9</v>
      </c>
      <c r="B347" s="47">
        <v>2</v>
      </c>
      <c r="C347" s="47"/>
      <c r="D347" s="47"/>
      <c r="E347" s="35">
        <v>5.99</v>
      </c>
      <c r="F347" s="14">
        <f t="shared" si="39"/>
        <v>119</v>
      </c>
      <c r="G347" s="36">
        <f>(E347+0.01)*F347*$AJ$2/100</f>
        <v>7140000</v>
      </c>
      <c r="H347" s="37">
        <f>SUM(G347)</f>
        <v>7140000</v>
      </c>
      <c r="I347" s="17">
        <f>SUM(E347)</f>
        <v>5.99</v>
      </c>
      <c r="J347" s="18">
        <f t="shared" si="40"/>
        <v>0</v>
      </c>
      <c r="K347" s="14" t="s">
        <v>2</v>
      </c>
      <c r="L347" s="29">
        <v>9</v>
      </c>
      <c r="M347" s="21">
        <f>G347</f>
        <v>7140000</v>
      </c>
      <c r="N347" s="36">
        <f>SUMIF(K347:K352,"="&amp;"金币",M347:M352)</f>
        <v>9148050</v>
      </c>
      <c r="O347" s="22">
        <f>N347/$AJ$2</f>
        <v>9.14805</v>
      </c>
      <c r="P347" s="60">
        <f t="shared" si="35"/>
        <v>0</v>
      </c>
      <c r="Q347" s="60">
        <f t="shared" si="36"/>
        <v>0</v>
      </c>
      <c r="R347" s="60">
        <f t="shared" si="37"/>
        <v>10</v>
      </c>
      <c r="S347" s="62" cm="1">
        <f t="array" ref="S347">_xlfn.IFNA(MATCH(SUMIFS(R:R,A:A,"="&amp;A347,B:B,"&lt;"&amp;(B347+1)),_xlfn._xlws.FILTER(AO:AO,AL:AL=A347),1),1)</f>
        <v>1</v>
      </c>
      <c r="T347" s="62">
        <f t="shared" si="38"/>
        <v>30</v>
      </c>
      <c r="U347" s="62" t="str">
        <f>_xlfn.IFNA(VLOOKUP(Q347,道具!B:C,2,FALSE),"")</f>
        <v/>
      </c>
      <c r="V347" s="62">
        <f>IF(U347=1,CEILING(W347*100/$AJ$2,5),IF(U347=2,J347*100,0))</f>
        <v>0</v>
      </c>
      <c r="W347" s="63">
        <f>IF(U347=1,J347*$AD$6,IF(U347=2,J347*$AJ$2,0))</f>
        <v>0</v>
      </c>
      <c r="X347" s="37">
        <f>SUM(N347)+SUM(W347)</f>
        <v>9148050</v>
      </c>
      <c r="Y347" s="66">
        <f>SUM(O347)</f>
        <v>9.14805</v>
      </c>
      <c r="Z347" s="66">
        <f>SUM(W347)</f>
        <v>0</v>
      </c>
      <c r="AA347" s="23">
        <f>X347/$AJ$2</f>
        <v>9.14805</v>
      </c>
      <c r="AB347" s="24">
        <f>X347/H347</f>
        <v>1.28123949579832</v>
      </c>
      <c r="AC347" s="25"/>
      <c r="AD347" s="26" t="s">
        <v>556</v>
      </c>
    </row>
    <row r="348" spans="1:30">
      <c r="A348" s="46">
        <f t="shared" si="34"/>
        <v>9</v>
      </c>
      <c r="B348" s="47">
        <v>3</v>
      </c>
      <c r="C348" s="47"/>
      <c r="D348" s="47"/>
      <c r="E348" s="14"/>
      <c r="F348" s="14" t="str">
        <f t="shared" si="39"/>
        <v/>
      </c>
      <c r="G348" s="14"/>
      <c r="H348" s="30"/>
      <c r="I348" s="17"/>
      <c r="J348" s="18">
        <f t="shared" si="40"/>
        <v>0</v>
      </c>
      <c r="K348" s="19" t="s">
        <v>408</v>
      </c>
      <c r="L348" s="38">
        <v>3</v>
      </c>
      <c r="M348" s="21">
        <v>1</v>
      </c>
      <c r="N348" s="14"/>
      <c r="O348" s="22"/>
      <c r="P348" s="60">
        <f t="shared" si="35"/>
        <v>0</v>
      </c>
      <c r="Q348" s="60">
        <f t="shared" si="36"/>
        <v>0</v>
      </c>
      <c r="R348" s="60">
        <f t="shared" si="37"/>
        <v>0</v>
      </c>
      <c r="S348" s="62" cm="1">
        <f t="array" ref="S348">_xlfn.IFNA(MATCH(SUMIFS(R:R,A:A,"="&amp;A348,B:B,"&lt;"&amp;(B348+1)),_xlfn._xlws.FILTER(AO:AO,AL:AL=A348),1),1)</f>
        <v>1</v>
      </c>
      <c r="T348" s="62">
        <f t="shared" si="38"/>
        <v>30</v>
      </c>
      <c r="U348" s="62"/>
      <c r="V348" s="62"/>
      <c r="W348" s="63"/>
      <c r="X348" s="30"/>
      <c r="Y348" s="64"/>
      <c r="Z348" s="64"/>
      <c r="AA348" s="23"/>
      <c r="AB348" s="24"/>
      <c r="AC348" s="25"/>
      <c r="AD348" s="39">
        <v>1.15</v>
      </c>
    </row>
    <row r="349" spans="1:30">
      <c r="A349" s="46">
        <f t="shared" si="34"/>
        <v>9</v>
      </c>
      <c r="B349" s="47">
        <v>4</v>
      </c>
      <c r="C349" s="47"/>
      <c r="D349" s="47"/>
      <c r="E349" s="14"/>
      <c r="F349" s="14" t="str">
        <f t="shared" si="39"/>
        <v/>
      </c>
      <c r="G349" s="14"/>
      <c r="H349" s="30"/>
      <c r="I349" s="17"/>
      <c r="J349" s="18">
        <f t="shared" si="40"/>
        <v>0.1</v>
      </c>
      <c r="K349" s="19" t="s">
        <v>2</v>
      </c>
      <c r="L349" s="38">
        <v>17</v>
      </c>
      <c r="M349" s="21">
        <f>J349*$AD$350</f>
        <v>2008050</v>
      </c>
      <c r="N349" s="14"/>
      <c r="O349" s="22"/>
      <c r="P349" s="60">
        <f t="shared" si="35"/>
        <v>0</v>
      </c>
      <c r="Q349" s="60">
        <f t="shared" si="36"/>
        <v>0</v>
      </c>
      <c r="R349" s="60">
        <f t="shared" si="37"/>
        <v>0</v>
      </c>
      <c r="S349" s="62" cm="1">
        <f t="array" ref="S349">_xlfn.IFNA(MATCH(SUMIFS(R:R,A:A,"="&amp;A349,B:B,"&lt;"&amp;(B349+1)),_xlfn._xlws.FILTER(AO:AO,AL:AL=A349),1),1)</f>
        <v>1</v>
      </c>
      <c r="T349" s="62">
        <f t="shared" si="38"/>
        <v>30</v>
      </c>
      <c r="U349" s="62"/>
      <c r="V349" s="62"/>
      <c r="W349" s="63"/>
      <c r="X349" s="30"/>
      <c r="Y349" s="64"/>
      <c r="Z349" s="64"/>
      <c r="AA349" s="23"/>
      <c r="AB349" s="24"/>
      <c r="AC349" s="25"/>
      <c r="AD349" s="26" t="s">
        <v>557</v>
      </c>
    </row>
    <row r="350" spans="1:30">
      <c r="A350" s="46">
        <f t="shared" si="34"/>
        <v>9</v>
      </c>
      <c r="B350" s="47">
        <v>5</v>
      </c>
      <c r="C350" s="47"/>
      <c r="D350" s="47"/>
      <c r="E350" s="14"/>
      <c r="F350" s="14" t="str">
        <f t="shared" si="39"/>
        <v/>
      </c>
      <c r="G350" s="14"/>
      <c r="H350" s="30"/>
      <c r="I350" s="17"/>
      <c r="J350" s="18">
        <f t="shared" si="40"/>
        <v>0</v>
      </c>
      <c r="K350" s="19" t="s">
        <v>457</v>
      </c>
      <c r="L350" s="38">
        <v>4</v>
      </c>
      <c r="M350" s="21">
        <v>1</v>
      </c>
      <c r="N350" s="14"/>
      <c r="O350" s="22"/>
      <c r="P350" s="60">
        <f t="shared" si="35"/>
        <v>0</v>
      </c>
      <c r="Q350" s="60">
        <f t="shared" si="36"/>
        <v>0</v>
      </c>
      <c r="R350" s="60">
        <f t="shared" si="37"/>
        <v>10</v>
      </c>
      <c r="S350" s="62" cm="1">
        <f t="array" ref="S350">_xlfn.IFNA(MATCH(SUMIFS(R:R,A:A,"="&amp;A350,B:B,"&lt;"&amp;(B350+1)),_xlfn._xlws.FILTER(AO:AO,AL:AL=A350),1),1)</f>
        <v>1</v>
      </c>
      <c r="T350" s="62">
        <f t="shared" si="38"/>
        <v>40</v>
      </c>
      <c r="U350" s="62"/>
      <c r="V350" s="62"/>
      <c r="W350" s="63"/>
      <c r="X350" s="30"/>
      <c r="Y350" s="64"/>
      <c r="Z350" s="64"/>
      <c r="AA350" s="23"/>
      <c r="AB350" s="24"/>
      <c r="AC350" s="25"/>
      <c r="AD350" s="40">
        <f>SUM(G346:G388)*(AD348-1)</f>
        <v>20080500</v>
      </c>
    </row>
    <row r="351" spans="1:30">
      <c r="A351" s="46">
        <f t="shared" si="34"/>
        <v>9</v>
      </c>
      <c r="B351" s="47">
        <v>6</v>
      </c>
      <c r="C351" s="47"/>
      <c r="D351" s="47"/>
      <c r="E351" s="14"/>
      <c r="F351" s="14" t="str">
        <f t="shared" si="39"/>
        <v/>
      </c>
      <c r="G351" s="14"/>
      <c r="H351" s="30"/>
      <c r="I351" s="17"/>
      <c r="J351" s="18">
        <f t="shared" si="40"/>
        <v>0</v>
      </c>
      <c r="K351" s="19" t="s">
        <v>453</v>
      </c>
      <c r="L351" s="38">
        <v>3</v>
      </c>
      <c r="M351" s="21">
        <v>5</v>
      </c>
      <c r="N351" s="14"/>
      <c r="O351" s="22"/>
      <c r="P351" s="60">
        <f t="shared" si="35"/>
        <v>0</v>
      </c>
      <c r="Q351" s="60">
        <f t="shared" si="36"/>
        <v>0</v>
      </c>
      <c r="R351" s="60">
        <f t="shared" si="37"/>
        <v>0</v>
      </c>
      <c r="S351" s="62" cm="1">
        <f t="array" ref="S351">_xlfn.IFNA(MATCH(SUMIFS(R:R,A:A,"="&amp;A351,B:B,"&lt;"&amp;(B351+1)),_xlfn._xlws.FILTER(AO:AO,AL:AL=A351),1),1)</f>
        <v>1</v>
      </c>
      <c r="T351" s="62">
        <f t="shared" si="38"/>
        <v>40</v>
      </c>
      <c r="U351" s="62"/>
      <c r="V351" s="62"/>
      <c r="W351" s="63"/>
      <c r="X351" s="30"/>
      <c r="Y351" s="64"/>
      <c r="Z351" s="64"/>
      <c r="AA351" s="23"/>
      <c r="AB351" s="24"/>
      <c r="AC351" s="25"/>
      <c r="AD351" s="24" t="s">
        <v>558</v>
      </c>
    </row>
    <row r="352" spans="1:30">
      <c r="A352" s="46">
        <f t="shared" si="34"/>
        <v>9</v>
      </c>
      <c r="B352" s="47">
        <v>7</v>
      </c>
      <c r="C352" s="47"/>
      <c r="D352" s="47"/>
      <c r="E352" s="14"/>
      <c r="F352" s="14" t="str">
        <f t="shared" si="39"/>
        <v/>
      </c>
      <c r="G352" s="14"/>
      <c r="H352" s="30"/>
      <c r="I352" s="17"/>
      <c r="J352" s="18">
        <f t="shared" si="40"/>
        <v>0</v>
      </c>
      <c r="K352" t="s">
        <v>424</v>
      </c>
      <c r="L352" s="38">
        <v>3</v>
      </c>
      <c r="M352" s="21">
        <v>1</v>
      </c>
      <c r="N352" s="14"/>
      <c r="O352" s="22"/>
      <c r="P352" s="60">
        <f t="shared" si="35"/>
        <v>0</v>
      </c>
      <c r="Q352" s="60">
        <f t="shared" si="36"/>
        <v>0</v>
      </c>
      <c r="R352" s="60">
        <f t="shared" si="37"/>
        <v>0</v>
      </c>
      <c r="S352" s="62" cm="1">
        <f t="array" ref="S352">_xlfn.IFNA(MATCH(SUMIFS(R:R,A:A,"="&amp;A352,B:B,"&lt;"&amp;(B352+1)),_xlfn._xlws.FILTER(AO:AO,AL:AL=A352),1),1)</f>
        <v>1</v>
      </c>
      <c r="T352" s="62">
        <f t="shared" si="38"/>
        <v>40</v>
      </c>
      <c r="U352" s="62"/>
      <c r="V352" s="62"/>
      <c r="W352" s="63"/>
      <c r="X352" s="30"/>
      <c r="Y352" s="64"/>
      <c r="Z352" s="64"/>
      <c r="AA352" s="23"/>
      <c r="AB352" s="24"/>
      <c r="AC352" s="25"/>
      <c r="AD352" s="24">
        <f>SUMIF(U346:U388,"&lt;&gt;2",J346:J388)+SUMIF(U346:U388,"=2",J346:J388)*$AJ$2/SUMIFS(AD:AD,A:A,"="&amp;A352,B:B,"=5")</f>
        <v>1.4</v>
      </c>
    </row>
    <row r="353" spans="1:30">
      <c r="A353" s="46">
        <f t="shared" si="34"/>
        <v>9</v>
      </c>
      <c r="B353" s="47">
        <v>8</v>
      </c>
      <c r="C353" s="47"/>
      <c r="D353" s="47"/>
      <c r="E353" s="14">
        <v>7.99</v>
      </c>
      <c r="F353" s="14">
        <f t="shared" si="39"/>
        <v>129</v>
      </c>
      <c r="G353" s="36">
        <f>(E353+0.01)*F353*$AJ$2/100</f>
        <v>10320000</v>
      </c>
      <c r="H353" s="37">
        <f>SUM(G347:G353)</f>
        <v>17460000</v>
      </c>
      <c r="I353" s="17">
        <f>SUM(E347:E353)</f>
        <v>13.98</v>
      </c>
      <c r="J353" s="18">
        <f t="shared" si="40"/>
        <v>0.12</v>
      </c>
      <c r="K353" s="14" t="s">
        <v>2</v>
      </c>
      <c r="L353" s="29">
        <v>9</v>
      </c>
      <c r="M353" s="21">
        <f>G353</f>
        <v>10320000</v>
      </c>
      <c r="N353" s="36">
        <f>SUMIF(K353:K358,"="&amp;"金币",M353:M358)</f>
        <v>10721610</v>
      </c>
      <c r="O353" s="22">
        <f>N353/$AJ$2</f>
        <v>10.72161</v>
      </c>
      <c r="P353" s="60">
        <f t="shared" si="35"/>
        <v>1</v>
      </c>
      <c r="Q353" s="60" t="str">
        <f t="shared" si="36"/>
        <v>金币</v>
      </c>
      <c r="R353" s="60">
        <f t="shared" si="37"/>
        <v>25</v>
      </c>
      <c r="S353" s="62" cm="1">
        <f t="array" ref="S353">_xlfn.IFNA(MATCH(SUMIFS(R:R,A:A,"="&amp;A353,B:B,"&lt;"&amp;(B353+1)),_xlfn._xlws.FILTER(AO:AO,AL:AL=A353),1),1)</f>
        <v>1</v>
      </c>
      <c r="T353" s="62">
        <f t="shared" si="38"/>
        <v>65</v>
      </c>
      <c r="U353" s="62">
        <f>_xlfn.IFNA(VLOOKUP(Q353,道具!B:C,2,FALSE),"")</f>
        <v>1</v>
      </c>
      <c r="V353" s="62">
        <f>IF(U353=1,CEILING(W353*100/$AJ$2,5),IF(U353=2,J353*100,0))</f>
        <v>110</v>
      </c>
      <c r="W353" s="63">
        <f>IF(U353=1,J353*$AD$6,IF(U353=2,J353*$AJ$2,0))</f>
        <v>1078740</v>
      </c>
      <c r="X353" s="37">
        <f>SUM(N347:N353)+SUM(W347:W353)</f>
        <v>20948400</v>
      </c>
      <c r="Y353" s="66">
        <f>SUM(O347:O353)</f>
        <v>19.86966</v>
      </c>
      <c r="Z353" s="66">
        <f>SUM(W347:W353)</f>
        <v>1078740</v>
      </c>
      <c r="AA353" s="23">
        <f>X353/$AJ$2</f>
        <v>20.9484</v>
      </c>
      <c r="AB353" s="24">
        <f>X353/H353</f>
        <v>1.19979381443299</v>
      </c>
      <c r="AC353" s="25"/>
      <c r="AD353" s="25"/>
    </row>
    <row r="354" spans="1:30">
      <c r="A354" s="46">
        <f t="shared" si="34"/>
        <v>9</v>
      </c>
      <c r="B354" s="47">
        <v>9</v>
      </c>
      <c r="C354" s="47"/>
      <c r="D354" s="47"/>
      <c r="E354" s="14"/>
      <c r="F354" s="14" t="str">
        <f t="shared" si="39"/>
        <v/>
      </c>
      <c r="G354" s="14"/>
      <c r="H354" s="30"/>
      <c r="I354" s="17"/>
      <c r="J354" s="18">
        <f t="shared" si="40"/>
        <v>0</v>
      </c>
      <c r="K354" s="19" t="s">
        <v>408</v>
      </c>
      <c r="L354" s="38">
        <v>3</v>
      </c>
      <c r="M354" s="21">
        <v>2</v>
      </c>
      <c r="N354" s="14"/>
      <c r="O354" s="22"/>
      <c r="P354" s="60">
        <f t="shared" si="35"/>
        <v>0</v>
      </c>
      <c r="Q354" s="60">
        <f t="shared" si="36"/>
        <v>0</v>
      </c>
      <c r="R354" s="60">
        <f t="shared" si="37"/>
        <v>0</v>
      </c>
      <c r="S354" s="62" cm="1">
        <f t="array" ref="S354">_xlfn.IFNA(MATCH(SUMIFS(R:R,A:A,"="&amp;A354,B:B,"&lt;"&amp;(B354+1)),_xlfn._xlws.FILTER(AO:AO,AL:AL=A354),1),1)</f>
        <v>1</v>
      </c>
      <c r="T354" s="62">
        <f t="shared" si="38"/>
        <v>65</v>
      </c>
      <c r="U354" s="62"/>
      <c r="V354" s="62"/>
      <c r="W354" s="63"/>
      <c r="X354" s="30"/>
      <c r="Y354" s="64"/>
      <c r="Z354" s="64"/>
      <c r="AA354" s="23"/>
      <c r="AB354" s="24"/>
      <c r="AC354" s="25"/>
      <c r="AD354" s="69"/>
    </row>
    <row r="355" spans="1:30">
      <c r="A355" s="46">
        <f t="shared" si="34"/>
        <v>9</v>
      </c>
      <c r="B355" s="47">
        <v>10</v>
      </c>
      <c r="C355" s="47"/>
      <c r="D355" s="47"/>
      <c r="E355" s="14"/>
      <c r="F355" s="14" t="str">
        <f t="shared" si="39"/>
        <v/>
      </c>
      <c r="G355" s="14"/>
      <c r="H355" s="30"/>
      <c r="I355" s="17"/>
      <c r="J355" s="18">
        <f t="shared" si="40"/>
        <v>0.02</v>
      </c>
      <c r="K355" s="19" t="s">
        <v>2</v>
      </c>
      <c r="L355" s="38">
        <v>17</v>
      </c>
      <c r="M355" s="21">
        <f>J355*$AD$350</f>
        <v>401610</v>
      </c>
      <c r="N355" s="14"/>
      <c r="O355" s="22"/>
      <c r="P355" s="60">
        <f t="shared" si="35"/>
        <v>0</v>
      </c>
      <c r="Q355" s="60">
        <f t="shared" si="36"/>
        <v>0</v>
      </c>
      <c r="R355" s="60">
        <f t="shared" si="37"/>
        <v>0</v>
      </c>
      <c r="S355" s="62" cm="1">
        <f t="array" ref="S355">_xlfn.IFNA(MATCH(SUMIFS(R:R,A:A,"="&amp;A355,B:B,"&lt;"&amp;(B355+1)),_xlfn._xlws.FILTER(AO:AO,AL:AL=A355),1),1)</f>
        <v>1</v>
      </c>
      <c r="T355" s="62">
        <f t="shared" si="38"/>
        <v>65</v>
      </c>
      <c r="U355" s="62"/>
      <c r="V355" s="62"/>
      <c r="W355" s="63"/>
      <c r="X355" s="30"/>
      <c r="Y355" s="64"/>
      <c r="Z355" s="64"/>
      <c r="AA355" s="23"/>
      <c r="AB355" s="24"/>
      <c r="AC355" s="25"/>
      <c r="AD355" s="25"/>
    </row>
    <row r="356" spans="1:30">
      <c r="A356" s="46">
        <f t="shared" si="34"/>
        <v>9</v>
      </c>
      <c r="B356" s="47">
        <v>11</v>
      </c>
      <c r="C356" s="47"/>
      <c r="D356" s="47"/>
      <c r="E356" s="14"/>
      <c r="F356" s="14" t="str">
        <f t="shared" si="39"/>
        <v/>
      </c>
      <c r="G356" s="14"/>
      <c r="H356" s="30"/>
      <c r="I356" s="17"/>
      <c r="J356" s="18">
        <f t="shared" si="40"/>
        <v>0</v>
      </c>
      <c r="K356" s="19" t="s">
        <v>459</v>
      </c>
      <c r="L356" s="38">
        <v>4</v>
      </c>
      <c r="M356" s="21">
        <v>1</v>
      </c>
      <c r="N356" s="14"/>
      <c r="O356" s="22"/>
      <c r="P356" s="60">
        <f t="shared" si="35"/>
        <v>0</v>
      </c>
      <c r="Q356" s="60">
        <f t="shared" si="36"/>
        <v>0</v>
      </c>
      <c r="R356" s="60">
        <f t="shared" si="37"/>
        <v>0</v>
      </c>
      <c r="S356" s="62" cm="1">
        <f t="array" ref="S356">_xlfn.IFNA(MATCH(SUMIFS(R:R,A:A,"="&amp;A356,B:B,"&lt;"&amp;(B356+1)),_xlfn._xlws.FILTER(AO:AO,AL:AL=A356),1),1)</f>
        <v>1</v>
      </c>
      <c r="T356" s="62">
        <f t="shared" si="38"/>
        <v>65</v>
      </c>
      <c r="U356" s="62"/>
      <c r="V356" s="62"/>
      <c r="W356" s="63"/>
      <c r="X356" s="30"/>
      <c r="Y356" s="64"/>
      <c r="Z356" s="64"/>
      <c r="AA356" s="23"/>
      <c r="AB356" s="24"/>
      <c r="AC356" s="25"/>
      <c r="AD356" s="25"/>
    </row>
    <row r="357" spans="1:30">
      <c r="A357" s="46">
        <f t="shared" si="34"/>
        <v>9</v>
      </c>
      <c r="B357" s="47">
        <v>12</v>
      </c>
      <c r="C357" s="47"/>
      <c r="D357" s="47"/>
      <c r="E357" s="14"/>
      <c r="F357" s="14" t="str">
        <f t="shared" si="39"/>
        <v/>
      </c>
      <c r="G357" s="14"/>
      <c r="H357" s="30"/>
      <c r="I357" s="17"/>
      <c r="J357" s="18">
        <f t="shared" si="40"/>
        <v>0</v>
      </c>
      <c r="K357" s="19" t="s">
        <v>453</v>
      </c>
      <c r="L357" s="38">
        <v>3</v>
      </c>
      <c r="M357" s="21">
        <v>10</v>
      </c>
      <c r="N357" s="14"/>
      <c r="O357" s="22"/>
      <c r="P357" s="60">
        <f t="shared" si="35"/>
        <v>0</v>
      </c>
      <c r="Q357" s="60">
        <f t="shared" si="36"/>
        <v>0</v>
      </c>
      <c r="R357" s="60">
        <f t="shared" si="37"/>
        <v>0</v>
      </c>
      <c r="S357" s="62" cm="1">
        <f t="array" ref="S357">_xlfn.IFNA(MATCH(SUMIFS(R:R,A:A,"="&amp;A357,B:B,"&lt;"&amp;(B357+1)),_xlfn._xlws.FILTER(AO:AO,AL:AL=A357),1),1)</f>
        <v>1</v>
      </c>
      <c r="T357" s="62">
        <f t="shared" si="38"/>
        <v>65</v>
      </c>
      <c r="U357" s="62"/>
      <c r="V357" s="62"/>
      <c r="W357" s="63"/>
      <c r="X357" s="30"/>
      <c r="Y357" s="64"/>
      <c r="Z357" s="64"/>
      <c r="AA357" s="23"/>
      <c r="AB357" s="24"/>
      <c r="AC357" s="25"/>
      <c r="AD357" s="25"/>
    </row>
    <row r="358" spans="1:30">
      <c r="A358" s="46">
        <f t="shared" si="34"/>
        <v>9</v>
      </c>
      <c r="B358" s="47">
        <v>13</v>
      </c>
      <c r="C358" s="47"/>
      <c r="D358" s="47"/>
      <c r="E358" s="14"/>
      <c r="F358" s="14" t="str">
        <f t="shared" si="39"/>
        <v/>
      </c>
      <c r="G358" s="14"/>
      <c r="H358" s="30"/>
      <c r="I358" s="17"/>
      <c r="J358" s="18">
        <f t="shared" si="40"/>
        <v>0</v>
      </c>
      <c r="K358" t="s">
        <v>426</v>
      </c>
      <c r="L358" s="38">
        <v>3</v>
      </c>
      <c r="M358" s="21">
        <v>1</v>
      </c>
      <c r="N358" s="14"/>
      <c r="O358" s="22"/>
      <c r="P358" s="60">
        <f t="shared" si="35"/>
        <v>0</v>
      </c>
      <c r="Q358" s="60">
        <f t="shared" si="36"/>
        <v>0</v>
      </c>
      <c r="R358" s="60">
        <f t="shared" si="37"/>
        <v>0</v>
      </c>
      <c r="S358" s="62" cm="1">
        <f t="array" ref="S358">_xlfn.IFNA(MATCH(SUMIFS(R:R,A:A,"="&amp;A358,B:B,"&lt;"&amp;(B358+1)),_xlfn._xlws.FILTER(AO:AO,AL:AL=A358),1),1)</f>
        <v>1</v>
      </c>
      <c r="T358" s="62">
        <f t="shared" si="38"/>
        <v>65</v>
      </c>
      <c r="U358" s="62"/>
      <c r="V358" s="62"/>
      <c r="W358" s="63"/>
      <c r="X358" s="30"/>
      <c r="Y358" s="64"/>
      <c r="Z358" s="64"/>
      <c r="AA358" s="23"/>
      <c r="AB358" s="24"/>
      <c r="AC358" s="25"/>
      <c r="AD358" s="25"/>
    </row>
    <row r="359" spans="1:30">
      <c r="A359" s="46">
        <f t="shared" si="34"/>
        <v>9</v>
      </c>
      <c r="B359" s="47">
        <v>14</v>
      </c>
      <c r="C359" s="47"/>
      <c r="D359" s="47"/>
      <c r="E359" s="14">
        <v>9.99</v>
      </c>
      <c r="F359" s="14">
        <f t="shared" si="39"/>
        <v>139</v>
      </c>
      <c r="G359" s="36">
        <f>(E359+0.01)*F359*$AJ$2/100</f>
        <v>13900000</v>
      </c>
      <c r="H359" s="37">
        <f>SUM(G347:G359)</f>
        <v>31360000</v>
      </c>
      <c r="I359" s="17">
        <f>SUM(E347:E359)</f>
        <v>23.97</v>
      </c>
      <c r="J359" s="18">
        <f t="shared" si="40"/>
        <v>0</v>
      </c>
      <c r="K359" s="14" t="s">
        <v>2</v>
      </c>
      <c r="L359" s="29">
        <v>9</v>
      </c>
      <c r="M359" s="21">
        <f>G359</f>
        <v>13900000</v>
      </c>
      <c r="N359" s="36">
        <f>SUMIF(K359:K364,"="&amp;"金币",M359:M364)</f>
        <v>15908050</v>
      </c>
      <c r="O359" s="22">
        <f>N359/$AJ$2</f>
        <v>15.90805</v>
      </c>
      <c r="P359" s="60">
        <f t="shared" si="35"/>
        <v>0</v>
      </c>
      <c r="Q359" s="60">
        <f t="shared" si="36"/>
        <v>0</v>
      </c>
      <c r="R359" s="60">
        <f t="shared" si="37"/>
        <v>35</v>
      </c>
      <c r="S359" s="62" cm="1">
        <f t="array" ref="S359">_xlfn.IFNA(MATCH(SUMIFS(R:R,A:A,"="&amp;A359,B:B,"&lt;"&amp;(B359+1)),_xlfn._xlws.FILTER(AO:AO,AL:AL=A359),1),1)</f>
        <v>1</v>
      </c>
      <c r="T359" s="62">
        <f t="shared" si="38"/>
        <v>100</v>
      </c>
      <c r="U359" s="62" t="str">
        <f>_xlfn.IFNA(VLOOKUP(Q359,道具!B:C,2,FALSE),"")</f>
        <v/>
      </c>
      <c r="V359" s="62"/>
      <c r="W359" s="63">
        <f>IF(U359=1,J359*$AD$6,IF(U359=2,J359*$AJ$2,0))</f>
        <v>0</v>
      </c>
      <c r="X359" s="37">
        <f>SUM(N347:N359)+SUM(W347:W359)</f>
        <v>36856450</v>
      </c>
      <c r="Y359" s="66">
        <f>SUM(O347:O359)</f>
        <v>35.77771</v>
      </c>
      <c r="Z359" s="66">
        <f>SUM(W347:W359)</f>
        <v>1078740</v>
      </c>
      <c r="AA359" s="23">
        <f>X359/$AJ$2</f>
        <v>36.85645</v>
      </c>
      <c r="AB359" s="24">
        <f>X359/H359</f>
        <v>1.17526945153061</v>
      </c>
      <c r="AC359" s="25"/>
      <c r="AD359" s="25"/>
    </row>
    <row r="360" spans="1:30">
      <c r="A360" s="46">
        <f t="shared" si="34"/>
        <v>9</v>
      </c>
      <c r="B360" s="47">
        <v>15</v>
      </c>
      <c r="C360" s="47"/>
      <c r="D360" s="47"/>
      <c r="E360" s="14"/>
      <c r="F360" s="14" t="str">
        <f t="shared" si="39"/>
        <v/>
      </c>
      <c r="G360" s="14"/>
      <c r="H360" s="30"/>
      <c r="I360" s="17"/>
      <c r="J360" s="18">
        <f t="shared" si="40"/>
        <v>0</v>
      </c>
      <c r="K360" s="19" t="s">
        <v>408</v>
      </c>
      <c r="L360" s="38">
        <v>3</v>
      </c>
      <c r="M360" s="21">
        <v>3</v>
      </c>
      <c r="N360" s="14"/>
      <c r="O360" s="22"/>
      <c r="P360" s="60">
        <f t="shared" si="35"/>
        <v>0</v>
      </c>
      <c r="Q360" s="60">
        <f t="shared" si="36"/>
        <v>0</v>
      </c>
      <c r="R360" s="60">
        <f t="shared" si="37"/>
        <v>0</v>
      </c>
      <c r="S360" s="62" cm="1">
        <f t="array" ref="S360">_xlfn.IFNA(MATCH(SUMIFS(R:R,A:A,"="&amp;A360,B:B,"&lt;"&amp;(B360+1)),_xlfn._xlws.FILTER(AO:AO,AL:AL=A360),1),1)</f>
        <v>1</v>
      </c>
      <c r="T360" s="62">
        <f t="shared" si="38"/>
        <v>100</v>
      </c>
      <c r="U360" s="62"/>
      <c r="V360" s="62"/>
      <c r="W360" s="63"/>
      <c r="X360" s="30"/>
      <c r="Y360" s="64"/>
      <c r="Z360" s="64"/>
      <c r="AA360" s="23"/>
      <c r="AB360" s="24"/>
      <c r="AC360" s="25"/>
      <c r="AD360" s="25"/>
    </row>
    <row r="361" spans="1:30">
      <c r="A361" s="46">
        <f t="shared" si="34"/>
        <v>9</v>
      </c>
      <c r="B361" s="47">
        <v>16</v>
      </c>
      <c r="C361" s="47"/>
      <c r="D361" s="47"/>
      <c r="E361" s="14"/>
      <c r="F361" s="14" t="str">
        <f t="shared" si="39"/>
        <v/>
      </c>
      <c r="G361" s="14"/>
      <c r="H361" s="30"/>
      <c r="I361" s="17"/>
      <c r="J361" s="18">
        <f t="shared" si="40"/>
        <v>0.1</v>
      </c>
      <c r="K361" s="19" t="s">
        <v>2</v>
      </c>
      <c r="L361" s="38">
        <v>17</v>
      </c>
      <c r="M361" s="21">
        <f>J361*$AD$350</f>
        <v>2008050</v>
      </c>
      <c r="N361" s="14"/>
      <c r="O361" s="22"/>
      <c r="P361" s="60">
        <f t="shared" si="35"/>
        <v>0</v>
      </c>
      <c r="Q361" s="60">
        <f t="shared" si="36"/>
        <v>0</v>
      </c>
      <c r="R361" s="60">
        <f t="shared" si="37"/>
        <v>0</v>
      </c>
      <c r="S361" s="62" cm="1">
        <f t="array" ref="S361">_xlfn.IFNA(MATCH(SUMIFS(R:R,A:A,"="&amp;A361,B:B,"&lt;"&amp;(B361+1)),_xlfn._xlws.FILTER(AO:AO,AL:AL=A361),1),1)</f>
        <v>1</v>
      </c>
      <c r="T361" s="62">
        <f t="shared" si="38"/>
        <v>100</v>
      </c>
      <c r="U361" s="62"/>
      <c r="V361" s="62"/>
      <c r="W361" s="63"/>
      <c r="X361" s="30"/>
      <c r="Y361" s="64"/>
      <c r="Z361" s="64"/>
      <c r="AA361" s="23"/>
      <c r="AB361" s="24"/>
      <c r="AC361" s="25"/>
      <c r="AD361" s="25"/>
    </row>
    <row r="362" spans="1:30">
      <c r="A362" s="46">
        <f t="shared" si="34"/>
        <v>9</v>
      </c>
      <c r="B362" s="47">
        <v>17</v>
      </c>
      <c r="C362" s="47"/>
      <c r="D362" s="47"/>
      <c r="E362" s="14"/>
      <c r="F362" s="14" t="str">
        <f t="shared" si="39"/>
        <v/>
      </c>
      <c r="G362" s="14"/>
      <c r="H362" s="30"/>
      <c r="I362" s="17"/>
      <c r="J362" s="18">
        <f t="shared" si="40"/>
        <v>0</v>
      </c>
      <c r="K362" s="19" t="s">
        <v>461</v>
      </c>
      <c r="L362" s="38">
        <v>4</v>
      </c>
      <c r="M362" s="21">
        <v>1</v>
      </c>
      <c r="N362" s="14"/>
      <c r="O362" s="22"/>
      <c r="P362" s="60">
        <f t="shared" si="35"/>
        <v>0</v>
      </c>
      <c r="Q362" s="60">
        <f t="shared" si="36"/>
        <v>0</v>
      </c>
      <c r="R362" s="60">
        <f t="shared" si="37"/>
        <v>25</v>
      </c>
      <c r="S362" s="62" cm="1">
        <f t="array" ref="S362">_xlfn.IFNA(MATCH(SUMIFS(R:R,A:A,"="&amp;A362,B:B,"&lt;"&amp;(B362+1)),_xlfn._xlws.FILTER(AO:AO,AL:AL=A362),1),1)</f>
        <v>1</v>
      </c>
      <c r="T362" s="62">
        <f t="shared" si="38"/>
        <v>125</v>
      </c>
      <c r="U362" s="62"/>
      <c r="V362" s="62"/>
      <c r="W362" s="63"/>
      <c r="X362" s="30"/>
      <c r="Y362" s="64"/>
      <c r="Z362" s="64"/>
      <c r="AA362" s="23"/>
      <c r="AB362" s="24"/>
      <c r="AC362" s="25"/>
      <c r="AD362" s="25"/>
    </row>
    <row r="363" spans="1:30">
      <c r="A363" s="46">
        <f t="shared" si="34"/>
        <v>9</v>
      </c>
      <c r="B363" s="47">
        <v>18</v>
      </c>
      <c r="C363" s="47"/>
      <c r="D363" s="47"/>
      <c r="E363" s="14"/>
      <c r="F363" s="14" t="str">
        <f t="shared" si="39"/>
        <v/>
      </c>
      <c r="G363" s="14"/>
      <c r="H363" s="30"/>
      <c r="I363" s="17"/>
      <c r="J363" s="18">
        <f t="shared" si="40"/>
        <v>0</v>
      </c>
      <c r="K363" s="19" t="s">
        <v>453</v>
      </c>
      <c r="L363" s="38">
        <v>3</v>
      </c>
      <c r="M363" s="21">
        <v>15</v>
      </c>
      <c r="N363" s="14"/>
      <c r="O363" s="22"/>
      <c r="P363" s="60">
        <f t="shared" si="35"/>
        <v>0</v>
      </c>
      <c r="Q363" s="60">
        <f t="shared" si="36"/>
        <v>0</v>
      </c>
      <c r="R363" s="60">
        <f t="shared" si="37"/>
        <v>0</v>
      </c>
      <c r="S363" s="62" cm="1">
        <f t="array" ref="S363">_xlfn.IFNA(MATCH(SUMIFS(R:R,A:A,"="&amp;A363,B:B,"&lt;"&amp;(B363+1)),_xlfn._xlws.FILTER(AO:AO,AL:AL=A363),1),1)</f>
        <v>1</v>
      </c>
      <c r="T363" s="62">
        <f t="shared" si="38"/>
        <v>125</v>
      </c>
      <c r="U363" s="62"/>
      <c r="V363" s="62"/>
      <c r="W363" s="63"/>
      <c r="X363" s="30"/>
      <c r="Y363" s="64"/>
      <c r="Z363" s="64"/>
      <c r="AA363" s="23"/>
      <c r="AB363" s="24"/>
      <c r="AC363" s="25"/>
      <c r="AD363" s="25"/>
    </row>
    <row r="364" spans="1:30">
      <c r="A364" s="46">
        <f t="shared" si="34"/>
        <v>9</v>
      </c>
      <c r="B364" s="47">
        <v>19</v>
      </c>
      <c r="C364" s="47"/>
      <c r="D364" s="47"/>
      <c r="E364" s="14"/>
      <c r="F364" s="14" t="str">
        <f t="shared" si="39"/>
        <v/>
      </c>
      <c r="G364" s="14"/>
      <c r="H364" s="30"/>
      <c r="I364" s="17"/>
      <c r="J364" s="18">
        <f t="shared" si="40"/>
        <v>0</v>
      </c>
      <c r="K364" t="s">
        <v>424</v>
      </c>
      <c r="L364" s="38">
        <v>3</v>
      </c>
      <c r="M364" s="21">
        <v>1</v>
      </c>
      <c r="N364" s="14"/>
      <c r="O364" s="22"/>
      <c r="P364" s="60">
        <f t="shared" si="35"/>
        <v>0</v>
      </c>
      <c r="Q364" s="60">
        <f t="shared" si="36"/>
        <v>0</v>
      </c>
      <c r="R364" s="60">
        <f t="shared" si="37"/>
        <v>0</v>
      </c>
      <c r="S364" s="62" cm="1">
        <f t="array" ref="S364">_xlfn.IFNA(MATCH(SUMIFS(R:R,A:A,"="&amp;A364,B:B,"&lt;"&amp;(B364+1)),_xlfn._xlws.FILTER(AO:AO,AL:AL=A364),1),1)</f>
        <v>1</v>
      </c>
      <c r="T364" s="62">
        <f t="shared" si="38"/>
        <v>125</v>
      </c>
      <c r="U364" s="62"/>
      <c r="V364" s="62"/>
      <c r="W364" s="63"/>
      <c r="X364" s="30"/>
      <c r="Y364" s="64"/>
      <c r="Z364" s="64"/>
      <c r="AA364" s="23"/>
      <c r="AB364" s="24"/>
      <c r="AC364" s="25"/>
      <c r="AD364" s="25"/>
    </row>
    <row r="365" spans="1:30">
      <c r="A365" s="46">
        <f t="shared" ref="A365:A428" si="41">A322+1</f>
        <v>9</v>
      </c>
      <c r="B365" s="47">
        <v>20</v>
      </c>
      <c r="C365" s="47"/>
      <c r="D365" s="47"/>
      <c r="E365" s="14">
        <v>12.99</v>
      </c>
      <c r="F365" s="14">
        <f t="shared" si="39"/>
        <v>149</v>
      </c>
      <c r="G365" s="36">
        <f>(E365+0.01)*F365*$AJ$2/100</f>
        <v>19370000</v>
      </c>
      <c r="H365" s="37">
        <f>SUM(G347:G365)</f>
        <v>50730000</v>
      </c>
      <c r="I365" s="17">
        <f>SUM(E347:E365)</f>
        <v>36.96</v>
      </c>
      <c r="J365" s="18">
        <f t="shared" si="40"/>
        <v>0.24</v>
      </c>
      <c r="K365" s="14" t="s">
        <v>2</v>
      </c>
      <c r="L365" s="29">
        <v>9</v>
      </c>
      <c r="M365" s="21">
        <f>G365</f>
        <v>19370000</v>
      </c>
      <c r="N365" s="36">
        <f>SUMIF(K365:K370,"="&amp;"金币",M365:M370)</f>
        <v>20976440</v>
      </c>
      <c r="O365" s="22">
        <f>N365/$AJ$2</f>
        <v>20.97644</v>
      </c>
      <c r="P365" s="60">
        <f t="shared" ref="P365:P428" si="42">P322</f>
        <v>2</v>
      </c>
      <c r="Q365" s="60" t="str">
        <f t="shared" ref="Q365:Q428" si="43">Q322</f>
        <v>金币</v>
      </c>
      <c r="R365" s="60">
        <f t="shared" ref="R365:R428" si="44">R322</f>
        <v>0</v>
      </c>
      <c r="S365" s="62" cm="1">
        <f t="array" ref="S365">_xlfn.IFNA(MATCH(SUMIFS(R:R,A:A,"="&amp;A365,B:B,"&lt;"&amp;(B365+1)),_xlfn._xlws.FILTER(AO:AO,AL:AL=A365),1),1)</f>
        <v>1</v>
      </c>
      <c r="T365" s="62">
        <f t="shared" si="38"/>
        <v>125</v>
      </c>
      <c r="U365" s="62">
        <f>_xlfn.IFNA(VLOOKUP(Q365,道具!B:C,2,FALSE),"")</f>
        <v>1</v>
      </c>
      <c r="V365" s="62">
        <f>IF(U365=1,CEILING(W365*100/$AJ$2,5),IF(U365=2,J365*100,0))</f>
        <v>220</v>
      </c>
      <c r="W365" s="63">
        <f>IF(U365=1,J365*$AD$6,IF(U365=2,J365*$AJ$2,0))</f>
        <v>2157480</v>
      </c>
      <c r="X365" s="37">
        <f>SUM(N347:N365)+SUM(W347:W365)</f>
        <v>59990370</v>
      </c>
      <c r="Y365" s="66">
        <f>SUM(O347:O365)</f>
        <v>56.75415</v>
      </c>
      <c r="Z365" s="66">
        <f>SUM(W347:W365)</f>
        <v>3236220</v>
      </c>
      <c r="AA365" s="23">
        <f>X365/$AJ$2</f>
        <v>59.99037</v>
      </c>
      <c r="AB365" s="24">
        <f>X365/H365</f>
        <v>1.18254228267297</v>
      </c>
      <c r="AC365" s="25"/>
      <c r="AD365" s="25"/>
    </row>
    <row r="366" spans="1:30">
      <c r="A366" s="46">
        <f t="shared" si="41"/>
        <v>9</v>
      </c>
      <c r="B366" s="47">
        <v>21</v>
      </c>
      <c r="C366" s="47"/>
      <c r="D366" s="47"/>
      <c r="E366" s="14"/>
      <c r="F366" s="14" t="str">
        <f t="shared" si="39"/>
        <v/>
      </c>
      <c r="G366" s="14"/>
      <c r="H366" s="30"/>
      <c r="I366" s="17"/>
      <c r="J366" s="18">
        <f t="shared" si="40"/>
        <v>0</v>
      </c>
      <c r="K366" s="19" t="s">
        <v>408</v>
      </c>
      <c r="L366" s="38">
        <v>3</v>
      </c>
      <c r="M366" s="21">
        <v>4</v>
      </c>
      <c r="N366" s="14"/>
      <c r="O366" s="22"/>
      <c r="P366" s="60">
        <f t="shared" si="42"/>
        <v>0</v>
      </c>
      <c r="Q366" s="60">
        <f t="shared" si="43"/>
        <v>0</v>
      </c>
      <c r="R366" s="60">
        <f t="shared" si="44"/>
        <v>0</v>
      </c>
      <c r="S366" s="62" cm="1">
        <f t="array" ref="S366">_xlfn.IFNA(MATCH(SUMIFS(R:R,A:A,"="&amp;A366,B:B,"&lt;"&amp;(B366+1)),_xlfn._xlws.FILTER(AO:AO,AL:AL=A366),1),1)</f>
        <v>1</v>
      </c>
      <c r="T366" s="62">
        <f t="shared" si="38"/>
        <v>125</v>
      </c>
      <c r="U366" s="62"/>
      <c r="V366" s="62"/>
      <c r="W366" s="63"/>
      <c r="X366" s="30"/>
      <c r="Y366" s="64"/>
      <c r="Z366" s="64"/>
      <c r="AA366" s="23"/>
      <c r="AB366" s="24"/>
      <c r="AC366" s="25"/>
      <c r="AD366" s="25"/>
    </row>
    <row r="367" spans="1:30">
      <c r="A367" s="46">
        <f t="shared" si="41"/>
        <v>9</v>
      </c>
      <c r="B367" s="47">
        <v>22</v>
      </c>
      <c r="C367" s="47"/>
      <c r="D367" s="47"/>
      <c r="E367" s="14"/>
      <c r="F367" s="14" t="str">
        <f t="shared" si="39"/>
        <v/>
      </c>
      <c r="G367" s="14"/>
      <c r="H367" s="30"/>
      <c r="I367" s="17"/>
      <c r="J367" s="18">
        <f t="shared" si="40"/>
        <v>0.08</v>
      </c>
      <c r="K367" s="19" t="s">
        <v>2</v>
      </c>
      <c r="L367" s="38">
        <v>17</v>
      </c>
      <c r="M367" s="21">
        <f>J367*$AD$350</f>
        <v>1606440</v>
      </c>
      <c r="N367" s="14"/>
      <c r="O367" s="22"/>
      <c r="P367" s="60">
        <f t="shared" si="42"/>
        <v>0</v>
      </c>
      <c r="Q367" s="60">
        <f t="shared" si="43"/>
        <v>0</v>
      </c>
      <c r="R367" s="60">
        <f t="shared" si="44"/>
        <v>0</v>
      </c>
      <c r="S367" s="62" cm="1">
        <f t="array" ref="S367">_xlfn.IFNA(MATCH(SUMIFS(R:R,A:A,"="&amp;A367,B:B,"&lt;"&amp;(B367+1)),_xlfn._xlws.FILTER(AO:AO,AL:AL=A367),1),1)</f>
        <v>1</v>
      </c>
      <c r="T367" s="62">
        <f t="shared" si="38"/>
        <v>125</v>
      </c>
      <c r="U367" s="62"/>
      <c r="V367" s="62"/>
      <c r="W367" s="63"/>
      <c r="X367" s="30"/>
      <c r="Y367" s="64"/>
      <c r="Z367" s="64"/>
      <c r="AA367" s="23"/>
      <c r="AB367" s="24"/>
      <c r="AC367" s="25"/>
      <c r="AD367" s="25"/>
    </row>
    <row r="368" spans="1:30">
      <c r="A368" s="46">
        <f t="shared" si="41"/>
        <v>9</v>
      </c>
      <c r="B368" s="47">
        <v>23</v>
      </c>
      <c r="C368" s="47"/>
      <c r="D368" s="47"/>
      <c r="E368" s="14"/>
      <c r="F368" s="14" t="str">
        <f t="shared" si="39"/>
        <v/>
      </c>
      <c r="G368" s="14"/>
      <c r="H368" s="30"/>
      <c r="I368" s="17"/>
      <c r="J368" s="18">
        <f t="shared" si="40"/>
        <v>0</v>
      </c>
      <c r="K368" s="19" t="s">
        <v>461</v>
      </c>
      <c r="L368" s="38">
        <v>4</v>
      </c>
      <c r="M368" s="21">
        <v>1</v>
      </c>
      <c r="N368" s="14"/>
      <c r="O368" s="22"/>
      <c r="P368" s="60">
        <f t="shared" si="42"/>
        <v>0</v>
      </c>
      <c r="Q368" s="60">
        <f t="shared" si="43"/>
        <v>0</v>
      </c>
      <c r="R368" s="60">
        <f t="shared" si="44"/>
        <v>15</v>
      </c>
      <c r="S368" s="62" cm="1">
        <f t="array" ref="S368">_xlfn.IFNA(MATCH(SUMIFS(R:R,A:A,"="&amp;A368,B:B,"&lt;"&amp;(B368+1)),_xlfn._xlws.FILTER(AO:AO,AL:AL=A368),1),1)</f>
        <v>1</v>
      </c>
      <c r="T368" s="62">
        <f t="shared" si="38"/>
        <v>140</v>
      </c>
      <c r="U368" s="62"/>
      <c r="V368" s="62"/>
      <c r="W368" s="63"/>
      <c r="X368" s="30"/>
      <c r="Y368" s="64"/>
      <c r="Z368" s="64"/>
      <c r="AA368" s="23"/>
      <c r="AB368" s="24"/>
      <c r="AC368" s="25"/>
      <c r="AD368" s="25"/>
    </row>
    <row r="369" spans="1:30">
      <c r="A369" s="46">
        <f t="shared" si="41"/>
        <v>9</v>
      </c>
      <c r="B369" s="47">
        <v>24</v>
      </c>
      <c r="C369" s="47"/>
      <c r="D369" s="47"/>
      <c r="E369" s="14"/>
      <c r="F369" s="14" t="str">
        <f t="shared" si="39"/>
        <v/>
      </c>
      <c r="G369" s="14"/>
      <c r="H369" s="30"/>
      <c r="I369" s="17"/>
      <c r="J369" s="18">
        <f t="shared" si="40"/>
        <v>0</v>
      </c>
      <c r="K369" s="19" t="s">
        <v>453</v>
      </c>
      <c r="L369" s="38">
        <v>3</v>
      </c>
      <c r="M369" s="21">
        <v>20</v>
      </c>
      <c r="N369" s="14"/>
      <c r="O369" s="22"/>
      <c r="P369" s="60">
        <f t="shared" si="42"/>
        <v>0</v>
      </c>
      <c r="Q369" s="60">
        <f t="shared" si="43"/>
        <v>0</v>
      </c>
      <c r="R369" s="60">
        <f t="shared" si="44"/>
        <v>0</v>
      </c>
      <c r="S369" s="62" cm="1">
        <f t="array" ref="S369">_xlfn.IFNA(MATCH(SUMIFS(R:R,A:A,"="&amp;A369,B:B,"&lt;"&amp;(B369+1)),_xlfn._xlws.FILTER(AO:AO,AL:AL=A369),1),1)</f>
        <v>1</v>
      </c>
      <c r="T369" s="62">
        <f t="shared" si="38"/>
        <v>140</v>
      </c>
      <c r="U369" s="62"/>
      <c r="V369" s="62"/>
      <c r="W369" s="63"/>
      <c r="X369" s="30"/>
      <c r="Y369" s="64"/>
      <c r="Z369" s="64"/>
      <c r="AA369" s="23"/>
      <c r="AB369" s="24"/>
      <c r="AC369" s="25"/>
      <c r="AD369" s="25"/>
    </row>
    <row r="370" spans="1:30">
      <c r="A370" s="46">
        <f t="shared" si="41"/>
        <v>9</v>
      </c>
      <c r="B370" s="47">
        <v>25</v>
      </c>
      <c r="C370" s="47"/>
      <c r="D370" s="47"/>
      <c r="E370" s="14"/>
      <c r="F370" s="14" t="str">
        <f t="shared" si="39"/>
        <v/>
      </c>
      <c r="G370" s="14"/>
      <c r="H370" s="30"/>
      <c r="I370" s="17"/>
      <c r="J370" s="18">
        <f t="shared" si="40"/>
        <v>0</v>
      </c>
      <c r="K370" t="s">
        <v>426</v>
      </c>
      <c r="L370" s="38">
        <v>3</v>
      </c>
      <c r="M370" s="21">
        <v>1</v>
      </c>
      <c r="N370" s="14"/>
      <c r="O370" s="22"/>
      <c r="P370" s="60">
        <f t="shared" si="42"/>
        <v>0</v>
      </c>
      <c r="Q370" s="60">
        <f t="shared" si="43"/>
        <v>0</v>
      </c>
      <c r="R370" s="60">
        <f t="shared" si="44"/>
        <v>0</v>
      </c>
      <c r="S370" s="62" cm="1">
        <f t="array" ref="S370">_xlfn.IFNA(MATCH(SUMIFS(R:R,A:A,"="&amp;A370,B:B,"&lt;"&amp;(B370+1)),_xlfn._xlws.FILTER(AO:AO,AL:AL=A370),1),1)</f>
        <v>1</v>
      </c>
      <c r="T370" s="62">
        <f t="shared" si="38"/>
        <v>140</v>
      </c>
      <c r="U370" s="62"/>
      <c r="V370" s="62"/>
      <c r="W370" s="63"/>
      <c r="X370" s="30"/>
      <c r="Y370" s="64"/>
      <c r="Z370" s="64"/>
      <c r="AA370" s="23"/>
      <c r="AB370" s="24"/>
      <c r="AC370" s="25"/>
      <c r="AD370" s="25"/>
    </row>
    <row r="371" spans="1:30">
      <c r="A371" s="46">
        <f t="shared" si="41"/>
        <v>9</v>
      </c>
      <c r="B371" s="47">
        <v>26</v>
      </c>
      <c r="C371" s="47"/>
      <c r="D371" s="47"/>
      <c r="E371" s="14">
        <v>14.99</v>
      </c>
      <c r="F371" s="14">
        <f t="shared" si="39"/>
        <v>154</v>
      </c>
      <c r="G371" s="36">
        <f>(E371+0.01)*F371*$AJ$2/100</f>
        <v>23100000</v>
      </c>
      <c r="H371" s="37">
        <f>SUM(G347:G371)</f>
        <v>73830000</v>
      </c>
      <c r="I371" s="17">
        <f>SUM(E347:E371)</f>
        <v>51.95</v>
      </c>
      <c r="J371" s="18">
        <f t="shared" si="40"/>
        <v>0</v>
      </c>
      <c r="K371" s="14" t="s">
        <v>2</v>
      </c>
      <c r="L371" s="29">
        <v>9</v>
      </c>
      <c r="M371" s="21">
        <f>G371</f>
        <v>23100000</v>
      </c>
      <c r="N371" s="36">
        <f>SUMIF(K371:K376,"="&amp;"金币",M371:M376)</f>
        <v>24104025</v>
      </c>
      <c r="O371" s="22">
        <f>N371/$AJ$2</f>
        <v>24.104025</v>
      </c>
      <c r="P371" s="60">
        <f t="shared" si="42"/>
        <v>0</v>
      </c>
      <c r="Q371" s="60">
        <f t="shared" si="43"/>
        <v>0</v>
      </c>
      <c r="R371" s="60">
        <f t="shared" si="44"/>
        <v>10</v>
      </c>
      <c r="S371" s="62" cm="1">
        <f t="array" ref="S371">_xlfn.IFNA(MATCH(SUMIFS(R:R,A:A,"="&amp;A371,B:B,"&lt;"&amp;(B371+1)),_xlfn._xlws.FILTER(AO:AO,AL:AL=A371),1),1)</f>
        <v>2</v>
      </c>
      <c r="T371" s="62">
        <f t="shared" si="38"/>
        <v>150</v>
      </c>
      <c r="U371" s="62" t="str">
        <f>_xlfn.IFNA(VLOOKUP(Q371,道具!B:C,2,FALSE),"")</f>
        <v/>
      </c>
      <c r="V371" s="62">
        <f>IF(U371=1,CEILING(W371*100/$AJ$2,5),IF(U371=2,J371*100,0))</f>
        <v>0</v>
      </c>
      <c r="W371" s="63">
        <f>IF(U371=1,J371*$AD$6,IF(U371=2,J371*$AJ$2,0))</f>
        <v>0</v>
      </c>
      <c r="X371" s="37">
        <f>SUM(N347:N371)+SUM(W347:W371)</f>
        <v>84094395</v>
      </c>
      <c r="Y371" s="66">
        <f>SUM(O347:O371)</f>
        <v>80.858175</v>
      </c>
      <c r="Z371" s="66">
        <f>SUM(W347:W371)</f>
        <v>3236220</v>
      </c>
      <c r="AA371" s="23">
        <f>X371/$AJ$2</f>
        <v>84.094395</v>
      </c>
      <c r="AB371" s="24">
        <f>X371/H371</f>
        <v>1.13902742787485</v>
      </c>
      <c r="AC371" s="25"/>
      <c r="AD371" s="25"/>
    </row>
    <row r="372" spans="1:30">
      <c r="A372" s="46">
        <f t="shared" si="41"/>
        <v>9</v>
      </c>
      <c r="B372" s="47">
        <v>27</v>
      </c>
      <c r="C372" s="47"/>
      <c r="D372" s="47"/>
      <c r="E372" s="14"/>
      <c r="F372" s="14" t="str">
        <f t="shared" si="39"/>
        <v/>
      </c>
      <c r="G372" s="14"/>
      <c r="H372" s="30"/>
      <c r="I372" s="17"/>
      <c r="J372" s="18">
        <f t="shared" si="40"/>
        <v>0</v>
      </c>
      <c r="K372" s="19" t="s">
        <v>408</v>
      </c>
      <c r="L372" s="38">
        <v>3</v>
      </c>
      <c r="M372" s="21">
        <v>5</v>
      </c>
      <c r="N372" s="14"/>
      <c r="O372" s="22"/>
      <c r="P372" s="60">
        <f t="shared" si="42"/>
        <v>0</v>
      </c>
      <c r="Q372" s="60">
        <f t="shared" si="43"/>
        <v>0</v>
      </c>
      <c r="R372" s="60">
        <f t="shared" si="44"/>
        <v>0</v>
      </c>
      <c r="S372" s="62" cm="1">
        <f t="array" ref="S372">_xlfn.IFNA(MATCH(SUMIFS(R:R,A:A,"="&amp;A372,B:B,"&lt;"&amp;(B372+1)),_xlfn._xlws.FILTER(AO:AO,AL:AL=A372),1),1)</f>
        <v>2</v>
      </c>
      <c r="T372" s="62">
        <f t="shared" si="38"/>
        <v>150</v>
      </c>
      <c r="U372" s="62"/>
      <c r="V372" s="62"/>
      <c r="W372" s="63"/>
      <c r="X372" s="30"/>
      <c r="Y372" s="64"/>
      <c r="Z372" s="64"/>
      <c r="AA372" s="23"/>
      <c r="AB372" s="24"/>
      <c r="AC372" s="25"/>
      <c r="AD372" s="25"/>
    </row>
    <row r="373" spans="1:30">
      <c r="A373" s="46">
        <f t="shared" si="41"/>
        <v>9</v>
      </c>
      <c r="B373" s="47">
        <v>28</v>
      </c>
      <c r="C373" s="47"/>
      <c r="D373" s="47"/>
      <c r="E373" s="14"/>
      <c r="F373" s="14" t="str">
        <f t="shared" si="39"/>
        <v/>
      </c>
      <c r="G373" s="14"/>
      <c r="H373" s="30"/>
      <c r="I373" s="17"/>
      <c r="J373" s="18">
        <f t="shared" si="40"/>
        <v>0.05</v>
      </c>
      <c r="K373" s="19" t="s">
        <v>2</v>
      </c>
      <c r="L373" s="38">
        <v>17</v>
      </c>
      <c r="M373" s="21">
        <f>J373*$AD$350</f>
        <v>1004025</v>
      </c>
      <c r="N373" s="14"/>
      <c r="O373" s="22"/>
      <c r="P373" s="60">
        <f t="shared" si="42"/>
        <v>0</v>
      </c>
      <c r="Q373" s="60">
        <f t="shared" si="43"/>
        <v>0</v>
      </c>
      <c r="R373" s="60">
        <f t="shared" si="44"/>
        <v>0</v>
      </c>
      <c r="S373" s="62" cm="1">
        <f t="array" ref="S373">_xlfn.IFNA(MATCH(SUMIFS(R:R,A:A,"="&amp;A373,B:B,"&lt;"&amp;(B373+1)),_xlfn._xlws.FILTER(AO:AO,AL:AL=A373),1),1)</f>
        <v>2</v>
      </c>
      <c r="T373" s="62">
        <f t="shared" si="38"/>
        <v>150</v>
      </c>
      <c r="U373" s="62"/>
      <c r="V373" s="62"/>
      <c r="W373" s="63"/>
      <c r="X373" s="30"/>
      <c r="Y373" s="64"/>
      <c r="Z373" s="64"/>
      <c r="AA373" s="23"/>
      <c r="AB373" s="24"/>
      <c r="AC373" s="25"/>
      <c r="AD373" s="25"/>
    </row>
    <row r="374" spans="1:30">
      <c r="A374" s="46">
        <f t="shared" si="41"/>
        <v>9</v>
      </c>
      <c r="B374" s="47">
        <v>29</v>
      </c>
      <c r="C374" s="47"/>
      <c r="D374" s="47"/>
      <c r="E374" s="14"/>
      <c r="F374" s="14" t="str">
        <f t="shared" si="39"/>
        <v/>
      </c>
      <c r="G374" s="14"/>
      <c r="H374" s="30"/>
      <c r="I374" s="17"/>
      <c r="J374" s="18">
        <f t="shared" si="40"/>
        <v>0</v>
      </c>
      <c r="K374" s="19" t="s">
        <v>463</v>
      </c>
      <c r="L374" s="38">
        <v>4</v>
      </c>
      <c r="M374" s="21">
        <v>1</v>
      </c>
      <c r="N374" s="14"/>
      <c r="O374" s="22"/>
      <c r="P374" s="60">
        <f t="shared" si="42"/>
        <v>0</v>
      </c>
      <c r="Q374" s="60">
        <f t="shared" si="43"/>
        <v>0</v>
      </c>
      <c r="R374" s="60">
        <f t="shared" si="44"/>
        <v>25</v>
      </c>
      <c r="S374" s="62" cm="1">
        <f t="array" ref="S374">_xlfn.IFNA(MATCH(SUMIFS(R:R,A:A,"="&amp;A374,B:B,"&lt;"&amp;(B374+1)),_xlfn._xlws.FILTER(AO:AO,AL:AL=A374),1),1)</f>
        <v>2</v>
      </c>
      <c r="T374" s="62">
        <f t="shared" si="38"/>
        <v>175</v>
      </c>
      <c r="U374" s="62"/>
      <c r="V374" s="62"/>
      <c r="W374" s="63"/>
      <c r="X374" s="30"/>
      <c r="Y374" s="64"/>
      <c r="Z374" s="64"/>
      <c r="AA374" s="23"/>
      <c r="AB374" s="24"/>
      <c r="AC374" s="25"/>
      <c r="AD374" s="25"/>
    </row>
    <row r="375" spans="1:30">
      <c r="A375" s="46">
        <f t="shared" si="41"/>
        <v>9</v>
      </c>
      <c r="B375" s="47">
        <v>30</v>
      </c>
      <c r="C375" s="47"/>
      <c r="D375" s="47"/>
      <c r="E375" s="14"/>
      <c r="F375" s="14" t="str">
        <f t="shared" si="39"/>
        <v/>
      </c>
      <c r="G375" s="14"/>
      <c r="H375" s="30"/>
      <c r="I375" s="17"/>
      <c r="J375" s="18">
        <f t="shared" si="40"/>
        <v>0</v>
      </c>
      <c r="K375" s="19" t="s">
        <v>453</v>
      </c>
      <c r="L375" s="38">
        <v>3</v>
      </c>
      <c r="M375" s="21">
        <v>25</v>
      </c>
      <c r="N375" s="14"/>
      <c r="O375" s="22"/>
      <c r="P375" s="60">
        <f t="shared" si="42"/>
        <v>0</v>
      </c>
      <c r="Q375" s="60">
        <f t="shared" si="43"/>
        <v>0</v>
      </c>
      <c r="R375" s="60">
        <f t="shared" si="44"/>
        <v>0</v>
      </c>
      <c r="S375" s="62" cm="1">
        <f t="array" ref="S375">_xlfn.IFNA(MATCH(SUMIFS(R:R,A:A,"="&amp;A375,B:B,"&lt;"&amp;(B375+1)),_xlfn._xlws.FILTER(AO:AO,AL:AL=A375),1),1)</f>
        <v>2</v>
      </c>
      <c r="T375" s="62">
        <f t="shared" si="38"/>
        <v>175</v>
      </c>
      <c r="U375" s="62"/>
      <c r="V375" s="62"/>
      <c r="W375" s="63"/>
      <c r="X375" s="30"/>
      <c r="Y375" s="64"/>
      <c r="Z375" s="64"/>
      <c r="AA375" s="23"/>
      <c r="AB375" s="24"/>
      <c r="AC375" s="25"/>
      <c r="AD375" s="25"/>
    </row>
    <row r="376" spans="1:30">
      <c r="A376" s="46">
        <f t="shared" si="41"/>
        <v>9</v>
      </c>
      <c r="B376" s="47">
        <v>31</v>
      </c>
      <c r="C376" s="47"/>
      <c r="D376" s="47"/>
      <c r="E376" s="14"/>
      <c r="F376" s="14" t="str">
        <f t="shared" si="39"/>
        <v/>
      </c>
      <c r="G376" s="14"/>
      <c r="H376" s="30"/>
      <c r="I376" s="17"/>
      <c r="J376" s="18">
        <f t="shared" si="40"/>
        <v>0</v>
      </c>
      <c r="K376" t="s">
        <v>424</v>
      </c>
      <c r="L376" s="38">
        <v>3</v>
      </c>
      <c r="M376" s="21">
        <v>1</v>
      </c>
      <c r="N376" s="14"/>
      <c r="O376" s="22"/>
      <c r="P376" s="60">
        <f t="shared" si="42"/>
        <v>0</v>
      </c>
      <c r="Q376" s="60">
        <f t="shared" si="43"/>
        <v>0</v>
      </c>
      <c r="R376" s="60">
        <f t="shared" si="44"/>
        <v>0</v>
      </c>
      <c r="S376" s="62" cm="1">
        <f t="array" ref="S376">_xlfn.IFNA(MATCH(SUMIFS(R:R,A:A,"="&amp;A376,B:B,"&lt;"&amp;(B376+1)),_xlfn._xlws.FILTER(AO:AO,AL:AL=A376),1),1)</f>
        <v>2</v>
      </c>
      <c r="T376" s="62">
        <f t="shared" si="38"/>
        <v>175</v>
      </c>
      <c r="U376" s="62"/>
      <c r="V376" s="62"/>
      <c r="W376" s="63"/>
      <c r="X376" s="30"/>
      <c r="Y376" s="64"/>
      <c r="Z376" s="64"/>
      <c r="AA376" s="23"/>
      <c r="AB376" s="24"/>
      <c r="AC376" s="25"/>
      <c r="AD376" s="25"/>
    </row>
    <row r="377" spans="1:30">
      <c r="A377" s="46">
        <f t="shared" si="41"/>
        <v>9</v>
      </c>
      <c r="B377" s="47">
        <v>32</v>
      </c>
      <c r="C377" s="47"/>
      <c r="D377" s="47"/>
      <c r="E377" s="14">
        <v>17.99</v>
      </c>
      <c r="F377" s="14">
        <f t="shared" si="39"/>
        <v>158</v>
      </c>
      <c r="G377" s="36">
        <f>(E377+0.01)*F377*$AJ$2/100</f>
        <v>28440000</v>
      </c>
      <c r="H377" s="37">
        <f>SUM(G347:G377)</f>
        <v>102270000</v>
      </c>
      <c r="I377" s="17">
        <f>SUM(E347:E377)</f>
        <v>69.94</v>
      </c>
      <c r="J377" s="18">
        <f t="shared" si="40"/>
        <v>0</v>
      </c>
      <c r="K377" s="14" t="s">
        <v>2</v>
      </c>
      <c r="L377" s="29">
        <v>9</v>
      </c>
      <c r="M377" s="21">
        <f>G377</f>
        <v>28440000</v>
      </c>
      <c r="N377" s="36">
        <f>SUMIF(K377:K382,"="&amp;"金币",M377:M382)</f>
        <v>30849660</v>
      </c>
      <c r="O377" s="22">
        <f>N377/$AJ$2</f>
        <v>30.84966</v>
      </c>
      <c r="P377" s="60">
        <f t="shared" si="42"/>
        <v>0</v>
      </c>
      <c r="Q377" s="60">
        <f t="shared" si="43"/>
        <v>0</v>
      </c>
      <c r="R377" s="60">
        <f t="shared" si="44"/>
        <v>25</v>
      </c>
      <c r="S377" s="62" cm="1">
        <f t="array" ref="S377">_xlfn.IFNA(MATCH(SUMIFS(R:R,A:A,"="&amp;A377,B:B,"&lt;"&amp;(B377+1)),_xlfn._xlws.FILTER(AO:AO,AL:AL=A377),1),1)</f>
        <v>2</v>
      </c>
      <c r="T377" s="62">
        <f t="shared" si="38"/>
        <v>200</v>
      </c>
      <c r="U377" s="62" t="str">
        <f>_xlfn.IFNA(VLOOKUP(Q377,道具!B:C,2,FALSE),"")</f>
        <v/>
      </c>
      <c r="V377" s="62">
        <f>IF(U377=1,CEILING(W377*100/$AJ$2,5),IF(U377=2,J377*100,0))</f>
        <v>0</v>
      </c>
      <c r="W377" s="63">
        <f>IF(U377=1,J377*$AD$6,IF(U377=2,J377*$AJ$2,0))</f>
        <v>0</v>
      </c>
      <c r="X377" s="37">
        <f>SUM(N347:N377)+SUM(W347:W377)</f>
        <v>114944055</v>
      </c>
      <c r="Y377" s="66">
        <f>SUM(O347:O377)</f>
        <v>111.707835</v>
      </c>
      <c r="Z377" s="66">
        <f>SUM(W347:W377)</f>
        <v>3236220</v>
      </c>
      <c r="AA377" s="23">
        <f>X377/$AJ$2</f>
        <v>114.944055</v>
      </c>
      <c r="AB377" s="24">
        <f>X377/H377</f>
        <v>1.12392739806395</v>
      </c>
      <c r="AC377" s="25"/>
      <c r="AD377" s="25"/>
    </row>
    <row r="378" spans="1:30">
      <c r="A378" s="46">
        <f t="shared" si="41"/>
        <v>9</v>
      </c>
      <c r="B378" s="47">
        <v>33</v>
      </c>
      <c r="C378" s="47"/>
      <c r="D378" s="47"/>
      <c r="E378" s="14"/>
      <c r="F378" s="14" t="str">
        <f t="shared" si="39"/>
        <v/>
      </c>
      <c r="G378" s="14"/>
      <c r="H378" s="30"/>
      <c r="I378" s="17"/>
      <c r="J378" s="18">
        <f t="shared" si="40"/>
        <v>0</v>
      </c>
      <c r="K378" s="19" t="s">
        <v>408</v>
      </c>
      <c r="L378" s="38">
        <v>3</v>
      </c>
      <c r="M378" s="21">
        <v>6</v>
      </c>
      <c r="N378" s="14"/>
      <c r="O378" s="22"/>
      <c r="P378" s="60">
        <f t="shared" si="42"/>
        <v>0</v>
      </c>
      <c r="Q378" s="60">
        <f t="shared" si="43"/>
        <v>0</v>
      </c>
      <c r="R378" s="60">
        <f t="shared" si="44"/>
        <v>0</v>
      </c>
      <c r="S378" s="62" cm="1">
        <f t="array" ref="S378">_xlfn.IFNA(MATCH(SUMIFS(R:R,A:A,"="&amp;A378,B:B,"&lt;"&amp;(B378+1)),_xlfn._xlws.FILTER(AO:AO,AL:AL=A378),1),1)</f>
        <v>2</v>
      </c>
      <c r="T378" s="62">
        <f t="shared" si="38"/>
        <v>200</v>
      </c>
      <c r="U378" s="62"/>
      <c r="V378" s="62"/>
      <c r="W378" s="63"/>
      <c r="X378" s="30"/>
      <c r="Y378" s="64"/>
      <c r="Z378" s="64"/>
      <c r="AA378" s="23"/>
      <c r="AB378" s="24"/>
      <c r="AC378" s="25"/>
      <c r="AD378" s="25"/>
    </row>
    <row r="379" spans="1:30">
      <c r="A379" s="46">
        <f t="shared" si="41"/>
        <v>9</v>
      </c>
      <c r="B379" s="47">
        <v>34</v>
      </c>
      <c r="C379" s="47"/>
      <c r="D379" s="47"/>
      <c r="E379" s="14"/>
      <c r="F379" s="14" t="str">
        <f t="shared" si="39"/>
        <v/>
      </c>
      <c r="G379" s="14"/>
      <c r="H379" s="30"/>
      <c r="I379" s="17"/>
      <c r="J379" s="18">
        <f t="shared" si="40"/>
        <v>0.12</v>
      </c>
      <c r="K379" s="19" t="s">
        <v>2</v>
      </c>
      <c r="L379" s="38">
        <v>17</v>
      </c>
      <c r="M379" s="21">
        <f>J379*$AD$350</f>
        <v>2409660</v>
      </c>
      <c r="N379" s="14"/>
      <c r="O379" s="22"/>
      <c r="P379" s="60">
        <f t="shared" si="42"/>
        <v>0</v>
      </c>
      <c r="Q379" s="60">
        <f t="shared" si="43"/>
        <v>0</v>
      </c>
      <c r="R379" s="60">
        <f t="shared" si="44"/>
        <v>0</v>
      </c>
      <c r="S379" s="62" cm="1">
        <f t="array" ref="S379">_xlfn.IFNA(MATCH(SUMIFS(R:R,A:A,"="&amp;A379,B:B,"&lt;"&amp;(B379+1)),_xlfn._xlws.FILTER(AO:AO,AL:AL=A379),1),1)</f>
        <v>2</v>
      </c>
      <c r="T379" s="62">
        <f t="shared" si="38"/>
        <v>200</v>
      </c>
      <c r="U379" s="62"/>
      <c r="V379" s="62"/>
      <c r="W379" s="63"/>
      <c r="X379" s="30"/>
      <c r="Y379" s="64"/>
      <c r="Z379" s="64"/>
      <c r="AA379" s="23"/>
      <c r="AB379" s="24"/>
      <c r="AC379" s="25"/>
      <c r="AD379" s="25"/>
    </row>
    <row r="380" spans="1:30">
      <c r="A380" s="46">
        <f t="shared" si="41"/>
        <v>9</v>
      </c>
      <c r="B380" s="47">
        <v>35</v>
      </c>
      <c r="C380" s="47"/>
      <c r="D380" s="47"/>
      <c r="E380" s="14"/>
      <c r="F380" s="14" t="str">
        <f t="shared" si="39"/>
        <v/>
      </c>
      <c r="G380" s="14"/>
      <c r="H380" s="30"/>
      <c r="I380" s="17"/>
      <c r="J380" s="18">
        <f t="shared" si="40"/>
        <v>0</v>
      </c>
      <c r="K380" s="19" t="s">
        <v>463</v>
      </c>
      <c r="L380" s="38">
        <v>4</v>
      </c>
      <c r="M380" s="21">
        <v>1</v>
      </c>
      <c r="N380" s="14"/>
      <c r="O380" s="22"/>
      <c r="P380" s="60">
        <f t="shared" si="42"/>
        <v>0</v>
      </c>
      <c r="Q380" s="60">
        <f t="shared" si="43"/>
        <v>0</v>
      </c>
      <c r="R380" s="60">
        <f t="shared" si="44"/>
        <v>15</v>
      </c>
      <c r="S380" s="62" cm="1">
        <f t="array" ref="S380">_xlfn.IFNA(MATCH(SUMIFS(R:R,A:A,"="&amp;A380,B:B,"&lt;"&amp;(B380+1)),_xlfn._xlws.FILTER(AO:AO,AL:AL=A380),1),1)</f>
        <v>2</v>
      </c>
      <c r="T380" s="62">
        <f t="shared" si="38"/>
        <v>215</v>
      </c>
      <c r="U380" s="62"/>
      <c r="V380" s="62"/>
      <c r="W380" s="63"/>
      <c r="X380" s="30"/>
      <c r="Y380" s="64"/>
      <c r="Z380" s="64"/>
      <c r="AA380" s="23"/>
      <c r="AB380" s="24"/>
      <c r="AC380" s="25"/>
      <c r="AD380" s="25"/>
    </row>
    <row r="381" spans="1:30">
      <c r="A381" s="46">
        <f t="shared" si="41"/>
        <v>9</v>
      </c>
      <c r="B381" s="47">
        <v>36</v>
      </c>
      <c r="C381" s="47"/>
      <c r="D381" s="47"/>
      <c r="E381" s="14"/>
      <c r="F381" s="14" t="str">
        <f t="shared" si="39"/>
        <v/>
      </c>
      <c r="G381" s="14"/>
      <c r="H381" s="30"/>
      <c r="I381" s="17"/>
      <c r="J381" s="18">
        <f t="shared" si="40"/>
        <v>0</v>
      </c>
      <c r="K381" s="19" t="s">
        <v>453</v>
      </c>
      <c r="L381" s="38">
        <v>3</v>
      </c>
      <c r="M381" s="21">
        <v>30</v>
      </c>
      <c r="N381" s="14"/>
      <c r="O381" s="22"/>
      <c r="P381" s="60">
        <f t="shared" si="42"/>
        <v>0</v>
      </c>
      <c r="Q381" s="60">
        <f t="shared" si="43"/>
        <v>0</v>
      </c>
      <c r="R381" s="60">
        <f t="shared" si="44"/>
        <v>0</v>
      </c>
      <c r="S381" s="62" cm="1">
        <f t="array" ref="S381">_xlfn.IFNA(MATCH(SUMIFS(R:R,A:A,"="&amp;A381,B:B,"&lt;"&amp;(B381+1)),_xlfn._xlws.FILTER(AO:AO,AL:AL=A381),1),1)</f>
        <v>2</v>
      </c>
      <c r="T381" s="62">
        <f t="shared" si="38"/>
        <v>215</v>
      </c>
      <c r="U381" s="62"/>
      <c r="V381" s="62"/>
      <c r="W381" s="63"/>
      <c r="X381" s="30"/>
      <c r="Y381" s="64"/>
      <c r="Z381" s="64"/>
      <c r="AA381" s="23"/>
      <c r="AB381" s="24"/>
      <c r="AC381" s="25"/>
      <c r="AD381" s="25"/>
    </row>
    <row r="382" spans="1:30">
      <c r="A382" s="46">
        <f t="shared" si="41"/>
        <v>9</v>
      </c>
      <c r="B382" s="47">
        <v>37</v>
      </c>
      <c r="C382" s="47"/>
      <c r="D382" s="47"/>
      <c r="E382" s="14"/>
      <c r="F382" s="14" t="str">
        <f t="shared" si="39"/>
        <v/>
      </c>
      <c r="G382" s="14"/>
      <c r="H382" s="30"/>
      <c r="I382" s="17"/>
      <c r="J382" s="18">
        <f t="shared" si="40"/>
        <v>0</v>
      </c>
      <c r="K382" t="s">
        <v>426</v>
      </c>
      <c r="L382" s="38">
        <v>3</v>
      </c>
      <c r="M382" s="21">
        <v>1</v>
      </c>
      <c r="N382" s="14"/>
      <c r="O382" s="22"/>
      <c r="P382" s="60">
        <f t="shared" si="42"/>
        <v>0</v>
      </c>
      <c r="Q382" s="60">
        <f t="shared" si="43"/>
        <v>0</v>
      </c>
      <c r="R382" s="60">
        <f t="shared" si="44"/>
        <v>0</v>
      </c>
      <c r="S382" s="62" cm="1">
        <f t="array" ref="S382">_xlfn.IFNA(MATCH(SUMIFS(R:R,A:A,"="&amp;A382,B:B,"&lt;"&amp;(B382+1)),_xlfn._xlws.FILTER(AO:AO,AL:AL=A382),1),1)</f>
        <v>2</v>
      </c>
      <c r="T382" s="62">
        <f t="shared" si="38"/>
        <v>215</v>
      </c>
      <c r="U382" s="62"/>
      <c r="V382" s="62"/>
      <c r="W382" s="63"/>
      <c r="X382" s="30"/>
      <c r="Y382" s="64"/>
      <c r="Z382" s="64"/>
      <c r="AA382" s="23"/>
      <c r="AB382" s="24"/>
      <c r="AC382" s="25"/>
      <c r="AD382" s="25"/>
    </row>
    <row r="383" spans="1:30">
      <c r="A383" s="46">
        <f t="shared" si="41"/>
        <v>9</v>
      </c>
      <c r="B383" s="47">
        <v>38</v>
      </c>
      <c r="C383" s="47"/>
      <c r="D383" s="47"/>
      <c r="E383" s="14">
        <v>19.99</v>
      </c>
      <c r="F383" s="14">
        <f t="shared" si="39"/>
        <v>158</v>
      </c>
      <c r="G383" s="36">
        <f>(E383+0.01)*F383*$AJ$2/100</f>
        <v>31600000</v>
      </c>
      <c r="H383" s="37">
        <f>SUM(G347:G383)</f>
        <v>133870000</v>
      </c>
      <c r="I383" s="17">
        <f>SUM(E347:E383)</f>
        <v>89.93</v>
      </c>
      <c r="J383" s="18">
        <f t="shared" si="40"/>
        <v>0.45</v>
      </c>
      <c r="K383" s="14" t="s">
        <v>2</v>
      </c>
      <c r="L383" s="29">
        <v>9</v>
      </c>
      <c r="M383" s="21">
        <f>G383</f>
        <v>31600000</v>
      </c>
      <c r="N383" s="36">
        <f>SUMIF(K383:K388,"="&amp;"金币",M383:M388)</f>
        <v>34009660</v>
      </c>
      <c r="O383" s="22">
        <f>N383/$AJ$2</f>
        <v>34.00966</v>
      </c>
      <c r="P383" s="60">
        <f t="shared" si="42"/>
        <v>3</v>
      </c>
      <c r="Q383" s="60" t="str">
        <f t="shared" si="43"/>
        <v>金币</v>
      </c>
      <c r="R383" s="60">
        <f t="shared" si="44"/>
        <v>35</v>
      </c>
      <c r="S383" s="62" cm="1">
        <f t="array" ref="S383">_xlfn.IFNA(MATCH(SUMIFS(R:R,A:A,"="&amp;A383,B:B,"&lt;"&amp;(B383+1)),_xlfn._xlws.FILTER(AO:AO,AL:AL=A383),1),1)</f>
        <v>2</v>
      </c>
      <c r="T383" s="62">
        <f t="shared" si="38"/>
        <v>250</v>
      </c>
      <c r="U383" s="62">
        <f>_xlfn.IFNA(VLOOKUP(Q383,道具!B:C,2,FALSE),"")</f>
        <v>1</v>
      </c>
      <c r="V383" s="62">
        <f>IF(U383=1,CEILING(W383*100/$AJ$2,5),IF(U383=2,J383*100,0))</f>
        <v>405</v>
      </c>
      <c r="W383" s="63">
        <f>IF(U383=1,J383*$AD$6,IF(U383=2,J383*$AJ$2,0))</f>
        <v>4045275</v>
      </c>
      <c r="X383" s="37">
        <f>SUM(N347:N383)+SUM(W347:W383)</f>
        <v>152998990</v>
      </c>
      <c r="Y383" s="66">
        <f>SUM(O347:O383)</f>
        <v>145.717495</v>
      </c>
      <c r="Z383" s="66">
        <f>SUM(W347:W383)</f>
        <v>7281494.99999999</v>
      </c>
      <c r="AA383" s="23">
        <f>X383/$AJ$2</f>
        <v>152.99899</v>
      </c>
      <c r="AB383" s="24">
        <f>X383/H383</f>
        <v>1.14289228355868</v>
      </c>
      <c r="AC383" s="25"/>
      <c r="AD383" s="25"/>
    </row>
    <row r="384" spans="1:30">
      <c r="A384" s="46">
        <f t="shared" si="41"/>
        <v>9</v>
      </c>
      <c r="B384" s="47">
        <v>39</v>
      </c>
      <c r="C384" s="47"/>
      <c r="D384" s="47"/>
      <c r="E384" s="14"/>
      <c r="F384" s="14" t="str">
        <f t="shared" si="39"/>
        <v/>
      </c>
      <c r="G384" s="14"/>
      <c r="H384" s="30"/>
      <c r="I384" s="17"/>
      <c r="J384" s="18">
        <f t="shared" si="40"/>
        <v>0</v>
      </c>
      <c r="K384" s="19" t="s">
        <v>408</v>
      </c>
      <c r="L384" s="38">
        <v>3</v>
      </c>
      <c r="M384" s="21">
        <v>7</v>
      </c>
      <c r="N384" s="14"/>
      <c r="O384" s="22"/>
      <c r="P384" s="60">
        <f t="shared" si="42"/>
        <v>0</v>
      </c>
      <c r="Q384" s="60">
        <f t="shared" si="43"/>
        <v>0</v>
      </c>
      <c r="R384" s="60">
        <f t="shared" si="44"/>
        <v>0</v>
      </c>
      <c r="S384" s="62" cm="1">
        <f t="array" ref="S384">_xlfn.IFNA(MATCH(SUMIFS(R:R,A:A,"="&amp;A384,B:B,"&lt;"&amp;(B384+1)),_xlfn._xlws.FILTER(AO:AO,AL:AL=A384),1),1)</f>
        <v>2</v>
      </c>
      <c r="T384" s="62">
        <f t="shared" si="38"/>
        <v>250</v>
      </c>
      <c r="U384" s="62"/>
      <c r="V384" s="62"/>
      <c r="W384" s="63"/>
      <c r="X384" s="30"/>
      <c r="Y384" s="64"/>
      <c r="Z384" s="64"/>
      <c r="AA384" s="23"/>
      <c r="AB384" s="24"/>
      <c r="AC384" s="25"/>
      <c r="AD384" s="25"/>
    </row>
    <row r="385" spans="1:30">
      <c r="A385" s="46">
        <f t="shared" si="41"/>
        <v>9</v>
      </c>
      <c r="B385" s="47">
        <v>40</v>
      </c>
      <c r="C385" s="47"/>
      <c r="D385" s="47"/>
      <c r="E385" s="14"/>
      <c r="F385" s="14" t="str">
        <f t="shared" si="39"/>
        <v/>
      </c>
      <c r="G385" s="14"/>
      <c r="H385" s="30"/>
      <c r="I385" s="17"/>
      <c r="J385" s="18">
        <f t="shared" si="40"/>
        <v>0.12</v>
      </c>
      <c r="K385" s="19" t="s">
        <v>2</v>
      </c>
      <c r="L385" s="38">
        <v>17</v>
      </c>
      <c r="M385" s="21">
        <f>J385*$AD$350</f>
        <v>2409660</v>
      </c>
      <c r="N385" s="14"/>
      <c r="O385" s="22"/>
      <c r="P385" s="60">
        <f t="shared" si="42"/>
        <v>0</v>
      </c>
      <c r="Q385" s="60">
        <f t="shared" si="43"/>
        <v>0</v>
      </c>
      <c r="R385" s="60">
        <f t="shared" si="44"/>
        <v>0</v>
      </c>
      <c r="S385" s="62" cm="1">
        <f t="array" ref="S385">_xlfn.IFNA(MATCH(SUMIFS(R:R,A:A,"="&amp;A385,B:B,"&lt;"&amp;(B385+1)),_xlfn._xlws.FILTER(AO:AO,AL:AL=A385),1),1)</f>
        <v>2</v>
      </c>
      <c r="T385" s="62">
        <f t="shared" si="38"/>
        <v>250</v>
      </c>
      <c r="U385" s="62"/>
      <c r="V385" s="62"/>
      <c r="W385" s="63"/>
      <c r="X385" s="30"/>
      <c r="Y385" s="64"/>
      <c r="Z385" s="64"/>
      <c r="AA385" s="23"/>
      <c r="AB385" s="24"/>
      <c r="AC385" s="25"/>
      <c r="AD385" s="25"/>
    </row>
    <row r="386" spans="1:30">
      <c r="A386" s="46">
        <f t="shared" si="41"/>
        <v>9</v>
      </c>
      <c r="B386" s="47">
        <v>41</v>
      </c>
      <c r="C386" s="47"/>
      <c r="D386" s="47"/>
      <c r="E386" s="14"/>
      <c r="F386" s="14" t="str">
        <f t="shared" si="39"/>
        <v/>
      </c>
      <c r="G386" s="14"/>
      <c r="H386" s="30"/>
      <c r="I386" s="17"/>
      <c r="J386" s="18">
        <f t="shared" si="40"/>
        <v>0</v>
      </c>
      <c r="K386" s="19" t="s">
        <v>473</v>
      </c>
      <c r="L386" s="38">
        <v>4</v>
      </c>
      <c r="M386" s="21">
        <v>1</v>
      </c>
      <c r="N386" s="14"/>
      <c r="O386" s="22"/>
      <c r="P386" s="60">
        <f t="shared" si="42"/>
        <v>0</v>
      </c>
      <c r="Q386" s="60">
        <f t="shared" si="43"/>
        <v>0</v>
      </c>
      <c r="R386" s="60">
        <f t="shared" si="44"/>
        <v>50</v>
      </c>
      <c r="S386" s="62" cm="1">
        <f t="array" ref="S386">_xlfn.IFNA(MATCH(SUMIFS(R:R,A:A,"="&amp;A386,B:B,"&lt;"&amp;(B386+1)),_xlfn._xlws.FILTER(AO:AO,AL:AL=A386),1),1)</f>
        <v>3</v>
      </c>
      <c r="T386" s="62">
        <f t="shared" ref="T386:T449" si="45">SUMIFS(R:R,A:A,"="&amp;A386,B:B,"&lt;"&amp;(B386+1))</f>
        <v>300</v>
      </c>
      <c r="U386" s="62"/>
      <c r="V386" s="62"/>
      <c r="W386" s="63"/>
      <c r="X386" s="30"/>
      <c r="Y386" s="64"/>
      <c r="Z386" s="64"/>
      <c r="AA386" s="23"/>
      <c r="AB386" s="24"/>
      <c r="AC386" s="25"/>
      <c r="AD386" s="25"/>
    </row>
    <row r="387" spans="1:30">
      <c r="A387" s="46">
        <f t="shared" si="41"/>
        <v>9</v>
      </c>
      <c r="B387" s="47">
        <v>42</v>
      </c>
      <c r="C387" s="47"/>
      <c r="D387" s="47"/>
      <c r="E387" s="14"/>
      <c r="F387" s="14" t="str">
        <f t="shared" ref="F387:F450" si="46">IFERROR(VLOOKUP(ROUND(E387*100,0),AF:AG,2,FALSE),"")</f>
        <v/>
      </c>
      <c r="G387" s="14"/>
      <c r="H387" s="30"/>
      <c r="I387" s="17"/>
      <c r="J387" s="18">
        <f t="shared" si="40"/>
        <v>0</v>
      </c>
      <c r="K387" s="19" t="s">
        <v>453</v>
      </c>
      <c r="L387" s="38">
        <v>3</v>
      </c>
      <c r="M387" s="21">
        <v>35</v>
      </c>
      <c r="N387" s="14"/>
      <c r="O387" s="22"/>
      <c r="P387" s="60">
        <f t="shared" si="42"/>
        <v>0</v>
      </c>
      <c r="Q387" s="60">
        <f t="shared" si="43"/>
        <v>0</v>
      </c>
      <c r="R387" s="60">
        <f t="shared" si="44"/>
        <v>0</v>
      </c>
      <c r="S387" s="62" cm="1">
        <f t="array" ref="S387">_xlfn.IFNA(MATCH(SUMIFS(R:R,A:A,"="&amp;A387,B:B,"&lt;"&amp;(B387+1)),_xlfn._xlws.FILTER(AO:AO,AL:AL=A387),1),1)</f>
        <v>3</v>
      </c>
      <c r="T387" s="62">
        <f t="shared" si="45"/>
        <v>300</v>
      </c>
      <c r="U387" s="62"/>
      <c r="V387" s="62"/>
      <c r="W387" s="63"/>
      <c r="X387" s="30"/>
      <c r="Y387" s="64"/>
      <c r="Z387" s="64"/>
      <c r="AA387" s="23"/>
      <c r="AB387" s="24"/>
      <c r="AC387" s="25"/>
      <c r="AD387" s="25"/>
    </row>
    <row r="388" spans="1:30">
      <c r="A388" s="46">
        <f t="shared" si="41"/>
        <v>9</v>
      </c>
      <c r="B388" s="47">
        <v>43</v>
      </c>
      <c r="C388" s="47"/>
      <c r="D388" s="47"/>
      <c r="E388" s="14"/>
      <c r="F388" s="14" t="str">
        <f t="shared" si="46"/>
        <v/>
      </c>
      <c r="G388" s="14"/>
      <c r="H388" s="30"/>
      <c r="I388" s="17"/>
      <c r="J388" s="18">
        <f t="shared" si="40"/>
        <v>0</v>
      </c>
      <c r="K388" t="s">
        <v>424</v>
      </c>
      <c r="L388" s="38">
        <v>3</v>
      </c>
      <c r="M388" s="21">
        <v>1</v>
      </c>
      <c r="N388" s="14"/>
      <c r="O388" s="22"/>
      <c r="P388" s="60">
        <f t="shared" si="42"/>
        <v>0</v>
      </c>
      <c r="Q388" s="60">
        <f t="shared" si="43"/>
        <v>0</v>
      </c>
      <c r="R388" s="60">
        <f t="shared" si="44"/>
        <v>0</v>
      </c>
      <c r="S388" s="62" cm="1">
        <f t="array" ref="S388">_xlfn.IFNA(MATCH(SUMIFS(R:R,A:A,"="&amp;A388,B:B,"&lt;"&amp;(B388+1)),_xlfn._xlws.FILTER(AO:AO,AL:AL=A388),1),1)</f>
        <v>3</v>
      </c>
      <c r="T388" s="62">
        <f t="shared" si="45"/>
        <v>300</v>
      </c>
      <c r="U388" s="62"/>
      <c r="V388" s="62"/>
      <c r="W388" s="63"/>
      <c r="X388" s="30"/>
      <c r="Y388" s="64"/>
      <c r="Z388" s="64"/>
      <c r="AA388" s="23"/>
      <c r="AB388" s="24"/>
      <c r="AC388" s="25"/>
      <c r="AD388" s="25"/>
    </row>
    <row r="389" spans="1:30">
      <c r="A389" s="46">
        <f t="shared" si="41"/>
        <v>10</v>
      </c>
      <c r="B389" s="47">
        <v>1</v>
      </c>
      <c r="C389" s="47"/>
      <c r="D389" s="47"/>
      <c r="E389" s="14"/>
      <c r="F389" s="14" t="str">
        <f t="shared" si="46"/>
        <v/>
      </c>
      <c r="G389" s="14"/>
      <c r="H389" s="30"/>
      <c r="I389" s="17"/>
      <c r="J389" s="18">
        <f t="shared" si="40"/>
        <v>0</v>
      </c>
      <c r="K389" s="14" t="s">
        <v>2</v>
      </c>
      <c r="L389" s="29">
        <v>1</v>
      </c>
      <c r="M389" s="21">
        <v>5000</v>
      </c>
      <c r="N389" s="14"/>
      <c r="O389" s="22"/>
      <c r="P389" s="60">
        <f t="shared" si="42"/>
        <v>0</v>
      </c>
      <c r="Q389" s="60">
        <f t="shared" si="43"/>
        <v>0</v>
      </c>
      <c r="R389" s="60">
        <f t="shared" si="44"/>
        <v>20</v>
      </c>
      <c r="S389" s="62" cm="1">
        <f t="array" ref="S389">_xlfn.IFNA(MATCH(SUMIFS(R:R,A:A,"="&amp;A389,B:B,"&lt;"&amp;(B389+1)),_xlfn._xlws.FILTER(AO:AO,AL:AL=A389),1),1)</f>
        <v>1</v>
      </c>
      <c r="T389" s="62">
        <f t="shared" si="45"/>
        <v>20</v>
      </c>
      <c r="U389" s="62"/>
      <c r="V389" s="62"/>
      <c r="W389" s="63"/>
      <c r="X389" s="30"/>
      <c r="Y389" s="64"/>
      <c r="Z389" s="64"/>
      <c r="AA389" s="23"/>
      <c r="AB389" s="24"/>
      <c r="AC389" s="25"/>
      <c r="AD389" s="31">
        <f>SUM(E389:E431)</f>
        <v>89.93</v>
      </c>
    </row>
    <row r="390" spans="1:30">
      <c r="A390" s="46">
        <f t="shared" si="41"/>
        <v>10</v>
      </c>
      <c r="B390" s="47">
        <v>2</v>
      </c>
      <c r="C390" s="47"/>
      <c r="D390" s="47"/>
      <c r="E390" s="35">
        <v>5.99</v>
      </c>
      <c r="F390" s="14">
        <f t="shared" si="46"/>
        <v>119</v>
      </c>
      <c r="G390" s="36">
        <f>(E390+0.01)*F390*$AJ$2/100</f>
        <v>7140000</v>
      </c>
      <c r="H390" s="37">
        <f>SUM(G390)</f>
        <v>7140000</v>
      </c>
      <c r="I390" s="17">
        <f>SUM(E390)</f>
        <v>5.99</v>
      </c>
      <c r="J390" s="18">
        <f t="shared" si="40"/>
        <v>0</v>
      </c>
      <c r="K390" s="14" t="s">
        <v>2</v>
      </c>
      <c r="L390" s="29">
        <v>9</v>
      </c>
      <c r="M390" s="21">
        <f>G390</f>
        <v>7140000</v>
      </c>
      <c r="N390" s="36">
        <f>SUMIF(K390:K395,"="&amp;"金币",M390:M395)</f>
        <v>9148050</v>
      </c>
      <c r="O390" s="22">
        <f>N390/$AJ$2</f>
        <v>9.14805</v>
      </c>
      <c r="P390" s="60">
        <f t="shared" si="42"/>
        <v>0</v>
      </c>
      <c r="Q390" s="60">
        <f t="shared" si="43"/>
        <v>0</v>
      </c>
      <c r="R390" s="60">
        <f t="shared" si="44"/>
        <v>10</v>
      </c>
      <c r="S390" s="62" cm="1">
        <f t="array" ref="S390">_xlfn.IFNA(MATCH(SUMIFS(R:R,A:A,"="&amp;A390,B:B,"&lt;"&amp;(B390+1)),_xlfn._xlws.FILTER(AO:AO,AL:AL=A390),1),1)</f>
        <v>1</v>
      </c>
      <c r="T390" s="62">
        <f t="shared" si="45"/>
        <v>30</v>
      </c>
      <c r="U390" s="62" t="str">
        <f>_xlfn.IFNA(VLOOKUP(Q390,道具!B:C,2,FALSE),"")</f>
        <v/>
      </c>
      <c r="V390" s="62">
        <f>IF(U390=1,CEILING(W390*100/$AJ$2,5),IF(U390=2,J390*100,0))</f>
        <v>0</v>
      </c>
      <c r="W390" s="63">
        <f>IF(U390=1,J390*$AD$6,IF(U390=2,J390*$AJ$2,0))</f>
        <v>0</v>
      </c>
      <c r="X390" s="37">
        <f>SUM(N390)+SUM(W390)</f>
        <v>9148050</v>
      </c>
      <c r="Y390" s="66">
        <f>SUM(O390)</f>
        <v>9.14805</v>
      </c>
      <c r="Z390" s="66">
        <f>SUM(W390)</f>
        <v>0</v>
      </c>
      <c r="AA390" s="23">
        <f>X390/$AJ$2</f>
        <v>9.14805</v>
      </c>
      <c r="AB390" s="24">
        <f>X390/H390</f>
        <v>1.28123949579832</v>
      </c>
      <c r="AC390" s="25"/>
      <c r="AD390" s="26" t="s">
        <v>556</v>
      </c>
    </row>
    <row r="391" spans="1:30">
      <c r="A391" s="46">
        <f t="shared" si="41"/>
        <v>10</v>
      </c>
      <c r="B391" s="47">
        <v>3</v>
      </c>
      <c r="C391" s="47"/>
      <c r="D391" s="47"/>
      <c r="E391" s="14"/>
      <c r="F391" s="14" t="str">
        <f t="shared" si="46"/>
        <v/>
      </c>
      <c r="G391" s="14"/>
      <c r="H391" s="30"/>
      <c r="I391" s="17"/>
      <c r="J391" s="18">
        <f t="shared" si="40"/>
        <v>0</v>
      </c>
      <c r="K391" s="19" t="s">
        <v>408</v>
      </c>
      <c r="L391" s="38">
        <v>3</v>
      </c>
      <c r="M391" s="21">
        <v>1</v>
      </c>
      <c r="N391" s="14"/>
      <c r="O391" s="22"/>
      <c r="P391" s="60">
        <f t="shared" si="42"/>
        <v>0</v>
      </c>
      <c r="Q391" s="60">
        <f t="shared" si="43"/>
        <v>0</v>
      </c>
      <c r="R391" s="60">
        <f t="shared" si="44"/>
        <v>0</v>
      </c>
      <c r="S391" s="62" cm="1">
        <f t="array" ref="S391">_xlfn.IFNA(MATCH(SUMIFS(R:R,A:A,"="&amp;A391,B:B,"&lt;"&amp;(B391+1)),_xlfn._xlws.FILTER(AO:AO,AL:AL=A391),1),1)</f>
        <v>1</v>
      </c>
      <c r="T391" s="62">
        <f t="shared" si="45"/>
        <v>30</v>
      </c>
      <c r="U391" s="62"/>
      <c r="V391" s="62"/>
      <c r="W391" s="63"/>
      <c r="X391" s="30"/>
      <c r="Y391" s="64"/>
      <c r="Z391" s="64"/>
      <c r="AA391" s="23"/>
      <c r="AB391" s="24"/>
      <c r="AC391" s="25"/>
      <c r="AD391" s="39">
        <v>1.15</v>
      </c>
    </row>
    <row r="392" spans="1:30">
      <c r="A392" s="46">
        <f t="shared" si="41"/>
        <v>10</v>
      </c>
      <c r="B392" s="47">
        <v>4</v>
      </c>
      <c r="C392" s="47"/>
      <c r="D392" s="47"/>
      <c r="E392" s="14"/>
      <c r="F392" s="14" t="str">
        <f t="shared" si="46"/>
        <v/>
      </c>
      <c r="G392" s="14"/>
      <c r="H392" s="30"/>
      <c r="I392" s="17"/>
      <c r="J392" s="18">
        <f t="shared" si="40"/>
        <v>0.1</v>
      </c>
      <c r="K392" s="19" t="s">
        <v>2</v>
      </c>
      <c r="L392" s="38">
        <v>17</v>
      </c>
      <c r="M392" s="21">
        <f>J392*$AD$393</f>
        <v>2008050</v>
      </c>
      <c r="N392" s="14"/>
      <c r="O392" s="22"/>
      <c r="P392" s="60">
        <f t="shared" si="42"/>
        <v>0</v>
      </c>
      <c r="Q392" s="60">
        <f t="shared" si="43"/>
        <v>0</v>
      </c>
      <c r="R392" s="60">
        <f t="shared" si="44"/>
        <v>0</v>
      </c>
      <c r="S392" s="62" cm="1">
        <f t="array" ref="S392">_xlfn.IFNA(MATCH(SUMIFS(R:R,A:A,"="&amp;A392,B:B,"&lt;"&amp;(B392+1)),_xlfn._xlws.FILTER(AO:AO,AL:AL=A392),1),1)</f>
        <v>1</v>
      </c>
      <c r="T392" s="62">
        <f t="shared" si="45"/>
        <v>30</v>
      </c>
      <c r="U392" s="62"/>
      <c r="V392" s="62"/>
      <c r="W392" s="63"/>
      <c r="X392" s="30"/>
      <c r="Y392" s="64"/>
      <c r="Z392" s="64"/>
      <c r="AA392" s="23"/>
      <c r="AB392" s="24"/>
      <c r="AC392" s="25"/>
      <c r="AD392" s="26" t="s">
        <v>557</v>
      </c>
    </row>
    <row r="393" spans="1:30">
      <c r="A393" s="46">
        <f t="shared" si="41"/>
        <v>10</v>
      </c>
      <c r="B393" s="47">
        <v>5</v>
      </c>
      <c r="C393" s="47"/>
      <c r="D393" s="47"/>
      <c r="E393" s="14"/>
      <c r="F393" s="14" t="str">
        <f t="shared" si="46"/>
        <v/>
      </c>
      <c r="G393" s="14"/>
      <c r="H393" s="30"/>
      <c r="I393" s="17"/>
      <c r="J393" s="18">
        <f t="shared" ref="J393:J456" si="47">J350</f>
        <v>0</v>
      </c>
      <c r="K393" s="19" t="s">
        <v>457</v>
      </c>
      <c r="L393" s="38">
        <v>4</v>
      </c>
      <c r="M393" s="21">
        <v>1</v>
      </c>
      <c r="N393" s="14"/>
      <c r="O393" s="22"/>
      <c r="P393" s="60">
        <f t="shared" si="42"/>
        <v>0</v>
      </c>
      <c r="Q393" s="60">
        <f t="shared" si="43"/>
        <v>0</v>
      </c>
      <c r="R393" s="60">
        <f t="shared" si="44"/>
        <v>10</v>
      </c>
      <c r="S393" s="62" cm="1">
        <f t="array" ref="S393">_xlfn.IFNA(MATCH(SUMIFS(R:R,A:A,"="&amp;A393,B:B,"&lt;"&amp;(B393+1)),_xlfn._xlws.FILTER(AO:AO,AL:AL=A393),1),1)</f>
        <v>1</v>
      </c>
      <c r="T393" s="62">
        <f t="shared" si="45"/>
        <v>40</v>
      </c>
      <c r="U393" s="62"/>
      <c r="V393" s="62"/>
      <c r="W393" s="63"/>
      <c r="X393" s="30"/>
      <c r="Y393" s="64"/>
      <c r="Z393" s="64"/>
      <c r="AA393" s="23"/>
      <c r="AB393" s="24"/>
      <c r="AC393" s="25"/>
      <c r="AD393" s="40">
        <f>SUM(G389:G431)*(AD391-1)</f>
        <v>20080500</v>
      </c>
    </row>
    <row r="394" spans="1:30">
      <c r="A394" s="46">
        <f t="shared" si="41"/>
        <v>10</v>
      </c>
      <c r="B394" s="47">
        <v>6</v>
      </c>
      <c r="C394" s="47"/>
      <c r="D394" s="47"/>
      <c r="E394" s="14"/>
      <c r="F394" s="14" t="str">
        <f t="shared" si="46"/>
        <v/>
      </c>
      <c r="G394" s="14"/>
      <c r="H394" s="30"/>
      <c r="I394" s="17"/>
      <c r="J394" s="18">
        <f t="shared" si="47"/>
        <v>0</v>
      </c>
      <c r="K394" s="19" t="s">
        <v>453</v>
      </c>
      <c r="L394" s="38">
        <v>3</v>
      </c>
      <c r="M394" s="21">
        <v>5</v>
      </c>
      <c r="N394" s="14"/>
      <c r="O394" s="22"/>
      <c r="P394" s="60">
        <f t="shared" si="42"/>
        <v>0</v>
      </c>
      <c r="Q394" s="60">
        <f t="shared" si="43"/>
        <v>0</v>
      </c>
      <c r="R394" s="60">
        <f t="shared" si="44"/>
        <v>0</v>
      </c>
      <c r="S394" s="62" cm="1">
        <f t="array" ref="S394">_xlfn.IFNA(MATCH(SUMIFS(R:R,A:A,"="&amp;A394,B:B,"&lt;"&amp;(B394+1)),_xlfn._xlws.FILTER(AO:AO,AL:AL=A394),1),1)</f>
        <v>1</v>
      </c>
      <c r="T394" s="62">
        <f t="shared" si="45"/>
        <v>40</v>
      </c>
      <c r="U394" s="62"/>
      <c r="V394" s="62"/>
      <c r="W394" s="63"/>
      <c r="X394" s="30"/>
      <c r="Y394" s="64"/>
      <c r="Z394" s="64"/>
      <c r="AA394" s="23"/>
      <c r="AB394" s="24"/>
      <c r="AC394" s="25"/>
      <c r="AD394" s="24" t="s">
        <v>558</v>
      </c>
    </row>
    <row r="395" spans="1:30">
      <c r="A395" s="46">
        <f t="shared" si="41"/>
        <v>10</v>
      </c>
      <c r="B395" s="47">
        <v>7</v>
      </c>
      <c r="C395" s="47"/>
      <c r="D395" s="47"/>
      <c r="E395" s="14"/>
      <c r="F395" s="14" t="str">
        <f t="shared" si="46"/>
        <v/>
      </c>
      <c r="G395" s="14"/>
      <c r="H395" s="30"/>
      <c r="I395" s="17"/>
      <c r="J395" s="18">
        <f t="shared" si="47"/>
        <v>0</v>
      </c>
      <c r="K395" t="s">
        <v>424</v>
      </c>
      <c r="L395" s="38">
        <v>3</v>
      </c>
      <c r="M395" s="21">
        <v>1</v>
      </c>
      <c r="N395" s="14"/>
      <c r="O395" s="22"/>
      <c r="P395" s="60">
        <f t="shared" si="42"/>
        <v>0</v>
      </c>
      <c r="Q395" s="60">
        <f t="shared" si="43"/>
        <v>0</v>
      </c>
      <c r="R395" s="60">
        <f t="shared" si="44"/>
        <v>0</v>
      </c>
      <c r="S395" s="62" cm="1">
        <f t="array" ref="S395">_xlfn.IFNA(MATCH(SUMIFS(R:R,A:A,"="&amp;A395,B:B,"&lt;"&amp;(B395+1)),_xlfn._xlws.FILTER(AO:AO,AL:AL=A395),1),1)</f>
        <v>1</v>
      </c>
      <c r="T395" s="62">
        <f t="shared" si="45"/>
        <v>40</v>
      </c>
      <c r="U395" s="62"/>
      <c r="V395" s="62"/>
      <c r="W395" s="63"/>
      <c r="X395" s="30"/>
      <c r="Y395" s="64"/>
      <c r="Z395" s="64"/>
      <c r="AA395" s="23"/>
      <c r="AB395" s="24"/>
      <c r="AC395" s="25"/>
      <c r="AD395" s="24">
        <f>SUMIF(U389:U431,"&lt;&gt;2",J389:J431)+SUMIF(U389:U431,"=2",J389:J431)*$AJ$2/SUMIFS(AD:AD,A:A,"="&amp;A395,B:B,"=5")</f>
        <v>1.4</v>
      </c>
    </row>
    <row r="396" spans="1:30">
      <c r="A396" s="46">
        <f t="shared" si="41"/>
        <v>10</v>
      </c>
      <c r="B396" s="47">
        <v>8</v>
      </c>
      <c r="C396" s="47"/>
      <c r="D396" s="47"/>
      <c r="E396" s="14">
        <v>7.99</v>
      </c>
      <c r="F396" s="14">
        <f t="shared" si="46"/>
        <v>129</v>
      </c>
      <c r="G396" s="36">
        <f>(E396+0.01)*F396*$AJ$2/100</f>
        <v>10320000</v>
      </c>
      <c r="H396" s="37">
        <f>SUM(G390:G396)</f>
        <v>17460000</v>
      </c>
      <c r="I396" s="17">
        <f>SUM(E390:E396)</f>
        <v>13.98</v>
      </c>
      <c r="J396" s="18">
        <f t="shared" si="47"/>
        <v>0.12</v>
      </c>
      <c r="K396" s="14" t="s">
        <v>2</v>
      </c>
      <c r="L396" s="29">
        <v>9</v>
      </c>
      <c r="M396" s="21">
        <f>G396</f>
        <v>10320000</v>
      </c>
      <c r="N396" s="36">
        <f>SUMIF(K396:K401,"="&amp;"金币",M396:M401)</f>
        <v>10721610</v>
      </c>
      <c r="O396" s="22">
        <f>N396/$AJ$2</f>
        <v>10.72161</v>
      </c>
      <c r="P396" s="60">
        <f t="shared" si="42"/>
        <v>1</v>
      </c>
      <c r="Q396" s="60" t="str">
        <f t="shared" si="43"/>
        <v>金币</v>
      </c>
      <c r="R396" s="60">
        <f t="shared" si="44"/>
        <v>25</v>
      </c>
      <c r="S396" s="62" cm="1">
        <f t="array" ref="S396">_xlfn.IFNA(MATCH(SUMIFS(R:R,A:A,"="&amp;A396,B:B,"&lt;"&amp;(B396+1)),_xlfn._xlws.FILTER(AO:AO,AL:AL=A396),1),1)</f>
        <v>1</v>
      </c>
      <c r="T396" s="62">
        <f t="shared" si="45"/>
        <v>65</v>
      </c>
      <c r="U396" s="62">
        <f>_xlfn.IFNA(VLOOKUP(Q396,道具!B:C,2,FALSE),"")</f>
        <v>1</v>
      </c>
      <c r="V396" s="62">
        <f>IF(U396=1,CEILING(W396*100/$AJ$2,5),IF(U396=2,J396*100,0))</f>
        <v>110</v>
      </c>
      <c r="W396" s="63">
        <f>IF(U396=1,J396*$AD$6,IF(U396=2,J396*$AJ$2,0))</f>
        <v>1078740</v>
      </c>
      <c r="X396" s="37">
        <f>SUM(N390:N396)+SUM(W390:W396)</f>
        <v>20948400</v>
      </c>
      <c r="Y396" s="66">
        <f>SUM(O390:O396)</f>
        <v>19.86966</v>
      </c>
      <c r="Z396" s="66">
        <f>SUM(W390:W396)</f>
        <v>1078740</v>
      </c>
      <c r="AA396" s="23">
        <f>X396/$AJ$2</f>
        <v>20.9484</v>
      </c>
      <c r="AB396" s="24">
        <f>X396/H396</f>
        <v>1.19979381443299</v>
      </c>
      <c r="AC396" s="25"/>
      <c r="AD396" s="25"/>
    </row>
    <row r="397" spans="1:30">
      <c r="A397" s="46">
        <f t="shared" si="41"/>
        <v>10</v>
      </c>
      <c r="B397" s="47">
        <v>9</v>
      </c>
      <c r="C397" s="47"/>
      <c r="D397" s="47"/>
      <c r="E397" s="14"/>
      <c r="F397" s="14" t="str">
        <f t="shared" si="46"/>
        <v/>
      </c>
      <c r="G397" s="14"/>
      <c r="H397" s="30"/>
      <c r="I397" s="17"/>
      <c r="J397" s="18">
        <f t="shared" si="47"/>
        <v>0</v>
      </c>
      <c r="K397" s="19" t="s">
        <v>408</v>
      </c>
      <c r="L397" s="38">
        <v>3</v>
      </c>
      <c r="M397" s="21">
        <v>2</v>
      </c>
      <c r="N397" s="14"/>
      <c r="O397" s="22"/>
      <c r="P397" s="60">
        <f t="shared" si="42"/>
        <v>0</v>
      </c>
      <c r="Q397" s="60">
        <f t="shared" si="43"/>
        <v>0</v>
      </c>
      <c r="R397" s="60">
        <f t="shared" si="44"/>
        <v>0</v>
      </c>
      <c r="S397" s="62" cm="1">
        <f t="array" ref="S397">_xlfn.IFNA(MATCH(SUMIFS(R:R,A:A,"="&amp;A397,B:B,"&lt;"&amp;(B397+1)),_xlfn._xlws.FILTER(AO:AO,AL:AL=A397),1),1)</f>
        <v>1</v>
      </c>
      <c r="T397" s="62">
        <f t="shared" si="45"/>
        <v>65</v>
      </c>
      <c r="U397" s="62"/>
      <c r="V397" s="62"/>
      <c r="W397" s="63"/>
      <c r="X397" s="30"/>
      <c r="Y397" s="64"/>
      <c r="Z397" s="64"/>
      <c r="AA397" s="23"/>
      <c r="AB397" s="24"/>
      <c r="AC397" s="25"/>
      <c r="AD397" s="69"/>
    </row>
    <row r="398" spans="1:30">
      <c r="A398" s="46">
        <f t="shared" si="41"/>
        <v>10</v>
      </c>
      <c r="B398" s="47">
        <v>10</v>
      </c>
      <c r="C398" s="47"/>
      <c r="D398" s="47"/>
      <c r="E398" s="14"/>
      <c r="F398" s="14" t="str">
        <f t="shared" si="46"/>
        <v/>
      </c>
      <c r="G398" s="14"/>
      <c r="H398" s="30"/>
      <c r="I398" s="17"/>
      <c r="J398" s="18">
        <f t="shared" si="47"/>
        <v>0.02</v>
      </c>
      <c r="K398" s="19" t="s">
        <v>2</v>
      </c>
      <c r="L398" s="38">
        <v>17</v>
      </c>
      <c r="M398" s="21">
        <f>J398*$AD$393</f>
        <v>401610</v>
      </c>
      <c r="N398" s="14"/>
      <c r="O398" s="22"/>
      <c r="P398" s="60">
        <f t="shared" si="42"/>
        <v>0</v>
      </c>
      <c r="Q398" s="60">
        <f t="shared" si="43"/>
        <v>0</v>
      </c>
      <c r="R398" s="60">
        <f t="shared" si="44"/>
        <v>0</v>
      </c>
      <c r="S398" s="62" cm="1">
        <f t="array" ref="S398">_xlfn.IFNA(MATCH(SUMIFS(R:R,A:A,"="&amp;A398,B:B,"&lt;"&amp;(B398+1)),_xlfn._xlws.FILTER(AO:AO,AL:AL=A398),1),1)</f>
        <v>1</v>
      </c>
      <c r="T398" s="62">
        <f t="shared" si="45"/>
        <v>65</v>
      </c>
      <c r="U398" s="62"/>
      <c r="V398" s="62"/>
      <c r="W398" s="63"/>
      <c r="X398" s="30"/>
      <c r="Y398" s="64"/>
      <c r="Z398" s="64"/>
      <c r="AA398" s="23"/>
      <c r="AB398" s="24"/>
      <c r="AC398" s="25"/>
      <c r="AD398" s="25"/>
    </row>
    <row r="399" spans="1:30">
      <c r="A399" s="46">
        <f t="shared" si="41"/>
        <v>10</v>
      </c>
      <c r="B399" s="47">
        <v>11</v>
      </c>
      <c r="C399" s="47"/>
      <c r="D399" s="47"/>
      <c r="E399" s="14"/>
      <c r="F399" s="14" t="str">
        <f t="shared" si="46"/>
        <v/>
      </c>
      <c r="G399" s="14"/>
      <c r="H399" s="30"/>
      <c r="I399" s="17"/>
      <c r="J399" s="18">
        <f t="shared" si="47"/>
        <v>0</v>
      </c>
      <c r="K399" s="19" t="s">
        <v>459</v>
      </c>
      <c r="L399" s="38">
        <v>4</v>
      </c>
      <c r="M399" s="21">
        <v>1</v>
      </c>
      <c r="N399" s="14"/>
      <c r="O399" s="22"/>
      <c r="P399" s="60">
        <f t="shared" si="42"/>
        <v>0</v>
      </c>
      <c r="Q399" s="60">
        <f t="shared" si="43"/>
        <v>0</v>
      </c>
      <c r="R399" s="60">
        <f t="shared" si="44"/>
        <v>0</v>
      </c>
      <c r="S399" s="62" cm="1">
        <f t="array" ref="S399">_xlfn.IFNA(MATCH(SUMIFS(R:R,A:A,"="&amp;A399,B:B,"&lt;"&amp;(B399+1)),_xlfn._xlws.FILTER(AO:AO,AL:AL=A399),1),1)</f>
        <v>1</v>
      </c>
      <c r="T399" s="62">
        <f t="shared" si="45"/>
        <v>65</v>
      </c>
      <c r="U399" s="62"/>
      <c r="V399" s="62"/>
      <c r="W399" s="63"/>
      <c r="X399" s="30"/>
      <c r="Y399" s="64"/>
      <c r="Z399" s="64"/>
      <c r="AA399" s="23"/>
      <c r="AB399" s="24"/>
      <c r="AC399" s="25"/>
      <c r="AD399" s="25"/>
    </row>
    <row r="400" spans="1:30">
      <c r="A400" s="46">
        <f t="shared" si="41"/>
        <v>10</v>
      </c>
      <c r="B400" s="47">
        <v>12</v>
      </c>
      <c r="C400" s="47"/>
      <c r="D400" s="47"/>
      <c r="E400" s="14"/>
      <c r="F400" s="14" t="str">
        <f t="shared" si="46"/>
        <v/>
      </c>
      <c r="G400" s="14"/>
      <c r="H400" s="30"/>
      <c r="I400" s="17"/>
      <c r="J400" s="18">
        <f t="shared" si="47"/>
        <v>0</v>
      </c>
      <c r="K400" s="19" t="s">
        <v>453</v>
      </c>
      <c r="L400" s="38">
        <v>3</v>
      </c>
      <c r="M400" s="21">
        <v>10</v>
      </c>
      <c r="N400" s="14"/>
      <c r="O400" s="22"/>
      <c r="P400" s="60">
        <f t="shared" si="42"/>
        <v>0</v>
      </c>
      <c r="Q400" s="60">
        <f t="shared" si="43"/>
        <v>0</v>
      </c>
      <c r="R400" s="60">
        <f t="shared" si="44"/>
        <v>0</v>
      </c>
      <c r="S400" s="62" cm="1">
        <f t="array" ref="S400">_xlfn.IFNA(MATCH(SUMIFS(R:R,A:A,"="&amp;A400,B:B,"&lt;"&amp;(B400+1)),_xlfn._xlws.FILTER(AO:AO,AL:AL=A400),1),1)</f>
        <v>1</v>
      </c>
      <c r="T400" s="62">
        <f t="shared" si="45"/>
        <v>65</v>
      </c>
      <c r="U400" s="62"/>
      <c r="V400" s="62"/>
      <c r="W400" s="63"/>
      <c r="X400" s="30"/>
      <c r="Y400" s="64"/>
      <c r="Z400" s="64"/>
      <c r="AA400" s="23"/>
      <c r="AB400" s="24"/>
      <c r="AC400" s="25"/>
      <c r="AD400" s="25"/>
    </row>
    <row r="401" spans="1:30">
      <c r="A401" s="46">
        <f t="shared" si="41"/>
        <v>10</v>
      </c>
      <c r="B401" s="47">
        <v>13</v>
      </c>
      <c r="C401" s="47"/>
      <c r="D401" s="47"/>
      <c r="E401" s="14"/>
      <c r="F401" s="14" t="str">
        <f t="shared" si="46"/>
        <v/>
      </c>
      <c r="G401" s="14"/>
      <c r="H401" s="30"/>
      <c r="I401" s="17"/>
      <c r="J401" s="18">
        <f t="shared" si="47"/>
        <v>0</v>
      </c>
      <c r="K401" t="s">
        <v>426</v>
      </c>
      <c r="L401" s="38">
        <v>3</v>
      </c>
      <c r="M401" s="21">
        <v>1</v>
      </c>
      <c r="N401" s="14"/>
      <c r="O401" s="22"/>
      <c r="P401" s="60">
        <f t="shared" si="42"/>
        <v>0</v>
      </c>
      <c r="Q401" s="60">
        <f t="shared" si="43"/>
        <v>0</v>
      </c>
      <c r="R401" s="60">
        <f t="shared" si="44"/>
        <v>0</v>
      </c>
      <c r="S401" s="62" cm="1">
        <f t="array" ref="S401">_xlfn.IFNA(MATCH(SUMIFS(R:R,A:A,"="&amp;A401,B:B,"&lt;"&amp;(B401+1)),_xlfn._xlws.FILTER(AO:AO,AL:AL=A401),1),1)</f>
        <v>1</v>
      </c>
      <c r="T401" s="62">
        <f t="shared" si="45"/>
        <v>65</v>
      </c>
      <c r="U401" s="62"/>
      <c r="V401" s="62"/>
      <c r="W401" s="63"/>
      <c r="X401" s="30"/>
      <c r="Y401" s="64"/>
      <c r="Z401" s="64"/>
      <c r="AA401" s="23"/>
      <c r="AB401" s="24"/>
      <c r="AC401" s="25"/>
      <c r="AD401" s="25"/>
    </row>
    <row r="402" spans="1:30">
      <c r="A402" s="46">
        <f t="shared" si="41"/>
        <v>10</v>
      </c>
      <c r="B402" s="47">
        <v>14</v>
      </c>
      <c r="C402" s="47"/>
      <c r="D402" s="47"/>
      <c r="E402" s="14">
        <v>9.99</v>
      </c>
      <c r="F402" s="14">
        <f t="shared" si="46"/>
        <v>139</v>
      </c>
      <c r="G402" s="36">
        <f>(E402+0.01)*F402*$AJ$2/100</f>
        <v>13900000</v>
      </c>
      <c r="H402" s="37">
        <f>SUM(G390:G402)</f>
        <v>31360000</v>
      </c>
      <c r="I402" s="17">
        <f>SUM(E390:E402)</f>
        <v>23.97</v>
      </c>
      <c r="J402" s="18">
        <f t="shared" si="47"/>
        <v>0</v>
      </c>
      <c r="K402" s="14" t="s">
        <v>2</v>
      </c>
      <c r="L402" s="29">
        <v>9</v>
      </c>
      <c r="M402" s="21">
        <f>G402</f>
        <v>13900000</v>
      </c>
      <c r="N402" s="36">
        <f>SUMIF(K402:K407,"="&amp;"金币",M402:M407)</f>
        <v>15908050</v>
      </c>
      <c r="O402" s="22">
        <f>N402/$AJ$2</f>
        <v>15.90805</v>
      </c>
      <c r="P402" s="60">
        <f t="shared" si="42"/>
        <v>0</v>
      </c>
      <c r="Q402" s="60">
        <f t="shared" si="43"/>
        <v>0</v>
      </c>
      <c r="R402" s="60">
        <f t="shared" si="44"/>
        <v>35</v>
      </c>
      <c r="S402" s="62" cm="1">
        <f t="array" ref="S402">_xlfn.IFNA(MATCH(SUMIFS(R:R,A:A,"="&amp;A402,B:B,"&lt;"&amp;(B402+1)),_xlfn._xlws.FILTER(AO:AO,AL:AL=A402),1),1)</f>
        <v>1</v>
      </c>
      <c r="T402" s="62">
        <f t="shared" si="45"/>
        <v>100</v>
      </c>
      <c r="U402" s="62" t="str">
        <f>_xlfn.IFNA(VLOOKUP(Q402,道具!B:C,2,FALSE),"")</f>
        <v/>
      </c>
      <c r="V402" s="62"/>
      <c r="W402" s="63">
        <f>IF(U402=1,J402*$AD$6,IF(U402=2,J402*$AJ$2,0))</f>
        <v>0</v>
      </c>
      <c r="X402" s="37">
        <f>SUM(N390:N402)+SUM(W390:W402)</f>
        <v>36856450</v>
      </c>
      <c r="Y402" s="66">
        <f>SUM(O390:O402)</f>
        <v>35.77771</v>
      </c>
      <c r="Z402" s="66">
        <f>SUM(W390:W402)</f>
        <v>1078740</v>
      </c>
      <c r="AA402" s="23">
        <f>X402/$AJ$2</f>
        <v>36.85645</v>
      </c>
      <c r="AB402" s="24">
        <f>X402/H402</f>
        <v>1.17526945153061</v>
      </c>
      <c r="AC402" s="25"/>
      <c r="AD402" s="25"/>
    </row>
    <row r="403" spans="1:30">
      <c r="A403" s="46">
        <f t="shared" si="41"/>
        <v>10</v>
      </c>
      <c r="B403" s="47">
        <v>15</v>
      </c>
      <c r="C403" s="47"/>
      <c r="D403" s="47"/>
      <c r="E403" s="14"/>
      <c r="F403" s="14" t="str">
        <f t="shared" si="46"/>
        <v/>
      </c>
      <c r="G403" s="14"/>
      <c r="H403" s="30"/>
      <c r="I403" s="17"/>
      <c r="J403" s="18">
        <f t="shared" si="47"/>
        <v>0</v>
      </c>
      <c r="K403" s="19" t="s">
        <v>408</v>
      </c>
      <c r="L403" s="38">
        <v>3</v>
      </c>
      <c r="M403" s="21">
        <v>3</v>
      </c>
      <c r="N403" s="14"/>
      <c r="O403" s="22"/>
      <c r="P403" s="60">
        <f t="shared" si="42"/>
        <v>0</v>
      </c>
      <c r="Q403" s="60">
        <f t="shared" si="43"/>
        <v>0</v>
      </c>
      <c r="R403" s="60">
        <f t="shared" si="44"/>
        <v>0</v>
      </c>
      <c r="S403" s="62" cm="1">
        <f t="array" ref="S403">_xlfn.IFNA(MATCH(SUMIFS(R:R,A:A,"="&amp;A403,B:B,"&lt;"&amp;(B403+1)),_xlfn._xlws.FILTER(AO:AO,AL:AL=A403),1),1)</f>
        <v>1</v>
      </c>
      <c r="T403" s="62">
        <f t="shared" si="45"/>
        <v>100</v>
      </c>
      <c r="U403" s="62"/>
      <c r="V403" s="62"/>
      <c r="W403" s="63"/>
      <c r="X403" s="30"/>
      <c r="Y403" s="64"/>
      <c r="Z403" s="64"/>
      <c r="AA403" s="23"/>
      <c r="AB403" s="24"/>
      <c r="AC403" s="25"/>
      <c r="AD403" s="25"/>
    </row>
    <row r="404" spans="1:30">
      <c r="A404" s="46">
        <f t="shared" si="41"/>
        <v>10</v>
      </c>
      <c r="B404" s="47">
        <v>16</v>
      </c>
      <c r="C404" s="47"/>
      <c r="D404" s="47"/>
      <c r="E404" s="14"/>
      <c r="F404" s="14" t="str">
        <f t="shared" si="46"/>
        <v/>
      </c>
      <c r="G404" s="14"/>
      <c r="H404" s="30"/>
      <c r="I404" s="17"/>
      <c r="J404" s="18">
        <f t="shared" si="47"/>
        <v>0.1</v>
      </c>
      <c r="K404" s="19" t="s">
        <v>2</v>
      </c>
      <c r="L404" s="38">
        <v>17</v>
      </c>
      <c r="M404" s="21">
        <f>J404*$AD$393</f>
        <v>2008050</v>
      </c>
      <c r="N404" s="14"/>
      <c r="O404" s="22"/>
      <c r="P404" s="60">
        <f t="shared" si="42"/>
        <v>0</v>
      </c>
      <c r="Q404" s="60">
        <f t="shared" si="43"/>
        <v>0</v>
      </c>
      <c r="R404" s="60">
        <f t="shared" si="44"/>
        <v>0</v>
      </c>
      <c r="S404" s="62" cm="1">
        <f t="array" ref="S404">_xlfn.IFNA(MATCH(SUMIFS(R:R,A:A,"="&amp;A404,B:B,"&lt;"&amp;(B404+1)),_xlfn._xlws.FILTER(AO:AO,AL:AL=A404),1),1)</f>
        <v>1</v>
      </c>
      <c r="T404" s="62">
        <f t="shared" si="45"/>
        <v>100</v>
      </c>
      <c r="U404" s="62"/>
      <c r="V404" s="62"/>
      <c r="W404" s="63"/>
      <c r="X404" s="30"/>
      <c r="Y404" s="64"/>
      <c r="Z404" s="64"/>
      <c r="AA404" s="23"/>
      <c r="AB404" s="24"/>
      <c r="AC404" s="25"/>
      <c r="AD404" s="25"/>
    </row>
    <row r="405" spans="1:30">
      <c r="A405" s="46">
        <f t="shared" si="41"/>
        <v>10</v>
      </c>
      <c r="B405" s="47">
        <v>17</v>
      </c>
      <c r="C405" s="47"/>
      <c r="D405" s="47"/>
      <c r="E405" s="14"/>
      <c r="F405" s="14" t="str">
        <f t="shared" si="46"/>
        <v/>
      </c>
      <c r="G405" s="14"/>
      <c r="H405" s="30"/>
      <c r="I405" s="17"/>
      <c r="J405" s="18">
        <f t="shared" si="47"/>
        <v>0</v>
      </c>
      <c r="K405" s="19" t="s">
        <v>461</v>
      </c>
      <c r="L405" s="38">
        <v>4</v>
      </c>
      <c r="M405" s="21">
        <v>1</v>
      </c>
      <c r="N405" s="14"/>
      <c r="O405" s="22"/>
      <c r="P405" s="60">
        <f t="shared" si="42"/>
        <v>0</v>
      </c>
      <c r="Q405" s="60">
        <f t="shared" si="43"/>
        <v>0</v>
      </c>
      <c r="R405" s="60">
        <f t="shared" si="44"/>
        <v>25</v>
      </c>
      <c r="S405" s="62" cm="1">
        <f t="array" ref="S405">_xlfn.IFNA(MATCH(SUMIFS(R:R,A:A,"="&amp;A405,B:B,"&lt;"&amp;(B405+1)),_xlfn._xlws.FILTER(AO:AO,AL:AL=A405),1),1)</f>
        <v>1</v>
      </c>
      <c r="T405" s="62">
        <f t="shared" si="45"/>
        <v>125</v>
      </c>
      <c r="U405" s="62"/>
      <c r="V405" s="62"/>
      <c r="W405" s="63"/>
      <c r="X405" s="30"/>
      <c r="Y405" s="64"/>
      <c r="Z405" s="64"/>
      <c r="AA405" s="23"/>
      <c r="AB405" s="24"/>
      <c r="AC405" s="25"/>
      <c r="AD405" s="25"/>
    </row>
    <row r="406" spans="1:30">
      <c r="A406" s="46">
        <f t="shared" si="41"/>
        <v>10</v>
      </c>
      <c r="B406" s="47">
        <v>18</v>
      </c>
      <c r="C406" s="47"/>
      <c r="D406" s="47"/>
      <c r="E406" s="14"/>
      <c r="F406" s="14" t="str">
        <f t="shared" si="46"/>
        <v/>
      </c>
      <c r="G406" s="14"/>
      <c r="H406" s="30"/>
      <c r="I406" s="17"/>
      <c r="J406" s="18">
        <f t="shared" si="47"/>
        <v>0</v>
      </c>
      <c r="K406" s="19" t="s">
        <v>453</v>
      </c>
      <c r="L406" s="38">
        <v>3</v>
      </c>
      <c r="M406" s="21">
        <v>15</v>
      </c>
      <c r="N406" s="14"/>
      <c r="O406" s="22"/>
      <c r="P406" s="60">
        <f t="shared" si="42"/>
        <v>0</v>
      </c>
      <c r="Q406" s="60">
        <f t="shared" si="43"/>
        <v>0</v>
      </c>
      <c r="R406" s="60">
        <f t="shared" si="44"/>
        <v>0</v>
      </c>
      <c r="S406" s="62" cm="1">
        <f t="array" ref="S406">_xlfn.IFNA(MATCH(SUMIFS(R:R,A:A,"="&amp;A406,B:B,"&lt;"&amp;(B406+1)),_xlfn._xlws.FILTER(AO:AO,AL:AL=A406),1),1)</f>
        <v>1</v>
      </c>
      <c r="T406" s="62">
        <f t="shared" si="45"/>
        <v>125</v>
      </c>
      <c r="U406" s="62"/>
      <c r="V406" s="62"/>
      <c r="W406" s="63"/>
      <c r="X406" s="30"/>
      <c r="Y406" s="64"/>
      <c r="Z406" s="64"/>
      <c r="AA406" s="23"/>
      <c r="AB406" s="24"/>
      <c r="AC406" s="25"/>
      <c r="AD406" s="25"/>
    </row>
    <row r="407" spans="1:30">
      <c r="A407" s="46">
        <f t="shared" si="41"/>
        <v>10</v>
      </c>
      <c r="B407" s="47">
        <v>19</v>
      </c>
      <c r="C407" s="47"/>
      <c r="D407" s="47"/>
      <c r="E407" s="14"/>
      <c r="F407" s="14" t="str">
        <f t="shared" si="46"/>
        <v/>
      </c>
      <c r="G407" s="14"/>
      <c r="H407" s="30"/>
      <c r="I407" s="17"/>
      <c r="J407" s="18">
        <f t="shared" si="47"/>
        <v>0</v>
      </c>
      <c r="K407" t="s">
        <v>424</v>
      </c>
      <c r="L407" s="38">
        <v>3</v>
      </c>
      <c r="M407" s="21">
        <v>1</v>
      </c>
      <c r="N407" s="14"/>
      <c r="O407" s="22"/>
      <c r="P407" s="60">
        <f t="shared" si="42"/>
        <v>0</v>
      </c>
      <c r="Q407" s="60">
        <f t="shared" si="43"/>
        <v>0</v>
      </c>
      <c r="R407" s="60">
        <f t="shared" si="44"/>
        <v>0</v>
      </c>
      <c r="S407" s="62" cm="1">
        <f t="array" ref="S407">_xlfn.IFNA(MATCH(SUMIFS(R:R,A:A,"="&amp;A407,B:B,"&lt;"&amp;(B407+1)),_xlfn._xlws.FILTER(AO:AO,AL:AL=A407),1),1)</f>
        <v>1</v>
      </c>
      <c r="T407" s="62">
        <f t="shared" si="45"/>
        <v>125</v>
      </c>
      <c r="U407" s="62"/>
      <c r="V407" s="62"/>
      <c r="W407" s="63"/>
      <c r="X407" s="30"/>
      <c r="Y407" s="64"/>
      <c r="Z407" s="64"/>
      <c r="AA407" s="23"/>
      <c r="AB407" s="24"/>
      <c r="AC407" s="25"/>
      <c r="AD407" s="25"/>
    </row>
    <row r="408" spans="1:30">
      <c r="A408" s="46">
        <f t="shared" si="41"/>
        <v>10</v>
      </c>
      <c r="B408" s="47">
        <v>20</v>
      </c>
      <c r="C408" s="47"/>
      <c r="D408" s="47"/>
      <c r="E408" s="14">
        <v>12.99</v>
      </c>
      <c r="F408" s="14">
        <f t="shared" si="46"/>
        <v>149</v>
      </c>
      <c r="G408" s="36">
        <f>(E408+0.01)*F408*$AJ$2/100</f>
        <v>19370000</v>
      </c>
      <c r="H408" s="37">
        <f>SUM(G390:G408)</f>
        <v>50730000</v>
      </c>
      <c r="I408" s="17">
        <f>SUM(E390:E408)</f>
        <v>36.96</v>
      </c>
      <c r="J408" s="18">
        <f t="shared" si="47"/>
        <v>0.24</v>
      </c>
      <c r="K408" s="14" t="s">
        <v>2</v>
      </c>
      <c r="L408" s="29">
        <v>9</v>
      </c>
      <c r="M408" s="21">
        <f>G408</f>
        <v>19370000</v>
      </c>
      <c r="N408" s="36">
        <f>SUMIF(K408:K413,"="&amp;"金币",M408:M413)</f>
        <v>20976440</v>
      </c>
      <c r="O408" s="22">
        <f>N408/$AJ$2</f>
        <v>20.97644</v>
      </c>
      <c r="P408" s="60">
        <f t="shared" si="42"/>
        <v>2</v>
      </c>
      <c r="Q408" s="60" t="str">
        <f t="shared" si="43"/>
        <v>金币</v>
      </c>
      <c r="R408" s="60">
        <f t="shared" si="44"/>
        <v>0</v>
      </c>
      <c r="S408" s="62" cm="1">
        <f t="array" ref="S408">_xlfn.IFNA(MATCH(SUMIFS(R:R,A:A,"="&amp;A408,B:B,"&lt;"&amp;(B408+1)),_xlfn._xlws.FILTER(AO:AO,AL:AL=A408),1),1)</f>
        <v>1</v>
      </c>
      <c r="T408" s="62">
        <f t="shared" si="45"/>
        <v>125</v>
      </c>
      <c r="U408" s="62">
        <f>_xlfn.IFNA(VLOOKUP(Q408,道具!B:C,2,FALSE),"")</f>
        <v>1</v>
      </c>
      <c r="V408" s="62">
        <f>IF(U408=1,CEILING(W408*100/$AJ$2,5),IF(U408=2,J408*100,0))</f>
        <v>220</v>
      </c>
      <c r="W408" s="63">
        <f>IF(U408=1,J408*$AD$6,IF(U408=2,J408*$AJ$2,0))</f>
        <v>2157480</v>
      </c>
      <c r="X408" s="37">
        <f>SUM(N390:N408)+SUM(W390:W408)</f>
        <v>59990370</v>
      </c>
      <c r="Y408" s="66">
        <f>SUM(O390:O408)</f>
        <v>56.75415</v>
      </c>
      <c r="Z408" s="66">
        <f>SUM(W390:W408)</f>
        <v>3236220</v>
      </c>
      <c r="AA408" s="23">
        <f>X408/$AJ$2</f>
        <v>59.99037</v>
      </c>
      <c r="AB408" s="24">
        <f>X408/H408</f>
        <v>1.18254228267297</v>
      </c>
      <c r="AC408" s="25"/>
      <c r="AD408" s="25"/>
    </row>
    <row r="409" spans="1:30">
      <c r="A409" s="46">
        <f t="shared" si="41"/>
        <v>10</v>
      </c>
      <c r="B409" s="47">
        <v>21</v>
      </c>
      <c r="C409" s="47"/>
      <c r="D409" s="47"/>
      <c r="E409" s="14"/>
      <c r="F409" s="14" t="str">
        <f t="shared" si="46"/>
        <v/>
      </c>
      <c r="G409" s="14"/>
      <c r="H409" s="30"/>
      <c r="I409" s="17"/>
      <c r="J409" s="18">
        <f t="shared" si="47"/>
        <v>0</v>
      </c>
      <c r="K409" s="19" t="s">
        <v>408</v>
      </c>
      <c r="L409" s="38">
        <v>3</v>
      </c>
      <c r="M409" s="21">
        <v>4</v>
      </c>
      <c r="N409" s="14"/>
      <c r="O409" s="22"/>
      <c r="P409" s="60">
        <f t="shared" si="42"/>
        <v>0</v>
      </c>
      <c r="Q409" s="60">
        <f t="shared" si="43"/>
        <v>0</v>
      </c>
      <c r="R409" s="60">
        <f t="shared" si="44"/>
        <v>0</v>
      </c>
      <c r="S409" s="62" cm="1">
        <f t="array" ref="S409">_xlfn.IFNA(MATCH(SUMIFS(R:R,A:A,"="&amp;A409,B:B,"&lt;"&amp;(B409+1)),_xlfn._xlws.FILTER(AO:AO,AL:AL=A409),1),1)</f>
        <v>1</v>
      </c>
      <c r="T409" s="62">
        <f t="shared" si="45"/>
        <v>125</v>
      </c>
      <c r="U409" s="62"/>
      <c r="V409" s="62"/>
      <c r="W409" s="63"/>
      <c r="X409" s="30"/>
      <c r="Y409" s="64"/>
      <c r="Z409" s="64"/>
      <c r="AA409" s="23"/>
      <c r="AB409" s="24"/>
      <c r="AC409" s="25"/>
      <c r="AD409" s="25"/>
    </row>
    <row r="410" spans="1:30">
      <c r="A410" s="46">
        <f t="shared" si="41"/>
        <v>10</v>
      </c>
      <c r="B410" s="47">
        <v>22</v>
      </c>
      <c r="C410" s="47"/>
      <c r="D410" s="47"/>
      <c r="E410" s="14"/>
      <c r="F410" s="14" t="str">
        <f t="shared" si="46"/>
        <v/>
      </c>
      <c r="G410" s="14"/>
      <c r="H410" s="30"/>
      <c r="I410" s="17"/>
      <c r="J410" s="18">
        <f t="shared" si="47"/>
        <v>0.08</v>
      </c>
      <c r="K410" s="19" t="s">
        <v>2</v>
      </c>
      <c r="L410" s="38">
        <v>17</v>
      </c>
      <c r="M410" s="21">
        <f>J410*$AD$393</f>
        <v>1606440</v>
      </c>
      <c r="N410" s="14"/>
      <c r="O410" s="22"/>
      <c r="P410" s="60">
        <f t="shared" si="42"/>
        <v>0</v>
      </c>
      <c r="Q410" s="60">
        <f t="shared" si="43"/>
        <v>0</v>
      </c>
      <c r="R410" s="60">
        <f t="shared" si="44"/>
        <v>0</v>
      </c>
      <c r="S410" s="62" cm="1">
        <f t="array" ref="S410">_xlfn.IFNA(MATCH(SUMIFS(R:R,A:A,"="&amp;A410,B:B,"&lt;"&amp;(B410+1)),_xlfn._xlws.FILTER(AO:AO,AL:AL=A410),1),1)</f>
        <v>1</v>
      </c>
      <c r="T410" s="62">
        <f t="shared" si="45"/>
        <v>125</v>
      </c>
      <c r="U410" s="62"/>
      <c r="V410" s="62"/>
      <c r="W410" s="63"/>
      <c r="X410" s="30"/>
      <c r="Y410" s="64"/>
      <c r="Z410" s="64"/>
      <c r="AA410" s="23"/>
      <c r="AB410" s="24"/>
      <c r="AC410" s="25"/>
      <c r="AD410" s="25"/>
    </row>
    <row r="411" spans="1:30">
      <c r="A411" s="46">
        <f t="shared" si="41"/>
        <v>10</v>
      </c>
      <c r="B411" s="47">
        <v>23</v>
      </c>
      <c r="C411" s="47"/>
      <c r="D411" s="47"/>
      <c r="E411" s="14"/>
      <c r="F411" s="14" t="str">
        <f t="shared" si="46"/>
        <v/>
      </c>
      <c r="G411" s="14"/>
      <c r="H411" s="30"/>
      <c r="I411" s="17"/>
      <c r="J411" s="18">
        <f t="shared" si="47"/>
        <v>0</v>
      </c>
      <c r="K411" s="19" t="s">
        <v>461</v>
      </c>
      <c r="L411" s="38">
        <v>4</v>
      </c>
      <c r="M411" s="21">
        <v>1</v>
      </c>
      <c r="N411" s="14"/>
      <c r="O411" s="22"/>
      <c r="P411" s="60">
        <f t="shared" si="42"/>
        <v>0</v>
      </c>
      <c r="Q411" s="60">
        <f t="shared" si="43"/>
        <v>0</v>
      </c>
      <c r="R411" s="60">
        <f t="shared" si="44"/>
        <v>15</v>
      </c>
      <c r="S411" s="62" cm="1">
        <f t="array" ref="S411">_xlfn.IFNA(MATCH(SUMIFS(R:R,A:A,"="&amp;A411,B:B,"&lt;"&amp;(B411+1)),_xlfn._xlws.FILTER(AO:AO,AL:AL=A411),1),1)</f>
        <v>1</v>
      </c>
      <c r="T411" s="62">
        <f t="shared" si="45"/>
        <v>140</v>
      </c>
      <c r="U411" s="62"/>
      <c r="V411" s="62"/>
      <c r="W411" s="63"/>
      <c r="X411" s="30"/>
      <c r="Y411" s="64"/>
      <c r="Z411" s="64"/>
      <c r="AA411" s="23"/>
      <c r="AB411" s="24"/>
      <c r="AC411" s="25"/>
      <c r="AD411" s="25"/>
    </row>
    <row r="412" spans="1:30">
      <c r="A412" s="46">
        <f t="shared" si="41"/>
        <v>10</v>
      </c>
      <c r="B412" s="47">
        <v>24</v>
      </c>
      <c r="C412" s="47"/>
      <c r="D412" s="47"/>
      <c r="E412" s="14"/>
      <c r="F412" s="14" t="str">
        <f t="shared" si="46"/>
        <v/>
      </c>
      <c r="G412" s="14"/>
      <c r="H412" s="30"/>
      <c r="I412" s="17"/>
      <c r="J412" s="18">
        <f t="shared" si="47"/>
        <v>0</v>
      </c>
      <c r="K412" s="19" t="s">
        <v>453</v>
      </c>
      <c r="L412" s="38">
        <v>3</v>
      </c>
      <c r="M412" s="21">
        <v>20</v>
      </c>
      <c r="N412" s="14"/>
      <c r="O412" s="22"/>
      <c r="P412" s="60">
        <f t="shared" si="42"/>
        <v>0</v>
      </c>
      <c r="Q412" s="60">
        <f t="shared" si="43"/>
        <v>0</v>
      </c>
      <c r="R412" s="60">
        <f t="shared" si="44"/>
        <v>0</v>
      </c>
      <c r="S412" s="62" cm="1">
        <f t="array" ref="S412">_xlfn.IFNA(MATCH(SUMIFS(R:R,A:A,"="&amp;A412,B:B,"&lt;"&amp;(B412+1)),_xlfn._xlws.FILTER(AO:AO,AL:AL=A412),1),1)</f>
        <v>1</v>
      </c>
      <c r="T412" s="62">
        <f t="shared" si="45"/>
        <v>140</v>
      </c>
      <c r="U412" s="62"/>
      <c r="V412" s="62"/>
      <c r="W412" s="63"/>
      <c r="X412" s="30"/>
      <c r="Y412" s="64"/>
      <c r="Z412" s="64"/>
      <c r="AA412" s="23"/>
      <c r="AB412" s="24"/>
      <c r="AC412" s="25"/>
      <c r="AD412" s="25"/>
    </row>
    <row r="413" spans="1:30">
      <c r="A413" s="46">
        <f t="shared" si="41"/>
        <v>10</v>
      </c>
      <c r="B413" s="47">
        <v>25</v>
      </c>
      <c r="C413" s="47"/>
      <c r="D413" s="47"/>
      <c r="E413" s="14"/>
      <c r="F413" s="14" t="str">
        <f t="shared" si="46"/>
        <v/>
      </c>
      <c r="G413" s="14"/>
      <c r="H413" s="30"/>
      <c r="I413" s="17"/>
      <c r="J413" s="18">
        <f t="shared" si="47"/>
        <v>0</v>
      </c>
      <c r="K413" t="s">
        <v>426</v>
      </c>
      <c r="L413" s="38">
        <v>3</v>
      </c>
      <c r="M413" s="21">
        <v>1</v>
      </c>
      <c r="N413" s="14"/>
      <c r="O413" s="22"/>
      <c r="P413" s="60">
        <f t="shared" si="42"/>
        <v>0</v>
      </c>
      <c r="Q413" s="60">
        <f t="shared" si="43"/>
        <v>0</v>
      </c>
      <c r="R413" s="60">
        <f t="shared" si="44"/>
        <v>0</v>
      </c>
      <c r="S413" s="62" cm="1">
        <f t="array" ref="S413">_xlfn.IFNA(MATCH(SUMIFS(R:R,A:A,"="&amp;A413,B:B,"&lt;"&amp;(B413+1)),_xlfn._xlws.FILTER(AO:AO,AL:AL=A413),1),1)</f>
        <v>1</v>
      </c>
      <c r="T413" s="62">
        <f t="shared" si="45"/>
        <v>140</v>
      </c>
      <c r="U413" s="62"/>
      <c r="V413" s="62"/>
      <c r="W413" s="63"/>
      <c r="X413" s="30"/>
      <c r="Y413" s="64"/>
      <c r="Z413" s="64"/>
      <c r="AA413" s="23"/>
      <c r="AB413" s="24"/>
      <c r="AC413" s="25"/>
      <c r="AD413" s="25"/>
    </row>
    <row r="414" spans="1:30">
      <c r="A414" s="46">
        <f t="shared" si="41"/>
        <v>10</v>
      </c>
      <c r="B414" s="47">
        <v>26</v>
      </c>
      <c r="C414" s="47"/>
      <c r="D414" s="47"/>
      <c r="E414" s="14">
        <v>14.99</v>
      </c>
      <c r="F414" s="14">
        <f t="shared" si="46"/>
        <v>154</v>
      </c>
      <c r="G414" s="36">
        <f>(E414+0.01)*F414*$AJ$2/100</f>
        <v>23100000</v>
      </c>
      <c r="H414" s="37">
        <f>SUM(G390:G414)</f>
        <v>73830000</v>
      </c>
      <c r="I414" s="17">
        <f>SUM(E390:E414)</f>
        <v>51.95</v>
      </c>
      <c r="J414" s="18">
        <f t="shared" si="47"/>
        <v>0</v>
      </c>
      <c r="K414" s="14" t="s">
        <v>2</v>
      </c>
      <c r="L414" s="29">
        <v>9</v>
      </c>
      <c r="M414" s="21">
        <f>G414</f>
        <v>23100000</v>
      </c>
      <c r="N414" s="36">
        <f>SUMIF(K414:K419,"="&amp;"金币",M414:M419)</f>
        <v>24104025</v>
      </c>
      <c r="O414" s="22">
        <f>N414/$AJ$2</f>
        <v>24.104025</v>
      </c>
      <c r="P414" s="60">
        <f t="shared" si="42"/>
        <v>0</v>
      </c>
      <c r="Q414" s="60">
        <f t="shared" si="43"/>
        <v>0</v>
      </c>
      <c r="R414" s="60">
        <f t="shared" si="44"/>
        <v>10</v>
      </c>
      <c r="S414" s="62" cm="1">
        <f t="array" ref="S414">_xlfn.IFNA(MATCH(SUMIFS(R:R,A:A,"="&amp;A414,B:B,"&lt;"&amp;(B414+1)),_xlfn._xlws.FILTER(AO:AO,AL:AL=A414),1),1)</f>
        <v>2</v>
      </c>
      <c r="T414" s="62">
        <f t="shared" si="45"/>
        <v>150</v>
      </c>
      <c r="U414" s="62" t="str">
        <f>_xlfn.IFNA(VLOOKUP(Q414,道具!B:C,2,FALSE),"")</f>
        <v/>
      </c>
      <c r="V414" s="62">
        <f>IF(U414=1,CEILING(W414*100/$AJ$2,5),IF(U414=2,J414*100,0))</f>
        <v>0</v>
      </c>
      <c r="W414" s="63">
        <f>IF(U414=1,J414*$AD$6,IF(U414=2,J414*$AJ$2,0))</f>
        <v>0</v>
      </c>
      <c r="X414" s="37">
        <f>SUM(N390:N414)+SUM(W390:W414)</f>
        <v>84094395</v>
      </c>
      <c r="Y414" s="66">
        <f>SUM(O390:O414)</f>
        <v>80.858175</v>
      </c>
      <c r="Z414" s="66">
        <f>SUM(W390:W414)</f>
        <v>3236220</v>
      </c>
      <c r="AA414" s="23">
        <f>X414/$AJ$2</f>
        <v>84.094395</v>
      </c>
      <c r="AB414" s="24">
        <f>X414/H414</f>
        <v>1.13902742787485</v>
      </c>
      <c r="AC414" s="25"/>
      <c r="AD414" s="25"/>
    </row>
    <row r="415" spans="1:30">
      <c r="A415" s="46">
        <f t="shared" si="41"/>
        <v>10</v>
      </c>
      <c r="B415" s="47">
        <v>27</v>
      </c>
      <c r="C415" s="47"/>
      <c r="D415" s="47"/>
      <c r="E415" s="14"/>
      <c r="F415" s="14" t="str">
        <f t="shared" si="46"/>
        <v/>
      </c>
      <c r="G415" s="14"/>
      <c r="H415" s="30"/>
      <c r="I415" s="17"/>
      <c r="J415" s="18">
        <f t="shared" si="47"/>
        <v>0</v>
      </c>
      <c r="K415" s="19" t="s">
        <v>408</v>
      </c>
      <c r="L415" s="38">
        <v>3</v>
      </c>
      <c r="M415" s="21">
        <v>5</v>
      </c>
      <c r="N415" s="14"/>
      <c r="O415" s="22"/>
      <c r="P415" s="60">
        <f t="shared" si="42"/>
        <v>0</v>
      </c>
      <c r="Q415" s="60">
        <f t="shared" si="43"/>
        <v>0</v>
      </c>
      <c r="R415" s="60">
        <f t="shared" si="44"/>
        <v>0</v>
      </c>
      <c r="S415" s="62" cm="1">
        <f t="array" ref="S415">_xlfn.IFNA(MATCH(SUMIFS(R:R,A:A,"="&amp;A415,B:B,"&lt;"&amp;(B415+1)),_xlfn._xlws.FILTER(AO:AO,AL:AL=A415),1),1)</f>
        <v>2</v>
      </c>
      <c r="T415" s="62">
        <f t="shared" si="45"/>
        <v>150</v>
      </c>
      <c r="U415" s="62"/>
      <c r="V415" s="62"/>
      <c r="W415" s="63"/>
      <c r="X415" s="30"/>
      <c r="Y415" s="64"/>
      <c r="Z415" s="64"/>
      <c r="AA415" s="23"/>
      <c r="AB415" s="24"/>
      <c r="AC415" s="25"/>
      <c r="AD415" s="25"/>
    </row>
    <row r="416" spans="1:30">
      <c r="A416" s="46">
        <f t="shared" si="41"/>
        <v>10</v>
      </c>
      <c r="B416" s="47">
        <v>28</v>
      </c>
      <c r="C416" s="47"/>
      <c r="D416" s="47"/>
      <c r="E416" s="14"/>
      <c r="F416" s="14" t="str">
        <f t="shared" si="46"/>
        <v/>
      </c>
      <c r="G416" s="14"/>
      <c r="H416" s="30"/>
      <c r="I416" s="17"/>
      <c r="J416" s="18">
        <f t="shared" si="47"/>
        <v>0.05</v>
      </c>
      <c r="K416" s="19" t="s">
        <v>2</v>
      </c>
      <c r="L416" s="38">
        <v>17</v>
      </c>
      <c r="M416" s="21">
        <f>J416*$AD$393</f>
        <v>1004025</v>
      </c>
      <c r="N416" s="14"/>
      <c r="O416" s="22"/>
      <c r="P416" s="60">
        <f t="shared" si="42"/>
        <v>0</v>
      </c>
      <c r="Q416" s="60">
        <f t="shared" si="43"/>
        <v>0</v>
      </c>
      <c r="R416" s="60">
        <f t="shared" si="44"/>
        <v>0</v>
      </c>
      <c r="S416" s="62" cm="1">
        <f t="array" ref="S416">_xlfn.IFNA(MATCH(SUMIFS(R:R,A:A,"="&amp;A416,B:B,"&lt;"&amp;(B416+1)),_xlfn._xlws.FILTER(AO:AO,AL:AL=A416),1),1)</f>
        <v>2</v>
      </c>
      <c r="T416" s="62">
        <f t="shared" si="45"/>
        <v>150</v>
      </c>
      <c r="U416" s="62"/>
      <c r="V416" s="62"/>
      <c r="W416" s="63"/>
      <c r="X416" s="30"/>
      <c r="Y416" s="64"/>
      <c r="Z416" s="64"/>
      <c r="AA416" s="23"/>
      <c r="AB416" s="24"/>
      <c r="AC416" s="25"/>
      <c r="AD416" s="25"/>
    </row>
    <row r="417" spans="1:30">
      <c r="A417" s="46">
        <f t="shared" si="41"/>
        <v>10</v>
      </c>
      <c r="B417" s="47">
        <v>29</v>
      </c>
      <c r="C417" s="47"/>
      <c r="D417" s="47"/>
      <c r="E417" s="14"/>
      <c r="F417" s="14" t="str">
        <f t="shared" si="46"/>
        <v/>
      </c>
      <c r="G417" s="14"/>
      <c r="H417" s="30"/>
      <c r="I417" s="17"/>
      <c r="J417" s="18">
        <f t="shared" si="47"/>
        <v>0</v>
      </c>
      <c r="K417" s="19" t="s">
        <v>463</v>
      </c>
      <c r="L417" s="38">
        <v>4</v>
      </c>
      <c r="M417" s="21">
        <v>1</v>
      </c>
      <c r="N417" s="14"/>
      <c r="O417" s="22"/>
      <c r="P417" s="60">
        <f t="shared" si="42"/>
        <v>0</v>
      </c>
      <c r="Q417" s="60">
        <f t="shared" si="43"/>
        <v>0</v>
      </c>
      <c r="R417" s="60">
        <f t="shared" si="44"/>
        <v>25</v>
      </c>
      <c r="S417" s="62" cm="1">
        <f t="array" ref="S417">_xlfn.IFNA(MATCH(SUMIFS(R:R,A:A,"="&amp;A417,B:B,"&lt;"&amp;(B417+1)),_xlfn._xlws.FILTER(AO:AO,AL:AL=A417),1),1)</f>
        <v>2</v>
      </c>
      <c r="T417" s="62">
        <f t="shared" si="45"/>
        <v>175</v>
      </c>
      <c r="U417" s="62"/>
      <c r="V417" s="62"/>
      <c r="W417" s="63"/>
      <c r="X417" s="30"/>
      <c r="Y417" s="64"/>
      <c r="Z417" s="64"/>
      <c r="AA417" s="23"/>
      <c r="AB417" s="24"/>
      <c r="AC417" s="25"/>
      <c r="AD417" s="25"/>
    </row>
    <row r="418" spans="1:30">
      <c r="A418" s="46">
        <f t="shared" si="41"/>
        <v>10</v>
      </c>
      <c r="B418" s="47">
        <v>30</v>
      </c>
      <c r="C418" s="47"/>
      <c r="D418" s="47"/>
      <c r="E418" s="14"/>
      <c r="F418" s="14" t="str">
        <f t="shared" si="46"/>
        <v/>
      </c>
      <c r="G418" s="14"/>
      <c r="H418" s="30"/>
      <c r="I418" s="17"/>
      <c r="J418" s="18">
        <f t="shared" si="47"/>
        <v>0</v>
      </c>
      <c r="K418" s="19" t="s">
        <v>453</v>
      </c>
      <c r="L418" s="38">
        <v>3</v>
      </c>
      <c r="M418" s="21">
        <v>25</v>
      </c>
      <c r="N418" s="14"/>
      <c r="O418" s="22"/>
      <c r="P418" s="60">
        <f t="shared" si="42"/>
        <v>0</v>
      </c>
      <c r="Q418" s="60">
        <f t="shared" si="43"/>
        <v>0</v>
      </c>
      <c r="R418" s="60">
        <f t="shared" si="44"/>
        <v>0</v>
      </c>
      <c r="S418" s="62" cm="1">
        <f t="array" ref="S418">_xlfn.IFNA(MATCH(SUMIFS(R:R,A:A,"="&amp;A418,B:B,"&lt;"&amp;(B418+1)),_xlfn._xlws.FILTER(AO:AO,AL:AL=A418),1),1)</f>
        <v>2</v>
      </c>
      <c r="T418" s="62">
        <f t="shared" si="45"/>
        <v>175</v>
      </c>
      <c r="U418" s="62"/>
      <c r="V418" s="62"/>
      <c r="W418" s="63"/>
      <c r="X418" s="30"/>
      <c r="Y418" s="64"/>
      <c r="Z418" s="64"/>
      <c r="AA418" s="23"/>
      <c r="AB418" s="24"/>
      <c r="AC418" s="25"/>
      <c r="AD418" s="25"/>
    </row>
    <row r="419" spans="1:30">
      <c r="A419" s="46">
        <f t="shared" si="41"/>
        <v>10</v>
      </c>
      <c r="B419" s="47">
        <v>31</v>
      </c>
      <c r="C419" s="47"/>
      <c r="D419" s="47"/>
      <c r="E419" s="14"/>
      <c r="F419" s="14" t="str">
        <f t="shared" si="46"/>
        <v/>
      </c>
      <c r="G419" s="14"/>
      <c r="H419" s="30"/>
      <c r="I419" s="17"/>
      <c r="J419" s="18">
        <f t="shared" si="47"/>
        <v>0</v>
      </c>
      <c r="K419" t="s">
        <v>424</v>
      </c>
      <c r="L419" s="38">
        <v>3</v>
      </c>
      <c r="M419" s="21">
        <v>1</v>
      </c>
      <c r="N419" s="14"/>
      <c r="O419" s="22"/>
      <c r="P419" s="60">
        <f t="shared" si="42"/>
        <v>0</v>
      </c>
      <c r="Q419" s="60">
        <f t="shared" si="43"/>
        <v>0</v>
      </c>
      <c r="R419" s="60">
        <f t="shared" si="44"/>
        <v>0</v>
      </c>
      <c r="S419" s="62" cm="1">
        <f t="array" ref="S419">_xlfn.IFNA(MATCH(SUMIFS(R:R,A:A,"="&amp;A419,B:B,"&lt;"&amp;(B419+1)),_xlfn._xlws.FILTER(AO:AO,AL:AL=A419),1),1)</f>
        <v>2</v>
      </c>
      <c r="T419" s="62">
        <f t="shared" si="45"/>
        <v>175</v>
      </c>
      <c r="U419" s="62"/>
      <c r="V419" s="62"/>
      <c r="W419" s="63"/>
      <c r="X419" s="30"/>
      <c r="Y419" s="64"/>
      <c r="Z419" s="64"/>
      <c r="AA419" s="23"/>
      <c r="AB419" s="24"/>
      <c r="AC419" s="25"/>
      <c r="AD419" s="25"/>
    </row>
    <row r="420" spans="1:30">
      <c r="A420" s="46">
        <f t="shared" si="41"/>
        <v>10</v>
      </c>
      <c r="B420" s="47">
        <v>32</v>
      </c>
      <c r="C420" s="47"/>
      <c r="D420" s="47"/>
      <c r="E420" s="14">
        <v>17.99</v>
      </c>
      <c r="F420" s="14">
        <f t="shared" si="46"/>
        <v>158</v>
      </c>
      <c r="G420" s="36">
        <f>(E420+0.01)*F420*$AJ$2/100</f>
        <v>28440000</v>
      </c>
      <c r="H420" s="37">
        <f>SUM(G390:G420)</f>
        <v>102270000</v>
      </c>
      <c r="I420" s="17">
        <f>SUM(E390:E420)</f>
        <v>69.94</v>
      </c>
      <c r="J420" s="18">
        <f t="shared" si="47"/>
        <v>0</v>
      </c>
      <c r="K420" s="14" t="s">
        <v>2</v>
      </c>
      <c r="L420" s="29">
        <v>9</v>
      </c>
      <c r="M420" s="21">
        <f>G420</f>
        <v>28440000</v>
      </c>
      <c r="N420" s="36">
        <f>SUMIF(K420:K425,"="&amp;"金币",M420:M425)</f>
        <v>30849660</v>
      </c>
      <c r="O420" s="22">
        <f>N420/$AJ$2</f>
        <v>30.84966</v>
      </c>
      <c r="P420" s="60">
        <f t="shared" si="42"/>
        <v>0</v>
      </c>
      <c r="Q420" s="60">
        <f t="shared" si="43"/>
        <v>0</v>
      </c>
      <c r="R420" s="60">
        <f t="shared" si="44"/>
        <v>25</v>
      </c>
      <c r="S420" s="62" cm="1">
        <f t="array" ref="S420">_xlfn.IFNA(MATCH(SUMIFS(R:R,A:A,"="&amp;A420,B:B,"&lt;"&amp;(B420+1)),_xlfn._xlws.FILTER(AO:AO,AL:AL=A420),1),1)</f>
        <v>2</v>
      </c>
      <c r="T420" s="62">
        <f t="shared" si="45"/>
        <v>200</v>
      </c>
      <c r="U420" s="62" t="str">
        <f>_xlfn.IFNA(VLOOKUP(Q420,道具!B:C,2,FALSE),"")</f>
        <v/>
      </c>
      <c r="V420" s="62">
        <f>IF(U420=1,CEILING(W420*100/$AJ$2,5),IF(U420=2,J420*100,0))</f>
        <v>0</v>
      </c>
      <c r="W420" s="63">
        <f>IF(U420=1,J420*$AD$6,IF(U420=2,J420*$AJ$2,0))</f>
        <v>0</v>
      </c>
      <c r="X420" s="37">
        <f>SUM(N390:N420)+SUM(W390:W420)</f>
        <v>114944055</v>
      </c>
      <c r="Y420" s="66">
        <f>SUM(O390:O420)</f>
        <v>111.707835</v>
      </c>
      <c r="Z420" s="66">
        <f>SUM(W390:W420)</f>
        <v>3236220</v>
      </c>
      <c r="AA420" s="23">
        <f>X420/$AJ$2</f>
        <v>114.944055</v>
      </c>
      <c r="AB420" s="24">
        <f>X420/H420</f>
        <v>1.12392739806395</v>
      </c>
      <c r="AC420" s="25"/>
      <c r="AD420" s="25"/>
    </row>
    <row r="421" spans="1:30">
      <c r="A421" s="46">
        <f t="shared" si="41"/>
        <v>10</v>
      </c>
      <c r="B421" s="47">
        <v>33</v>
      </c>
      <c r="C421" s="47"/>
      <c r="D421" s="47"/>
      <c r="E421" s="14"/>
      <c r="F421" s="14" t="str">
        <f t="shared" si="46"/>
        <v/>
      </c>
      <c r="G421" s="14"/>
      <c r="H421" s="30"/>
      <c r="I421" s="17"/>
      <c r="J421" s="18">
        <f t="shared" si="47"/>
        <v>0</v>
      </c>
      <c r="K421" s="19" t="s">
        <v>408</v>
      </c>
      <c r="L421" s="38">
        <v>3</v>
      </c>
      <c r="M421" s="21">
        <v>6</v>
      </c>
      <c r="N421" s="14"/>
      <c r="O421" s="22"/>
      <c r="P421" s="60">
        <f t="shared" si="42"/>
        <v>0</v>
      </c>
      <c r="Q421" s="60">
        <f t="shared" si="43"/>
        <v>0</v>
      </c>
      <c r="R421" s="60">
        <f t="shared" si="44"/>
        <v>0</v>
      </c>
      <c r="S421" s="62" cm="1">
        <f t="array" ref="S421">_xlfn.IFNA(MATCH(SUMIFS(R:R,A:A,"="&amp;A421,B:B,"&lt;"&amp;(B421+1)),_xlfn._xlws.FILTER(AO:AO,AL:AL=A421),1),1)</f>
        <v>2</v>
      </c>
      <c r="T421" s="62">
        <f t="shared" si="45"/>
        <v>200</v>
      </c>
      <c r="U421" s="62"/>
      <c r="V421" s="62"/>
      <c r="W421" s="63"/>
      <c r="X421" s="30"/>
      <c r="Y421" s="64"/>
      <c r="Z421" s="64"/>
      <c r="AA421" s="23"/>
      <c r="AB421" s="24"/>
      <c r="AC421" s="25"/>
      <c r="AD421" s="25"/>
    </row>
    <row r="422" spans="1:30">
      <c r="A422" s="46">
        <f t="shared" si="41"/>
        <v>10</v>
      </c>
      <c r="B422" s="47">
        <v>34</v>
      </c>
      <c r="C422" s="47"/>
      <c r="D422" s="47"/>
      <c r="E422" s="14"/>
      <c r="F422" s="14" t="str">
        <f t="shared" si="46"/>
        <v/>
      </c>
      <c r="G422" s="14"/>
      <c r="H422" s="30"/>
      <c r="I422" s="17"/>
      <c r="J422" s="18">
        <f t="shared" si="47"/>
        <v>0.12</v>
      </c>
      <c r="K422" s="19" t="s">
        <v>2</v>
      </c>
      <c r="L422" s="38">
        <v>17</v>
      </c>
      <c r="M422" s="21">
        <f>J422*$AD$393</f>
        <v>2409660</v>
      </c>
      <c r="N422" s="14"/>
      <c r="O422" s="22"/>
      <c r="P422" s="60">
        <f t="shared" si="42"/>
        <v>0</v>
      </c>
      <c r="Q422" s="60">
        <f t="shared" si="43"/>
        <v>0</v>
      </c>
      <c r="R422" s="60">
        <f t="shared" si="44"/>
        <v>0</v>
      </c>
      <c r="S422" s="62" cm="1">
        <f t="array" ref="S422">_xlfn.IFNA(MATCH(SUMIFS(R:R,A:A,"="&amp;A422,B:B,"&lt;"&amp;(B422+1)),_xlfn._xlws.FILTER(AO:AO,AL:AL=A422),1),1)</f>
        <v>2</v>
      </c>
      <c r="T422" s="62">
        <f t="shared" si="45"/>
        <v>200</v>
      </c>
      <c r="U422" s="62"/>
      <c r="V422" s="62"/>
      <c r="W422" s="63"/>
      <c r="X422" s="30"/>
      <c r="Y422" s="64"/>
      <c r="Z422" s="64"/>
      <c r="AA422" s="23"/>
      <c r="AB422" s="24"/>
      <c r="AC422" s="25"/>
      <c r="AD422" s="25"/>
    </row>
    <row r="423" spans="1:30">
      <c r="A423" s="46">
        <f t="shared" si="41"/>
        <v>10</v>
      </c>
      <c r="B423" s="47">
        <v>35</v>
      </c>
      <c r="C423" s="47"/>
      <c r="D423" s="47"/>
      <c r="E423" s="14"/>
      <c r="F423" s="14" t="str">
        <f t="shared" si="46"/>
        <v/>
      </c>
      <c r="G423" s="14"/>
      <c r="H423" s="30"/>
      <c r="I423" s="17"/>
      <c r="J423" s="18">
        <f t="shared" si="47"/>
        <v>0</v>
      </c>
      <c r="K423" s="19" t="s">
        <v>463</v>
      </c>
      <c r="L423" s="38">
        <v>4</v>
      </c>
      <c r="M423" s="21">
        <v>1</v>
      </c>
      <c r="N423" s="14"/>
      <c r="O423" s="22"/>
      <c r="P423" s="60">
        <f t="shared" si="42"/>
        <v>0</v>
      </c>
      <c r="Q423" s="60">
        <f t="shared" si="43"/>
        <v>0</v>
      </c>
      <c r="R423" s="60">
        <f t="shared" si="44"/>
        <v>15</v>
      </c>
      <c r="S423" s="62" cm="1">
        <f t="array" ref="S423">_xlfn.IFNA(MATCH(SUMIFS(R:R,A:A,"="&amp;A423,B:B,"&lt;"&amp;(B423+1)),_xlfn._xlws.FILTER(AO:AO,AL:AL=A423),1),1)</f>
        <v>2</v>
      </c>
      <c r="T423" s="62">
        <f t="shared" si="45"/>
        <v>215</v>
      </c>
      <c r="U423" s="62"/>
      <c r="V423" s="62"/>
      <c r="W423" s="63"/>
      <c r="X423" s="30"/>
      <c r="Y423" s="64"/>
      <c r="Z423" s="64"/>
      <c r="AA423" s="23"/>
      <c r="AB423" s="24"/>
      <c r="AC423" s="25"/>
      <c r="AD423" s="25"/>
    </row>
    <row r="424" spans="1:30">
      <c r="A424" s="46">
        <f t="shared" si="41"/>
        <v>10</v>
      </c>
      <c r="B424" s="47">
        <v>36</v>
      </c>
      <c r="C424" s="47"/>
      <c r="D424" s="47"/>
      <c r="E424" s="14"/>
      <c r="F424" s="14" t="str">
        <f t="shared" si="46"/>
        <v/>
      </c>
      <c r="G424" s="14"/>
      <c r="H424" s="30"/>
      <c r="I424" s="17"/>
      <c r="J424" s="18">
        <f t="shared" si="47"/>
        <v>0</v>
      </c>
      <c r="K424" s="19" t="s">
        <v>453</v>
      </c>
      <c r="L424" s="38">
        <v>3</v>
      </c>
      <c r="M424" s="21">
        <v>30</v>
      </c>
      <c r="N424" s="14"/>
      <c r="O424" s="22"/>
      <c r="P424" s="60">
        <f t="shared" si="42"/>
        <v>0</v>
      </c>
      <c r="Q424" s="60">
        <f t="shared" si="43"/>
        <v>0</v>
      </c>
      <c r="R424" s="60">
        <f t="shared" si="44"/>
        <v>0</v>
      </c>
      <c r="S424" s="62" cm="1">
        <f t="array" ref="S424">_xlfn.IFNA(MATCH(SUMIFS(R:R,A:A,"="&amp;A424,B:B,"&lt;"&amp;(B424+1)),_xlfn._xlws.FILTER(AO:AO,AL:AL=A424),1),1)</f>
        <v>2</v>
      </c>
      <c r="T424" s="62">
        <f t="shared" si="45"/>
        <v>215</v>
      </c>
      <c r="U424" s="62"/>
      <c r="V424" s="62"/>
      <c r="W424" s="63"/>
      <c r="X424" s="30"/>
      <c r="Y424" s="64"/>
      <c r="Z424" s="64"/>
      <c r="AA424" s="23"/>
      <c r="AB424" s="24"/>
      <c r="AC424" s="25"/>
      <c r="AD424" s="25"/>
    </row>
    <row r="425" spans="1:30">
      <c r="A425" s="46">
        <f t="shared" si="41"/>
        <v>10</v>
      </c>
      <c r="B425" s="47">
        <v>37</v>
      </c>
      <c r="C425" s="47"/>
      <c r="D425" s="47"/>
      <c r="E425" s="14"/>
      <c r="F425" s="14" t="str">
        <f t="shared" si="46"/>
        <v/>
      </c>
      <c r="G425" s="14"/>
      <c r="H425" s="30"/>
      <c r="I425" s="17"/>
      <c r="J425" s="18">
        <f t="shared" si="47"/>
        <v>0</v>
      </c>
      <c r="K425" t="s">
        <v>426</v>
      </c>
      <c r="L425" s="38">
        <v>3</v>
      </c>
      <c r="M425" s="21">
        <v>1</v>
      </c>
      <c r="N425" s="14"/>
      <c r="O425" s="22"/>
      <c r="P425" s="60">
        <f t="shared" si="42"/>
        <v>0</v>
      </c>
      <c r="Q425" s="60">
        <f t="shared" si="43"/>
        <v>0</v>
      </c>
      <c r="R425" s="60">
        <f t="shared" si="44"/>
        <v>0</v>
      </c>
      <c r="S425" s="62" cm="1">
        <f t="array" ref="S425">_xlfn.IFNA(MATCH(SUMIFS(R:R,A:A,"="&amp;A425,B:B,"&lt;"&amp;(B425+1)),_xlfn._xlws.FILTER(AO:AO,AL:AL=A425),1),1)</f>
        <v>2</v>
      </c>
      <c r="T425" s="62">
        <f t="shared" si="45"/>
        <v>215</v>
      </c>
      <c r="U425" s="62"/>
      <c r="V425" s="62"/>
      <c r="W425" s="63"/>
      <c r="X425" s="30"/>
      <c r="Y425" s="64"/>
      <c r="Z425" s="64"/>
      <c r="AA425" s="23"/>
      <c r="AB425" s="24"/>
      <c r="AC425" s="25"/>
      <c r="AD425" s="25"/>
    </row>
    <row r="426" spans="1:30">
      <c r="A426" s="46">
        <f t="shared" si="41"/>
        <v>10</v>
      </c>
      <c r="B426" s="47">
        <v>38</v>
      </c>
      <c r="C426" s="47"/>
      <c r="D426" s="47"/>
      <c r="E426" s="14">
        <v>19.99</v>
      </c>
      <c r="F426" s="14">
        <f t="shared" si="46"/>
        <v>158</v>
      </c>
      <c r="G426" s="36">
        <f>(E426+0.01)*F426*$AJ$2/100</f>
        <v>31600000</v>
      </c>
      <c r="H426" s="37">
        <f>SUM(G390:G426)</f>
        <v>133870000</v>
      </c>
      <c r="I426" s="17">
        <f>SUM(E390:E426)</f>
        <v>89.93</v>
      </c>
      <c r="J426" s="18">
        <f t="shared" si="47"/>
        <v>0.45</v>
      </c>
      <c r="K426" s="14" t="s">
        <v>2</v>
      </c>
      <c r="L426" s="29">
        <v>9</v>
      </c>
      <c r="M426" s="21">
        <f>G426</f>
        <v>31600000</v>
      </c>
      <c r="N426" s="36">
        <f>SUMIF(K426:K431,"="&amp;"金币",M426:M431)</f>
        <v>34009660</v>
      </c>
      <c r="O426" s="22">
        <f>N426/$AJ$2</f>
        <v>34.00966</v>
      </c>
      <c r="P426" s="60">
        <f t="shared" si="42"/>
        <v>3</v>
      </c>
      <c r="Q426" s="60" t="str">
        <f t="shared" si="43"/>
        <v>金币</v>
      </c>
      <c r="R426" s="60">
        <f t="shared" si="44"/>
        <v>35</v>
      </c>
      <c r="S426" s="62" cm="1">
        <f t="array" ref="S426">_xlfn.IFNA(MATCH(SUMIFS(R:R,A:A,"="&amp;A426,B:B,"&lt;"&amp;(B426+1)),_xlfn._xlws.FILTER(AO:AO,AL:AL=A426),1),1)</f>
        <v>2</v>
      </c>
      <c r="T426" s="62">
        <f t="shared" si="45"/>
        <v>250</v>
      </c>
      <c r="U426" s="62">
        <f>_xlfn.IFNA(VLOOKUP(Q426,道具!B:C,2,FALSE),"")</f>
        <v>1</v>
      </c>
      <c r="V426" s="62">
        <f>IF(U426=1,CEILING(W426*100/$AJ$2,5),IF(U426=2,J426*100,0))</f>
        <v>405</v>
      </c>
      <c r="W426" s="63">
        <f>IF(U426=1,J426*$AD$6,IF(U426=2,J426*$AJ$2,0))</f>
        <v>4045275</v>
      </c>
      <c r="X426" s="37">
        <f>SUM(N390:N426)+SUM(W390:W426)</f>
        <v>152998990</v>
      </c>
      <c r="Y426" s="66">
        <f>SUM(O390:O426)</f>
        <v>145.717495</v>
      </c>
      <c r="Z426" s="66">
        <f>SUM(W390:W426)</f>
        <v>7281494.99999999</v>
      </c>
      <c r="AA426" s="23">
        <f>X426/$AJ$2</f>
        <v>152.99899</v>
      </c>
      <c r="AB426" s="24">
        <f>X426/H426</f>
        <v>1.14289228355868</v>
      </c>
      <c r="AC426" s="25"/>
      <c r="AD426" s="25"/>
    </row>
    <row r="427" spans="1:30">
      <c r="A427" s="46">
        <f t="shared" si="41"/>
        <v>10</v>
      </c>
      <c r="B427" s="47">
        <v>39</v>
      </c>
      <c r="C427" s="47"/>
      <c r="D427" s="47"/>
      <c r="E427" s="14"/>
      <c r="F427" s="14" t="str">
        <f t="shared" si="46"/>
        <v/>
      </c>
      <c r="G427" s="14"/>
      <c r="H427" s="30"/>
      <c r="I427" s="17"/>
      <c r="J427" s="18">
        <f t="shared" si="47"/>
        <v>0</v>
      </c>
      <c r="K427" s="19" t="s">
        <v>408</v>
      </c>
      <c r="L427" s="38">
        <v>3</v>
      </c>
      <c r="M427" s="21">
        <v>7</v>
      </c>
      <c r="N427" s="14"/>
      <c r="O427" s="22"/>
      <c r="P427" s="60">
        <f t="shared" si="42"/>
        <v>0</v>
      </c>
      <c r="Q427" s="60">
        <f t="shared" si="43"/>
        <v>0</v>
      </c>
      <c r="R427" s="60">
        <f t="shared" si="44"/>
        <v>0</v>
      </c>
      <c r="S427" s="62" cm="1">
        <f t="array" ref="S427">_xlfn.IFNA(MATCH(SUMIFS(R:R,A:A,"="&amp;A427,B:B,"&lt;"&amp;(B427+1)),_xlfn._xlws.FILTER(AO:AO,AL:AL=A427),1),1)</f>
        <v>2</v>
      </c>
      <c r="T427" s="62">
        <f t="shared" si="45"/>
        <v>250</v>
      </c>
      <c r="U427" s="62"/>
      <c r="V427" s="62"/>
      <c r="W427" s="63"/>
      <c r="X427" s="30"/>
      <c r="Y427" s="64"/>
      <c r="Z427" s="64"/>
      <c r="AA427" s="23"/>
      <c r="AB427" s="24"/>
      <c r="AC427" s="25"/>
      <c r="AD427" s="25"/>
    </row>
    <row r="428" spans="1:30">
      <c r="A428" s="46">
        <f t="shared" si="41"/>
        <v>10</v>
      </c>
      <c r="B428" s="47">
        <v>40</v>
      </c>
      <c r="C428" s="47"/>
      <c r="D428" s="47"/>
      <c r="E428" s="14"/>
      <c r="F428" s="14" t="str">
        <f t="shared" si="46"/>
        <v/>
      </c>
      <c r="G428" s="14"/>
      <c r="H428" s="30"/>
      <c r="I428" s="17"/>
      <c r="J428" s="18">
        <f t="shared" si="47"/>
        <v>0.12</v>
      </c>
      <c r="K428" s="19" t="s">
        <v>2</v>
      </c>
      <c r="L428" s="38">
        <v>17</v>
      </c>
      <c r="M428" s="21">
        <f>J428*$AD$393</f>
        <v>2409660</v>
      </c>
      <c r="N428" s="14"/>
      <c r="O428" s="22"/>
      <c r="P428" s="60">
        <f t="shared" si="42"/>
        <v>0</v>
      </c>
      <c r="Q428" s="60">
        <f t="shared" si="43"/>
        <v>0</v>
      </c>
      <c r="R428" s="60">
        <f t="shared" si="44"/>
        <v>0</v>
      </c>
      <c r="S428" s="62" cm="1">
        <f t="array" ref="S428">_xlfn.IFNA(MATCH(SUMIFS(R:R,A:A,"="&amp;A428,B:B,"&lt;"&amp;(B428+1)),_xlfn._xlws.FILTER(AO:AO,AL:AL=A428),1),1)</f>
        <v>2</v>
      </c>
      <c r="T428" s="62">
        <f t="shared" si="45"/>
        <v>250</v>
      </c>
      <c r="U428" s="62"/>
      <c r="V428" s="62"/>
      <c r="W428" s="63"/>
      <c r="X428" s="30"/>
      <c r="Y428" s="64"/>
      <c r="Z428" s="64"/>
      <c r="AA428" s="23"/>
      <c r="AB428" s="24"/>
      <c r="AC428" s="25"/>
      <c r="AD428" s="25"/>
    </row>
    <row r="429" spans="1:30">
      <c r="A429" s="46">
        <f t="shared" ref="A429:A474" si="48">A386+1</f>
        <v>10</v>
      </c>
      <c r="B429" s="47">
        <v>41</v>
      </c>
      <c r="C429" s="47"/>
      <c r="D429" s="47"/>
      <c r="E429" s="14"/>
      <c r="F429" s="14" t="str">
        <f t="shared" si="46"/>
        <v/>
      </c>
      <c r="G429" s="14"/>
      <c r="H429" s="30"/>
      <c r="I429" s="17"/>
      <c r="J429" s="18">
        <f t="shared" si="47"/>
        <v>0</v>
      </c>
      <c r="K429" s="19" t="s">
        <v>473</v>
      </c>
      <c r="L429" s="38">
        <v>4</v>
      </c>
      <c r="M429" s="21">
        <v>1</v>
      </c>
      <c r="N429" s="14"/>
      <c r="O429" s="22"/>
      <c r="P429" s="60">
        <f t="shared" ref="P429:P474" si="49">P386</f>
        <v>0</v>
      </c>
      <c r="Q429" s="60">
        <f t="shared" ref="Q429:Q474" si="50">Q386</f>
        <v>0</v>
      </c>
      <c r="R429" s="60">
        <f t="shared" ref="R429:R474" si="51">R386</f>
        <v>50</v>
      </c>
      <c r="S429" s="62" cm="1">
        <f t="array" ref="S429">_xlfn.IFNA(MATCH(SUMIFS(R:R,A:A,"="&amp;A429,B:B,"&lt;"&amp;(B429+1)),_xlfn._xlws.FILTER(AO:AO,AL:AL=A429),1),1)</f>
        <v>3</v>
      </c>
      <c r="T429" s="62">
        <f t="shared" si="45"/>
        <v>300</v>
      </c>
      <c r="U429" s="62"/>
      <c r="V429" s="62"/>
      <c r="W429" s="63"/>
      <c r="X429" s="30"/>
      <c r="Y429" s="64"/>
      <c r="Z429" s="64"/>
      <c r="AA429" s="23"/>
      <c r="AB429" s="24"/>
      <c r="AC429" s="25"/>
      <c r="AD429" s="25"/>
    </row>
    <row r="430" spans="1:30">
      <c r="A430" s="46">
        <f t="shared" si="48"/>
        <v>10</v>
      </c>
      <c r="B430" s="47">
        <v>42</v>
      </c>
      <c r="C430" s="47"/>
      <c r="D430" s="47"/>
      <c r="E430" s="14"/>
      <c r="F430" s="14" t="str">
        <f t="shared" si="46"/>
        <v/>
      </c>
      <c r="G430" s="14"/>
      <c r="H430" s="30"/>
      <c r="I430" s="17"/>
      <c r="J430" s="18">
        <f t="shared" si="47"/>
        <v>0</v>
      </c>
      <c r="K430" s="19" t="s">
        <v>453</v>
      </c>
      <c r="L430" s="38">
        <v>3</v>
      </c>
      <c r="M430" s="21">
        <v>35</v>
      </c>
      <c r="N430" s="14"/>
      <c r="O430" s="22"/>
      <c r="P430" s="60">
        <f t="shared" si="49"/>
        <v>0</v>
      </c>
      <c r="Q430" s="60">
        <f t="shared" si="50"/>
        <v>0</v>
      </c>
      <c r="R430" s="60">
        <f t="shared" si="51"/>
        <v>0</v>
      </c>
      <c r="S430" s="62" cm="1">
        <f t="array" ref="S430">_xlfn.IFNA(MATCH(SUMIFS(R:R,A:A,"="&amp;A430,B:B,"&lt;"&amp;(B430+1)),_xlfn._xlws.FILTER(AO:AO,AL:AL=A430),1),1)</f>
        <v>3</v>
      </c>
      <c r="T430" s="62">
        <f t="shared" si="45"/>
        <v>300</v>
      </c>
      <c r="U430" s="62"/>
      <c r="V430" s="62"/>
      <c r="W430" s="63"/>
      <c r="X430" s="30"/>
      <c r="Y430" s="64"/>
      <c r="Z430" s="64"/>
      <c r="AA430" s="23"/>
      <c r="AB430" s="24"/>
      <c r="AC430" s="25"/>
      <c r="AD430" s="25"/>
    </row>
    <row r="431" spans="1:30">
      <c r="A431" s="46">
        <f t="shared" si="48"/>
        <v>10</v>
      </c>
      <c r="B431" s="47">
        <v>43</v>
      </c>
      <c r="C431" s="47"/>
      <c r="D431" s="47"/>
      <c r="E431" s="14"/>
      <c r="F431" s="14" t="str">
        <f t="shared" si="46"/>
        <v/>
      </c>
      <c r="G431" s="14"/>
      <c r="H431" s="30"/>
      <c r="I431" s="17"/>
      <c r="J431" s="18">
        <f t="shared" si="47"/>
        <v>0</v>
      </c>
      <c r="K431" t="s">
        <v>424</v>
      </c>
      <c r="L431" s="38">
        <v>3</v>
      </c>
      <c r="M431" s="21">
        <v>1</v>
      </c>
      <c r="N431" s="14"/>
      <c r="O431" s="22"/>
      <c r="P431" s="60">
        <f t="shared" si="49"/>
        <v>0</v>
      </c>
      <c r="Q431" s="60">
        <f t="shared" si="50"/>
        <v>0</v>
      </c>
      <c r="R431" s="60">
        <f t="shared" si="51"/>
        <v>0</v>
      </c>
      <c r="S431" s="62" cm="1">
        <f t="array" ref="S431">_xlfn.IFNA(MATCH(SUMIFS(R:R,A:A,"="&amp;A431,B:B,"&lt;"&amp;(B431+1)),_xlfn._xlws.FILTER(AO:AO,AL:AL=A431),1),1)</f>
        <v>3</v>
      </c>
      <c r="T431" s="62">
        <f t="shared" si="45"/>
        <v>300</v>
      </c>
      <c r="U431" s="62"/>
      <c r="V431" s="62"/>
      <c r="W431" s="63"/>
      <c r="X431" s="30"/>
      <c r="Y431" s="64"/>
      <c r="Z431" s="64"/>
      <c r="AA431" s="23"/>
      <c r="AB431" s="24"/>
      <c r="AC431" s="25"/>
      <c r="AD431" s="25"/>
    </row>
    <row r="432" spans="1:30">
      <c r="A432" s="46">
        <f t="shared" si="48"/>
        <v>11</v>
      </c>
      <c r="B432" s="47">
        <v>1</v>
      </c>
      <c r="C432" s="47"/>
      <c r="D432" s="47"/>
      <c r="E432" s="14"/>
      <c r="F432" s="14" t="str">
        <f t="shared" si="46"/>
        <v/>
      </c>
      <c r="G432" s="14"/>
      <c r="H432" s="30"/>
      <c r="I432" s="17"/>
      <c r="J432" s="18">
        <f t="shared" si="47"/>
        <v>0</v>
      </c>
      <c r="K432" s="14" t="s">
        <v>2</v>
      </c>
      <c r="L432" s="29">
        <v>1</v>
      </c>
      <c r="M432" s="21">
        <v>5000</v>
      </c>
      <c r="N432" s="14"/>
      <c r="O432" s="22"/>
      <c r="P432" s="60">
        <f t="shared" si="49"/>
        <v>0</v>
      </c>
      <c r="Q432" s="60">
        <f t="shared" si="50"/>
        <v>0</v>
      </c>
      <c r="R432" s="60">
        <f t="shared" si="51"/>
        <v>20</v>
      </c>
      <c r="S432" s="62" cm="1">
        <f t="array" ref="S432">_xlfn.IFNA(MATCH(SUMIFS(R:R,A:A,"="&amp;A432,B:B,"&lt;"&amp;(B432+1)),_xlfn._xlws.FILTER(AO:AO,AL:AL=A432),1),1)</f>
        <v>1</v>
      </c>
      <c r="T432" s="62">
        <f t="shared" si="45"/>
        <v>20</v>
      </c>
      <c r="U432" s="62"/>
      <c r="V432" s="62"/>
      <c r="W432" s="63"/>
      <c r="X432" s="30"/>
      <c r="Y432" s="64"/>
      <c r="Z432" s="64"/>
      <c r="AA432" s="23"/>
      <c r="AB432" s="24"/>
      <c r="AC432" s="25"/>
      <c r="AD432" s="31">
        <f>SUM(E432:E474)</f>
        <v>89.93</v>
      </c>
    </row>
    <row r="433" spans="1:30">
      <c r="A433" s="46">
        <f t="shared" si="48"/>
        <v>11</v>
      </c>
      <c r="B433" s="47">
        <v>2</v>
      </c>
      <c r="C433" s="47"/>
      <c r="D433" s="47"/>
      <c r="E433" s="35">
        <v>5.99</v>
      </c>
      <c r="F433" s="14">
        <f t="shared" si="46"/>
        <v>119</v>
      </c>
      <c r="G433" s="36">
        <f>(E433+0.01)*F433*$AJ$2/100</f>
        <v>7140000</v>
      </c>
      <c r="H433" s="37">
        <f>SUM(G433)</f>
        <v>7140000</v>
      </c>
      <c r="I433" s="17">
        <f>SUM(E433)</f>
        <v>5.99</v>
      </c>
      <c r="J433" s="18">
        <f t="shared" si="47"/>
        <v>0</v>
      </c>
      <c r="K433" s="14" t="s">
        <v>2</v>
      </c>
      <c r="L433" s="29">
        <v>9</v>
      </c>
      <c r="M433" s="21">
        <f>G433</f>
        <v>7140000</v>
      </c>
      <c r="N433" s="36">
        <f>SUMIF(K433:K438,"="&amp;"金币",M433:M438)</f>
        <v>9148050</v>
      </c>
      <c r="O433" s="22">
        <f>N433/$AJ$2</f>
        <v>9.14805</v>
      </c>
      <c r="P433" s="60">
        <f t="shared" si="49"/>
        <v>0</v>
      </c>
      <c r="Q433" s="60">
        <f t="shared" si="50"/>
        <v>0</v>
      </c>
      <c r="R433" s="60">
        <f t="shared" si="51"/>
        <v>10</v>
      </c>
      <c r="S433" s="62" cm="1">
        <f t="array" ref="S433">_xlfn.IFNA(MATCH(SUMIFS(R:R,A:A,"="&amp;A433,B:B,"&lt;"&amp;(B433+1)),_xlfn._xlws.FILTER(AO:AO,AL:AL=A433),1),1)</f>
        <v>1</v>
      </c>
      <c r="T433" s="62">
        <f t="shared" si="45"/>
        <v>30</v>
      </c>
      <c r="U433" s="62" t="str">
        <f>_xlfn.IFNA(VLOOKUP(Q433,道具!B:C,2,FALSE),"")</f>
        <v/>
      </c>
      <c r="V433" s="62">
        <f>IF(U433=1,CEILING(W433*100/$AJ$2,5),IF(U433=2,J433*100,0))</f>
        <v>0</v>
      </c>
      <c r="W433" s="63">
        <f>IF(U433=1,J433*$AD$6,IF(U433=2,J433*$AJ$2,0))</f>
        <v>0</v>
      </c>
      <c r="X433" s="37">
        <f>SUM(N433)+SUM(W433)</f>
        <v>9148050</v>
      </c>
      <c r="Y433" s="66">
        <f>SUM(O433)</f>
        <v>9.14805</v>
      </c>
      <c r="Z433" s="66">
        <f>SUM(W433)</f>
        <v>0</v>
      </c>
      <c r="AA433" s="23">
        <f>X433/$AJ$2</f>
        <v>9.14805</v>
      </c>
      <c r="AB433" s="24">
        <f>X433/H433</f>
        <v>1.28123949579832</v>
      </c>
      <c r="AC433" s="25"/>
      <c r="AD433" s="26" t="s">
        <v>556</v>
      </c>
    </row>
    <row r="434" spans="1:30">
      <c r="A434" s="46">
        <f t="shared" si="48"/>
        <v>11</v>
      </c>
      <c r="B434" s="47">
        <v>3</v>
      </c>
      <c r="C434" s="47"/>
      <c r="D434" s="47"/>
      <c r="E434" s="14"/>
      <c r="F434" s="14" t="str">
        <f t="shared" si="46"/>
        <v/>
      </c>
      <c r="G434" s="14"/>
      <c r="H434" s="30"/>
      <c r="I434" s="17"/>
      <c r="J434" s="18">
        <f t="shared" si="47"/>
        <v>0</v>
      </c>
      <c r="K434" s="19" t="s">
        <v>408</v>
      </c>
      <c r="L434" s="38">
        <v>3</v>
      </c>
      <c r="M434" s="21">
        <v>1</v>
      </c>
      <c r="N434" s="14"/>
      <c r="O434" s="22"/>
      <c r="P434" s="60">
        <f t="shared" si="49"/>
        <v>0</v>
      </c>
      <c r="Q434" s="60">
        <f t="shared" si="50"/>
        <v>0</v>
      </c>
      <c r="R434" s="60">
        <f t="shared" si="51"/>
        <v>0</v>
      </c>
      <c r="S434" s="62" cm="1">
        <f t="array" ref="S434">_xlfn.IFNA(MATCH(SUMIFS(R:R,A:A,"="&amp;A434,B:B,"&lt;"&amp;(B434+1)),_xlfn._xlws.FILTER(AO:AO,AL:AL=A434),1),1)</f>
        <v>1</v>
      </c>
      <c r="T434" s="62">
        <f t="shared" si="45"/>
        <v>30</v>
      </c>
      <c r="U434" s="62"/>
      <c r="V434" s="62"/>
      <c r="W434" s="63"/>
      <c r="X434" s="30"/>
      <c r="Y434" s="64"/>
      <c r="Z434" s="64"/>
      <c r="AA434" s="23"/>
      <c r="AB434" s="24"/>
      <c r="AC434" s="25"/>
      <c r="AD434" s="39">
        <v>1.15</v>
      </c>
    </row>
    <row r="435" spans="1:30">
      <c r="A435" s="46">
        <f t="shared" si="48"/>
        <v>11</v>
      </c>
      <c r="B435" s="47">
        <v>4</v>
      </c>
      <c r="C435" s="47"/>
      <c r="D435" s="47"/>
      <c r="E435" s="14"/>
      <c r="F435" s="14" t="str">
        <f t="shared" si="46"/>
        <v/>
      </c>
      <c r="G435" s="14"/>
      <c r="H435" s="30"/>
      <c r="I435" s="17"/>
      <c r="J435" s="18">
        <f t="shared" si="47"/>
        <v>0.1</v>
      </c>
      <c r="K435" s="19" t="s">
        <v>2</v>
      </c>
      <c r="L435" s="38">
        <v>17</v>
      </c>
      <c r="M435" s="21">
        <f>J435*$AD$436</f>
        <v>2008050</v>
      </c>
      <c r="N435" s="14"/>
      <c r="O435" s="22"/>
      <c r="P435" s="60">
        <f t="shared" si="49"/>
        <v>0</v>
      </c>
      <c r="Q435" s="60">
        <f t="shared" si="50"/>
        <v>0</v>
      </c>
      <c r="R435" s="60">
        <f t="shared" si="51"/>
        <v>0</v>
      </c>
      <c r="S435" s="62" cm="1">
        <f t="array" ref="S435">_xlfn.IFNA(MATCH(SUMIFS(R:R,A:A,"="&amp;A435,B:B,"&lt;"&amp;(B435+1)),_xlfn._xlws.FILTER(AO:AO,AL:AL=A435),1),1)</f>
        <v>1</v>
      </c>
      <c r="T435" s="62">
        <f t="shared" si="45"/>
        <v>30</v>
      </c>
      <c r="U435" s="62"/>
      <c r="V435" s="62"/>
      <c r="W435" s="63"/>
      <c r="X435" s="30"/>
      <c r="Y435" s="64"/>
      <c r="Z435" s="64"/>
      <c r="AA435" s="23"/>
      <c r="AB435" s="24"/>
      <c r="AC435" s="25"/>
      <c r="AD435" s="26" t="s">
        <v>557</v>
      </c>
    </row>
    <row r="436" spans="1:30">
      <c r="A436" s="46">
        <f t="shared" si="48"/>
        <v>11</v>
      </c>
      <c r="B436" s="47">
        <v>5</v>
      </c>
      <c r="C436" s="47"/>
      <c r="D436" s="47"/>
      <c r="E436" s="14"/>
      <c r="F436" s="14" t="str">
        <f t="shared" si="46"/>
        <v/>
      </c>
      <c r="G436" s="14"/>
      <c r="H436" s="30"/>
      <c r="I436" s="17"/>
      <c r="J436" s="18">
        <f t="shared" si="47"/>
        <v>0</v>
      </c>
      <c r="K436" s="19" t="s">
        <v>457</v>
      </c>
      <c r="L436" s="38">
        <v>4</v>
      </c>
      <c r="M436" s="21">
        <v>1</v>
      </c>
      <c r="N436" s="14"/>
      <c r="O436" s="22"/>
      <c r="P436" s="60">
        <f t="shared" si="49"/>
        <v>0</v>
      </c>
      <c r="Q436" s="60">
        <f t="shared" si="50"/>
        <v>0</v>
      </c>
      <c r="R436" s="60">
        <f t="shared" si="51"/>
        <v>10</v>
      </c>
      <c r="S436" s="62" cm="1">
        <f t="array" ref="S436">_xlfn.IFNA(MATCH(SUMIFS(R:R,A:A,"="&amp;A436,B:B,"&lt;"&amp;(B436+1)),_xlfn._xlws.FILTER(AO:AO,AL:AL=A436),1),1)</f>
        <v>1</v>
      </c>
      <c r="T436" s="62">
        <f t="shared" si="45"/>
        <v>40</v>
      </c>
      <c r="U436" s="62"/>
      <c r="V436" s="62"/>
      <c r="W436" s="63"/>
      <c r="X436" s="30"/>
      <c r="Y436" s="64"/>
      <c r="Z436" s="64"/>
      <c r="AA436" s="23"/>
      <c r="AB436" s="24"/>
      <c r="AC436" s="25"/>
      <c r="AD436" s="40">
        <f>SUM(G432:G474)*(AD434-1)</f>
        <v>20080500</v>
      </c>
    </row>
    <row r="437" spans="1:30">
      <c r="A437" s="46">
        <f t="shared" si="48"/>
        <v>11</v>
      </c>
      <c r="B437" s="47">
        <v>6</v>
      </c>
      <c r="C437" s="47"/>
      <c r="D437" s="47"/>
      <c r="E437" s="14"/>
      <c r="F437" s="14" t="str">
        <f t="shared" si="46"/>
        <v/>
      </c>
      <c r="G437" s="14"/>
      <c r="H437" s="30"/>
      <c r="I437" s="17"/>
      <c r="J437" s="18">
        <f t="shared" si="47"/>
        <v>0</v>
      </c>
      <c r="K437" s="19" t="s">
        <v>453</v>
      </c>
      <c r="L437" s="38">
        <v>3</v>
      </c>
      <c r="M437" s="21">
        <v>5</v>
      </c>
      <c r="N437" s="14"/>
      <c r="O437" s="22"/>
      <c r="P437" s="60">
        <f t="shared" si="49"/>
        <v>0</v>
      </c>
      <c r="Q437" s="60">
        <f t="shared" si="50"/>
        <v>0</v>
      </c>
      <c r="R437" s="60">
        <f t="shared" si="51"/>
        <v>0</v>
      </c>
      <c r="S437" s="62" cm="1">
        <f t="array" ref="S437">_xlfn.IFNA(MATCH(SUMIFS(R:R,A:A,"="&amp;A437,B:B,"&lt;"&amp;(B437+1)),_xlfn._xlws.FILTER(AO:AO,AL:AL=A437),1),1)</f>
        <v>1</v>
      </c>
      <c r="T437" s="62">
        <f t="shared" si="45"/>
        <v>40</v>
      </c>
      <c r="U437" s="62"/>
      <c r="V437" s="62"/>
      <c r="W437" s="63"/>
      <c r="X437" s="30"/>
      <c r="Y437" s="64"/>
      <c r="Z437" s="64"/>
      <c r="AA437" s="23"/>
      <c r="AB437" s="24"/>
      <c r="AC437" s="25"/>
      <c r="AD437" s="24" t="s">
        <v>558</v>
      </c>
    </row>
    <row r="438" spans="1:30">
      <c r="A438" s="46">
        <f t="shared" si="48"/>
        <v>11</v>
      </c>
      <c r="B438" s="47">
        <v>7</v>
      </c>
      <c r="C438" s="47"/>
      <c r="D438" s="47"/>
      <c r="E438" s="14"/>
      <c r="F438" s="14" t="str">
        <f t="shared" si="46"/>
        <v/>
      </c>
      <c r="G438" s="14"/>
      <c r="H438" s="30"/>
      <c r="I438" s="17"/>
      <c r="J438" s="18">
        <f t="shared" si="47"/>
        <v>0</v>
      </c>
      <c r="K438" t="s">
        <v>424</v>
      </c>
      <c r="L438" s="38">
        <v>3</v>
      </c>
      <c r="M438" s="21">
        <v>1</v>
      </c>
      <c r="N438" s="14"/>
      <c r="O438" s="22"/>
      <c r="P438" s="60">
        <f t="shared" si="49"/>
        <v>0</v>
      </c>
      <c r="Q438" s="60">
        <f t="shared" si="50"/>
        <v>0</v>
      </c>
      <c r="R438" s="60">
        <f t="shared" si="51"/>
        <v>0</v>
      </c>
      <c r="S438" s="62" cm="1">
        <f t="array" ref="S438">_xlfn.IFNA(MATCH(SUMIFS(R:R,A:A,"="&amp;A438,B:B,"&lt;"&amp;(B438+1)),_xlfn._xlws.FILTER(AO:AO,AL:AL=A438),1),1)</f>
        <v>1</v>
      </c>
      <c r="T438" s="62">
        <f t="shared" si="45"/>
        <v>40</v>
      </c>
      <c r="U438" s="62"/>
      <c r="V438" s="62"/>
      <c r="W438" s="63"/>
      <c r="X438" s="30"/>
      <c r="Y438" s="64"/>
      <c r="Z438" s="64"/>
      <c r="AA438" s="23"/>
      <c r="AB438" s="24"/>
      <c r="AC438" s="25"/>
      <c r="AD438" s="24">
        <f>SUMIF(U432:U474,"&lt;&gt;2",J432:J474)+SUMIF(U432:U474,"=2",J432:J474)*$AJ$2/SUMIFS(AD:AD,A:A,"="&amp;A438,B:B,"=5")</f>
        <v>1.4</v>
      </c>
    </row>
    <row r="439" spans="1:30">
      <c r="A439" s="46">
        <f t="shared" si="48"/>
        <v>11</v>
      </c>
      <c r="B439" s="47">
        <v>8</v>
      </c>
      <c r="C439" s="47"/>
      <c r="D439" s="47"/>
      <c r="E439" s="14">
        <v>7.99</v>
      </c>
      <c r="F439" s="14">
        <f t="shared" si="46"/>
        <v>129</v>
      </c>
      <c r="G439" s="36">
        <f>(E439+0.01)*F439*$AJ$2/100</f>
        <v>10320000</v>
      </c>
      <c r="H439" s="37">
        <f>SUM(G433:G439)</f>
        <v>17460000</v>
      </c>
      <c r="I439" s="17">
        <f>SUM(E433:E439)</f>
        <v>13.98</v>
      </c>
      <c r="J439" s="18">
        <f t="shared" si="47"/>
        <v>0.12</v>
      </c>
      <c r="K439" s="14" t="s">
        <v>2</v>
      </c>
      <c r="L439" s="29">
        <v>9</v>
      </c>
      <c r="M439" s="21">
        <f>G439</f>
        <v>10320000</v>
      </c>
      <c r="N439" s="36">
        <f>SUMIF(K439:K444,"="&amp;"金币",M439:M444)</f>
        <v>10721610</v>
      </c>
      <c r="O439" s="22">
        <f>N439/$AJ$2</f>
        <v>10.72161</v>
      </c>
      <c r="P439" s="60">
        <f t="shared" si="49"/>
        <v>1</v>
      </c>
      <c r="Q439" s="60" t="str">
        <f t="shared" si="50"/>
        <v>金币</v>
      </c>
      <c r="R439" s="60">
        <f t="shared" si="51"/>
        <v>25</v>
      </c>
      <c r="S439" s="62" cm="1">
        <f t="array" ref="S439">_xlfn.IFNA(MATCH(SUMIFS(R:R,A:A,"="&amp;A439,B:B,"&lt;"&amp;(B439+1)),_xlfn._xlws.FILTER(AO:AO,AL:AL=A439),1),1)</f>
        <v>1</v>
      </c>
      <c r="T439" s="62">
        <f t="shared" si="45"/>
        <v>65</v>
      </c>
      <c r="U439" s="62">
        <f>_xlfn.IFNA(VLOOKUP(Q439,道具!B:C,2,FALSE),"")</f>
        <v>1</v>
      </c>
      <c r="V439" s="62">
        <f>IF(U439=1,CEILING(W439*100/$AJ$2,5),IF(U439=2,J439*100,0))</f>
        <v>110</v>
      </c>
      <c r="W439" s="63">
        <f>IF(U439=1,J439*$AD$6,IF(U439=2,J439*$AJ$2,0))</f>
        <v>1078740</v>
      </c>
      <c r="X439" s="37">
        <f>SUM(N433:N439)+SUM(W433:W439)</f>
        <v>20948400</v>
      </c>
      <c r="Y439" s="66">
        <f>SUM(O433:O439)</f>
        <v>19.86966</v>
      </c>
      <c r="Z439" s="66">
        <f>SUM(W433:W439)</f>
        <v>1078740</v>
      </c>
      <c r="AA439" s="23">
        <f>X439/$AJ$2</f>
        <v>20.9484</v>
      </c>
      <c r="AB439" s="24">
        <f>X439/H439</f>
        <v>1.19979381443299</v>
      </c>
      <c r="AC439" s="25"/>
      <c r="AD439" s="25"/>
    </row>
    <row r="440" spans="1:30">
      <c r="A440" s="46">
        <f t="shared" si="48"/>
        <v>11</v>
      </c>
      <c r="B440" s="47">
        <v>9</v>
      </c>
      <c r="C440" s="47"/>
      <c r="D440" s="47"/>
      <c r="E440" s="14"/>
      <c r="F440" s="14" t="str">
        <f t="shared" si="46"/>
        <v/>
      </c>
      <c r="G440" s="14"/>
      <c r="H440" s="30"/>
      <c r="I440" s="17"/>
      <c r="J440" s="18">
        <f t="shared" si="47"/>
        <v>0</v>
      </c>
      <c r="K440" s="19" t="s">
        <v>408</v>
      </c>
      <c r="L440" s="38">
        <v>3</v>
      </c>
      <c r="M440" s="21">
        <v>2</v>
      </c>
      <c r="N440" s="14"/>
      <c r="O440" s="22"/>
      <c r="P440" s="60">
        <f t="shared" si="49"/>
        <v>0</v>
      </c>
      <c r="Q440" s="60">
        <f t="shared" si="50"/>
        <v>0</v>
      </c>
      <c r="R440" s="60">
        <f t="shared" si="51"/>
        <v>0</v>
      </c>
      <c r="S440" s="62" cm="1">
        <f t="array" ref="S440">_xlfn.IFNA(MATCH(SUMIFS(R:R,A:A,"="&amp;A440,B:B,"&lt;"&amp;(B440+1)),_xlfn._xlws.FILTER(AO:AO,AL:AL=A440),1),1)</f>
        <v>1</v>
      </c>
      <c r="T440" s="62">
        <f t="shared" si="45"/>
        <v>65</v>
      </c>
      <c r="U440" s="62"/>
      <c r="V440" s="62"/>
      <c r="W440" s="63"/>
      <c r="X440" s="30"/>
      <c r="Y440" s="64"/>
      <c r="Z440" s="64"/>
      <c r="AA440" s="23"/>
      <c r="AB440" s="24"/>
      <c r="AC440" s="25"/>
      <c r="AD440" s="69"/>
    </row>
    <row r="441" spans="1:30">
      <c r="A441" s="46">
        <f t="shared" si="48"/>
        <v>11</v>
      </c>
      <c r="B441" s="47">
        <v>10</v>
      </c>
      <c r="C441" s="47"/>
      <c r="D441" s="47"/>
      <c r="E441" s="14"/>
      <c r="F441" s="14" t="str">
        <f t="shared" si="46"/>
        <v/>
      </c>
      <c r="G441" s="14"/>
      <c r="H441" s="30"/>
      <c r="I441" s="17"/>
      <c r="J441" s="18">
        <f t="shared" si="47"/>
        <v>0.02</v>
      </c>
      <c r="K441" s="19" t="s">
        <v>2</v>
      </c>
      <c r="L441" s="38">
        <v>17</v>
      </c>
      <c r="M441" s="21">
        <f>J441*$AD$436</f>
        <v>401610</v>
      </c>
      <c r="N441" s="14"/>
      <c r="O441" s="22"/>
      <c r="P441" s="60">
        <f t="shared" si="49"/>
        <v>0</v>
      </c>
      <c r="Q441" s="60">
        <f t="shared" si="50"/>
        <v>0</v>
      </c>
      <c r="R441" s="60">
        <f t="shared" si="51"/>
        <v>0</v>
      </c>
      <c r="S441" s="62" cm="1">
        <f t="array" ref="S441">_xlfn.IFNA(MATCH(SUMIFS(R:R,A:A,"="&amp;A441,B:B,"&lt;"&amp;(B441+1)),_xlfn._xlws.FILTER(AO:AO,AL:AL=A441),1),1)</f>
        <v>1</v>
      </c>
      <c r="T441" s="62">
        <f t="shared" si="45"/>
        <v>65</v>
      </c>
      <c r="U441" s="62"/>
      <c r="V441" s="62"/>
      <c r="W441" s="63"/>
      <c r="X441" s="30"/>
      <c r="Y441" s="64"/>
      <c r="Z441" s="64"/>
      <c r="AA441" s="23"/>
      <c r="AB441" s="24"/>
      <c r="AC441" s="25"/>
      <c r="AD441" s="25"/>
    </row>
    <row r="442" spans="1:30">
      <c r="A442" s="46">
        <f t="shared" si="48"/>
        <v>11</v>
      </c>
      <c r="B442" s="47">
        <v>11</v>
      </c>
      <c r="C442" s="47"/>
      <c r="D442" s="47"/>
      <c r="E442" s="14"/>
      <c r="F442" s="14" t="str">
        <f t="shared" si="46"/>
        <v/>
      </c>
      <c r="G442" s="14"/>
      <c r="H442" s="30"/>
      <c r="I442" s="17"/>
      <c r="J442" s="18">
        <f t="shared" si="47"/>
        <v>0</v>
      </c>
      <c r="K442" s="19" t="s">
        <v>459</v>
      </c>
      <c r="L442" s="38">
        <v>4</v>
      </c>
      <c r="M442" s="21">
        <v>1</v>
      </c>
      <c r="N442" s="14"/>
      <c r="O442" s="22"/>
      <c r="P442" s="60">
        <f t="shared" si="49"/>
        <v>0</v>
      </c>
      <c r="Q442" s="60">
        <f t="shared" si="50"/>
        <v>0</v>
      </c>
      <c r="R442" s="60">
        <f t="shared" si="51"/>
        <v>0</v>
      </c>
      <c r="S442" s="62" cm="1">
        <f t="array" ref="S442">_xlfn.IFNA(MATCH(SUMIFS(R:R,A:A,"="&amp;A442,B:B,"&lt;"&amp;(B442+1)),_xlfn._xlws.FILTER(AO:AO,AL:AL=A442),1),1)</f>
        <v>1</v>
      </c>
      <c r="T442" s="62">
        <f t="shared" si="45"/>
        <v>65</v>
      </c>
      <c r="U442" s="62"/>
      <c r="V442" s="62"/>
      <c r="W442" s="63"/>
      <c r="X442" s="30"/>
      <c r="Y442" s="64"/>
      <c r="Z442" s="64"/>
      <c r="AA442" s="23"/>
      <c r="AB442" s="24"/>
      <c r="AC442" s="25"/>
      <c r="AD442" s="25"/>
    </row>
    <row r="443" spans="1:30">
      <c r="A443" s="46">
        <f t="shared" si="48"/>
        <v>11</v>
      </c>
      <c r="B443" s="47">
        <v>12</v>
      </c>
      <c r="C443" s="47"/>
      <c r="D443" s="47"/>
      <c r="E443" s="14"/>
      <c r="F443" s="14" t="str">
        <f t="shared" si="46"/>
        <v/>
      </c>
      <c r="G443" s="14"/>
      <c r="H443" s="30"/>
      <c r="I443" s="17"/>
      <c r="J443" s="18">
        <f t="shared" si="47"/>
        <v>0</v>
      </c>
      <c r="K443" s="19" t="s">
        <v>453</v>
      </c>
      <c r="L443" s="38">
        <v>3</v>
      </c>
      <c r="M443" s="21">
        <v>10</v>
      </c>
      <c r="N443" s="14"/>
      <c r="O443" s="22"/>
      <c r="P443" s="60">
        <f t="shared" si="49"/>
        <v>0</v>
      </c>
      <c r="Q443" s="60">
        <f t="shared" si="50"/>
        <v>0</v>
      </c>
      <c r="R443" s="60">
        <f t="shared" si="51"/>
        <v>0</v>
      </c>
      <c r="S443" s="62" cm="1">
        <f t="array" ref="S443">_xlfn.IFNA(MATCH(SUMIFS(R:R,A:A,"="&amp;A443,B:B,"&lt;"&amp;(B443+1)),_xlfn._xlws.FILTER(AO:AO,AL:AL=A443),1),1)</f>
        <v>1</v>
      </c>
      <c r="T443" s="62">
        <f t="shared" si="45"/>
        <v>65</v>
      </c>
      <c r="U443" s="62"/>
      <c r="V443" s="62"/>
      <c r="W443" s="63"/>
      <c r="X443" s="30"/>
      <c r="Y443" s="64"/>
      <c r="Z443" s="64"/>
      <c r="AA443" s="23"/>
      <c r="AB443" s="24"/>
      <c r="AC443" s="25"/>
      <c r="AD443" s="25"/>
    </row>
    <row r="444" spans="1:30">
      <c r="A444" s="46">
        <f t="shared" si="48"/>
        <v>11</v>
      </c>
      <c r="B444" s="47">
        <v>13</v>
      </c>
      <c r="C444" s="47"/>
      <c r="D444" s="47"/>
      <c r="E444" s="14"/>
      <c r="F444" s="14" t="str">
        <f t="shared" si="46"/>
        <v/>
      </c>
      <c r="G444" s="14"/>
      <c r="H444" s="30"/>
      <c r="I444" s="17"/>
      <c r="J444" s="18">
        <f t="shared" si="47"/>
        <v>0</v>
      </c>
      <c r="K444" t="s">
        <v>426</v>
      </c>
      <c r="L444" s="38">
        <v>3</v>
      </c>
      <c r="M444" s="21">
        <v>1</v>
      </c>
      <c r="N444" s="14"/>
      <c r="O444" s="22"/>
      <c r="P444" s="60">
        <f t="shared" si="49"/>
        <v>0</v>
      </c>
      <c r="Q444" s="60">
        <f t="shared" si="50"/>
        <v>0</v>
      </c>
      <c r="R444" s="60">
        <f t="shared" si="51"/>
        <v>0</v>
      </c>
      <c r="S444" s="62" cm="1">
        <f t="array" ref="S444">_xlfn.IFNA(MATCH(SUMIFS(R:R,A:A,"="&amp;A444,B:B,"&lt;"&amp;(B444+1)),_xlfn._xlws.FILTER(AO:AO,AL:AL=A444),1),1)</f>
        <v>1</v>
      </c>
      <c r="T444" s="62">
        <f t="shared" si="45"/>
        <v>65</v>
      </c>
      <c r="U444" s="62"/>
      <c r="V444" s="62"/>
      <c r="W444" s="63"/>
      <c r="X444" s="30"/>
      <c r="Y444" s="64"/>
      <c r="Z444" s="64"/>
      <c r="AA444" s="23"/>
      <c r="AB444" s="24"/>
      <c r="AC444" s="25"/>
      <c r="AD444" s="25"/>
    </row>
    <row r="445" spans="1:30">
      <c r="A445" s="46">
        <f t="shared" si="48"/>
        <v>11</v>
      </c>
      <c r="B445" s="47">
        <v>14</v>
      </c>
      <c r="C445" s="47"/>
      <c r="D445" s="47"/>
      <c r="E445" s="14">
        <v>9.99</v>
      </c>
      <c r="F445" s="14">
        <f t="shared" si="46"/>
        <v>139</v>
      </c>
      <c r="G445" s="36">
        <f>(E445+0.01)*F445*$AJ$2/100</f>
        <v>13900000</v>
      </c>
      <c r="H445" s="37">
        <f>SUM(G433:G445)</f>
        <v>31360000</v>
      </c>
      <c r="I445" s="17">
        <f>SUM(E433:E445)</f>
        <v>23.97</v>
      </c>
      <c r="J445" s="18">
        <f t="shared" si="47"/>
        <v>0</v>
      </c>
      <c r="K445" s="14" t="s">
        <v>2</v>
      </c>
      <c r="L445" s="29">
        <v>9</v>
      </c>
      <c r="M445" s="21">
        <f>G445</f>
        <v>13900000</v>
      </c>
      <c r="N445" s="36">
        <f>SUMIF(K445:K450,"="&amp;"金币",M445:M450)</f>
        <v>15908050</v>
      </c>
      <c r="O445" s="22">
        <f>N445/$AJ$2</f>
        <v>15.90805</v>
      </c>
      <c r="P445" s="60">
        <f t="shared" si="49"/>
        <v>0</v>
      </c>
      <c r="Q445" s="60">
        <f t="shared" si="50"/>
        <v>0</v>
      </c>
      <c r="R445" s="60">
        <f t="shared" si="51"/>
        <v>35</v>
      </c>
      <c r="S445" s="62" cm="1">
        <f t="array" ref="S445">_xlfn.IFNA(MATCH(SUMIFS(R:R,A:A,"="&amp;A445,B:B,"&lt;"&amp;(B445+1)),_xlfn._xlws.FILTER(AO:AO,AL:AL=A445),1),1)</f>
        <v>1</v>
      </c>
      <c r="T445" s="62">
        <f t="shared" si="45"/>
        <v>100</v>
      </c>
      <c r="U445" s="62" t="str">
        <f>_xlfn.IFNA(VLOOKUP(Q445,道具!B:C,2,FALSE),"")</f>
        <v/>
      </c>
      <c r="V445" s="62"/>
      <c r="W445" s="63">
        <f>IF(U445=1,J445*$AD$6,IF(U445=2,J445*$AJ$2,0))</f>
        <v>0</v>
      </c>
      <c r="X445" s="37">
        <f>SUM(N433:N445)+SUM(W433:W445)</f>
        <v>36856450</v>
      </c>
      <c r="Y445" s="66">
        <f>SUM(O433:O445)</f>
        <v>35.77771</v>
      </c>
      <c r="Z445" s="66">
        <f>SUM(W433:W445)</f>
        <v>1078740</v>
      </c>
      <c r="AA445" s="23">
        <f>X445/$AJ$2</f>
        <v>36.85645</v>
      </c>
      <c r="AB445" s="24">
        <f>X445/H445</f>
        <v>1.17526945153061</v>
      </c>
      <c r="AC445" s="25"/>
      <c r="AD445" s="25"/>
    </row>
    <row r="446" spans="1:30">
      <c r="A446" s="46">
        <f t="shared" si="48"/>
        <v>11</v>
      </c>
      <c r="B446" s="47">
        <v>15</v>
      </c>
      <c r="C446" s="47"/>
      <c r="D446" s="47"/>
      <c r="E446" s="14"/>
      <c r="F446" s="14" t="str">
        <f t="shared" si="46"/>
        <v/>
      </c>
      <c r="G446" s="14"/>
      <c r="H446" s="30"/>
      <c r="I446" s="17"/>
      <c r="J446" s="18">
        <f t="shared" si="47"/>
        <v>0</v>
      </c>
      <c r="K446" s="19" t="s">
        <v>408</v>
      </c>
      <c r="L446" s="38">
        <v>3</v>
      </c>
      <c r="M446" s="21">
        <v>3</v>
      </c>
      <c r="N446" s="14"/>
      <c r="O446" s="22"/>
      <c r="P446" s="60">
        <f t="shared" si="49"/>
        <v>0</v>
      </c>
      <c r="Q446" s="60">
        <f t="shared" si="50"/>
        <v>0</v>
      </c>
      <c r="R446" s="60">
        <f t="shared" si="51"/>
        <v>0</v>
      </c>
      <c r="S446" s="62" cm="1">
        <f t="array" ref="S446">_xlfn.IFNA(MATCH(SUMIFS(R:R,A:A,"="&amp;A446,B:B,"&lt;"&amp;(B446+1)),_xlfn._xlws.FILTER(AO:AO,AL:AL=A446),1),1)</f>
        <v>1</v>
      </c>
      <c r="T446" s="62">
        <f t="shared" si="45"/>
        <v>100</v>
      </c>
      <c r="U446" s="62"/>
      <c r="V446" s="62"/>
      <c r="W446" s="63"/>
      <c r="X446" s="30"/>
      <c r="Y446" s="64"/>
      <c r="Z446" s="64"/>
      <c r="AA446" s="23"/>
      <c r="AB446" s="24"/>
      <c r="AC446" s="25"/>
      <c r="AD446" s="25"/>
    </row>
    <row r="447" spans="1:30">
      <c r="A447" s="46">
        <f t="shared" si="48"/>
        <v>11</v>
      </c>
      <c r="B447" s="47">
        <v>16</v>
      </c>
      <c r="C447" s="47"/>
      <c r="D447" s="47"/>
      <c r="E447" s="14"/>
      <c r="F447" s="14" t="str">
        <f t="shared" si="46"/>
        <v/>
      </c>
      <c r="G447" s="14"/>
      <c r="H447" s="30"/>
      <c r="I447" s="17"/>
      <c r="J447" s="18">
        <f t="shared" si="47"/>
        <v>0.1</v>
      </c>
      <c r="K447" s="19" t="s">
        <v>2</v>
      </c>
      <c r="L447" s="38">
        <v>17</v>
      </c>
      <c r="M447" s="21">
        <f>J447*$AD$436</f>
        <v>2008050</v>
      </c>
      <c r="N447" s="14"/>
      <c r="O447" s="22"/>
      <c r="P447" s="60">
        <f t="shared" si="49"/>
        <v>0</v>
      </c>
      <c r="Q447" s="60">
        <f t="shared" si="50"/>
        <v>0</v>
      </c>
      <c r="R447" s="60">
        <f t="shared" si="51"/>
        <v>0</v>
      </c>
      <c r="S447" s="62" cm="1">
        <f t="array" ref="S447">_xlfn.IFNA(MATCH(SUMIFS(R:R,A:A,"="&amp;A447,B:B,"&lt;"&amp;(B447+1)),_xlfn._xlws.FILTER(AO:AO,AL:AL=A447),1),1)</f>
        <v>1</v>
      </c>
      <c r="T447" s="62">
        <f t="shared" si="45"/>
        <v>100</v>
      </c>
      <c r="U447" s="62"/>
      <c r="V447" s="62"/>
      <c r="W447" s="63"/>
      <c r="X447" s="30"/>
      <c r="Y447" s="64"/>
      <c r="Z447" s="64"/>
      <c r="AA447" s="23"/>
      <c r="AB447" s="24"/>
      <c r="AC447" s="25"/>
      <c r="AD447" s="25"/>
    </row>
    <row r="448" spans="1:30">
      <c r="A448" s="46">
        <f t="shared" si="48"/>
        <v>11</v>
      </c>
      <c r="B448" s="47">
        <v>17</v>
      </c>
      <c r="C448" s="47"/>
      <c r="D448" s="47"/>
      <c r="E448" s="14"/>
      <c r="F448" s="14" t="str">
        <f t="shared" si="46"/>
        <v/>
      </c>
      <c r="G448" s="14"/>
      <c r="H448" s="30"/>
      <c r="I448" s="17"/>
      <c r="J448" s="18">
        <f t="shared" si="47"/>
        <v>0</v>
      </c>
      <c r="K448" s="19" t="s">
        <v>461</v>
      </c>
      <c r="L448" s="38">
        <v>4</v>
      </c>
      <c r="M448" s="21">
        <v>1</v>
      </c>
      <c r="N448" s="14"/>
      <c r="O448" s="22"/>
      <c r="P448" s="60">
        <f t="shared" si="49"/>
        <v>0</v>
      </c>
      <c r="Q448" s="60">
        <f t="shared" si="50"/>
        <v>0</v>
      </c>
      <c r="R448" s="60">
        <f t="shared" si="51"/>
        <v>25</v>
      </c>
      <c r="S448" s="62" cm="1">
        <f t="array" ref="S448">_xlfn.IFNA(MATCH(SUMIFS(R:R,A:A,"="&amp;A448,B:B,"&lt;"&amp;(B448+1)),_xlfn._xlws.FILTER(AO:AO,AL:AL=A448),1),1)</f>
        <v>1</v>
      </c>
      <c r="T448" s="62">
        <f t="shared" si="45"/>
        <v>125</v>
      </c>
      <c r="U448" s="62"/>
      <c r="V448" s="62"/>
      <c r="W448" s="63"/>
      <c r="X448" s="30"/>
      <c r="Y448" s="64"/>
      <c r="Z448" s="64"/>
      <c r="AA448" s="23"/>
      <c r="AB448" s="24"/>
      <c r="AC448" s="25"/>
      <c r="AD448" s="25"/>
    </row>
    <row r="449" spans="1:30">
      <c r="A449" s="46">
        <f t="shared" si="48"/>
        <v>11</v>
      </c>
      <c r="B449" s="47">
        <v>18</v>
      </c>
      <c r="C449" s="47"/>
      <c r="D449" s="47"/>
      <c r="E449" s="14"/>
      <c r="F449" s="14" t="str">
        <f t="shared" si="46"/>
        <v/>
      </c>
      <c r="G449" s="14"/>
      <c r="H449" s="30"/>
      <c r="I449" s="17"/>
      <c r="J449" s="18">
        <f t="shared" si="47"/>
        <v>0</v>
      </c>
      <c r="K449" s="19" t="s">
        <v>453</v>
      </c>
      <c r="L449" s="38">
        <v>3</v>
      </c>
      <c r="M449" s="21">
        <v>15</v>
      </c>
      <c r="N449" s="14"/>
      <c r="O449" s="22"/>
      <c r="P449" s="60">
        <f t="shared" si="49"/>
        <v>0</v>
      </c>
      <c r="Q449" s="60">
        <f t="shared" si="50"/>
        <v>0</v>
      </c>
      <c r="R449" s="60">
        <f t="shared" si="51"/>
        <v>0</v>
      </c>
      <c r="S449" s="62" cm="1">
        <f t="array" ref="S449">_xlfn.IFNA(MATCH(SUMIFS(R:R,A:A,"="&amp;A449,B:B,"&lt;"&amp;(B449+1)),_xlfn._xlws.FILTER(AO:AO,AL:AL=A449),1),1)</f>
        <v>1</v>
      </c>
      <c r="T449" s="62">
        <f t="shared" si="45"/>
        <v>125</v>
      </c>
      <c r="U449" s="62"/>
      <c r="V449" s="62"/>
      <c r="W449" s="63"/>
      <c r="X449" s="30"/>
      <c r="Y449" s="64"/>
      <c r="Z449" s="64"/>
      <c r="AA449" s="23"/>
      <c r="AB449" s="24"/>
      <c r="AC449" s="25"/>
      <c r="AD449" s="25"/>
    </row>
    <row r="450" spans="1:30">
      <c r="A450" s="46">
        <f t="shared" si="48"/>
        <v>11</v>
      </c>
      <c r="B450" s="47">
        <v>19</v>
      </c>
      <c r="C450" s="47"/>
      <c r="D450" s="47"/>
      <c r="E450" s="14"/>
      <c r="F450" s="14" t="str">
        <f t="shared" si="46"/>
        <v/>
      </c>
      <c r="G450" s="14"/>
      <c r="H450" s="30"/>
      <c r="I450" s="17"/>
      <c r="J450" s="18">
        <f t="shared" si="47"/>
        <v>0</v>
      </c>
      <c r="K450" t="s">
        <v>424</v>
      </c>
      <c r="L450" s="38">
        <v>3</v>
      </c>
      <c r="M450" s="21">
        <v>1</v>
      </c>
      <c r="N450" s="14"/>
      <c r="O450" s="22"/>
      <c r="P450" s="60">
        <f t="shared" si="49"/>
        <v>0</v>
      </c>
      <c r="Q450" s="60">
        <f t="shared" si="50"/>
        <v>0</v>
      </c>
      <c r="R450" s="60">
        <f t="shared" si="51"/>
        <v>0</v>
      </c>
      <c r="S450" s="62" cm="1">
        <f t="array" ref="S450">_xlfn.IFNA(MATCH(SUMIFS(R:R,A:A,"="&amp;A450,B:B,"&lt;"&amp;(B450+1)),_xlfn._xlws.FILTER(AO:AO,AL:AL=A450),1),1)</f>
        <v>1</v>
      </c>
      <c r="T450" s="62">
        <f t="shared" ref="T450:T474" si="52">SUMIFS(R:R,A:A,"="&amp;A450,B:B,"&lt;"&amp;(B450+1))</f>
        <v>125</v>
      </c>
      <c r="U450" s="62"/>
      <c r="V450" s="62"/>
      <c r="W450" s="63"/>
      <c r="X450" s="30"/>
      <c r="Y450" s="64"/>
      <c r="Z450" s="64"/>
      <c r="AA450" s="23"/>
      <c r="AB450" s="24"/>
      <c r="AC450" s="25"/>
      <c r="AD450" s="25"/>
    </row>
    <row r="451" spans="1:30">
      <c r="A451" s="46">
        <f t="shared" si="48"/>
        <v>11</v>
      </c>
      <c r="B451" s="47">
        <v>20</v>
      </c>
      <c r="C451" s="47"/>
      <c r="D451" s="47"/>
      <c r="E451" s="14">
        <v>12.99</v>
      </c>
      <c r="F451" s="14">
        <f t="shared" ref="F451:F474" si="53">IFERROR(VLOOKUP(ROUND(E451*100,0),AF:AG,2,FALSE),"")</f>
        <v>149</v>
      </c>
      <c r="G451" s="36">
        <f>(E451+0.01)*F451*$AJ$2/100</f>
        <v>19370000</v>
      </c>
      <c r="H451" s="37">
        <f>SUM(G433:G451)</f>
        <v>50730000</v>
      </c>
      <c r="I451" s="17">
        <f>SUM(E433:E451)</f>
        <v>36.96</v>
      </c>
      <c r="J451" s="18">
        <f t="shared" si="47"/>
        <v>0.24</v>
      </c>
      <c r="K451" s="14" t="s">
        <v>2</v>
      </c>
      <c r="L451" s="29">
        <v>9</v>
      </c>
      <c r="M451" s="21">
        <f>G451</f>
        <v>19370000</v>
      </c>
      <c r="N451" s="36">
        <f>SUMIF(K451:K456,"="&amp;"金币",M451:M456)</f>
        <v>20976440</v>
      </c>
      <c r="O451" s="22">
        <f>N451/$AJ$2</f>
        <v>20.97644</v>
      </c>
      <c r="P451" s="60">
        <f t="shared" si="49"/>
        <v>2</v>
      </c>
      <c r="Q451" s="60" t="str">
        <f t="shared" si="50"/>
        <v>金币</v>
      </c>
      <c r="R451" s="60">
        <f t="shared" si="51"/>
        <v>0</v>
      </c>
      <c r="S451" s="62" cm="1">
        <f t="array" ref="S451">_xlfn.IFNA(MATCH(SUMIFS(R:R,A:A,"="&amp;A451,B:B,"&lt;"&amp;(B451+1)),_xlfn._xlws.FILTER(AO:AO,AL:AL=A451),1),1)</f>
        <v>1</v>
      </c>
      <c r="T451" s="62">
        <f t="shared" si="52"/>
        <v>125</v>
      </c>
      <c r="U451" s="62">
        <f>_xlfn.IFNA(VLOOKUP(Q451,道具!B:C,2,FALSE),"")</f>
        <v>1</v>
      </c>
      <c r="V451" s="62">
        <f>IF(U451=1,CEILING(W451*100/$AJ$2,5),IF(U451=2,J451*100,0))</f>
        <v>220</v>
      </c>
      <c r="W451" s="63">
        <f>IF(U451=1,J451*$AD$6,IF(U451=2,J451*$AJ$2,0))</f>
        <v>2157480</v>
      </c>
      <c r="X451" s="37">
        <f>SUM(N433:N451)+SUM(W433:W451)</f>
        <v>59990370</v>
      </c>
      <c r="Y451" s="66">
        <f>SUM(O433:O451)</f>
        <v>56.75415</v>
      </c>
      <c r="Z451" s="66">
        <f>SUM(W433:W451)</f>
        <v>3236220</v>
      </c>
      <c r="AA451" s="23">
        <f>X451/$AJ$2</f>
        <v>59.99037</v>
      </c>
      <c r="AB451" s="24">
        <f>X451/H451</f>
        <v>1.18254228267297</v>
      </c>
      <c r="AC451" s="25"/>
      <c r="AD451" s="25"/>
    </row>
    <row r="452" spans="1:30">
      <c r="A452" s="46">
        <f t="shared" si="48"/>
        <v>11</v>
      </c>
      <c r="B452" s="47">
        <v>21</v>
      </c>
      <c r="C452" s="47"/>
      <c r="D452" s="47"/>
      <c r="E452" s="14"/>
      <c r="F452" s="14" t="str">
        <f t="shared" si="53"/>
        <v/>
      </c>
      <c r="G452" s="14"/>
      <c r="H452" s="30"/>
      <c r="I452" s="17"/>
      <c r="J452" s="18">
        <f t="shared" si="47"/>
        <v>0</v>
      </c>
      <c r="K452" s="19" t="s">
        <v>408</v>
      </c>
      <c r="L452" s="38">
        <v>3</v>
      </c>
      <c r="M452" s="21">
        <v>4</v>
      </c>
      <c r="N452" s="14"/>
      <c r="O452" s="22"/>
      <c r="P452" s="60">
        <f t="shared" si="49"/>
        <v>0</v>
      </c>
      <c r="Q452" s="60">
        <f t="shared" si="50"/>
        <v>0</v>
      </c>
      <c r="R452" s="60">
        <f t="shared" si="51"/>
        <v>0</v>
      </c>
      <c r="S452" s="62" cm="1">
        <f t="array" ref="S452">_xlfn.IFNA(MATCH(SUMIFS(R:R,A:A,"="&amp;A452,B:B,"&lt;"&amp;(B452+1)),_xlfn._xlws.FILTER(AO:AO,AL:AL=A452),1),1)</f>
        <v>1</v>
      </c>
      <c r="T452" s="62">
        <f t="shared" si="52"/>
        <v>125</v>
      </c>
      <c r="U452" s="62"/>
      <c r="V452" s="62"/>
      <c r="W452" s="63"/>
      <c r="X452" s="30"/>
      <c r="Y452" s="64"/>
      <c r="Z452" s="64"/>
      <c r="AA452" s="23"/>
      <c r="AB452" s="24"/>
      <c r="AC452" s="25"/>
      <c r="AD452" s="25"/>
    </row>
    <row r="453" spans="1:30">
      <c r="A453" s="46">
        <f t="shared" si="48"/>
        <v>11</v>
      </c>
      <c r="B453" s="47">
        <v>22</v>
      </c>
      <c r="C453" s="47"/>
      <c r="D453" s="47"/>
      <c r="E453" s="14"/>
      <c r="F453" s="14" t="str">
        <f t="shared" si="53"/>
        <v/>
      </c>
      <c r="G453" s="14"/>
      <c r="H453" s="30"/>
      <c r="I453" s="17"/>
      <c r="J453" s="18">
        <f t="shared" si="47"/>
        <v>0.08</v>
      </c>
      <c r="K453" s="19" t="s">
        <v>2</v>
      </c>
      <c r="L453" s="38">
        <v>17</v>
      </c>
      <c r="M453" s="21">
        <f>J453*$AD$436</f>
        <v>1606440</v>
      </c>
      <c r="N453" s="14"/>
      <c r="O453" s="22"/>
      <c r="P453" s="60">
        <f t="shared" si="49"/>
        <v>0</v>
      </c>
      <c r="Q453" s="60">
        <f t="shared" si="50"/>
        <v>0</v>
      </c>
      <c r="R453" s="60">
        <f t="shared" si="51"/>
        <v>0</v>
      </c>
      <c r="S453" s="62" cm="1">
        <f t="array" ref="S453">_xlfn.IFNA(MATCH(SUMIFS(R:R,A:A,"="&amp;A453,B:B,"&lt;"&amp;(B453+1)),_xlfn._xlws.FILTER(AO:AO,AL:AL=A453),1),1)</f>
        <v>1</v>
      </c>
      <c r="T453" s="62">
        <f t="shared" si="52"/>
        <v>125</v>
      </c>
      <c r="U453" s="62"/>
      <c r="V453" s="62"/>
      <c r="W453" s="63"/>
      <c r="X453" s="30"/>
      <c r="Y453" s="64"/>
      <c r="Z453" s="64"/>
      <c r="AA453" s="23"/>
      <c r="AB453" s="24"/>
      <c r="AC453" s="25"/>
      <c r="AD453" s="25"/>
    </row>
    <row r="454" spans="1:30">
      <c r="A454" s="46">
        <f t="shared" si="48"/>
        <v>11</v>
      </c>
      <c r="B454" s="47">
        <v>23</v>
      </c>
      <c r="C454" s="47"/>
      <c r="D454" s="47"/>
      <c r="E454" s="14"/>
      <c r="F454" s="14" t="str">
        <f t="shared" si="53"/>
        <v/>
      </c>
      <c r="G454" s="14"/>
      <c r="H454" s="30"/>
      <c r="I454" s="17"/>
      <c r="J454" s="18">
        <f t="shared" si="47"/>
        <v>0</v>
      </c>
      <c r="K454" s="19" t="s">
        <v>461</v>
      </c>
      <c r="L454" s="38">
        <v>4</v>
      </c>
      <c r="M454" s="21">
        <v>1</v>
      </c>
      <c r="N454" s="14"/>
      <c r="O454" s="22"/>
      <c r="P454" s="60">
        <f t="shared" si="49"/>
        <v>0</v>
      </c>
      <c r="Q454" s="60">
        <f t="shared" si="50"/>
        <v>0</v>
      </c>
      <c r="R454" s="60">
        <f t="shared" si="51"/>
        <v>15</v>
      </c>
      <c r="S454" s="62" cm="1">
        <f t="array" ref="S454">_xlfn.IFNA(MATCH(SUMIFS(R:R,A:A,"="&amp;A454,B:B,"&lt;"&amp;(B454+1)),_xlfn._xlws.FILTER(AO:AO,AL:AL=A454),1),1)</f>
        <v>1</v>
      </c>
      <c r="T454" s="62">
        <f t="shared" si="52"/>
        <v>140</v>
      </c>
      <c r="U454" s="62"/>
      <c r="V454" s="62"/>
      <c r="W454" s="63"/>
      <c r="X454" s="30"/>
      <c r="Y454" s="64"/>
      <c r="Z454" s="64"/>
      <c r="AA454" s="23"/>
      <c r="AB454" s="24"/>
      <c r="AC454" s="25"/>
      <c r="AD454" s="25"/>
    </row>
    <row r="455" spans="1:30">
      <c r="A455" s="46">
        <f t="shared" si="48"/>
        <v>11</v>
      </c>
      <c r="B455" s="47">
        <v>24</v>
      </c>
      <c r="C455" s="47"/>
      <c r="D455" s="47"/>
      <c r="E455" s="14"/>
      <c r="F455" s="14" t="str">
        <f t="shared" si="53"/>
        <v/>
      </c>
      <c r="G455" s="14"/>
      <c r="H455" s="30"/>
      <c r="I455" s="17"/>
      <c r="J455" s="18">
        <f t="shared" si="47"/>
        <v>0</v>
      </c>
      <c r="K455" s="19" t="s">
        <v>453</v>
      </c>
      <c r="L455" s="38">
        <v>3</v>
      </c>
      <c r="M455" s="21">
        <v>20</v>
      </c>
      <c r="N455" s="14"/>
      <c r="O455" s="22"/>
      <c r="P455" s="60">
        <f t="shared" si="49"/>
        <v>0</v>
      </c>
      <c r="Q455" s="60">
        <f t="shared" si="50"/>
        <v>0</v>
      </c>
      <c r="R455" s="60">
        <f t="shared" si="51"/>
        <v>0</v>
      </c>
      <c r="S455" s="62" cm="1">
        <f t="array" ref="S455">_xlfn.IFNA(MATCH(SUMIFS(R:R,A:A,"="&amp;A455,B:B,"&lt;"&amp;(B455+1)),_xlfn._xlws.FILTER(AO:AO,AL:AL=A455),1),1)</f>
        <v>1</v>
      </c>
      <c r="T455" s="62">
        <f t="shared" si="52"/>
        <v>140</v>
      </c>
      <c r="U455" s="62"/>
      <c r="V455" s="62"/>
      <c r="W455" s="63"/>
      <c r="X455" s="30"/>
      <c r="Y455" s="64"/>
      <c r="Z455" s="64"/>
      <c r="AA455" s="23"/>
      <c r="AB455" s="24"/>
      <c r="AC455" s="25"/>
      <c r="AD455" s="25"/>
    </row>
    <row r="456" spans="1:30">
      <c r="A456" s="46">
        <f t="shared" si="48"/>
        <v>11</v>
      </c>
      <c r="B456" s="47">
        <v>25</v>
      </c>
      <c r="C456" s="47"/>
      <c r="D456" s="47"/>
      <c r="E456" s="14"/>
      <c r="F456" s="14" t="str">
        <f t="shared" si="53"/>
        <v/>
      </c>
      <c r="G456" s="14"/>
      <c r="H456" s="30"/>
      <c r="I456" s="17"/>
      <c r="J456" s="18">
        <f t="shared" si="47"/>
        <v>0</v>
      </c>
      <c r="K456" t="s">
        <v>426</v>
      </c>
      <c r="L456" s="38">
        <v>3</v>
      </c>
      <c r="M456" s="21">
        <v>1</v>
      </c>
      <c r="N456" s="14"/>
      <c r="O456" s="22"/>
      <c r="P456" s="60">
        <f t="shared" si="49"/>
        <v>0</v>
      </c>
      <c r="Q456" s="60">
        <f t="shared" si="50"/>
        <v>0</v>
      </c>
      <c r="R456" s="60">
        <f t="shared" si="51"/>
        <v>0</v>
      </c>
      <c r="S456" s="62" cm="1">
        <f t="array" ref="S456">_xlfn.IFNA(MATCH(SUMIFS(R:R,A:A,"="&amp;A456,B:B,"&lt;"&amp;(B456+1)),_xlfn._xlws.FILTER(AO:AO,AL:AL=A456),1),1)</f>
        <v>1</v>
      </c>
      <c r="T456" s="62">
        <f t="shared" si="52"/>
        <v>140</v>
      </c>
      <c r="U456" s="62"/>
      <c r="V456" s="62"/>
      <c r="W456" s="63"/>
      <c r="X456" s="30"/>
      <c r="Y456" s="64"/>
      <c r="Z456" s="64"/>
      <c r="AA456" s="23"/>
      <c r="AB456" s="24"/>
      <c r="AC456" s="25"/>
      <c r="AD456" s="25"/>
    </row>
    <row r="457" spans="1:30">
      <c r="A457" s="46">
        <f t="shared" si="48"/>
        <v>11</v>
      </c>
      <c r="B457" s="47">
        <v>26</v>
      </c>
      <c r="C457" s="47"/>
      <c r="D457" s="47"/>
      <c r="E457" s="14">
        <v>14.99</v>
      </c>
      <c r="F457" s="14">
        <f t="shared" si="53"/>
        <v>154</v>
      </c>
      <c r="G457" s="36">
        <f>(E457+0.01)*F457*$AJ$2/100</f>
        <v>23100000</v>
      </c>
      <c r="H457" s="37">
        <f>SUM(G433:G457)</f>
        <v>73830000</v>
      </c>
      <c r="I457" s="17">
        <f>SUM(E433:E457)</f>
        <v>51.95</v>
      </c>
      <c r="J457" s="18">
        <f t="shared" ref="J457:J474" si="54">J414</f>
        <v>0</v>
      </c>
      <c r="K457" s="14" t="s">
        <v>2</v>
      </c>
      <c r="L457" s="29">
        <v>9</v>
      </c>
      <c r="M457" s="21">
        <f>G457</f>
        <v>23100000</v>
      </c>
      <c r="N457" s="36">
        <f>SUMIF(K457:K462,"="&amp;"金币",M457:M462)</f>
        <v>24104025</v>
      </c>
      <c r="O457" s="22">
        <f>N457/$AJ$2</f>
        <v>24.104025</v>
      </c>
      <c r="P457" s="60">
        <f t="shared" si="49"/>
        <v>0</v>
      </c>
      <c r="Q457" s="60">
        <f t="shared" si="50"/>
        <v>0</v>
      </c>
      <c r="R457" s="60">
        <f t="shared" si="51"/>
        <v>10</v>
      </c>
      <c r="S457" s="62" cm="1">
        <f t="array" ref="S457">_xlfn.IFNA(MATCH(SUMIFS(R:R,A:A,"="&amp;A457,B:B,"&lt;"&amp;(B457+1)),_xlfn._xlws.FILTER(AO:AO,AL:AL=A457),1),1)</f>
        <v>2</v>
      </c>
      <c r="T457" s="62">
        <f t="shared" si="52"/>
        <v>150</v>
      </c>
      <c r="U457" s="62" t="str">
        <f>_xlfn.IFNA(VLOOKUP(Q457,道具!B:C,2,FALSE),"")</f>
        <v/>
      </c>
      <c r="V457" s="62">
        <f>IF(U457=1,CEILING(W457*100/$AJ$2,5),IF(U457=2,J457*100,0))</f>
        <v>0</v>
      </c>
      <c r="W457" s="63">
        <f>IF(U457=1,J457*$AD$6,IF(U457=2,J457*$AJ$2,0))</f>
        <v>0</v>
      </c>
      <c r="X457" s="37">
        <f>SUM(N433:N457)+SUM(W433:W457)</f>
        <v>84094395</v>
      </c>
      <c r="Y457" s="66">
        <f>SUM(O433:O457)</f>
        <v>80.858175</v>
      </c>
      <c r="Z457" s="66">
        <f>SUM(W433:W457)</f>
        <v>3236220</v>
      </c>
      <c r="AA457" s="23">
        <f>X457/$AJ$2</f>
        <v>84.094395</v>
      </c>
      <c r="AB457" s="24">
        <f>X457/H457</f>
        <v>1.13902742787485</v>
      </c>
      <c r="AC457" s="25"/>
      <c r="AD457" s="25"/>
    </row>
    <row r="458" spans="1:30">
      <c r="A458" s="46">
        <f t="shared" si="48"/>
        <v>11</v>
      </c>
      <c r="B458" s="47">
        <v>27</v>
      </c>
      <c r="C458" s="47"/>
      <c r="D458" s="47"/>
      <c r="E458" s="14"/>
      <c r="F458" s="14" t="str">
        <f t="shared" si="53"/>
        <v/>
      </c>
      <c r="G458" s="14"/>
      <c r="H458" s="30"/>
      <c r="I458" s="17"/>
      <c r="J458" s="18">
        <f t="shared" si="54"/>
        <v>0</v>
      </c>
      <c r="K458" s="19" t="s">
        <v>408</v>
      </c>
      <c r="L458" s="38">
        <v>3</v>
      </c>
      <c r="M458" s="21">
        <v>5</v>
      </c>
      <c r="N458" s="14"/>
      <c r="O458" s="22"/>
      <c r="P458" s="60">
        <f t="shared" si="49"/>
        <v>0</v>
      </c>
      <c r="Q458" s="60">
        <f t="shared" si="50"/>
        <v>0</v>
      </c>
      <c r="R458" s="60">
        <f t="shared" si="51"/>
        <v>0</v>
      </c>
      <c r="S458" s="62" cm="1">
        <f t="array" ref="S458">_xlfn.IFNA(MATCH(SUMIFS(R:R,A:A,"="&amp;A458,B:B,"&lt;"&amp;(B458+1)),_xlfn._xlws.FILTER(AO:AO,AL:AL=A458),1),1)</f>
        <v>2</v>
      </c>
      <c r="T458" s="62">
        <f t="shared" si="52"/>
        <v>150</v>
      </c>
      <c r="U458" s="62"/>
      <c r="V458" s="62"/>
      <c r="W458" s="63"/>
      <c r="X458" s="30"/>
      <c r="Y458" s="64"/>
      <c r="Z458" s="64"/>
      <c r="AA458" s="23"/>
      <c r="AB458" s="24"/>
      <c r="AC458" s="25"/>
      <c r="AD458" s="25"/>
    </row>
    <row r="459" spans="1:30">
      <c r="A459" s="46">
        <f t="shared" si="48"/>
        <v>11</v>
      </c>
      <c r="B459" s="47">
        <v>28</v>
      </c>
      <c r="C459" s="47"/>
      <c r="D459" s="47"/>
      <c r="E459" s="14"/>
      <c r="F459" s="14" t="str">
        <f t="shared" si="53"/>
        <v/>
      </c>
      <c r="G459" s="14"/>
      <c r="H459" s="30"/>
      <c r="I459" s="17"/>
      <c r="J459" s="18">
        <f t="shared" si="54"/>
        <v>0.05</v>
      </c>
      <c r="K459" s="19" t="s">
        <v>2</v>
      </c>
      <c r="L459" s="38">
        <v>17</v>
      </c>
      <c r="M459" s="21">
        <f>J459*$AD$436</f>
        <v>1004025</v>
      </c>
      <c r="N459" s="14"/>
      <c r="O459" s="22"/>
      <c r="P459" s="60">
        <f t="shared" si="49"/>
        <v>0</v>
      </c>
      <c r="Q459" s="60">
        <f t="shared" si="50"/>
        <v>0</v>
      </c>
      <c r="R459" s="60">
        <f t="shared" si="51"/>
        <v>0</v>
      </c>
      <c r="S459" s="62" cm="1">
        <f t="array" ref="S459">_xlfn.IFNA(MATCH(SUMIFS(R:R,A:A,"="&amp;A459,B:B,"&lt;"&amp;(B459+1)),_xlfn._xlws.FILTER(AO:AO,AL:AL=A459),1),1)</f>
        <v>2</v>
      </c>
      <c r="T459" s="62">
        <f t="shared" si="52"/>
        <v>150</v>
      </c>
      <c r="U459" s="62"/>
      <c r="V459" s="62"/>
      <c r="W459" s="63"/>
      <c r="X459" s="30"/>
      <c r="Y459" s="64"/>
      <c r="Z459" s="64"/>
      <c r="AA459" s="23"/>
      <c r="AB459" s="24"/>
      <c r="AC459" s="25"/>
      <c r="AD459" s="25"/>
    </row>
    <row r="460" spans="1:30">
      <c r="A460" s="46">
        <f t="shared" si="48"/>
        <v>11</v>
      </c>
      <c r="B460" s="47">
        <v>29</v>
      </c>
      <c r="C460" s="47"/>
      <c r="D460" s="47"/>
      <c r="E460" s="14"/>
      <c r="F460" s="14" t="str">
        <f t="shared" si="53"/>
        <v/>
      </c>
      <c r="G460" s="14"/>
      <c r="H460" s="30"/>
      <c r="I460" s="17"/>
      <c r="J460" s="18">
        <f t="shared" si="54"/>
        <v>0</v>
      </c>
      <c r="K460" s="19" t="s">
        <v>463</v>
      </c>
      <c r="L460" s="38">
        <v>4</v>
      </c>
      <c r="M460" s="21">
        <v>1</v>
      </c>
      <c r="N460" s="14"/>
      <c r="O460" s="22"/>
      <c r="P460" s="60">
        <f t="shared" si="49"/>
        <v>0</v>
      </c>
      <c r="Q460" s="60">
        <f t="shared" si="50"/>
        <v>0</v>
      </c>
      <c r="R460" s="60">
        <f t="shared" si="51"/>
        <v>25</v>
      </c>
      <c r="S460" s="62" cm="1">
        <f t="array" ref="S460">_xlfn.IFNA(MATCH(SUMIFS(R:R,A:A,"="&amp;A460,B:B,"&lt;"&amp;(B460+1)),_xlfn._xlws.FILTER(AO:AO,AL:AL=A460),1),1)</f>
        <v>2</v>
      </c>
      <c r="T460" s="62">
        <f t="shared" si="52"/>
        <v>175</v>
      </c>
      <c r="U460" s="62"/>
      <c r="V460" s="62"/>
      <c r="W460" s="63"/>
      <c r="X460" s="30"/>
      <c r="Y460" s="64"/>
      <c r="Z460" s="64"/>
      <c r="AA460" s="23"/>
      <c r="AB460" s="24"/>
      <c r="AC460" s="25"/>
      <c r="AD460" s="25"/>
    </row>
    <row r="461" spans="1:30">
      <c r="A461" s="46">
        <f t="shared" si="48"/>
        <v>11</v>
      </c>
      <c r="B461" s="47">
        <v>30</v>
      </c>
      <c r="C461" s="47"/>
      <c r="D461" s="47"/>
      <c r="E461" s="14"/>
      <c r="F461" s="14" t="str">
        <f t="shared" si="53"/>
        <v/>
      </c>
      <c r="G461" s="14"/>
      <c r="H461" s="30"/>
      <c r="I461" s="17"/>
      <c r="J461" s="18">
        <f t="shared" si="54"/>
        <v>0</v>
      </c>
      <c r="K461" s="19" t="s">
        <v>453</v>
      </c>
      <c r="L461" s="38">
        <v>3</v>
      </c>
      <c r="M461" s="21">
        <v>25</v>
      </c>
      <c r="N461" s="14"/>
      <c r="O461" s="22"/>
      <c r="P461" s="60">
        <f t="shared" si="49"/>
        <v>0</v>
      </c>
      <c r="Q461" s="60">
        <f t="shared" si="50"/>
        <v>0</v>
      </c>
      <c r="R461" s="60">
        <f t="shared" si="51"/>
        <v>0</v>
      </c>
      <c r="S461" s="62" cm="1">
        <f t="array" ref="S461">_xlfn.IFNA(MATCH(SUMIFS(R:R,A:A,"="&amp;A461,B:B,"&lt;"&amp;(B461+1)),_xlfn._xlws.FILTER(AO:AO,AL:AL=A461),1),1)</f>
        <v>2</v>
      </c>
      <c r="T461" s="62">
        <f t="shared" si="52"/>
        <v>175</v>
      </c>
      <c r="U461" s="62"/>
      <c r="V461" s="62"/>
      <c r="W461" s="63"/>
      <c r="X461" s="30"/>
      <c r="Y461" s="64"/>
      <c r="Z461" s="64"/>
      <c r="AA461" s="23"/>
      <c r="AB461" s="24"/>
      <c r="AC461" s="25"/>
      <c r="AD461" s="25"/>
    </row>
    <row r="462" spans="1:30">
      <c r="A462" s="46">
        <f t="shared" si="48"/>
        <v>11</v>
      </c>
      <c r="B462" s="47">
        <v>31</v>
      </c>
      <c r="C462" s="47"/>
      <c r="D462" s="47"/>
      <c r="E462" s="14"/>
      <c r="F462" s="14" t="str">
        <f t="shared" si="53"/>
        <v/>
      </c>
      <c r="G462" s="14"/>
      <c r="H462" s="30"/>
      <c r="I462" s="17"/>
      <c r="J462" s="18">
        <f t="shared" si="54"/>
        <v>0</v>
      </c>
      <c r="K462" t="s">
        <v>424</v>
      </c>
      <c r="L462" s="38">
        <v>3</v>
      </c>
      <c r="M462" s="21">
        <v>1</v>
      </c>
      <c r="N462" s="14"/>
      <c r="O462" s="22"/>
      <c r="P462" s="60">
        <f t="shared" si="49"/>
        <v>0</v>
      </c>
      <c r="Q462" s="60">
        <f t="shared" si="50"/>
        <v>0</v>
      </c>
      <c r="R462" s="60">
        <f t="shared" si="51"/>
        <v>0</v>
      </c>
      <c r="S462" s="62" cm="1">
        <f t="array" ref="S462">_xlfn.IFNA(MATCH(SUMIFS(R:R,A:A,"="&amp;A462,B:B,"&lt;"&amp;(B462+1)),_xlfn._xlws.FILTER(AO:AO,AL:AL=A462),1),1)</f>
        <v>2</v>
      </c>
      <c r="T462" s="62">
        <f t="shared" si="52"/>
        <v>175</v>
      </c>
      <c r="U462" s="62"/>
      <c r="V462" s="62"/>
      <c r="W462" s="63"/>
      <c r="X462" s="30"/>
      <c r="Y462" s="64"/>
      <c r="Z462" s="64"/>
      <c r="AA462" s="23"/>
      <c r="AB462" s="24"/>
      <c r="AC462" s="25"/>
      <c r="AD462" s="25"/>
    </row>
    <row r="463" spans="1:30">
      <c r="A463" s="46">
        <f t="shared" si="48"/>
        <v>11</v>
      </c>
      <c r="B463" s="47">
        <v>32</v>
      </c>
      <c r="C463" s="47"/>
      <c r="D463" s="47"/>
      <c r="E463" s="14">
        <v>17.99</v>
      </c>
      <c r="F463" s="14">
        <f t="shared" si="53"/>
        <v>158</v>
      </c>
      <c r="G463" s="36">
        <f>(E463+0.01)*F463*$AJ$2/100</f>
        <v>28440000</v>
      </c>
      <c r="H463" s="37">
        <f>SUM(G433:G463)</f>
        <v>102270000</v>
      </c>
      <c r="I463" s="17">
        <f>SUM(E433:E463)</f>
        <v>69.94</v>
      </c>
      <c r="J463" s="18">
        <f t="shared" si="54"/>
        <v>0</v>
      </c>
      <c r="K463" s="14" t="s">
        <v>2</v>
      </c>
      <c r="L463" s="29">
        <v>9</v>
      </c>
      <c r="M463" s="21">
        <f>G463</f>
        <v>28440000</v>
      </c>
      <c r="N463" s="36">
        <f>SUMIF(K463:K468,"="&amp;"金币",M463:M468)</f>
        <v>30849660</v>
      </c>
      <c r="O463" s="22">
        <f>N463/$AJ$2</f>
        <v>30.84966</v>
      </c>
      <c r="P463" s="60">
        <f t="shared" si="49"/>
        <v>0</v>
      </c>
      <c r="Q463" s="60">
        <f t="shared" si="50"/>
        <v>0</v>
      </c>
      <c r="R463" s="60">
        <f t="shared" si="51"/>
        <v>25</v>
      </c>
      <c r="S463" s="62" cm="1">
        <f t="array" ref="S463">_xlfn.IFNA(MATCH(SUMIFS(R:R,A:A,"="&amp;A463,B:B,"&lt;"&amp;(B463+1)),_xlfn._xlws.FILTER(AO:AO,AL:AL=A463),1),1)</f>
        <v>2</v>
      </c>
      <c r="T463" s="62">
        <f t="shared" si="52"/>
        <v>200</v>
      </c>
      <c r="U463" s="62" t="str">
        <f>_xlfn.IFNA(VLOOKUP(Q463,道具!B:C,2,FALSE),"")</f>
        <v/>
      </c>
      <c r="V463" s="62">
        <f>IF(U463=1,CEILING(W463*100/$AJ$2,5),IF(U463=2,J463*100,0))</f>
        <v>0</v>
      </c>
      <c r="W463" s="63">
        <f>IF(U463=1,J463*$AD$6,IF(U463=2,J463*$AJ$2,0))</f>
        <v>0</v>
      </c>
      <c r="X463" s="37">
        <f>SUM(N433:N463)+SUM(W433:W463)</f>
        <v>114944055</v>
      </c>
      <c r="Y463" s="66">
        <f>SUM(O433:O463)</f>
        <v>111.707835</v>
      </c>
      <c r="Z463" s="66">
        <f>SUM(W433:W463)</f>
        <v>3236220</v>
      </c>
      <c r="AA463" s="23">
        <f>X463/$AJ$2</f>
        <v>114.944055</v>
      </c>
      <c r="AB463" s="24">
        <f>X463/H463</f>
        <v>1.12392739806395</v>
      </c>
      <c r="AC463" s="25"/>
      <c r="AD463" s="25"/>
    </row>
    <row r="464" spans="1:30">
      <c r="A464" s="46">
        <f t="shared" si="48"/>
        <v>11</v>
      </c>
      <c r="B464" s="47">
        <v>33</v>
      </c>
      <c r="C464" s="47"/>
      <c r="D464" s="47"/>
      <c r="E464" s="14"/>
      <c r="F464" s="14" t="str">
        <f t="shared" si="53"/>
        <v/>
      </c>
      <c r="G464" s="14"/>
      <c r="H464" s="30"/>
      <c r="I464" s="17"/>
      <c r="J464" s="18">
        <f t="shared" si="54"/>
        <v>0</v>
      </c>
      <c r="K464" s="19" t="s">
        <v>408</v>
      </c>
      <c r="L464" s="38">
        <v>3</v>
      </c>
      <c r="M464" s="21">
        <v>6</v>
      </c>
      <c r="N464" s="14"/>
      <c r="O464" s="22"/>
      <c r="P464" s="60">
        <f t="shared" si="49"/>
        <v>0</v>
      </c>
      <c r="Q464" s="60">
        <f t="shared" si="50"/>
        <v>0</v>
      </c>
      <c r="R464" s="60">
        <f t="shared" si="51"/>
        <v>0</v>
      </c>
      <c r="S464" s="62" cm="1">
        <f t="array" ref="S464">_xlfn.IFNA(MATCH(SUMIFS(R:R,A:A,"="&amp;A464,B:B,"&lt;"&amp;(B464+1)),_xlfn._xlws.FILTER(AO:AO,AL:AL=A464),1),1)</f>
        <v>2</v>
      </c>
      <c r="T464" s="62">
        <f t="shared" si="52"/>
        <v>200</v>
      </c>
      <c r="U464" s="62"/>
      <c r="V464" s="62"/>
      <c r="W464" s="63"/>
      <c r="X464" s="30"/>
      <c r="Y464" s="64"/>
      <c r="Z464" s="64"/>
      <c r="AA464" s="23"/>
      <c r="AB464" s="24"/>
      <c r="AC464" s="25"/>
      <c r="AD464" s="25"/>
    </row>
    <row r="465" spans="1:30">
      <c r="A465" s="46">
        <f t="shared" si="48"/>
        <v>11</v>
      </c>
      <c r="B465" s="47">
        <v>34</v>
      </c>
      <c r="C465" s="47"/>
      <c r="D465" s="47"/>
      <c r="E465" s="14"/>
      <c r="F465" s="14" t="str">
        <f t="shared" si="53"/>
        <v/>
      </c>
      <c r="G465" s="14"/>
      <c r="H465" s="30"/>
      <c r="I465" s="17"/>
      <c r="J465" s="18">
        <f t="shared" si="54"/>
        <v>0.12</v>
      </c>
      <c r="K465" s="19" t="s">
        <v>2</v>
      </c>
      <c r="L465" s="38">
        <v>17</v>
      </c>
      <c r="M465" s="21">
        <f>J465*$AD$436</f>
        <v>2409660</v>
      </c>
      <c r="N465" s="14"/>
      <c r="O465" s="22"/>
      <c r="P465" s="60">
        <f t="shared" si="49"/>
        <v>0</v>
      </c>
      <c r="Q465" s="60">
        <f t="shared" si="50"/>
        <v>0</v>
      </c>
      <c r="R465" s="60">
        <f t="shared" si="51"/>
        <v>0</v>
      </c>
      <c r="S465" s="62" cm="1">
        <f t="array" ref="S465">_xlfn.IFNA(MATCH(SUMIFS(R:R,A:A,"="&amp;A465,B:B,"&lt;"&amp;(B465+1)),_xlfn._xlws.FILTER(AO:AO,AL:AL=A465),1),1)</f>
        <v>2</v>
      </c>
      <c r="T465" s="62">
        <f t="shared" si="52"/>
        <v>200</v>
      </c>
      <c r="U465" s="62"/>
      <c r="V465" s="62"/>
      <c r="W465" s="63"/>
      <c r="X465" s="30"/>
      <c r="Y465" s="64"/>
      <c r="Z465" s="64"/>
      <c r="AA465" s="23"/>
      <c r="AB465" s="24"/>
      <c r="AC465" s="25"/>
      <c r="AD465" s="25"/>
    </row>
    <row r="466" spans="1:30">
      <c r="A466" s="46">
        <f t="shared" si="48"/>
        <v>11</v>
      </c>
      <c r="B466" s="47">
        <v>35</v>
      </c>
      <c r="C466" s="47"/>
      <c r="D466" s="47"/>
      <c r="E466" s="14"/>
      <c r="F466" s="14" t="str">
        <f t="shared" si="53"/>
        <v/>
      </c>
      <c r="G466" s="14"/>
      <c r="H466" s="30"/>
      <c r="I466" s="17"/>
      <c r="J466" s="18">
        <f t="shared" si="54"/>
        <v>0</v>
      </c>
      <c r="K466" s="19" t="s">
        <v>463</v>
      </c>
      <c r="L466" s="38">
        <v>4</v>
      </c>
      <c r="M466" s="21">
        <v>1</v>
      </c>
      <c r="N466" s="14"/>
      <c r="O466" s="22"/>
      <c r="P466" s="60">
        <f t="shared" si="49"/>
        <v>0</v>
      </c>
      <c r="Q466" s="60">
        <f t="shared" si="50"/>
        <v>0</v>
      </c>
      <c r="R466" s="60">
        <f t="shared" si="51"/>
        <v>15</v>
      </c>
      <c r="S466" s="62" cm="1">
        <f t="array" ref="S466">_xlfn.IFNA(MATCH(SUMIFS(R:R,A:A,"="&amp;A466,B:B,"&lt;"&amp;(B466+1)),_xlfn._xlws.FILTER(AO:AO,AL:AL=A466),1),1)</f>
        <v>2</v>
      </c>
      <c r="T466" s="62">
        <f t="shared" si="52"/>
        <v>215</v>
      </c>
      <c r="U466" s="62"/>
      <c r="V466" s="62"/>
      <c r="W466" s="63"/>
      <c r="X466" s="30"/>
      <c r="Y466" s="64"/>
      <c r="Z466" s="64"/>
      <c r="AA466" s="23"/>
      <c r="AB466" s="24"/>
      <c r="AC466" s="25"/>
      <c r="AD466" s="25"/>
    </row>
    <row r="467" spans="1:30">
      <c r="A467" s="46">
        <f t="shared" si="48"/>
        <v>11</v>
      </c>
      <c r="B467" s="47">
        <v>36</v>
      </c>
      <c r="C467" s="47"/>
      <c r="D467" s="47"/>
      <c r="E467" s="14"/>
      <c r="F467" s="14" t="str">
        <f t="shared" si="53"/>
        <v/>
      </c>
      <c r="G467" s="14"/>
      <c r="H467" s="30"/>
      <c r="I467" s="17"/>
      <c r="J467" s="18">
        <f t="shared" si="54"/>
        <v>0</v>
      </c>
      <c r="K467" s="19" t="s">
        <v>453</v>
      </c>
      <c r="L467" s="38">
        <v>3</v>
      </c>
      <c r="M467" s="21">
        <v>30</v>
      </c>
      <c r="N467" s="14"/>
      <c r="O467" s="22"/>
      <c r="P467" s="60">
        <f t="shared" si="49"/>
        <v>0</v>
      </c>
      <c r="Q467" s="60">
        <f t="shared" si="50"/>
        <v>0</v>
      </c>
      <c r="R467" s="60">
        <f t="shared" si="51"/>
        <v>0</v>
      </c>
      <c r="S467" s="62" cm="1">
        <f t="array" ref="S467">_xlfn.IFNA(MATCH(SUMIFS(R:R,A:A,"="&amp;A467,B:B,"&lt;"&amp;(B467+1)),_xlfn._xlws.FILTER(AO:AO,AL:AL=A467),1),1)</f>
        <v>2</v>
      </c>
      <c r="T467" s="62">
        <f t="shared" si="52"/>
        <v>215</v>
      </c>
      <c r="U467" s="62"/>
      <c r="V467" s="62"/>
      <c r="W467" s="63"/>
      <c r="X467" s="30"/>
      <c r="Y467" s="64"/>
      <c r="Z467" s="64"/>
      <c r="AA467" s="23"/>
      <c r="AB467" s="24"/>
      <c r="AC467" s="25"/>
      <c r="AD467" s="25"/>
    </row>
    <row r="468" spans="1:30">
      <c r="A468" s="46">
        <f t="shared" si="48"/>
        <v>11</v>
      </c>
      <c r="B468" s="47">
        <v>37</v>
      </c>
      <c r="C468" s="47"/>
      <c r="D468" s="47"/>
      <c r="E468" s="14"/>
      <c r="F468" s="14" t="str">
        <f t="shared" si="53"/>
        <v/>
      </c>
      <c r="G468" s="14"/>
      <c r="H468" s="30"/>
      <c r="I468" s="17"/>
      <c r="J468" s="18">
        <f t="shared" si="54"/>
        <v>0</v>
      </c>
      <c r="K468" t="s">
        <v>426</v>
      </c>
      <c r="L468" s="38">
        <v>3</v>
      </c>
      <c r="M468" s="21">
        <v>1</v>
      </c>
      <c r="N468" s="14"/>
      <c r="O468" s="22"/>
      <c r="P468" s="60">
        <f t="shared" si="49"/>
        <v>0</v>
      </c>
      <c r="Q468" s="60">
        <f t="shared" si="50"/>
        <v>0</v>
      </c>
      <c r="R468" s="60">
        <f t="shared" si="51"/>
        <v>0</v>
      </c>
      <c r="S468" s="62" cm="1">
        <f t="array" ref="S468">_xlfn.IFNA(MATCH(SUMIFS(R:R,A:A,"="&amp;A468,B:B,"&lt;"&amp;(B468+1)),_xlfn._xlws.FILTER(AO:AO,AL:AL=A468),1),1)</f>
        <v>2</v>
      </c>
      <c r="T468" s="62">
        <f t="shared" si="52"/>
        <v>215</v>
      </c>
      <c r="U468" s="62"/>
      <c r="V468" s="62"/>
      <c r="W468" s="63"/>
      <c r="X468" s="30"/>
      <c r="Y468" s="64"/>
      <c r="Z468" s="64"/>
      <c r="AA468" s="23"/>
      <c r="AB468" s="24"/>
      <c r="AC468" s="25"/>
      <c r="AD468" s="25"/>
    </row>
    <row r="469" spans="1:30">
      <c r="A469" s="46">
        <f t="shared" si="48"/>
        <v>11</v>
      </c>
      <c r="B469" s="47">
        <v>38</v>
      </c>
      <c r="C469" s="47"/>
      <c r="D469" s="47"/>
      <c r="E469" s="14">
        <v>19.99</v>
      </c>
      <c r="F469" s="14">
        <f t="shared" si="53"/>
        <v>158</v>
      </c>
      <c r="G469" s="36">
        <f>(E469+0.01)*F469*$AJ$2/100</f>
        <v>31600000</v>
      </c>
      <c r="H469" s="37">
        <f>SUM(G433:G469)</f>
        <v>133870000</v>
      </c>
      <c r="I469" s="17">
        <f>SUM(E433:E469)</f>
        <v>89.93</v>
      </c>
      <c r="J469" s="18">
        <f t="shared" si="54"/>
        <v>0.45</v>
      </c>
      <c r="K469" s="14" t="s">
        <v>2</v>
      </c>
      <c r="L469" s="29">
        <v>9</v>
      </c>
      <c r="M469" s="21">
        <f>G469</f>
        <v>31600000</v>
      </c>
      <c r="N469" s="36">
        <f>SUMIF(K469:K474,"="&amp;"金币",M469:M474)</f>
        <v>34009660</v>
      </c>
      <c r="O469" s="22">
        <f>N469/$AJ$2</f>
        <v>34.00966</v>
      </c>
      <c r="P469" s="60">
        <f t="shared" si="49"/>
        <v>3</v>
      </c>
      <c r="Q469" s="60" t="str">
        <f t="shared" si="50"/>
        <v>金币</v>
      </c>
      <c r="R469" s="60">
        <f t="shared" si="51"/>
        <v>35</v>
      </c>
      <c r="S469" s="62" cm="1">
        <f t="array" ref="S469">_xlfn.IFNA(MATCH(SUMIFS(R:R,A:A,"="&amp;A469,B:B,"&lt;"&amp;(B469+1)),_xlfn._xlws.FILTER(AO:AO,AL:AL=A469),1),1)</f>
        <v>2</v>
      </c>
      <c r="T469" s="62">
        <f t="shared" si="52"/>
        <v>250</v>
      </c>
      <c r="U469" s="62">
        <f>_xlfn.IFNA(VLOOKUP(Q469,道具!B:C,2,FALSE),"")</f>
        <v>1</v>
      </c>
      <c r="V469" s="62">
        <f>IF(U469=1,CEILING(W469*100/$AJ$2,5),IF(U469=2,J469*100,0))</f>
        <v>405</v>
      </c>
      <c r="W469" s="63">
        <f>IF(U469=1,J469*$AD$6,IF(U469=2,J469*$AJ$2,0))</f>
        <v>4045275</v>
      </c>
      <c r="X469" s="37">
        <f>SUM(N433:N469)+SUM(W433:W469)</f>
        <v>152998990</v>
      </c>
      <c r="Y469" s="66">
        <f>SUM(O433:O469)</f>
        <v>145.717495</v>
      </c>
      <c r="Z469" s="66">
        <f>SUM(W433:W469)</f>
        <v>7281494.99999999</v>
      </c>
      <c r="AA469" s="23">
        <f>X469/$AJ$2</f>
        <v>152.99899</v>
      </c>
      <c r="AB469" s="24">
        <f>X469/H469</f>
        <v>1.14289228355868</v>
      </c>
      <c r="AC469" s="25"/>
      <c r="AD469" s="25"/>
    </row>
    <row r="470" spans="1:30">
      <c r="A470" s="46">
        <f t="shared" si="48"/>
        <v>11</v>
      </c>
      <c r="B470" s="47">
        <v>39</v>
      </c>
      <c r="C470" s="47"/>
      <c r="D470" s="47"/>
      <c r="E470" s="14"/>
      <c r="F470" s="14" t="str">
        <f t="shared" si="53"/>
        <v/>
      </c>
      <c r="G470" s="14"/>
      <c r="H470" s="30"/>
      <c r="I470" s="17"/>
      <c r="J470" s="18">
        <f t="shared" si="54"/>
        <v>0</v>
      </c>
      <c r="K470" s="19" t="s">
        <v>408</v>
      </c>
      <c r="L470" s="38">
        <v>3</v>
      </c>
      <c r="M470" s="21">
        <v>7</v>
      </c>
      <c r="N470" s="14"/>
      <c r="O470" s="22"/>
      <c r="P470" s="60">
        <f t="shared" si="49"/>
        <v>0</v>
      </c>
      <c r="Q470" s="60">
        <f t="shared" si="50"/>
        <v>0</v>
      </c>
      <c r="R470" s="60">
        <f t="shared" si="51"/>
        <v>0</v>
      </c>
      <c r="S470" s="62" cm="1">
        <f t="array" ref="S470">_xlfn.IFNA(MATCH(SUMIFS(R:R,A:A,"="&amp;A470,B:B,"&lt;"&amp;(B470+1)),_xlfn._xlws.FILTER(AO:AO,AL:AL=A470),1),1)</f>
        <v>2</v>
      </c>
      <c r="T470" s="62">
        <f t="shared" si="52"/>
        <v>250</v>
      </c>
      <c r="U470" s="62"/>
      <c r="V470" s="62"/>
      <c r="W470" s="63"/>
      <c r="X470" s="30"/>
      <c r="Y470" s="64"/>
      <c r="Z470" s="64"/>
      <c r="AA470" s="23"/>
      <c r="AB470" s="24"/>
      <c r="AC470" s="25"/>
      <c r="AD470" s="25"/>
    </row>
    <row r="471" spans="1:30">
      <c r="A471" s="46">
        <f t="shared" si="48"/>
        <v>11</v>
      </c>
      <c r="B471" s="47">
        <v>40</v>
      </c>
      <c r="C471" s="47"/>
      <c r="D471" s="47"/>
      <c r="E471" s="14"/>
      <c r="F471" s="14" t="str">
        <f t="shared" si="53"/>
        <v/>
      </c>
      <c r="G471" s="14"/>
      <c r="H471" s="30"/>
      <c r="I471" s="17"/>
      <c r="J471" s="18">
        <f t="shared" si="54"/>
        <v>0.12</v>
      </c>
      <c r="K471" s="19" t="s">
        <v>2</v>
      </c>
      <c r="L471" s="38">
        <v>17</v>
      </c>
      <c r="M471" s="21">
        <f>J471*$AD$436</f>
        <v>2409660</v>
      </c>
      <c r="N471" s="14"/>
      <c r="O471" s="22"/>
      <c r="P471" s="60">
        <f t="shared" si="49"/>
        <v>0</v>
      </c>
      <c r="Q471" s="60">
        <f t="shared" si="50"/>
        <v>0</v>
      </c>
      <c r="R471" s="60">
        <f t="shared" si="51"/>
        <v>0</v>
      </c>
      <c r="S471" s="62" cm="1">
        <f t="array" ref="S471">_xlfn.IFNA(MATCH(SUMIFS(R:R,A:A,"="&amp;A471,B:B,"&lt;"&amp;(B471+1)),_xlfn._xlws.FILTER(AO:AO,AL:AL=A471),1),1)</f>
        <v>2</v>
      </c>
      <c r="T471" s="62">
        <f t="shared" si="52"/>
        <v>250</v>
      </c>
      <c r="U471" s="62"/>
      <c r="V471" s="62"/>
      <c r="W471" s="63"/>
      <c r="X471" s="30"/>
      <c r="Y471" s="64"/>
      <c r="Z471" s="64"/>
      <c r="AA471" s="23"/>
      <c r="AB471" s="24"/>
      <c r="AC471" s="25"/>
      <c r="AD471" s="25"/>
    </row>
    <row r="472" spans="1:30">
      <c r="A472" s="46">
        <f t="shared" si="48"/>
        <v>11</v>
      </c>
      <c r="B472" s="47">
        <v>41</v>
      </c>
      <c r="C472" s="47"/>
      <c r="D472" s="47"/>
      <c r="E472" s="14"/>
      <c r="F472" s="14" t="str">
        <f t="shared" si="53"/>
        <v/>
      </c>
      <c r="G472" s="14"/>
      <c r="H472" s="30"/>
      <c r="I472" s="17"/>
      <c r="J472" s="18">
        <f t="shared" si="54"/>
        <v>0</v>
      </c>
      <c r="K472" s="19" t="s">
        <v>473</v>
      </c>
      <c r="L472" s="38">
        <v>4</v>
      </c>
      <c r="M472" s="21">
        <v>1</v>
      </c>
      <c r="N472" s="14"/>
      <c r="O472" s="22"/>
      <c r="P472" s="60">
        <f t="shared" si="49"/>
        <v>0</v>
      </c>
      <c r="Q472" s="60">
        <f t="shared" si="50"/>
        <v>0</v>
      </c>
      <c r="R472" s="60">
        <f t="shared" si="51"/>
        <v>50</v>
      </c>
      <c r="S472" s="62" cm="1">
        <f t="array" ref="S472">_xlfn.IFNA(MATCH(SUMIFS(R:R,A:A,"="&amp;A472,B:B,"&lt;"&amp;(B472+1)),_xlfn._xlws.FILTER(AO:AO,AL:AL=A472),1),1)</f>
        <v>3</v>
      </c>
      <c r="T472" s="62">
        <f t="shared" si="52"/>
        <v>300</v>
      </c>
      <c r="U472" s="62"/>
      <c r="V472" s="62"/>
      <c r="W472" s="63"/>
      <c r="X472" s="30"/>
      <c r="Y472" s="64"/>
      <c r="Z472" s="64"/>
      <c r="AA472" s="23"/>
      <c r="AB472" s="24"/>
      <c r="AC472" s="25"/>
      <c r="AD472" s="25"/>
    </row>
    <row r="473" spans="1:30">
      <c r="A473" s="46">
        <f t="shared" si="48"/>
        <v>11</v>
      </c>
      <c r="B473" s="47">
        <v>42</v>
      </c>
      <c r="C473" s="47"/>
      <c r="D473" s="47"/>
      <c r="E473" s="14"/>
      <c r="F473" s="14" t="str">
        <f t="shared" si="53"/>
        <v/>
      </c>
      <c r="G473" s="14"/>
      <c r="H473" s="30"/>
      <c r="I473" s="17"/>
      <c r="J473" s="18">
        <f t="shared" si="54"/>
        <v>0</v>
      </c>
      <c r="K473" s="19" t="s">
        <v>453</v>
      </c>
      <c r="L473" s="38">
        <v>3</v>
      </c>
      <c r="M473" s="21">
        <v>35</v>
      </c>
      <c r="N473" s="14"/>
      <c r="O473" s="22"/>
      <c r="P473" s="60">
        <f t="shared" si="49"/>
        <v>0</v>
      </c>
      <c r="Q473" s="60">
        <f t="shared" si="50"/>
        <v>0</v>
      </c>
      <c r="R473" s="60">
        <f t="shared" si="51"/>
        <v>0</v>
      </c>
      <c r="S473" s="62" cm="1">
        <f t="array" ref="S473">_xlfn.IFNA(MATCH(SUMIFS(R:R,A:A,"="&amp;A473,B:B,"&lt;"&amp;(B473+1)),_xlfn._xlws.FILTER(AO:AO,AL:AL=A473),1),1)</f>
        <v>3</v>
      </c>
      <c r="T473" s="62">
        <f t="shared" si="52"/>
        <v>300</v>
      </c>
      <c r="U473" s="62"/>
      <c r="V473" s="62"/>
      <c r="W473" s="63"/>
      <c r="X473" s="30"/>
      <c r="Y473" s="64"/>
      <c r="Z473" s="64"/>
      <c r="AA473" s="23"/>
      <c r="AB473" s="24"/>
      <c r="AC473" s="25"/>
      <c r="AD473" s="25"/>
    </row>
    <row r="474" spans="1:30">
      <c r="A474" s="46">
        <f t="shared" si="48"/>
        <v>11</v>
      </c>
      <c r="B474" s="47">
        <v>43</v>
      </c>
      <c r="C474" s="47"/>
      <c r="D474" s="47"/>
      <c r="E474" s="14"/>
      <c r="F474" s="14" t="str">
        <f t="shared" si="53"/>
        <v/>
      </c>
      <c r="G474" s="14"/>
      <c r="H474" s="30"/>
      <c r="I474" s="17"/>
      <c r="J474" s="18">
        <f t="shared" si="54"/>
        <v>0</v>
      </c>
      <c r="K474" t="s">
        <v>424</v>
      </c>
      <c r="L474" s="38">
        <v>3</v>
      </c>
      <c r="M474" s="21">
        <v>1</v>
      </c>
      <c r="N474" s="14"/>
      <c r="O474" s="22"/>
      <c r="P474" s="60">
        <f t="shared" si="49"/>
        <v>0</v>
      </c>
      <c r="Q474" s="60">
        <f t="shared" si="50"/>
        <v>0</v>
      </c>
      <c r="R474" s="60">
        <f t="shared" si="51"/>
        <v>0</v>
      </c>
      <c r="S474" s="62" cm="1">
        <f t="array" ref="S474">_xlfn.IFNA(MATCH(SUMIFS(R:R,A:A,"="&amp;A474,B:B,"&lt;"&amp;(B474+1)),_xlfn._xlws.FILTER(AO:AO,AL:AL=A474),1),1)</f>
        <v>3</v>
      </c>
      <c r="T474" s="62">
        <f t="shared" si="52"/>
        <v>300</v>
      </c>
      <c r="U474" s="62"/>
      <c r="V474" s="62"/>
      <c r="W474" s="63"/>
      <c r="X474" s="30"/>
      <c r="Y474" s="64"/>
      <c r="Z474" s="64"/>
      <c r="AA474" s="23"/>
      <c r="AB474" s="24"/>
      <c r="AC474" s="25"/>
      <c r="AD474" s="25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74"/>
  <sheetViews>
    <sheetView workbookViewId="0">
      <selection activeCell="R14" sqref="R13:R14"/>
    </sheetView>
  </sheetViews>
  <sheetFormatPr defaultColWidth="9" defaultRowHeight="13.5"/>
  <cols>
    <col min="1" max="1" width="5.375" style="44" customWidth="1"/>
    <col min="2" max="2" width="5.375" style="45" customWidth="1"/>
    <col min="3" max="3" width="5.75833333333333" style="1" customWidth="1"/>
    <col min="4" max="4" width="7.875" style="1" customWidth="1"/>
    <col min="5" max="5" width="11.125" style="1" customWidth="1"/>
    <col min="6" max="6" width="11.125" style="9" customWidth="1"/>
    <col min="7" max="7" width="7.875" style="3" customWidth="1"/>
    <col min="8" max="8" width="10.125" style="4" customWidth="1"/>
    <col min="9" max="9" width="11.2583333333333" style="5" customWidth="1"/>
    <col min="10" max="10" width="14.5166666666667" style="6" customWidth="1"/>
    <col min="11" max="11" width="13.125" style="7" customWidth="1"/>
    <col min="12" max="12" width="11.125" style="1" customWidth="1"/>
    <col min="13" max="13" width="7.875" style="8" customWidth="1"/>
    <col min="14" max="14" width="11.125" style="9" customWidth="1"/>
    <col min="15" max="15" width="7.875" style="10" customWidth="1"/>
    <col min="16" max="16" width="7.69166666666667" style="11" customWidth="1"/>
    <col min="17" max="17" width="3.475" style="12" customWidth="1"/>
    <col min="18" max="18" width="12.125" style="12" customWidth="1"/>
    <col min="19" max="19" width="3.58333333333333" customWidth="1"/>
    <col min="24" max="24" width="10.375" customWidth="1"/>
  </cols>
  <sheetData>
    <row r="1" ht="84" spans="1:24">
      <c r="A1" s="46" t="s">
        <v>535</v>
      </c>
      <c r="B1" s="47" t="s">
        <v>536</v>
      </c>
      <c r="C1" s="14"/>
      <c r="D1" s="14" t="s">
        <v>537</v>
      </c>
      <c r="E1" s="15" t="s">
        <v>538</v>
      </c>
      <c r="F1" s="16" t="s">
        <v>539</v>
      </c>
      <c r="G1" s="17" t="s">
        <v>540</v>
      </c>
      <c r="H1" s="18" t="s">
        <v>541</v>
      </c>
      <c r="I1" s="19" t="s">
        <v>542</v>
      </c>
      <c r="J1" s="20" t="s">
        <v>543</v>
      </c>
      <c r="K1" s="21" t="s">
        <v>544</v>
      </c>
      <c r="L1" s="14" t="s">
        <v>545</v>
      </c>
      <c r="M1" s="22" t="s">
        <v>546</v>
      </c>
      <c r="N1" s="16" t="s">
        <v>539</v>
      </c>
      <c r="O1" s="23" t="s">
        <v>540</v>
      </c>
      <c r="P1" s="24" t="s">
        <v>551</v>
      </c>
      <c r="Q1" s="25"/>
      <c r="R1" s="26" t="s">
        <v>552</v>
      </c>
      <c r="S1" s="27"/>
      <c r="T1" s="15" t="s">
        <v>0</v>
      </c>
      <c r="U1" s="15" t="s">
        <v>532</v>
      </c>
      <c r="W1" s="28" t="s">
        <v>533</v>
      </c>
      <c r="X1" s="28" t="s">
        <v>534</v>
      </c>
    </row>
    <row r="2" spans="1:24">
      <c r="A2" s="46">
        <v>1</v>
      </c>
      <c r="B2" s="47">
        <v>1</v>
      </c>
      <c r="C2" s="14"/>
      <c r="D2" s="14" t="str">
        <f>IFERROR(VLOOKUP(ROUND((C2+0.01)*100,0),T:U,2,FALSE),"")</f>
        <v/>
      </c>
      <c r="E2" s="14"/>
      <c r="F2" s="30"/>
      <c r="G2" s="17"/>
      <c r="H2" s="18"/>
      <c r="I2" s="14" t="s">
        <v>2</v>
      </c>
      <c r="J2" s="29">
        <v>1</v>
      </c>
      <c r="K2" s="21">
        <v>5000</v>
      </c>
      <c r="L2" s="14"/>
      <c r="M2" s="22"/>
      <c r="N2" s="30"/>
      <c r="O2" s="23"/>
      <c r="P2" s="24"/>
      <c r="Q2" s="25"/>
      <c r="R2" s="31">
        <f>SUM(C2:C44)</f>
        <v>46.93</v>
      </c>
      <c r="S2" s="27"/>
      <c r="T2" s="15">
        <v>99</v>
      </c>
      <c r="U2" s="15">
        <v>100</v>
      </c>
      <c r="W2" s="32">
        <v>0</v>
      </c>
      <c r="X2" s="33">
        <v>1000000</v>
      </c>
    </row>
    <row r="3" spans="1:24">
      <c r="A3" s="46">
        <v>1</v>
      </c>
      <c r="B3" s="47">
        <v>2</v>
      </c>
      <c r="C3" s="35">
        <v>2.99</v>
      </c>
      <c r="D3" s="14">
        <f t="shared" ref="D3:D66" si="0">IFERROR(VLOOKUP(ROUND(C3*100,0),T:U,2,FALSE),"")</f>
        <v>109</v>
      </c>
      <c r="E3" s="36">
        <f>(C3+0.01)*D3*$X$2/100</f>
        <v>3270000</v>
      </c>
      <c r="F3" s="37">
        <f>SUM(E3)</f>
        <v>3270000</v>
      </c>
      <c r="G3" s="17">
        <f>SUM(C3)</f>
        <v>2.99</v>
      </c>
      <c r="H3" s="18"/>
      <c r="I3" s="14" t="s">
        <v>2</v>
      </c>
      <c r="J3" s="29">
        <v>9</v>
      </c>
      <c r="K3" s="21">
        <f>E3</f>
        <v>3270000</v>
      </c>
      <c r="L3" s="36">
        <f>SUMIF(I3:I8,"="&amp;"金币",K3:K8)</f>
        <v>4168950</v>
      </c>
      <c r="M3" s="22">
        <f>L3/$X$2</f>
        <v>4.16895</v>
      </c>
      <c r="N3" s="37">
        <f>SUM(L3)</f>
        <v>4168950</v>
      </c>
      <c r="O3" s="23">
        <f>SUM(M3)</f>
        <v>4.16895</v>
      </c>
      <c r="P3" s="24">
        <f>N3/F3</f>
        <v>1.27490825688073</v>
      </c>
      <c r="Q3" s="25"/>
      <c r="R3" s="26" t="s">
        <v>556</v>
      </c>
      <c r="S3" s="27"/>
      <c r="T3" s="15">
        <v>199</v>
      </c>
      <c r="U3" s="15">
        <v>100</v>
      </c>
      <c r="W3" s="32">
        <v>1</v>
      </c>
      <c r="X3" s="33">
        <v>1250000</v>
      </c>
    </row>
    <row r="4" spans="1:24">
      <c r="A4" s="46">
        <v>1</v>
      </c>
      <c r="B4" s="47">
        <v>3</v>
      </c>
      <c r="C4" s="14"/>
      <c r="D4" s="14" t="str">
        <f t="shared" si="0"/>
        <v/>
      </c>
      <c r="E4" s="14"/>
      <c r="F4" s="30"/>
      <c r="G4" s="17"/>
      <c r="H4" s="18"/>
      <c r="I4" s="19" t="s">
        <v>408</v>
      </c>
      <c r="J4" s="38">
        <v>3</v>
      </c>
      <c r="K4" s="21">
        <v>1</v>
      </c>
      <c r="L4" s="14"/>
      <c r="M4" s="22"/>
      <c r="N4" s="30"/>
      <c r="O4" s="23"/>
      <c r="P4" s="24"/>
      <c r="Q4" s="25"/>
      <c r="R4" s="39">
        <v>1.15</v>
      </c>
      <c r="S4" s="27"/>
      <c r="T4" s="15">
        <v>299</v>
      </c>
      <c r="U4" s="15">
        <v>109</v>
      </c>
      <c r="W4" s="32">
        <v>2</v>
      </c>
      <c r="X4" s="33">
        <v>1500000</v>
      </c>
    </row>
    <row r="5" spans="1:24">
      <c r="A5" s="46">
        <v>1</v>
      </c>
      <c r="B5" s="47">
        <v>4</v>
      </c>
      <c r="C5" s="14"/>
      <c r="D5" s="14" t="str">
        <f t="shared" si="0"/>
        <v/>
      </c>
      <c r="E5" s="14"/>
      <c r="F5" s="30"/>
      <c r="G5" s="17"/>
      <c r="H5" s="18">
        <v>0.1</v>
      </c>
      <c r="I5" s="19" t="s">
        <v>2</v>
      </c>
      <c r="J5" s="38">
        <v>17</v>
      </c>
      <c r="K5" s="21">
        <f>H5*$R$6</f>
        <v>898950</v>
      </c>
      <c r="L5" s="14"/>
      <c r="M5" s="22"/>
      <c r="N5" s="30"/>
      <c r="O5" s="23"/>
      <c r="P5" s="24"/>
      <c r="Q5" s="25"/>
      <c r="R5" s="26" t="s">
        <v>557</v>
      </c>
      <c r="S5" s="27"/>
      <c r="T5" s="15">
        <v>399</v>
      </c>
      <c r="U5" s="15">
        <v>114</v>
      </c>
      <c r="W5" s="32">
        <v>3</v>
      </c>
      <c r="X5" s="33">
        <v>1750000</v>
      </c>
    </row>
    <row r="6" spans="1:24">
      <c r="A6" s="46">
        <v>1</v>
      </c>
      <c r="B6" s="47">
        <v>5</v>
      </c>
      <c r="C6" s="14"/>
      <c r="D6" s="14" t="str">
        <f t="shared" si="0"/>
        <v/>
      </c>
      <c r="E6" s="14"/>
      <c r="F6" s="30"/>
      <c r="G6" s="17"/>
      <c r="H6" s="18"/>
      <c r="I6" s="19" t="s">
        <v>457</v>
      </c>
      <c r="J6" s="38">
        <v>4</v>
      </c>
      <c r="K6" s="21">
        <v>1</v>
      </c>
      <c r="L6" s="14"/>
      <c r="M6" s="22"/>
      <c r="N6" s="30"/>
      <c r="O6" s="23"/>
      <c r="P6" s="24"/>
      <c r="Q6" s="25"/>
      <c r="R6" s="40">
        <f>SUM(E2:E44)*(R4-1)</f>
        <v>8989499.99999999</v>
      </c>
      <c r="S6" s="27"/>
      <c r="T6" s="15">
        <v>499</v>
      </c>
      <c r="U6" s="15">
        <v>119</v>
      </c>
      <c r="W6" s="32">
        <v>4</v>
      </c>
      <c r="X6" s="33">
        <v>2000000</v>
      </c>
    </row>
    <row r="7" spans="1:24">
      <c r="A7" s="46">
        <v>1</v>
      </c>
      <c r="B7" s="47">
        <v>6</v>
      </c>
      <c r="C7" s="14"/>
      <c r="D7" s="14" t="str">
        <f t="shared" si="0"/>
        <v/>
      </c>
      <c r="E7" s="14"/>
      <c r="F7" s="30"/>
      <c r="G7" s="17"/>
      <c r="H7" s="18"/>
      <c r="I7" s="19" t="s">
        <v>453</v>
      </c>
      <c r="J7" s="38">
        <v>3</v>
      </c>
      <c r="K7" s="21">
        <v>5</v>
      </c>
      <c r="L7" s="14"/>
      <c r="M7" s="22"/>
      <c r="N7" s="30"/>
      <c r="O7" s="23"/>
      <c r="P7" s="24"/>
      <c r="Q7" s="25"/>
      <c r="R7" s="26" t="s">
        <v>558</v>
      </c>
      <c r="S7" s="27"/>
      <c r="T7" s="15">
        <v>599</v>
      </c>
      <c r="U7" s="15">
        <v>119</v>
      </c>
      <c r="W7" s="32">
        <v>5</v>
      </c>
      <c r="X7" s="33">
        <v>2250000</v>
      </c>
    </row>
    <row r="8" spans="1:24">
      <c r="A8" s="46">
        <v>1</v>
      </c>
      <c r="B8" s="47">
        <v>7</v>
      </c>
      <c r="C8" s="14"/>
      <c r="D8" s="14" t="str">
        <f t="shared" si="0"/>
        <v/>
      </c>
      <c r="E8" s="14"/>
      <c r="F8" s="30"/>
      <c r="G8" s="17"/>
      <c r="H8" s="18"/>
      <c r="I8" t="s">
        <v>424</v>
      </c>
      <c r="J8" s="38">
        <v>3</v>
      </c>
      <c r="K8" s="21">
        <v>1</v>
      </c>
      <c r="L8" s="14"/>
      <c r="M8" s="22"/>
      <c r="N8" s="30"/>
      <c r="O8" s="23"/>
      <c r="P8" s="24"/>
      <c r="Q8" s="25"/>
      <c r="R8" s="26">
        <f>SUM(H2:H44)</f>
        <v>1</v>
      </c>
      <c r="S8" s="27"/>
      <c r="T8" s="15">
        <v>699</v>
      </c>
      <c r="U8" s="15">
        <v>124</v>
      </c>
      <c r="W8" s="32">
        <v>6</v>
      </c>
      <c r="X8" s="33">
        <v>2500000</v>
      </c>
    </row>
    <row r="9" spans="1:24">
      <c r="A9" s="46">
        <v>1</v>
      </c>
      <c r="B9" s="47">
        <v>8</v>
      </c>
      <c r="C9" s="14">
        <v>3.99</v>
      </c>
      <c r="D9" s="14">
        <f t="shared" si="0"/>
        <v>114</v>
      </c>
      <c r="E9" s="36">
        <f>(C9+0.01)*D9*$X$2/100</f>
        <v>4560000</v>
      </c>
      <c r="F9" s="37">
        <f>SUM(E3:E9)</f>
        <v>7830000</v>
      </c>
      <c r="G9" s="17">
        <f>SUM(C3:C9)</f>
        <v>6.98</v>
      </c>
      <c r="H9" s="18"/>
      <c r="I9" s="14" t="s">
        <v>2</v>
      </c>
      <c r="J9" s="29">
        <v>9</v>
      </c>
      <c r="K9" s="21">
        <f>E9</f>
        <v>4560000</v>
      </c>
      <c r="L9" s="36">
        <f>SUMIF(I9:I14,"="&amp;"金币",K9:K14)</f>
        <v>5458950</v>
      </c>
      <c r="M9" s="22">
        <f>L9/$X$2</f>
        <v>5.45895</v>
      </c>
      <c r="N9" s="37">
        <f>SUM(L3:L9)</f>
        <v>9627900</v>
      </c>
      <c r="O9" s="23">
        <f>SUM(M3:M9)</f>
        <v>9.6279</v>
      </c>
      <c r="P9" s="24">
        <f>N9/F9</f>
        <v>1.22961685823755</v>
      </c>
      <c r="Q9" s="25"/>
      <c r="R9" s="25"/>
      <c r="S9" s="27"/>
      <c r="T9" s="15">
        <v>799</v>
      </c>
      <c r="U9" s="15">
        <v>129</v>
      </c>
      <c r="W9" s="32">
        <v>7</v>
      </c>
      <c r="X9" s="33">
        <v>2500000</v>
      </c>
    </row>
    <row r="10" spans="1:24">
      <c r="A10" s="46">
        <v>1</v>
      </c>
      <c r="B10" s="47">
        <v>9</v>
      </c>
      <c r="C10" s="14"/>
      <c r="D10" s="14" t="str">
        <f t="shared" si="0"/>
        <v/>
      </c>
      <c r="E10" s="14"/>
      <c r="F10" s="30"/>
      <c r="G10" s="17"/>
      <c r="H10" s="18"/>
      <c r="I10" s="19" t="s">
        <v>408</v>
      </c>
      <c r="J10" s="38">
        <v>3</v>
      </c>
      <c r="K10" s="21">
        <v>2</v>
      </c>
      <c r="L10" s="14"/>
      <c r="M10" s="22"/>
      <c r="N10" s="30"/>
      <c r="O10" s="23"/>
      <c r="P10" s="24"/>
      <c r="Q10" s="25"/>
      <c r="R10" s="48"/>
      <c r="S10" s="27"/>
      <c r="T10" s="15">
        <v>899</v>
      </c>
      <c r="U10" s="15">
        <v>134</v>
      </c>
      <c r="W10" s="32">
        <v>8</v>
      </c>
      <c r="X10" s="33">
        <v>2500000</v>
      </c>
    </row>
    <row r="11" spans="1:24">
      <c r="A11" s="46">
        <v>1</v>
      </c>
      <c r="B11" s="47">
        <v>10</v>
      </c>
      <c r="C11" s="14"/>
      <c r="D11" s="14" t="str">
        <f t="shared" si="0"/>
        <v/>
      </c>
      <c r="E11" s="14"/>
      <c r="F11" s="30"/>
      <c r="G11" s="17"/>
      <c r="H11" s="18">
        <v>0.1</v>
      </c>
      <c r="I11" s="19" t="s">
        <v>2</v>
      </c>
      <c r="J11" s="38">
        <v>17</v>
      </c>
      <c r="K11" s="21">
        <f>H11*$R$6</f>
        <v>898950</v>
      </c>
      <c r="L11" s="14"/>
      <c r="M11" s="22"/>
      <c r="N11" s="30"/>
      <c r="O11" s="23"/>
      <c r="P11" s="24"/>
      <c r="Q11" s="25"/>
      <c r="R11" s="25"/>
      <c r="S11" s="27"/>
      <c r="T11" s="15">
        <v>999</v>
      </c>
      <c r="U11" s="15">
        <v>139</v>
      </c>
      <c r="W11" s="32">
        <v>9</v>
      </c>
      <c r="X11" s="33">
        <v>2500000</v>
      </c>
    </row>
    <row r="12" spans="1:24">
      <c r="A12" s="46">
        <v>1</v>
      </c>
      <c r="B12" s="47">
        <v>11</v>
      </c>
      <c r="C12" s="14"/>
      <c r="D12" s="14" t="str">
        <f t="shared" si="0"/>
        <v/>
      </c>
      <c r="E12" s="14"/>
      <c r="F12" s="30"/>
      <c r="G12" s="17"/>
      <c r="H12" s="18"/>
      <c r="I12" s="19" t="s">
        <v>459</v>
      </c>
      <c r="J12" s="38">
        <v>4</v>
      </c>
      <c r="K12" s="21">
        <v>1</v>
      </c>
      <c r="L12" s="14"/>
      <c r="M12" s="22"/>
      <c r="N12" s="30"/>
      <c r="O12" s="23"/>
      <c r="P12" s="24"/>
      <c r="Q12" s="25"/>
      <c r="R12" s="25"/>
      <c r="S12" s="27"/>
      <c r="T12" s="15">
        <v>1099</v>
      </c>
      <c r="U12" s="15">
        <v>142</v>
      </c>
      <c r="W12" s="32">
        <v>10</v>
      </c>
      <c r="X12" s="33">
        <v>2500000</v>
      </c>
    </row>
    <row r="13" spans="1:24">
      <c r="A13" s="46">
        <v>1</v>
      </c>
      <c r="B13" s="47">
        <v>12</v>
      </c>
      <c r="C13" s="14"/>
      <c r="D13" s="14" t="str">
        <f t="shared" si="0"/>
        <v/>
      </c>
      <c r="E13" s="14"/>
      <c r="F13" s="30"/>
      <c r="G13" s="17"/>
      <c r="H13" s="18"/>
      <c r="I13" s="19" t="s">
        <v>453</v>
      </c>
      <c r="J13" s="38">
        <v>3</v>
      </c>
      <c r="K13" s="21">
        <v>10</v>
      </c>
      <c r="L13" s="14"/>
      <c r="M13" s="22"/>
      <c r="N13" s="30"/>
      <c r="O13" s="23"/>
      <c r="P13" s="24"/>
      <c r="Q13" s="25"/>
      <c r="R13" s="25"/>
      <c r="S13" s="27"/>
      <c r="T13" s="15">
        <v>1199</v>
      </c>
      <c r="U13" s="15">
        <v>146</v>
      </c>
      <c r="W13" s="32">
        <v>11</v>
      </c>
      <c r="X13" s="33">
        <v>2500000</v>
      </c>
    </row>
    <row r="14" spans="1:24">
      <c r="A14" s="46">
        <v>1</v>
      </c>
      <c r="B14" s="47">
        <v>13</v>
      </c>
      <c r="C14" s="14"/>
      <c r="D14" s="14" t="str">
        <f t="shared" si="0"/>
        <v/>
      </c>
      <c r="E14" s="14"/>
      <c r="F14" s="30"/>
      <c r="G14" s="17"/>
      <c r="H14" s="18"/>
      <c r="I14" t="s">
        <v>426</v>
      </c>
      <c r="J14" s="38">
        <v>3</v>
      </c>
      <c r="K14" s="21">
        <v>1</v>
      </c>
      <c r="L14" s="14"/>
      <c r="M14" s="22"/>
      <c r="N14" s="30"/>
      <c r="O14" s="23"/>
      <c r="P14" s="24"/>
      <c r="Q14" s="25"/>
      <c r="R14" s="25"/>
      <c r="S14" s="27"/>
      <c r="T14" s="15">
        <v>1299</v>
      </c>
      <c r="U14" s="15">
        <v>149</v>
      </c>
      <c r="W14" s="32">
        <v>12</v>
      </c>
      <c r="X14" s="33">
        <v>2500000</v>
      </c>
    </row>
    <row r="15" spans="1:24">
      <c r="A15" s="46">
        <v>1</v>
      </c>
      <c r="B15" s="47">
        <v>14</v>
      </c>
      <c r="C15" s="14">
        <v>5.99</v>
      </c>
      <c r="D15" s="14">
        <f t="shared" si="0"/>
        <v>119</v>
      </c>
      <c r="E15" s="36">
        <f>(C15+0.01)*D15*$X$2/100</f>
        <v>7140000</v>
      </c>
      <c r="F15" s="37">
        <f>SUM(E3:E15)</f>
        <v>14970000</v>
      </c>
      <c r="G15" s="17">
        <f>SUM(C3:C15)</f>
        <v>12.97</v>
      </c>
      <c r="H15" s="18"/>
      <c r="I15" s="14" t="s">
        <v>2</v>
      </c>
      <c r="J15" s="29">
        <v>9</v>
      </c>
      <c r="K15" s="21">
        <f>E15</f>
        <v>7140000</v>
      </c>
      <c r="L15" s="36">
        <f>SUMIF(I15:I20,"="&amp;"金币",K15:K20)</f>
        <v>8038950</v>
      </c>
      <c r="M15" s="22">
        <f>L15/$X$2</f>
        <v>8.03895</v>
      </c>
      <c r="N15" s="37">
        <f>SUM(L3:L15)</f>
        <v>17666850</v>
      </c>
      <c r="O15" s="23">
        <f>SUM(M3:M15)</f>
        <v>17.66685</v>
      </c>
      <c r="P15" s="24">
        <f>N15/F15</f>
        <v>1.1801503006012</v>
      </c>
      <c r="Q15" s="25"/>
      <c r="R15" s="25"/>
      <c r="S15" s="27"/>
      <c r="T15" s="15">
        <v>1399</v>
      </c>
      <c r="U15" s="15">
        <v>151</v>
      </c>
      <c r="W15" s="32">
        <v>13</v>
      </c>
      <c r="X15" s="33">
        <v>2500000</v>
      </c>
    </row>
    <row r="16" spans="1:24">
      <c r="A16" s="46">
        <v>1</v>
      </c>
      <c r="B16" s="47">
        <v>15</v>
      </c>
      <c r="C16" s="14"/>
      <c r="D16" s="14" t="str">
        <f t="shared" si="0"/>
        <v/>
      </c>
      <c r="E16" s="14"/>
      <c r="F16" s="30"/>
      <c r="G16" s="17"/>
      <c r="H16" s="18"/>
      <c r="I16" s="19" t="s">
        <v>408</v>
      </c>
      <c r="J16" s="38">
        <v>3</v>
      </c>
      <c r="K16" s="21">
        <v>3</v>
      </c>
      <c r="L16" s="14"/>
      <c r="M16" s="22"/>
      <c r="N16" s="30"/>
      <c r="O16" s="23"/>
      <c r="P16" s="24"/>
      <c r="Q16" s="25"/>
      <c r="R16" s="25"/>
      <c r="S16" s="27"/>
      <c r="T16" s="15">
        <v>1499</v>
      </c>
      <c r="U16" s="15">
        <v>154</v>
      </c>
      <c r="W16" s="32">
        <v>14</v>
      </c>
      <c r="X16" s="33">
        <v>2500000</v>
      </c>
    </row>
    <row r="17" spans="1:24">
      <c r="A17" s="46">
        <v>1</v>
      </c>
      <c r="B17" s="47">
        <v>16</v>
      </c>
      <c r="C17" s="14"/>
      <c r="D17" s="14" t="str">
        <f t="shared" si="0"/>
        <v/>
      </c>
      <c r="E17" s="14"/>
      <c r="F17" s="30"/>
      <c r="G17" s="17"/>
      <c r="H17" s="18">
        <v>0.1</v>
      </c>
      <c r="I17" s="19" t="s">
        <v>2</v>
      </c>
      <c r="J17" s="38">
        <v>17</v>
      </c>
      <c r="K17" s="21">
        <f>H17*$R$6</f>
        <v>898950</v>
      </c>
      <c r="L17" s="14"/>
      <c r="M17" s="22"/>
      <c r="N17" s="30"/>
      <c r="O17" s="23"/>
      <c r="P17" s="24"/>
      <c r="Q17" s="25"/>
      <c r="R17" s="25"/>
      <c r="S17" s="27"/>
      <c r="T17" s="15">
        <v>1799</v>
      </c>
      <c r="U17" s="15">
        <v>158</v>
      </c>
      <c r="W17" s="32">
        <v>15</v>
      </c>
      <c r="X17" s="33">
        <v>2500000</v>
      </c>
    </row>
    <row r="18" spans="1:24">
      <c r="A18" s="46">
        <v>1</v>
      </c>
      <c r="B18" s="47">
        <v>17</v>
      </c>
      <c r="C18" s="14"/>
      <c r="D18" s="14" t="str">
        <f t="shared" si="0"/>
        <v/>
      </c>
      <c r="E18" s="14"/>
      <c r="F18" s="30"/>
      <c r="G18" s="17"/>
      <c r="H18" s="18"/>
      <c r="I18" s="19" t="s">
        <v>461</v>
      </c>
      <c r="J18" s="38">
        <v>4</v>
      </c>
      <c r="K18" s="21">
        <v>1</v>
      </c>
      <c r="L18" s="14"/>
      <c r="M18" s="22"/>
      <c r="N18" s="30"/>
      <c r="O18" s="23"/>
      <c r="P18" s="24"/>
      <c r="Q18" s="25"/>
      <c r="R18" s="25"/>
      <c r="S18" s="27"/>
      <c r="T18" s="15">
        <v>1999</v>
      </c>
      <c r="U18" s="15">
        <v>158</v>
      </c>
      <c r="W18" s="41"/>
      <c r="X18" s="41"/>
    </row>
    <row r="19" spans="1:24">
      <c r="A19" s="46">
        <v>1</v>
      </c>
      <c r="B19" s="47">
        <v>18</v>
      </c>
      <c r="C19" s="14"/>
      <c r="D19" s="14" t="str">
        <f t="shared" si="0"/>
        <v/>
      </c>
      <c r="E19" s="14"/>
      <c r="F19" s="30"/>
      <c r="G19" s="17"/>
      <c r="H19" s="18"/>
      <c r="I19" s="19" t="s">
        <v>453</v>
      </c>
      <c r="J19" s="38">
        <v>3</v>
      </c>
      <c r="K19" s="21">
        <v>15</v>
      </c>
      <c r="L19" s="14"/>
      <c r="M19" s="22"/>
      <c r="N19" s="30"/>
      <c r="O19" s="23"/>
      <c r="P19" s="24"/>
      <c r="Q19" s="25"/>
      <c r="R19" s="25"/>
      <c r="S19" s="27"/>
      <c r="T19" s="15">
        <v>2499</v>
      </c>
      <c r="U19" s="15">
        <v>163</v>
      </c>
      <c r="W19" s="42"/>
      <c r="X19" s="42"/>
    </row>
    <row r="20" spans="1:24">
      <c r="A20" s="46">
        <v>1</v>
      </c>
      <c r="B20" s="47">
        <v>19</v>
      </c>
      <c r="C20" s="14"/>
      <c r="D20" s="14" t="str">
        <f t="shared" si="0"/>
        <v/>
      </c>
      <c r="E20" s="14"/>
      <c r="F20" s="30"/>
      <c r="G20" s="17"/>
      <c r="H20" s="18"/>
      <c r="I20" t="s">
        <v>424</v>
      </c>
      <c r="J20" s="38">
        <v>3</v>
      </c>
      <c r="K20" s="21">
        <v>1</v>
      </c>
      <c r="L20" s="14"/>
      <c r="M20" s="22"/>
      <c r="N20" s="30"/>
      <c r="O20" s="23"/>
      <c r="P20" s="24"/>
      <c r="Q20" s="25"/>
      <c r="R20" s="25"/>
      <c r="S20" s="27"/>
      <c r="T20" s="15">
        <v>2999</v>
      </c>
      <c r="U20" s="15">
        <v>163</v>
      </c>
      <c r="W20" s="42"/>
      <c r="X20" s="42"/>
    </row>
    <row r="21" spans="1:24">
      <c r="A21" s="46">
        <v>1</v>
      </c>
      <c r="B21" s="47">
        <v>20</v>
      </c>
      <c r="C21" s="14">
        <v>6.99</v>
      </c>
      <c r="D21" s="14">
        <f t="shared" si="0"/>
        <v>124</v>
      </c>
      <c r="E21" s="36">
        <f>(C21+0.01)*D21*$X$2/100</f>
        <v>8680000</v>
      </c>
      <c r="F21" s="37">
        <f>SUM(E3:E21)</f>
        <v>23650000</v>
      </c>
      <c r="G21" s="17">
        <f>SUM(C3:C21)</f>
        <v>19.96</v>
      </c>
      <c r="H21" s="18"/>
      <c r="I21" s="14" t="s">
        <v>2</v>
      </c>
      <c r="J21" s="29">
        <v>9</v>
      </c>
      <c r="K21" s="21">
        <f>E21</f>
        <v>8680000</v>
      </c>
      <c r="L21" s="36">
        <f>SUMIF(I21:I26,"="&amp;"金币",K21:K26)</f>
        <v>10028425</v>
      </c>
      <c r="M21" s="22">
        <f>L21/$X$2</f>
        <v>10.028425</v>
      </c>
      <c r="N21" s="37">
        <f>SUM(L3:L21)</f>
        <v>27695275</v>
      </c>
      <c r="O21" s="23">
        <f>SUM(M3:M21)</f>
        <v>27.695275</v>
      </c>
      <c r="P21" s="24">
        <f>N21/F21</f>
        <v>1.17104756871036</v>
      </c>
      <c r="Q21" s="25"/>
      <c r="R21" s="25"/>
      <c r="S21" s="27"/>
      <c r="T21" s="15">
        <v>3499</v>
      </c>
      <c r="U21" s="15">
        <v>168</v>
      </c>
      <c r="W21" s="42"/>
      <c r="X21" s="42"/>
    </row>
    <row r="22" spans="1:24">
      <c r="A22" s="46">
        <v>1</v>
      </c>
      <c r="B22" s="47">
        <v>21</v>
      </c>
      <c r="C22" s="14"/>
      <c r="D22" s="14" t="str">
        <f t="shared" si="0"/>
        <v/>
      </c>
      <c r="E22" s="14"/>
      <c r="F22" s="30"/>
      <c r="G22" s="17"/>
      <c r="H22" s="18"/>
      <c r="I22" s="19" t="s">
        <v>408</v>
      </c>
      <c r="J22" s="38">
        <v>3</v>
      </c>
      <c r="K22" s="21">
        <v>4</v>
      </c>
      <c r="L22" s="14"/>
      <c r="M22" s="22"/>
      <c r="N22" s="30"/>
      <c r="O22" s="23"/>
      <c r="P22" s="24"/>
      <c r="Q22" s="25"/>
      <c r="R22" s="25"/>
      <c r="S22" s="27"/>
      <c r="T22" s="15">
        <v>3999</v>
      </c>
      <c r="U22" s="15">
        <v>173</v>
      </c>
      <c r="W22" s="42"/>
      <c r="X22" s="42"/>
    </row>
    <row r="23" spans="1:24">
      <c r="A23" s="46">
        <v>1</v>
      </c>
      <c r="B23" s="47">
        <v>22</v>
      </c>
      <c r="C23" s="14"/>
      <c r="D23" s="14" t="str">
        <f t="shared" si="0"/>
        <v/>
      </c>
      <c r="E23" s="14"/>
      <c r="F23" s="30"/>
      <c r="G23" s="17"/>
      <c r="H23" s="18">
        <v>0.15</v>
      </c>
      <c r="I23" s="19" t="s">
        <v>2</v>
      </c>
      <c r="J23" s="38">
        <v>17</v>
      </c>
      <c r="K23" s="21">
        <f>H23*$R$6</f>
        <v>1348425</v>
      </c>
      <c r="L23" s="14"/>
      <c r="M23" s="22"/>
      <c r="N23" s="30"/>
      <c r="O23" s="23"/>
      <c r="P23" s="24"/>
      <c r="Q23" s="25"/>
      <c r="R23" s="25"/>
      <c r="S23" s="27"/>
      <c r="T23" s="15">
        <v>4499</v>
      </c>
      <c r="U23" s="15">
        <v>178</v>
      </c>
      <c r="W23" s="42"/>
      <c r="X23" s="42"/>
    </row>
    <row r="24" spans="1:24">
      <c r="A24" s="46">
        <v>1</v>
      </c>
      <c r="B24" s="47">
        <v>23</v>
      </c>
      <c r="C24" s="14"/>
      <c r="D24" s="14" t="str">
        <f t="shared" si="0"/>
        <v/>
      </c>
      <c r="E24" s="14"/>
      <c r="F24" s="30"/>
      <c r="G24" s="17"/>
      <c r="H24" s="18"/>
      <c r="I24" s="19" t="s">
        <v>461</v>
      </c>
      <c r="J24" s="38">
        <v>4</v>
      </c>
      <c r="K24" s="21">
        <v>1</v>
      </c>
      <c r="L24" s="14"/>
      <c r="M24" s="22"/>
      <c r="N24" s="30"/>
      <c r="O24" s="23"/>
      <c r="P24" s="24"/>
      <c r="Q24" s="25"/>
      <c r="R24" s="25"/>
      <c r="S24" s="27"/>
      <c r="T24" s="15">
        <v>4999</v>
      </c>
      <c r="U24" s="15">
        <v>178</v>
      </c>
      <c r="W24" s="42"/>
      <c r="X24" s="42"/>
    </row>
    <row r="25" spans="1:24">
      <c r="A25" s="46">
        <v>1</v>
      </c>
      <c r="B25" s="47">
        <v>24</v>
      </c>
      <c r="C25" s="14"/>
      <c r="D25" s="14" t="str">
        <f t="shared" si="0"/>
        <v/>
      </c>
      <c r="E25" s="14"/>
      <c r="F25" s="30"/>
      <c r="G25" s="17"/>
      <c r="H25" s="18"/>
      <c r="I25" s="19" t="s">
        <v>453</v>
      </c>
      <c r="J25" s="38">
        <v>3</v>
      </c>
      <c r="K25" s="21">
        <v>20</v>
      </c>
      <c r="L25" s="14"/>
      <c r="M25" s="22"/>
      <c r="N25" s="30"/>
      <c r="O25" s="23"/>
      <c r="P25" s="24"/>
      <c r="Q25" s="25"/>
      <c r="R25" s="25"/>
      <c r="S25" s="27"/>
      <c r="T25" s="15">
        <v>5499</v>
      </c>
      <c r="U25" s="15">
        <v>178</v>
      </c>
      <c r="W25" s="42"/>
      <c r="X25" s="42"/>
    </row>
    <row r="26" spans="1:24">
      <c r="A26" s="46">
        <v>1</v>
      </c>
      <c r="B26" s="47">
        <v>25</v>
      </c>
      <c r="C26" s="14"/>
      <c r="D26" s="14" t="str">
        <f t="shared" si="0"/>
        <v/>
      </c>
      <c r="E26" s="14"/>
      <c r="F26" s="30"/>
      <c r="G26" s="17"/>
      <c r="H26" s="18"/>
      <c r="I26" t="s">
        <v>426</v>
      </c>
      <c r="J26" s="38">
        <v>3</v>
      </c>
      <c r="K26" s="21">
        <v>1</v>
      </c>
      <c r="L26" s="14"/>
      <c r="M26" s="22"/>
      <c r="N26" s="30"/>
      <c r="O26" s="23"/>
      <c r="P26" s="24"/>
      <c r="Q26" s="25"/>
      <c r="R26" s="25"/>
      <c r="S26" s="27"/>
      <c r="T26" s="15">
        <v>5999</v>
      </c>
      <c r="U26" s="15">
        <v>183</v>
      </c>
      <c r="W26" s="42"/>
      <c r="X26" s="42"/>
    </row>
    <row r="27" spans="1:24">
      <c r="A27" s="46">
        <v>1</v>
      </c>
      <c r="B27" s="47">
        <v>26</v>
      </c>
      <c r="C27" s="14">
        <v>7.99</v>
      </c>
      <c r="D27" s="14">
        <f t="shared" si="0"/>
        <v>129</v>
      </c>
      <c r="E27" s="36">
        <f>(C27+0.01)*D27*$X$2/100</f>
        <v>10320000</v>
      </c>
      <c r="F27" s="37">
        <f>SUM(E3:E27)</f>
        <v>33970000</v>
      </c>
      <c r="G27" s="17">
        <f>SUM(C3:C27)</f>
        <v>27.95</v>
      </c>
      <c r="H27" s="18"/>
      <c r="I27" s="14" t="s">
        <v>2</v>
      </c>
      <c r="J27" s="29">
        <v>9</v>
      </c>
      <c r="K27" s="21">
        <f>E27</f>
        <v>10320000</v>
      </c>
      <c r="L27" s="36">
        <f>SUMIF(I27:I32,"="&amp;"金币",K27:K32)</f>
        <v>11668425</v>
      </c>
      <c r="M27" s="22">
        <f>L27/$X$2</f>
        <v>11.668425</v>
      </c>
      <c r="N27" s="37">
        <f>SUM(L3:L27)</f>
        <v>39363700</v>
      </c>
      <c r="O27" s="23">
        <f>SUM(M3:M27)</f>
        <v>39.3637</v>
      </c>
      <c r="P27" s="24">
        <f>N27/F27</f>
        <v>1.15877833382396</v>
      </c>
      <c r="Q27" s="25"/>
      <c r="R27" s="25"/>
      <c r="S27" s="27"/>
      <c r="T27" s="15">
        <v>6999</v>
      </c>
      <c r="U27" s="15">
        <v>183</v>
      </c>
      <c r="W27" s="42"/>
      <c r="X27" s="42"/>
    </row>
    <row r="28" spans="1:24">
      <c r="A28" s="46">
        <v>1</v>
      </c>
      <c r="B28" s="47">
        <v>27</v>
      </c>
      <c r="C28" s="14"/>
      <c r="D28" s="14" t="str">
        <f t="shared" si="0"/>
        <v/>
      </c>
      <c r="E28" s="14"/>
      <c r="F28" s="30"/>
      <c r="G28" s="17"/>
      <c r="H28" s="18"/>
      <c r="I28" s="19" t="s">
        <v>408</v>
      </c>
      <c r="J28" s="38">
        <v>3</v>
      </c>
      <c r="K28" s="21">
        <v>5</v>
      </c>
      <c r="L28" s="14"/>
      <c r="M28" s="22"/>
      <c r="N28" s="30"/>
      <c r="O28" s="23"/>
      <c r="P28" s="24"/>
      <c r="Q28" s="25"/>
      <c r="R28" s="25"/>
      <c r="S28" s="27"/>
      <c r="T28" s="15">
        <v>7499</v>
      </c>
      <c r="U28" s="15">
        <v>188</v>
      </c>
      <c r="W28" s="42"/>
      <c r="X28" s="42"/>
    </row>
    <row r="29" spans="1:24">
      <c r="A29" s="46">
        <v>1</v>
      </c>
      <c r="B29" s="47">
        <v>28</v>
      </c>
      <c r="C29" s="14"/>
      <c r="D29" s="14" t="str">
        <f t="shared" si="0"/>
        <v/>
      </c>
      <c r="E29" s="14"/>
      <c r="F29" s="30"/>
      <c r="G29" s="17"/>
      <c r="H29" s="18">
        <v>0.15</v>
      </c>
      <c r="I29" s="19" t="s">
        <v>2</v>
      </c>
      <c r="J29" s="38">
        <v>17</v>
      </c>
      <c r="K29" s="21">
        <f>H29*$R$6</f>
        <v>1348425</v>
      </c>
      <c r="L29" s="14"/>
      <c r="M29" s="22"/>
      <c r="N29" s="30"/>
      <c r="O29" s="23"/>
      <c r="P29" s="24"/>
      <c r="Q29" s="25"/>
      <c r="R29" s="25"/>
      <c r="S29" s="27"/>
      <c r="T29" s="15">
        <v>7999</v>
      </c>
      <c r="U29" s="15">
        <v>188</v>
      </c>
      <c r="W29" s="42"/>
      <c r="X29" s="42"/>
    </row>
    <row r="30" spans="1:24">
      <c r="A30" s="46">
        <v>1</v>
      </c>
      <c r="B30" s="47">
        <v>29</v>
      </c>
      <c r="C30" s="14"/>
      <c r="D30" s="14" t="str">
        <f t="shared" si="0"/>
        <v/>
      </c>
      <c r="E30" s="14"/>
      <c r="F30" s="30"/>
      <c r="G30" s="17"/>
      <c r="H30" s="18"/>
      <c r="I30" s="19" t="s">
        <v>463</v>
      </c>
      <c r="J30" s="38">
        <v>4</v>
      </c>
      <c r="K30" s="21">
        <v>1</v>
      </c>
      <c r="L30" s="14"/>
      <c r="M30" s="22"/>
      <c r="N30" s="30"/>
      <c r="O30" s="23"/>
      <c r="P30" s="24"/>
      <c r="Q30" s="25"/>
      <c r="R30" s="25"/>
      <c r="S30" s="27"/>
      <c r="T30" s="15">
        <v>8999</v>
      </c>
      <c r="U30" s="15">
        <v>193</v>
      </c>
      <c r="W30" s="42"/>
      <c r="X30" s="42"/>
    </row>
    <row r="31" spans="1:24">
      <c r="A31" s="46">
        <v>1</v>
      </c>
      <c r="B31" s="47">
        <v>30</v>
      </c>
      <c r="C31" s="14"/>
      <c r="D31" s="14" t="str">
        <f t="shared" si="0"/>
        <v/>
      </c>
      <c r="E31" s="14"/>
      <c r="F31" s="30"/>
      <c r="G31" s="17"/>
      <c r="H31" s="18"/>
      <c r="I31" s="19" t="s">
        <v>453</v>
      </c>
      <c r="J31" s="38">
        <v>3</v>
      </c>
      <c r="K31" s="21">
        <v>25</v>
      </c>
      <c r="L31" s="14"/>
      <c r="M31" s="22"/>
      <c r="N31" s="30"/>
      <c r="O31" s="23"/>
      <c r="P31" s="24"/>
      <c r="Q31" s="25"/>
      <c r="R31" s="25"/>
      <c r="S31" s="27"/>
      <c r="T31" s="15">
        <v>9999</v>
      </c>
      <c r="U31" s="15">
        <v>200</v>
      </c>
      <c r="W31" s="42"/>
      <c r="X31" s="42"/>
    </row>
    <row r="32" spans="1:24">
      <c r="A32" s="46">
        <v>1</v>
      </c>
      <c r="B32" s="47">
        <v>31</v>
      </c>
      <c r="C32" s="14"/>
      <c r="D32" s="14" t="str">
        <f t="shared" si="0"/>
        <v/>
      </c>
      <c r="E32" s="14"/>
      <c r="F32" s="30"/>
      <c r="G32" s="17"/>
      <c r="H32" s="18"/>
      <c r="I32" t="s">
        <v>424</v>
      </c>
      <c r="J32" s="38">
        <v>3</v>
      </c>
      <c r="K32" s="21">
        <v>1</v>
      </c>
      <c r="L32" s="14"/>
      <c r="M32" s="22"/>
      <c r="N32" s="30"/>
      <c r="O32" s="23"/>
      <c r="P32" s="24"/>
      <c r="Q32" s="25"/>
      <c r="R32" s="25"/>
      <c r="S32" s="43"/>
      <c r="W32" s="42"/>
      <c r="X32" s="42"/>
    </row>
    <row r="33" spans="1:24">
      <c r="A33" s="46">
        <v>1</v>
      </c>
      <c r="B33" s="47">
        <v>32</v>
      </c>
      <c r="C33" s="14">
        <v>8.99</v>
      </c>
      <c r="D33" s="14">
        <f t="shared" si="0"/>
        <v>134</v>
      </c>
      <c r="E33" s="36">
        <f>(C33+0.01)*D33*$X$2/100</f>
        <v>12060000</v>
      </c>
      <c r="F33" s="37">
        <f>SUM(E3:E33)</f>
        <v>46030000</v>
      </c>
      <c r="G33" s="17">
        <f>SUM(C3:C33)</f>
        <v>36.94</v>
      </c>
      <c r="H33" s="18"/>
      <c r="I33" s="14" t="s">
        <v>2</v>
      </c>
      <c r="J33" s="29">
        <v>9</v>
      </c>
      <c r="K33" s="21">
        <f>E33</f>
        <v>12060000</v>
      </c>
      <c r="L33" s="36">
        <f>SUMIF(I33:I38,"="&amp;"金币",K33:K38)</f>
        <v>13408425</v>
      </c>
      <c r="M33" s="22">
        <f>L33/$X$2</f>
        <v>13.408425</v>
      </c>
      <c r="N33" s="37">
        <f>SUM(L3:L33)</f>
        <v>52772125</v>
      </c>
      <c r="O33" s="23">
        <f>SUM(M3:M33)</f>
        <v>52.772125</v>
      </c>
      <c r="P33" s="24">
        <f>N33/F33</f>
        <v>1.14647240929828</v>
      </c>
      <c r="Q33" s="25"/>
      <c r="R33" s="25"/>
      <c r="S33" s="43"/>
      <c r="W33" s="42"/>
      <c r="X33" s="42"/>
    </row>
    <row r="34" spans="1:24">
      <c r="A34" s="46">
        <v>1</v>
      </c>
      <c r="B34" s="47">
        <v>33</v>
      </c>
      <c r="C34" s="14"/>
      <c r="D34" s="14" t="str">
        <f t="shared" si="0"/>
        <v/>
      </c>
      <c r="E34" s="14"/>
      <c r="F34" s="30"/>
      <c r="G34" s="17"/>
      <c r="H34" s="18"/>
      <c r="I34" s="19" t="s">
        <v>408</v>
      </c>
      <c r="J34" s="38">
        <v>3</v>
      </c>
      <c r="K34" s="21">
        <v>6</v>
      </c>
      <c r="L34" s="14"/>
      <c r="M34" s="22"/>
      <c r="N34" s="30"/>
      <c r="O34" s="23"/>
      <c r="P34" s="24"/>
      <c r="Q34" s="25"/>
      <c r="R34" s="25"/>
      <c r="S34" s="43"/>
      <c r="W34" s="42"/>
      <c r="X34" s="42"/>
    </row>
    <row r="35" spans="1:24">
      <c r="A35" s="46">
        <v>1</v>
      </c>
      <c r="B35" s="47">
        <v>34</v>
      </c>
      <c r="C35" s="14"/>
      <c r="D35" s="14" t="str">
        <f t="shared" si="0"/>
        <v/>
      </c>
      <c r="E35" s="14"/>
      <c r="F35" s="30"/>
      <c r="G35" s="17"/>
      <c r="H35" s="18">
        <v>0.15</v>
      </c>
      <c r="I35" s="19" t="s">
        <v>2</v>
      </c>
      <c r="J35" s="38">
        <v>17</v>
      </c>
      <c r="K35" s="21">
        <f>H35*$R$6</f>
        <v>1348425</v>
      </c>
      <c r="L35" s="14"/>
      <c r="M35" s="22"/>
      <c r="N35" s="30"/>
      <c r="O35" s="23"/>
      <c r="P35" s="24"/>
      <c r="Q35" s="25"/>
      <c r="R35" s="25"/>
      <c r="S35" s="43"/>
      <c r="W35" s="42"/>
      <c r="X35" s="42"/>
    </row>
    <row r="36" spans="1:24">
      <c r="A36" s="46">
        <v>1</v>
      </c>
      <c r="B36" s="47">
        <v>35</v>
      </c>
      <c r="C36" s="14"/>
      <c r="D36" s="14" t="str">
        <f t="shared" si="0"/>
        <v/>
      </c>
      <c r="E36" s="14"/>
      <c r="F36" s="30"/>
      <c r="G36" s="17"/>
      <c r="H36" s="18"/>
      <c r="I36" s="19" t="s">
        <v>463</v>
      </c>
      <c r="J36" s="38">
        <v>4</v>
      </c>
      <c r="K36" s="21">
        <v>1</v>
      </c>
      <c r="L36" s="14"/>
      <c r="M36" s="22"/>
      <c r="N36" s="30"/>
      <c r="O36" s="23"/>
      <c r="P36" s="24"/>
      <c r="Q36" s="25"/>
      <c r="R36" s="25"/>
      <c r="S36" s="43"/>
      <c r="W36" s="42"/>
      <c r="X36" s="42"/>
    </row>
    <row r="37" spans="1:24">
      <c r="A37" s="46">
        <v>1</v>
      </c>
      <c r="B37" s="47">
        <v>36</v>
      </c>
      <c r="C37" s="14"/>
      <c r="D37" s="14" t="str">
        <f t="shared" si="0"/>
        <v/>
      </c>
      <c r="E37" s="14"/>
      <c r="F37" s="30"/>
      <c r="G37" s="17"/>
      <c r="H37" s="18"/>
      <c r="I37" s="19" t="s">
        <v>453</v>
      </c>
      <c r="J37" s="38">
        <v>3</v>
      </c>
      <c r="K37" s="21">
        <v>30</v>
      </c>
      <c r="L37" s="14"/>
      <c r="M37" s="22"/>
      <c r="N37" s="30"/>
      <c r="O37" s="23"/>
      <c r="P37" s="24"/>
      <c r="Q37" s="25"/>
      <c r="R37" s="25"/>
      <c r="S37" s="43"/>
      <c r="W37" s="42"/>
      <c r="X37" s="42"/>
    </row>
    <row r="38" spans="1:24">
      <c r="A38" s="46">
        <v>1</v>
      </c>
      <c r="B38" s="47">
        <v>37</v>
      </c>
      <c r="C38" s="14"/>
      <c r="D38" s="14" t="str">
        <f t="shared" si="0"/>
        <v/>
      </c>
      <c r="E38" s="14"/>
      <c r="F38" s="30"/>
      <c r="G38" s="17"/>
      <c r="H38" s="18"/>
      <c r="I38" t="s">
        <v>426</v>
      </c>
      <c r="J38" s="38">
        <v>3</v>
      </c>
      <c r="K38" s="21">
        <v>1</v>
      </c>
      <c r="L38" s="14"/>
      <c r="M38" s="22"/>
      <c r="N38" s="30"/>
      <c r="O38" s="23"/>
      <c r="P38" s="24"/>
      <c r="Q38" s="25"/>
      <c r="R38" s="25"/>
      <c r="S38" s="43"/>
      <c r="W38" s="42"/>
      <c r="X38" s="42"/>
    </row>
    <row r="39" spans="1:24">
      <c r="A39" s="46">
        <v>1</v>
      </c>
      <c r="B39" s="47">
        <v>38</v>
      </c>
      <c r="C39" s="14">
        <v>9.99</v>
      </c>
      <c r="D39" s="14">
        <f t="shared" si="0"/>
        <v>139</v>
      </c>
      <c r="E39" s="36">
        <f>(C39+0.01)*D39*$X$2/100</f>
        <v>13900000</v>
      </c>
      <c r="F39" s="37">
        <f>SUM(E3:E39)</f>
        <v>59930000</v>
      </c>
      <c r="G39" s="17">
        <f>SUM(C3:C39)</f>
        <v>46.93</v>
      </c>
      <c r="H39" s="18"/>
      <c r="I39" s="14" t="s">
        <v>2</v>
      </c>
      <c r="J39" s="29">
        <v>9</v>
      </c>
      <c r="K39" s="21">
        <f>E39</f>
        <v>13900000</v>
      </c>
      <c r="L39" s="36">
        <f>SUMIF(I39:I44,"="&amp;"金币",K39:K44)</f>
        <v>16147375</v>
      </c>
      <c r="M39" s="22">
        <f>L39/$X$2</f>
        <v>16.147375</v>
      </c>
      <c r="N39" s="37">
        <f>SUM(L3:L39)</f>
        <v>68919500</v>
      </c>
      <c r="O39" s="23">
        <f>SUM(M3:M39)</f>
        <v>68.9195</v>
      </c>
      <c r="P39" s="24">
        <f>N39/F39</f>
        <v>1.15</v>
      </c>
      <c r="Q39" s="25"/>
      <c r="R39" s="25"/>
      <c r="S39" s="43"/>
      <c r="W39" s="42"/>
      <c r="X39" s="42"/>
    </row>
    <row r="40" spans="1:24">
      <c r="A40" s="46">
        <v>1</v>
      </c>
      <c r="B40" s="47">
        <v>39</v>
      </c>
      <c r="C40" s="14"/>
      <c r="D40" s="14" t="str">
        <f t="shared" si="0"/>
        <v/>
      </c>
      <c r="E40" s="14"/>
      <c r="F40" s="30"/>
      <c r="G40" s="17"/>
      <c r="H40" s="18"/>
      <c r="I40" s="19" t="s">
        <v>408</v>
      </c>
      <c r="J40" s="38">
        <v>3</v>
      </c>
      <c r="K40" s="21">
        <v>7</v>
      </c>
      <c r="L40" s="14"/>
      <c r="M40" s="22"/>
      <c r="N40" s="30"/>
      <c r="O40" s="23"/>
      <c r="P40" s="24"/>
      <c r="Q40" s="25"/>
      <c r="R40" s="25"/>
      <c r="S40" s="43"/>
      <c r="W40" s="42"/>
      <c r="X40" s="42"/>
    </row>
    <row r="41" spans="1:24">
      <c r="A41" s="46">
        <v>1</v>
      </c>
      <c r="B41" s="47">
        <v>40</v>
      </c>
      <c r="C41" s="14"/>
      <c r="D41" s="14" t="str">
        <f t="shared" si="0"/>
        <v/>
      </c>
      <c r="E41" s="14"/>
      <c r="F41" s="30"/>
      <c r="G41" s="17"/>
      <c r="H41" s="18">
        <v>0.25</v>
      </c>
      <c r="I41" s="19" t="s">
        <v>2</v>
      </c>
      <c r="J41" s="38">
        <v>17</v>
      </c>
      <c r="K41" s="21">
        <f>H41*$R$6</f>
        <v>2247375</v>
      </c>
      <c r="L41" s="14"/>
      <c r="M41" s="22"/>
      <c r="N41" s="30"/>
      <c r="O41" s="23"/>
      <c r="P41" s="24"/>
      <c r="Q41" s="25"/>
      <c r="R41" s="25"/>
      <c r="S41" s="43"/>
      <c r="W41" s="42"/>
      <c r="X41" s="42"/>
    </row>
    <row r="42" spans="1:24">
      <c r="A42" s="46">
        <v>1</v>
      </c>
      <c r="B42" s="47">
        <v>41</v>
      </c>
      <c r="C42" s="14"/>
      <c r="D42" s="14" t="str">
        <f t="shared" si="0"/>
        <v/>
      </c>
      <c r="E42" s="14"/>
      <c r="F42" s="30"/>
      <c r="G42" s="17"/>
      <c r="H42" s="18"/>
      <c r="I42" s="19" t="s">
        <v>473</v>
      </c>
      <c r="J42" s="38">
        <v>4</v>
      </c>
      <c r="K42" s="21">
        <v>1</v>
      </c>
      <c r="L42" s="14"/>
      <c r="M42" s="22"/>
      <c r="N42" s="30"/>
      <c r="O42" s="23"/>
      <c r="P42" s="24"/>
      <c r="Q42" s="25"/>
      <c r="R42" s="25"/>
      <c r="S42" s="43"/>
      <c r="W42" s="42"/>
      <c r="X42" s="42"/>
    </row>
    <row r="43" spans="1:24">
      <c r="A43" s="46">
        <v>1</v>
      </c>
      <c r="B43" s="47">
        <v>42</v>
      </c>
      <c r="C43" s="14"/>
      <c r="D43" s="14" t="str">
        <f t="shared" si="0"/>
        <v/>
      </c>
      <c r="E43" s="14"/>
      <c r="F43" s="30"/>
      <c r="G43" s="17"/>
      <c r="H43" s="18"/>
      <c r="I43" s="19" t="s">
        <v>453</v>
      </c>
      <c r="J43" s="38">
        <v>3</v>
      </c>
      <c r="K43" s="21">
        <v>35</v>
      </c>
      <c r="L43" s="14"/>
      <c r="M43" s="22"/>
      <c r="N43" s="30"/>
      <c r="O43" s="23"/>
      <c r="P43" s="24"/>
      <c r="Q43" s="25"/>
      <c r="R43" s="25"/>
      <c r="S43" s="43"/>
      <c r="W43" s="42"/>
      <c r="X43" s="42"/>
    </row>
    <row r="44" spans="1:24">
      <c r="A44" s="46">
        <v>1</v>
      </c>
      <c r="B44" s="47">
        <v>43</v>
      </c>
      <c r="C44" s="14"/>
      <c r="D44" s="14" t="str">
        <f t="shared" si="0"/>
        <v/>
      </c>
      <c r="E44" s="14"/>
      <c r="F44" s="30"/>
      <c r="G44" s="17"/>
      <c r="H44" s="18"/>
      <c r="I44" t="s">
        <v>424</v>
      </c>
      <c r="J44" s="38">
        <v>3</v>
      </c>
      <c r="K44" s="21">
        <v>1</v>
      </c>
      <c r="L44" s="14"/>
      <c r="M44" s="22"/>
      <c r="N44" s="30"/>
      <c r="O44" s="23"/>
      <c r="P44" s="24"/>
      <c r="Q44" s="25"/>
      <c r="R44" s="25"/>
      <c r="S44" s="43"/>
      <c r="W44" s="42"/>
      <c r="X44" s="42"/>
    </row>
    <row r="45" spans="1:24">
      <c r="A45" s="46">
        <f t="shared" ref="A45:A108" si="1">A2+1</f>
        <v>2</v>
      </c>
      <c r="B45" s="47">
        <v>1</v>
      </c>
      <c r="C45" s="14"/>
      <c r="D45" s="14" t="str">
        <f t="shared" si="0"/>
        <v/>
      </c>
      <c r="E45" s="14"/>
      <c r="F45" s="30"/>
      <c r="G45" s="17"/>
      <c r="H45" s="18"/>
      <c r="I45" s="14" t="s">
        <v>2</v>
      </c>
      <c r="J45" s="29">
        <v>1</v>
      </c>
      <c r="K45" s="21">
        <v>5000</v>
      </c>
      <c r="L45" s="14"/>
      <c r="M45" s="22"/>
      <c r="N45" s="30"/>
      <c r="O45" s="23"/>
      <c r="P45" s="24"/>
      <c r="Q45" s="25"/>
      <c r="R45" s="31">
        <f>SUM(C45:C87)</f>
        <v>89.93</v>
      </c>
      <c r="W45" s="42"/>
      <c r="X45" s="42"/>
    </row>
    <row r="46" spans="1:24">
      <c r="A46" s="46">
        <f t="shared" si="1"/>
        <v>2</v>
      </c>
      <c r="B46" s="47">
        <v>2</v>
      </c>
      <c r="C46" s="35">
        <v>5.99</v>
      </c>
      <c r="D46" s="14">
        <f t="shared" si="0"/>
        <v>119</v>
      </c>
      <c r="E46" s="36">
        <f>(C46+0.01)*D46*$X$2/100</f>
        <v>7140000</v>
      </c>
      <c r="F46" s="37">
        <f>SUM(E46)</f>
        <v>7140000</v>
      </c>
      <c r="G46" s="17">
        <f>SUM(C46)</f>
        <v>5.99</v>
      </c>
      <c r="H46" s="18"/>
      <c r="I46" s="14" t="s">
        <v>2</v>
      </c>
      <c r="J46" s="29">
        <v>9</v>
      </c>
      <c r="K46" s="21">
        <f>E46</f>
        <v>7140000</v>
      </c>
      <c r="L46" s="36">
        <f>SUMIF(I46:I51,"="&amp;"金币",K46:K51)</f>
        <v>8746440</v>
      </c>
      <c r="M46" s="22">
        <f>L46/$X$2</f>
        <v>8.74644</v>
      </c>
      <c r="N46" s="37">
        <f>SUM(L46)</f>
        <v>8746440</v>
      </c>
      <c r="O46" s="23">
        <f>SUM(M46)</f>
        <v>8.74644</v>
      </c>
      <c r="P46" s="24">
        <f>N46/F46</f>
        <v>1.22499159663866</v>
      </c>
      <c r="Q46" s="25"/>
      <c r="R46" s="26" t="s">
        <v>556</v>
      </c>
      <c r="W46" s="42"/>
      <c r="X46" s="42"/>
    </row>
    <row r="47" spans="1:24">
      <c r="A47" s="46">
        <f t="shared" si="1"/>
        <v>2</v>
      </c>
      <c r="B47" s="47">
        <v>3</v>
      </c>
      <c r="C47" s="14"/>
      <c r="D47" s="14" t="str">
        <f t="shared" si="0"/>
        <v/>
      </c>
      <c r="E47" s="14"/>
      <c r="F47" s="30"/>
      <c r="G47" s="17"/>
      <c r="H47" s="18"/>
      <c r="I47" s="19" t="s">
        <v>408</v>
      </c>
      <c r="J47" s="38">
        <v>3</v>
      </c>
      <c r="K47" s="21">
        <v>1</v>
      </c>
      <c r="L47" s="14"/>
      <c r="M47" s="22"/>
      <c r="N47" s="30"/>
      <c r="O47" s="23"/>
      <c r="P47" s="24"/>
      <c r="Q47" s="25"/>
      <c r="R47" s="39">
        <v>1.15</v>
      </c>
      <c r="W47" s="42"/>
      <c r="X47" s="42"/>
    </row>
    <row r="48" spans="1:24">
      <c r="A48" s="46">
        <f t="shared" si="1"/>
        <v>2</v>
      </c>
      <c r="B48" s="47">
        <v>4</v>
      </c>
      <c r="C48" s="14"/>
      <c r="D48" s="14" t="str">
        <f t="shared" si="0"/>
        <v/>
      </c>
      <c r="E48" s="14"/>
      <c r="F48" s="30"/>
      <c r="G48" s="17"/>
      <c r="H48" s="18">
        <v>0.08</v>
      </c>
      <c r="I48" s="19" t="s">
        <v>2</v>
      </c>
      <c r="J48" s="38">
        <v>17</v>
      </c>
      <c r="K48" s="21">
        <f>H48*$R$49</f>
        <v>1606440</v>
      </c>
      <c r="L48" s="14"/>
      <c r="M48" s="22"/>
      <c r="N48" s="30"/>
      <c r="O48" s="23"/>
      <c r="P48" s="24"/>
      <c r="Q48" s="25"/>
      <c r="R48" s="26" t="s">
        <v>557</v>
      </c>
      <c r="W48" s="42"/>
      <c r="X48" s="42"/>
    </row>
    <row r="49" spans="1:24">
      <c r="A49" s="46">
        <f t="shared" si="1"/>
        <v>2</v>
      </c>
      <c r="B49" s="47">
        <v>5</v>
      </c>
      <c r="C49" s="14"/>
      <c r="D49" s="14" t="str">
        <f t="shared" si="0"/>
        <v/>
      </c>
      <c r="E49" s="14"/>
      <c r="F49" s="30"/>
      <c r="G49" s="17"/>
      <c r="H49" s="18"/>
      <c r="I49" s="19" t="s">
        <v>457</v>
      </c>
      <c r="J49" s="38">
        <v>4</v>
      </c>
      <c r="K49" s="21">
        <v>1</v>
      </c>
      <c r="L49" s="14"/>
      <c r="M49" s="22"/>
      <c r="N49" s="30"/>
      <c r="O49" s="23"/>
      <c r="P49" s="24"/>
      <c r="Q49" s="25"/>
      <c r="R49" s="40">
        <f>SUM(E45:E87)*(R47-1)</f>
        <v>20080500</v>
      </c>
      <c r="W49" s="42"/>
      <c r="X49" s="42"/>
    </row>
    <row r="50" spans="1:24">
      <c r="A50" s="46">
        <f t="shared" si="1"/>
        <v>2</v>
      </c>
      <c r="B50" s="47">
        <v>6</v>
      </c>
      <c r="C50" s="14"/>
      <c r="D50" s="14" t="str">
        <f t="shared" si="0"/>
        <v/>
      </c>
      <c r="E50" s="14"/>
      <c r="F50" s="30"/>
      <c r="G50" s="17"/>
      <c r="H50" s="18"/>
      <c r="I50" s="19" t="s">
        <v>453</v>
      </c>
      <c r="J50" s="38">
        <v>3</v>
      </c>
      <c r="K50" s="21">
        <v>5</v>
      </c>
      <c r="L50" s="14"/>
      <c r="M50" s="22"/>
      <c r="N50" s="30"/>
      <c r="O50" s="23"/>
      <c r="P50" s="24"/>
      <c r="Q50" s="25"/>
      <c r="R50" s="26" t="s">
        <v>558</v>
      </c>
      <c r="W50" s="42"/>
      <c r="X50" s="42"/>
    </row>
    <row r="51" spans="1:24">
      <c r="A51" s="46">
        <f t="shared" si="1"/>
        <v>2</v>
      </c>
      <c r="B51" s="47">
        <v>7</v>
      </c>
      <c r="C51" s="14"/>
      <c r="D51" s="14" t="str">
        <f t="shared" si="0"/>
        <v/>
      </c>
      <c r="E51" s="14"/>
      <c r="F51" s="30"/>
      <c r="G51" s="17"/>
      <c r="H51" s="18"/>
      <c r="I51" t="s">
        <v>424</v>
      </c>
      <c r="J51" s="38">
        <v>3</v>
      </c>
      <c r="K51" s="21">
        <v>1</v>
      </c>
      <c r="L51" s="14"/>
      <c r="M51" s="22"/>
      <c r="N51" s="30"/>
      <c r="O51" s="23"/>
      <c r="P51" s="24"/>
      <c r="Q51" s="25"/>
      <c r="R51" s="26">
        <f>SUM(H45:H87)</f>
        <v>1</v>
      </c>
      <c r="W51" s="42"/>
      <c r="X51" s="42"/>
    </row>
    <row r="52" spans="1:24">
      <c r="A52" s="46">
        <f t="shared" si="1"/>
        <v>2</v>
      </c>
      <c r="B52" s="47">
        <v>8</v>
      </c>
      <c r="C52" s="14">
        <v>7.99</v>
      </c>
      <c r="D52" s="14">
        <f t="shared" si="0"/>
        <v>129</v>
      </c>
      <c r="E52" s="36">
        <f>(C52+0.01)*D52*$X$2/100</f>
        <v>10320000</v>
      </c>
      <c r="F52" s="37">
        <f>SUM(E46:E52)</f>
        <v>17460000</v>
      </c>
      <c r="G52" s="17">
        <f>SUM(C46:C52)</f>
        <v>13.98</v>
      </c>
      <c r="H52" s="18"/>
      <c r="I52" s="14" t="s">
        <v>2</v>
      </c>
      <c r="J52" s="29">
        <v>9</v>
      </c>
      <c r="K52" s="21">
        <f>E52</f>
        <v>10320000</v>
      </c>
      <c r="L52" s="36">
        <f>SUMIF(I52:I57,"="&amp;"金币",K52:K57)</f>
        <v>12328050</v>
      </c>
      <c r="M52" s="22">
        <f>L52/$X$2</f>
        <v>12.32805</v>
      </c>
      <c r="N52" s="37">
        <f>SUM(L46:L52)</f>
        <v>21074490</v>
      </c>
      <c r="O52" s="23">
        <f>SUM(M46:M52)</f>
        <v>21.07449</v>
      </c>
      <c r="P52" s="24">
        <f>N52/F52</f>
        <v>1.20701546391753</v>
      </c>
      <c r="Q52" s="25"/>
      <c r="R52" s="25"/>
      <c r="W52" s="42"/>
      <c r="X52" s="42"/>
    </row>
    <row r="53" spans="1:24">
      <c r="A53" s="46">
        <f t="shared" si="1"/>
        <v>2</v>
      </c>
      <c r="B53" s="47">
        <v>9</v>
      </c>
      <c r="C53" s="14"/>
      <c r="D53" s="14" t="str">
        <f t="shared" si="0"/>
        <v/>
      </c>
      <c r="E53" s="14"/>
      <c r="F53" s="30"/>
      <c r="G53" s="17"/>
      <c r="H53" s="18"/>
      <c r="I53" s="19" t="s">
        <v>408</v>
      </c>
      <c r="J53" s="38">
        <v>3</v>
      </c>
      <c r="K53" s="21">
        <v>2</v>
      </c>
      <c r="L53" s="14"/>
      <c r="M53" s="22"/>
      <c r="N53" s="30"/>
      <c r="O53" s="23"/>
      <c r="P53" s="24"/>
      <c r="Q53" s="25"/>
      <c r="R53" s="25"/>
      <c r="W53" s="42"/>
      <c r="X53" s="42"/>
    </row>
    <row r="54" spans="1:24">
      <c r="A54" s="46">
        <f t="shared" si="1"/>
        <v>2</v>
      </c>
      <c r="B54" s="47">
        <v>10</v>
      </c>
      <c r="C54" s="14"/>
      <c r="D54" s="14" t="str">
        <f t="shared" si="0"/>
        <v/>
      </c>
      <c r="E54" s="14"/>
      <c r="F54" s="30"/>
      <c r="G54" s="17"/>
      <c r="H54" s="18">
        <v>0.1</v>
      </c>
      <c r="I54" s="19" t="s">
        <v>2</v>
      </c>
      <c r="J54" s="38">
        <v>17</v>
      </c>
      <c r="K54" s="21">
        <f>H54*$R$49</f>
        <v>2008050</v>
      </c>
      <c r="L54" s="14"/>
      <c r="M54" s="22"/>
      <c r="N54" s="30"/>
      <c r="O54" s="23"/>
      <c r="P54" s="24"/>
      <c r="Q54" s="25"/>
      <c r="R54" s="25"/>
      <c r="W54" s="42"/>
      <c r="X54" s="42"/>
    </row>
    <row r="55" spans="1:24">
      <c r="A55" s="46">
        <f t="shared" si="1"/>
        <v>2</v>
      </c>
      <c r="B55" s="47">
        <v>11</v>
      </c>
      <c r="C55" s="14"/>
      <c r="D55" s="14" t="str">
        <f t="shared" si="0"/>
        <v/>
      </c>
      <c r="E55" s="14"/>
      <c r="F55" s="30"/>
      <c r="G55" s="17"/>
      <c r="H55" s="18"/>
      <c r="I55" s="19" t="s">
        <v>459</v>
      </c>
      <c r="J55" s="38">
        <v>4</v>
      </c>
      <c r="K55" s="21">
        <v>1</v>
      </c>
      <c r="L55" s="14"/>
      <c r="M55" s="22"/>
      <c r="N55" s="30"/>
      <c r="O55" s="23"/>
      <c r="P55" s="24"/>
      <c r="Q55" s="25"/>
      <c r="R55" s="25"/>
      <c r="W55" s="42"/>
      <c r="X55" s="42"/>
    </row>
    <row r="56" spans="1:24">
      <c r="A56" s="46">
        <f t="shared" si="1"/>
        <v>2</v>
      </c>
      <c r="B56" s="47">
        <v>12</v>
      </c>
      <c r="C56" s="14"/>
      <c r="D56" s="14" t="str">
        <f t="shared" si="0"/>
        <v/>
      </c>
      <c r="E56" s="14"/>
      <c r="F56" s="30"/>
      <c r="G56" s="17"/>
      <c r="H56" s="18"/>
      <c r="I56" s="19" t="s">
        <v>453</v>
      </c>
      <c r="J56" s="38">
        <v>3</v>
      </c>
      <c r="K56" s="21">
        <v>10</v>
      </c>
      <c r="L56" s="14"/>
      <c r="M56" s="22"/>
      <c r="N56" s="30"/>
      <c r="O56" s="23"/>
      <c r="P56" s="24"/>
      <c r="Q56" s="25"/>
      <c r="R56" s="25"/>
      <c r="W56" s="42"/>
      <c r="X56" s="42"/>
    </row>
    <row r="57" spans="1:24">
      <c r="A57" s="46">
        <f t="shared" si="1"/>
        <v>2</v>
      </c>
      <c r="B57" s="47">
        <v>13</v>
      </c>
      <c r="C57" s="14"/>
      <c r="D57" s="14" t="str">
        <f t="shared" si="0"/>
        <v/>
      </c>
      <c r="E57" s="14"/>
      <c r="F57" s="30"/>
      <c r="G57" s="17"/>
      <c r="H57" s="18"/>
      <c r="I57" t="s">
        <v>426</v>
      </c>
      <c r="J57" s="38">
        <v>3</v>
      </c>
      <c r="K57" s="21">
        <v>1</v>
      </c>
      <c r="L57" s="14"/>
      <c r="M57" s="22"/>
      <c r="N57" s="30"/>
      <c r="O57" s="23"/>
      <c r="P57" s="24"/>
      <c r="Q57" s="25"/>
      <c r="R57" s="25"/>
      <c r="W57" s="42"/>
      <c r="X57" s="42"/>
    </row>
    <row r="58" spans="1:24">
      <c r="A58" s="46">
        <f t="shared" si="1"/>
        <v>2</v>
      </c>
      <c r="B58" s="47">
        <v>14</v>
      </c>
      <c r="C58" s="14">
        <v>9.99</v>
      </c>
      <c r="D58" s="14">
        <f t="shared" si="0"/>
        <v>139</v>
      </c>
      <c r="E58" s="36">
        <f>(C58+0.01)*D58*$X$2/100</f>
        <v>13900000</v>
      </c>
      <c r="F58" s="37">
        <f>SUM(E46:E58)</f>
        <v>31360000</v>
      </c>
      <c r="G58" s="17">
        <f>SUM(C46:C58)</f>
        <v>23.97</v>
      </c>
      <c r="H58" s="18"/>
      <c r="I58" s="14" t="s">
        <v>2</v>
      </c>
      <c r="J58" s="29">
        <v>9</v>
      </c>
      <c r="K58" s="21">
        <f>E58</f>
        <v>13900000</v>
      </c>
      <c r="L58" s="36">
        <f>SUMIF(I58:I63,"="&amp;"金币",K58:K63)</f>
        <v>16309660</v>
      </c>
      <c r="M58" s="22">
        <f>L58/$X$2</f>
        <v>16.30966</v>
      </c>
      <c r="N58" s="37">
        <f>SUM(L46:L58)</f>
        <v>37384150</v>
      </c>
      <c r="O58" s="23">
        <f>SUM(M46:M58)</f>
        <v>37.38415</v>
      </c>
      <c r="P58" s="24">
        <f>N58/F58</f>
        <v>1.19209661989796</v>
      </c>
      <c r="Q58" s="25"/>
      <c r="R58" s="25"/>
      <c r="W58" s="42"/>
      <c r="X58" s="42"/>
    </row>
    <row r="59" spans="1:24">
      <c r="A59" s="46">
        <f t="shared" si="1"/>
        <v>2</v>
      </c>
      <c r="B59" s="47">
        <v>15</v>
      </c>
      <c r="C59" s="14"/>
      <c r="D59" s="14" t="str">
        <f t="shared" si="0"/>
        <v/>
      </c>
      <c r="E59" s="14"/>
      <c r="F59" s="30"/>
      <c r="G59" s="17"/>
      <c r="H59" s="18"/>
      <c r="I59" s="19" t="s">
        <v>408</v>
      </c>
      <c r="J59" s="38">
        <v>3</v>
      </c>
      <c r="K59" s="21">
        <v>3</v>
      </c>
      <c r="L59" s="14"/>
      <c r="M59" s="22"/>
      <c r="N59" s="30"/>
      <c r="O59" s="23"/>
      <c r="P59" s="24"/>
      <c r="Q59" s="25"/>
      <c r="R59" s="25"/>
      <c r="W59" s="42"/>
      <c r="X59" s="42"/>
    </row>
    <row r="60" spans="1:24">
      <c r="A60" s="46">
        <f t="shared" si="1"/>
        <v>2</v>
      </c>
      <c r="B60" s="47">
        <v>16</v>
      </c>
      <c r="C60" s="14"/>
      <c r="D60" s="14" t="str">
        <f t="shared" si="0"/>
        <v/>
      </c>
      <c r="E60" s="14"/>
      <c r="F60" s="30"/>
      <c r="G60" s="17"/>
      <c r="H60" s="18">
        <v>0.12</v>
      </c>
      <c r="I60" s="19" t="s">
        <v>2</v>
      </c>
      <c r="J60" s="38">
        <v>17</v>
      </c>
      <c r="K60" s="21">
        <f>H60*$R$49</f>
        <v>2409660</v>
      </c>
      <c r="L60" s="14"/>
      <c r="M60" s="22"/>
      <c r="N60" s="30"/>
      <c r="O60" s="23"/>
      <c r="P60" s="24"/>
      <c r="Q60" s="25"/>
      <c r="R60" s="25"/>
      <c r="W60" s="42"/>
      <c r="X60" s="42"/>
    </row>
    <row r="61" spans="1:24">
      <c r="A61" s="46">
        <f t="shared" si="1"/>
        <v>2</v>
      </c>
      <c r="B61" s="47">
        <v>17</v>
      </c>
      <c r="C61" s="14"/>
      <c r="D61" s="14" t="str">
        <f t="shared" si="0"/>
        <v/>
      </c>
      <c r="E61" s="14"/>
      <c r="F61" s="30"/>
      <c r="G61" s="17"/>
      <c r="H61" s="18"/>
      <c r="I61" s="19" t="s">
        <v>461</v>
      </c>
      <c r="J61" s="38">
        <v>4</v>
      </c>
      <c r="K61" s="21">
        <v>1</v>
      </c>
      <c r="L61" s="14"/>
      <c r="M61" s="22"/>
      <c r="N61" s="30"/>
      <c r="O61" s="23"/>
      <c r="P61" s="24"/>
      <c r="Q61" s="25"/>
      <c r="R61" s="25"/>
      <c r="W61" s="42"/>
      <c r="X61" s="42"/>
    </row>
    <row r="62" spans="1:24">
      <c r="A62" s="46">
        <f t="shared" si="1"/>
        <v>2</v>
      </c>
      <c r="B62" s="47">
        <v>18</v>
      </c>
      <c r="C62" s="14"/>
      <c r="D62" s="14" t="str">
        <f t="shared" si="0"/>
        <v/>
      </c>
      <c r="E62" s="14"/>
      <c r="F62" s="30"/>
      <c r="G62" s="17"/>
      <c r="H62" s="18"/>
      <c r="I62" s="19" t="s">
        <v>453</v>
      </c>
      <c r="J62" s="38">
        <v>3</v>
      </c>
      <c r="K62" s="21">
        <v>15</v>
      </c>
      <c r="L62" s="14"/>
      <c r="M62" s="22"/>
      <c r="N62" s="30"/>
      <c r="O62" s="23"/>
      <c r="P62" s="24"/>
      <c r="Q62" s="25"/>
      <c r="R62" s="25"/>
      <c r="W62" s="42"/>
      <c r="X62" s="42"/>
    </row>
    <row r="63" spans="1:24">
      <c r="A63" s="46">
        <f t="shared" si="1"/>
        <v>2</v>
      </c>
      <c r="B63" s="47">
        <v>19</v>
      </c>
      <c r="C63" s="14"/>
      <c r="D63" s="14" t="str">
        <f t="shared" si="0"/>
        <v/>
      </c>
      <c r="E63" s="14"/>
      <c r="F63" s="30"/>
      <c r="G63" s="17"/>
      <c r="H63" s="18"/>
      <c r="I63" t="s">
        <v>424</v>
      </c>
      <c r="J63" s="38">
        <v>3</v>
      </c>
      <c r="K63" s="21">
        <v>1</v>
      </c>
      <c r="L63" s="14"/>
      <c r="M63" s="22"/>
      <c r="N63" s="30"/>
      <c r="O63" s="23"/>
      <c r="P63" s="24"/>
      <c r="Q63" s="25"/>
      <c r="R63" s="25"/>
      <c r="W63" s="42"/>
      <c r="X63" s="42"/>
    </row>
    <row r="64" spans="1:24">
      <c r="A64" s="46">
        <f t="shared" si="1"/>
        <v>2</v>
      </c>
      <c r="B64" s="47">
        <v>20</v>
      </c>
      <c r="C64" s="14">
        <v>12.99</v>
      </c>
      <c r="D64" s="14">
        <f t="shared" si="0"/>
        <v>149</v>
      </c>
      <c r="E64" s="36">
        <f>(C64+0.01)*D64*$X$2/100</f>
        <v>19370000</v>
      </c>
      <c r="F64" s="37">
        <f>SUM(E46:E64)</f>
        <v>50730000</v>
      </c>
      <c r="G64" s="17">
        <f>SUM(C46:C64)</f>
        <v>36.96</v>
      </c>
      <c r="H64" s="18"/>
      <c r="I64" s="14" t="s">
        <v>2</v>
      </c>
      <c r="J64" s="29">
        <v>9</v>
      </c>
      <c r="K64" s="21">
        <f>E64</f>
        <v>19370000</v>
      </c>
      <c r="L64" s="36">
        <f>SUMIF(I64:I69,"="&amp;"金币",K64:K69)</f>
        <v>22181270</v>
      </c>
      <c r="M64" s="22">
        <f>L64/$X$2</f>
        <v>22.18127</v>
      </c>
      <c r="N64" s="37">
        <f>SUM(L46:L64)</f>
        <v>59565420</v>
      </c>
      <c r="O64" s="23">
        <f>SUM(M46:M64)</f>
        <v>59.56542</v>
      </c>
      <c r="P64" s="24">
        <f>N64/F64</f>
        <v>1.17416558249556</v>
      </c>
      <c r="Q64" s="25"/>
      <c r="R64" s="25"/>
      <c r="W64" s="42"/>
      <c r="X64" s="42"/>
    </row>
    <row r="65" spans="1:24">
      <c r="A65" s="46">
        <f t="shared" si="1"/>
        <v>2</v>
      </c>
      <c r="B65" s="47">
        <v>21</v>
      </c>
      <c r="C65" s="14"/>
      <c r="D65" s="14" t="str">
        <f t="shared" si="0"/>
        <v/>
      </c>
      <c r="E65" s="14"/>
      <c r="F65" s="30"/>
      <c r="G65" s="17"/>
      <c r="H65" s="18"/>
      <c r="I65" s="19" t="s">
        <v>408</v>
      </c>
      <c r="J65" s="38">
        <v>3</v>
      </c>
      <c r="K65" s="21">
        <v>4</v>
      </c>
      <c r="L65" s="14"/>
      <c r="M65" s="22"/>
      <c r="N65" s="30"/>
      <c r="O65" s="23"/>
      <c r="P65" s="24"/>
      <c r="Q65" s="25"/>
      <c r="R65" s="25"/>
      <c r="W65" s="42"/>
      <c r="X65" s="42"/>
    </row>
    <row r="66" spans="1:24">
      <c r="A66" s="46">
        <f t="shared" si="1"/>
        <v>2</v>
      </c>
      <c r="B66" s="47">
        <v>22</v>
      </c>
      <c r="C66" s="14"/>
      <c r="D66" s="14" t="str">
        <f t="shared" si="0"/>
        <v/>
      </c>
      <c r="E66" s="14"/>
      <c r="F66" s="30"/>
      <c r="G66" s="17"/>
      <c r="H66" s="18">
        <v>0.14</v>
      </c>
      <c r="I66" s="19" t="s">
        <v>2</v>
      </c>
      <c r="J66" s="38">
        <v>17</v>
      </c>
      <c r="K66" s="21">
        <f>H66*$R$49</f>
        <v>2811270</v>
      </c>
      <c r="L66" s="14"/>
      <c r="M66" s="22"/>
      <c r="N66" s="30"/>
      <c r="O66" s="23"/>
      <c r="P66" s="24"/>
      <c r="Q66" s="25"/>
      <c r="R66" s="25"/>
      <c r="W66" s="42"/>
      <c r="X66" s="42"/>
    </row>
    <row r="67" spans="1:24">
      <c r="A67" s="46">
        <f t="shared" si="1"/>
        <v>2</v>
      </c>
      <c r="B67" s="47">
        <v>23</v>
      </c>
      <c r="C67" s="14"/>
      <c r="D67" s="14" t="str">
        <f t="shared" ref="D67:D130" si="2">IFERROR(VLOOKUP(ROUND(C67*100,0),T:U,2,FALSE),"")</f>
        <v/>
      </c>
      <c r="E67" s="14"/>
      <c r="F67" s="30"/>
      <c r="G67" s="17"/>
      <c r="H67" s="18"/>
      <c r="I67" s="19" t="s">
        <v>461</v>
      </c>
      <c r="J67" s="38">
        <v>4</v>
      </c>
      <c r="K67" s="21">
        <v>1</v>
      </c>
      <c r="L67" s="14"/>
      <c r="M67" s="22"/>
      <c r="N67" s="30"/>
      <c r="O67" s="23"/>
      <c r="P67" s="24"/>
      <c r="Q67" s="25"/>
      <c r="R67" s="25"/>
      <c r="W67" s="42"/>
      <c r="X67" s="42"/>
    </row>
    <row r="68" spans="1:24">
      <c r="A68" s="46">
        <f t="shared" si="1"/>
        <v>2</v>
      </c>
      <c r="B68" s="47">
        <v>24</v>
      </c>
      <c r="C68" s="14"/>
      <c r="D68" s="14" t="str">
        <f t="shared" si="2"/>
        <v/>
      </c>
      <c r="E68" s="14"/>
      <c r="F68" s="30"/>
      <c r="G68" s="17"/>
      <c r="H68" s="18"/>
      <c r="I68" s="19" t="s">
        <v>453</v>
      </c>
      <c r="J68" s="38">
        <v>3</v>
      </c>
      <c r="K68" s="21">
        <v>20</v>
      </c>
      <c r="L68" s="14"/>
      <c r="M68" s="22"/>
      <c r="N68" s="30"/>
      <c r="O68" s="23"/>
      <c r="P68" s="24"/>
      <c r="Q68" s="25"/>
      <c r="R68" s="25"/>
      <c r="W68" s="42"/>
      <c r="X68" s="42"/>
    </row>
    <row r="69" spans="1:24">
      <c r="A69" s="46">
        <f t="shared" si="1"/>
        <v>2</v>
      </c>
      <c r="B69" s="47">
        <v>25</v>
      </c>
      <c r="C69" s="14"/>
      <c r="D69" s="14" t="str">
        <f t="shared" si="2"/>
        <v/>
      </c>
      <c r="E69" s="14"/>
      <c r="F69" s="30"/>
      <c r="G69" s="17"/>
      <c r="H69" s="18"/>
      <c r="I69" t="s">
        <v>426</v>
      </c>
      <c r="J69" s="38">
        <v>3</v>
      </c>
      <c r="K69" s="21">
        <v>1</v>
      </c>
      <c r="L69" s="14"/>
      <c r="M69" s="22"/>
      <c r="N69" s="30"/>
      <c r="O69" s="23"/>
      <c r="P69" s="24"/>
      <c r="Q69" s="25"/>
      <c r="R69" s="25"/>
      <c r="W69" s="42"/>
      <c r="X69" s="42"/>
    </row>
    <row r="70" spans="1:24">
      <c r="A70" s="46">
        <f t="shared" si="1"/>
        <v>2</v>
      </c>
      <c r="B70" s="47">
        <v>26</v>
      </c>
      <c r="C70" s="14">
        <v>14.99</v>
      </c>
      <c r="D70" s="14">
        <f t="shared" si="2"/>
        <v>154</v>
      </c>
      <c r="E70" s="36">
        <f>(C70+0.01)*D70*$X$2/100</f>
        <v>23100000</v>
      </c>
      <c r="F70" s="37">
        <f>SUM(E46:E70)</f>
        <v>73830000</v>
      </c>
      <c r="G70" s="17">
        <f>SUM(C46:C70)</f>
        <v>51.95</v>
      </c>
      <c r="H70" s="18"/>
      <c r="I70" s="14" t="s">
        <v>2</v>
      </c>
      <c r="J70" s="29">
        <v>9</v>
      </c>
      <c r="K70" s="21">
        <f>E70</f>
        <v>23100000</v>
      </c>
      <c r="L70" s="36">
        <f>SUMIF(I70:I75,"="&amp;"金币",K70:K75)</f>
        <v>26312880</v>
      </c>
      <c r="M70" s="22">
        <f>L70/$X$2</f>
        <v>26.31288</v>
      </c>
      <c r="N70" s="37">
        <f>SUM(L46:L70)</f>
        <v>85878300</v>
      </c>
      <c r="O70" s="23">
        <f>SUM(M46:M70)</f>
        <v>85.8783</v>
      </c>
      <c r="P70" s="24">
        <f>N70/F70</f>
        <v>1.16318976026006</v>
      </c>
      <c r="Q70" s="25"/>
      <c r="R70" s="25"/>
      <c r="W70" s="42"/>
      <c r="X70" s="42"/>
    </row>
    <row r="71" spans="1:24">
      <c r="A71" s="46">
        <f t="shared" si="1"/>
        <v>2</v>
      </c>
      <c r="B71" s="47">
        <v>27</v>
      </c>
      <c r="C71" s="14"/>
      <c r="D71" s="14" t="str">
        <f t="shared" si="2"/>
        <v/>
      </c>
      <c r="E71" s="14"/>
      <c r="F71" s="30"/>
      <c r="G71" s="17"/>
      <c r="H71" s="18"/>
      <c r="I71" s="19" t="s">
        <v>408</v>
      </c>
      <c r="J71" s="38">
        <v>3</v>
      </c>
      <c r="K71" s="21">
        <v>5</v>
      </c>
      <c r="L71" s="14"/>
      <c r="M71" s="22"/>
      <c r="N71" s="30"/>
      <c r="O71" s="23"/>
      <c r="P71" s="24"/>
      <c r="Q71" s="25"/>
      <c r="R71" s="25"/>
      <c r="W71" s="42"/>
      <c r="X71" s="42"/>
    </row>
    <row r="72" spans="1:24">
      <c r="A72" s="46">
        <f t="shared" si="1"/>
        <v>2</v>
      </c>
      <c r="B72" s="47">
        <v>28</v>
      </c>
      <c r="C72" s="14"/>
      <c r="D72" s="14" t="str">
        <f t="shared" si="2"/>
        <v/>
      </c>
      <c r="E72" s="14"/>
      <c r="F72" s="30"/>
      <c r="G72" s="17"/>
      <c r="H72" s="18">
        <v>0.16</v>
      </c>
      <c r="I72" s="19" t="s">
        <v>2</v>
      </c>
      <c r="J72" s="38">
        <v>17</v>
      </c>
      <c r="K72" s="21">
        <f>H72*$R$49</f>
        <v>3212880</v>
      </c>
      <c r="L72" s="14"/>
      <c r="M72" s="22"/>
      <c r="N72" s="30"/>
      <c r="O72" s="23"/>
      <c r="P72" s="24"/>
      <c r="Q72" s="25"/>
      <c r="R72" s="25"/>
      <c r="W72" s="42"/>
      <c r="X72" s="42"/>
    </row>
    <row r="73" spans="1:24">
      <c r="A73" s="46">
        <f t="shared" si="1"/>
        <v>2</v>
      </c>
      <c r="B73" s="47">
        <v>29</v>
      </c>
      <c r="C73" s="14"/>
      <c r="D73" s="14" t="str">
        <f t="shared" si="2"/>
        <v/>
      </c>
      <c r="E73" s="14"/>
      <c r="F73" s="30"/>
      <c r="G73" s="17"/>
      <c r="H73" s="18"/>
      <c r="I73" s="19" t="s">
        <v>463</v>
      </c>
      <c r="J73" s="38">
        <v>4</v>
      </c>
      <c r="K73" s="21">
        <v>1</v>
      </c>
      <c r="L73" s="14"/>
      <c r="M73" s="22"/>
      <c r="N73" s="30"/>
      <c r="O73" s="23"/>
      <c r="P73" s="24"/>
      <c r="Q73" s="25"/>
      <c r="R73" s="25"/>
      <c r="W73" s="42"/>
      <c r="X73" s="42"/>
    </row>
    <row r="74" spans="1:24">
      <c r="A74" s="46">
        <f t="shared" si="1"/>
        <v>2</v>
      </c>
      <c r="B74" s="47">
        <v>30</v>
      </c>
      <c r="C74" s="14"/>
      <c r="D74" s="14" t="str">
        <f t="shared" si="2"/>
        <v/>
      </c>
      <c r="E74" s="14"/>
      <c r="F74" s="30"/>
      <c r="G74" s="17"/>
      <c r="H74" s="18"/>
      <c r="I74" s="19" t="s">
        <v>453</v>
      </c>
      <c r="J74" s="38">
        <v>3</v>
      </c>
      <c r="K74" s="21">
        <v>25</v>
      </c>
      <c r="L74" s="14"/>
      <c r="M74" s="22"/>
      <c r="N74" s="30"/>
      <c r="O74" s="23"/>
      <c r="P74" s="24"/>
      <c r="Q74" s="25"/>
      <c r="R74" s="25"/>
      <c r="W74" s="42"/>
      <c r="X74" s="42"/>
    </row>
    <row r="75" spans="1:24">
      <c r="A75" s="46">
        <f t="shared" si="1"/>
        <v>2</v>
      </c>
      <c r="B75" s="47">
        <v>31</v>
      </c>
      <c r="C75" s="14"/>
      <c r="D75" s="14" t="str">
        <f t="shared" si="2"/>
        <v/>
      </c>
      <c r="E75" s="14"/>
      <c r="F75" s="30"/>
      <c r="G75" s="17"/>
      <c r="H75" s="18"/>
      <c r="I75" t="s">
        <v>424</v>
      </c>
      <c r="J75" s="38">
        <v>3</v>
      </c>
      <c r="K75" s="21">
        <v>1</v>
      </c>
      <c r="L75" s="14"/>
      <c r="M75" s="22"/>
      <c r="N75" s="30"/>
      <c r="O75" s="23"/>
      <c r="P75" s="24"/>
      <c r="Q75" s="25"/>
      <c r="R75" s="25"/>
      <c r="W75" s="42"/>
      <c r="X75" s="42"/>
    </row>
    <row r="76" spans="1:24">
      <c r="A76" s="46">
        <f t="shared" si="1"/>
        <v>2</v>
      </c>
      <c r="B76" s="47">
        <v>32</v>
      </c>
      <c r="C76" s="14">
        <v>17.99</v>
      </c>
      <c r="D76" s="14">
        <f t="shared" si="2"/>
        <v>158</v>
      </c>
      <c r="E76" s="36">
        <f>(C76+0.01)*D76*$X$2/100</f>
        <v>28440000</v>
      </c>
      <c r="F76" s="37">
        <f>SUM(E46:E76)</f>
        <v>102270000</v>
      </c>
      <c r="G76" s="17">
        <f>SUM(C46:C76)</f>
        <v>69.94</v>
      </c>
      <c r="H76" s="18"/>
      <c r="I76" s="14" t="s">
        <v>2</v>
      </c>
      <c r="J76" s="29">
        <v>9</v>
      </c>
      <c r="K76" s="21">
        <f>E76</f>
        <v>28440000</v>
      </c>
      <c r="L76" s="36">
        <f>SUMIF(I76:I81,"="&amp;"金币",K76:K81)</f>
        <v>32054490</v>
      </c>
      <c r="M76" s="22">
        <f>L76/$X$2</f>
        <v>32.05449</v>
      </c>
      <c r="N76" s="37">
        <f>SUM(L46:L76)</f>
        <v>117932790</v>
      </c>
      <c r="O76" s="23">
        <f>SUM(M46:M76)</f>
        <v>117.93279</v>
      </c>
      <c r="P76" s="24">
        <f>N76/F76</f>
        <v>1.15315136403637</v>
      </c>
      <c r="Q76" s="25"/>
      <c r="R76" s="25"/>
      <c r="W76" s="42"/>
      <c r="X76" s="42"/>
    </row>
    <row r="77" spans="1:24">
      <c r="A77" s="46">
        <f t="shared" si="1"/>
        <v>2</v>
      </c>
      <c r="B77" s="47">
        <v>33</v>
      </c>
      <c r="C77" s="14"/>
      <c r="D77" s="14" t="str">
        <f t="shared" si="2"/>
        <v/>
      </c>
      <c r="E77" s="14"/>
      <c r="F77" s="30"/>
      <c r="G77" s="17"/>
      <c r="H77" s="18"/>
      <c r="I77" s="19" t="s">
        <v>408</v>
      </c>
      <c r="J77" s="38">
        <v>3</v>
      </c>
      <c r="K77" s="21">
        <v>6</v>
      </c>
      <c r="L77" s="14"/>
      <c r="M77" s="22"/>
      <c r="N77" s="30"/>
      <c r="O77" s="23"/>
      <c r="P77" s="24"/>
      <c r="Q77" s="25"/>
      <c r="R77" s="25"/>
      <c r="W77" s="42"/>
      <c r="X77" s="42"/>
    </row>
    <row r="78" spans="1:24">
      <c r="A78" s="46">
        <f t="shared" si="1"/>
        <v>2</v>
      </c>
      <c r="B78" s="47">
        <v>34</v>
      </c>
      <c r="C78" s="14"/>
      <c r="D78" s="14" t="str">
        <f t="shared" si="2"/>
        <v/>
      </c>
      <c r="E78" s="14"/>
      <c r="F78" s="30"/>
      <c r="G78" s="17"/>
      <c r="H78" s="18">
        <v>0.18</v>
      </c>
      <c r="I78" s="19" t="s">
        <v>2</v>
      </c>
      <c r="J78" s="38">
        <v>17</v>
      </c>
      <c r="K78" s="21">
        <f>H78*$R$49</f>
        <v>3614490</v>
      </c>
      <c r="L78" s="14"/>
      <c r="M78" s="22"/>
      <c r="N78" s="30"/>
      <c r="O78" s="23"/>
      <c r="P78" s="24"/>
      <c r="Q78" s="25"/>
      <c r="R78" s="25"/>
      <c r="W78" s="42"/>
      <c r="X78" s="42"/>
    </row>
    <row r="79" spans="1:24">
      <c r="A79" s="46">
        <f t="shared" si="1"/>
        <v>2</v>
      </c>
      <c r="B79" s="47">
        <v>35</v>
      </c>
      <c r="C79" s="14"/>
      <c r="D79" s="14" t="str">
        <f t="shared" si="2"/>
        <v/>
      </c>
      <c r="E79" s="14"/>
      <c r="F79" s="30"/>
      <c r="G79" s="17"/>
      <c r="H79" s="18"/>
      <c r="I79" s="19" t="s">
        <v>463</v>
      </c>
      <c r="J79" s="38">
        <v>4</v>
      </c>
      <c r="K79" s="21">
        <v>1</v>
      </c>
      <c r="L79" s="14"/>
      <c r="M79" s="22"/>
      <c r="N79" s="30"/>
      <c r="O79" s="23"/>
      <c r="P79" s="24"/>
      <c r="Q79" s="25"/>
      <c r="R79" s="25"/>
      <c r="W79" s="42"/>
      <c r="X79" s="42"/>
    </row>
    <row r="80" spans="1:24">
      <c r="A80" s="46">
        <f t="shared" si="1"/>
        <v>2</v>
      </c>
      <c r="B80" s="47">
        <v>36</v>
      </c>
      <c r="C80" s="14"/>
      <c r="D80" s="14" t="str">
        <f t="shared" si="2"/>
        <v/>
      </c>
      <c r="E80" s="14"/>
      <c r="F80" s="30"/>
      <c r="G80" s="17"/>
      <c r="H80" s="18"/>
      <c r="I80" s="19" t="s">
        <v>453</v>
      </c>
      <c r="J80" s="38">
        <v>3</v>
      </c>
      <c r="K80" s="21">
        <v>30</v>
      </c>
      <c r="L80" s="14"/>
      <c r="M80" s="22"/>
      <c r="N80" s="30"/>
      <c r="O80" s="23"/>
      <c r="P80" s="24"/>
      <c r="Q80" s="25"/>
      <c r="R80" s="25"/>
      <c r="W80" s="42"/>
      <c r="X80" s="42"/>
    </row>
    <row r="81" spans="1:24">
      <c r="A81" s="46">
        <f t="shared" si="1"/>
        <v>2</v>
      </c>
      <c r="B81" s="47">
        <v>37</v>
      </c>
      <c r="C81" s="14"/>
      <c r="D81" s="14" t="str">
        <f t="shared" si="2"/>
        <v/>
      </c>
      <c r="E81" s="14"/>
      <c r="F81" s="30"/>
      <c r="G81" s="17"/>
      <c r="H81" s="18"/>
      <c r="I81" t="s">
        <v>426</v>
      </c>
      <c r="J81" s="38">
        <v>3</v>
      </c>
      <c r="K81" s="21">
        <v>1</v>
      </c>
      <c r="L81" s="14"/>
      <c r="M81" s="22"/>
      <c r="N81" s="30"/>
      <c r="O81" s="23"/>
      <c r="P81" s="24"/>
      <c r="Q81" s="25"/>
      <c r="R81" s="25"/>
      <c r="W81" s="42"/>
      <c r="X81" s="42"/>
    </row>
    <row r="82" spans="1:24">
      <c r="A82" s="46">
        <f t="shared" si="1"/>
        <v>2</v>
      </c>
      <c r="B82" s="47">
        <v>38</v>
      </c>
      <c r="C82" s="14">
        <v>19.99</v>
      </c>
      <c r="D82" s="14">
        <f t="shared" si="2"/>
        <v>158</v>
      </c>
      <c r="E82" s="36">
        <f>(C82+0.01)*D82*$X$2/100</f>
        <v>31600000</v>
      </c>
      <c r="F82" s="37">
        <f>SUM(E46:E82)</f>
        <v>133870000</v>
      </c>
      <c r="G82" s="17">
        <f>SUM(C46:C82)</f>
        <v>89.93</v>
      </c>
      <c r="H82" s="18"/>
      <c r="I82" s="14" t="s">
        <v>2</v>
      </c>
      <c r="J82" s="29">
        <v>9</v>
      </c>
      <c r="K82" s="21">
        <f>E82</f>
        <v>31600000</v>
      </c>
      <c r="L82" s="36">
        <f>SUMIF(I82:I87,"="&amp;"金币",K82:K87)</f>
        <v>36017710</v>
      </c>
      <c r="M82" s="22">
        <f>L82/$X$2</f>
        <v>36.01771</v>
      </c>
      <c r="N82" s="37">
        <f>SUM(L46:L82)</f>
        <v>153950500</v>
      </c>
      <c r="O82" s="23">
        <f>SUM(M46:M82)</f>
        <v>153.9505</v>
      </c>
      <c r="P82" s="24">
        <f>N82/F82</f>
        <v>1.15</v>
      </c>
      <c r="Q82" s="25"/>
      <c r="R82" s="25"/>
      <c r="W82" s="42"/>
      <c r="X82" s="42"/>
    </row>
    <row r="83" spans="1:24">
      <c r="A83" s="46">
        <f t="shared" si="1"/>
        <v>2</v>
      </c>
      <c r="B83" s="47">
        <v>39</v>
      </c>
      <c r="C83" s="14"/>
      <c r="D83" s="14" t="str">
        <f t="shared" si="2"/>
        <v/>
      </c>
      <c r="E83" s="14"/>
      <c r="F83" s="30"/>
      <c r="G83" s="17"/>
      <c r="H83" s="18"/>
      <c r="I83" s="19" t="s">
        <v>408</v>
      </c>
      <c r="J83" s="38">
        <v>3</v>
      </c>
      <c r="K83" s="21">
        <v>7</v>
      </c>
      <c r="L83" s="14"/>
      <c r="M83" s="22"/>
      <c r="N83" s="30"/>
      <c r="O83" s="23"/>
      <c r="P83" s="24"/>
      <c r="Q83" s="25"/>
      <c r="R83" s="25"/>
      <c r="W83" s="42"/>
      <c r="X83" s="42"/>
    </row>
    <row r="84" spans="1:24">
      <c r="A84" s="46">
        <f t="shared" si="1"/>
        <v>2</v>
      </c>
      <c r="B84" s="47">
        <v>40</v>
      </c>
      <c r="C84" s="14"/>
      <c r="D84" s="14" t="str">
        <f t="shared" si="2"/>
        <v/>
      </c>
      <c r="E84" s="14"/>
      <c r="F84" s="30"/>
      <c r="G84" s="17"/>
      <c r="H84" s="18">
        <v>0.22</v>
      </c>
      <c r="I84" s="19" t="s">
        <v>2</v>
      </c>
      <c r="J84" s="38">
        <v>17</v>
      </c>
      <c r="K84" s="21">
        <f>H84*$R$49</f>
        <v>4417710</v>
      </c>
      <c r="L84" s="14"/>
      <c r="M84" s="22"/>
      <c r="N84" s="30"/>
      <c r="O84" s="23"/>
      <c r="P84" s="24"/>
      <c r="Q84" s="25"/>
      <c r="R84" s="25"/>
      <c r="W84" s="42"/>
      <c r="X84" s="42"/>
    </row>
    <row r="85" spans="1:24">
      <c r="A85" s="46">
        <f t="shared" si="1"/>
        <v>2</v>
      </c>
      <c r="B85" s="47">
        <v>41</v>
      </c>
      <c r="C85" s="14"/>
      <c r="D85" s="14" t="str">
        <f t="shared" si="2"/>
        <v/>
      </c>
      <c r="E85" s="14"/>
      <c r="F85" s="30"/>
      <c r="G85" s="17"/>
      <c r="H85" s="18"/>
      <c r="I85" s="19" t="s">
        <v>473</v>
      </c>
      <c r="J85" s="38">
        <v>4</v>
      </c>
      <c r="K85" s="21">
        <v>1</v>
      </c>
      <c r="L85" s="14"/>
      <c r="M85" s="22"/>
      <c r="N85" s="30"/>
      <c r="O85" s="23"/>
      <c r="P85" s="24"/>
      <c r="Q85" s="25"/>
      <c r="R85" s="25"/>
      <c r="W85" s="42"/>
      <c r="X85" s="42"/>
    </row>
    <row r="86" spans="1:24">
      <c r="A86" s="46">
        <f t="shared" si="1"/>
        <v>2</v>
      </c>
      <c r="B86" s="47">
        <v>42</v>
      </c>
      <c r="C86" s="14"/>
      <c r="D86" s="14" t="str">
        <f t="shared" si="2"/>
        <v/>
      </c>
      <c r="E86" s="14"/>
      <c r="F86" s="30"/>
      <c r="G86" s="17"/>
      <c r="H86" s="18"/>
      <c r="I86" s="19" t="s">
        <v>453</v>
      </c>
      <c r="J86" s="38">
        <v>3</v>
      </c>
      <c r="K86" s="21">
        <v>35</v>
      </c>
      <c r="L86" s="14"/>
      <c r="M86" s="22"/>
      <c r="N86" s="30"/>
      <c r="O86" s="23"/>
      <c r="P86" s="24"/>
      <c r="Q86" s="25"/>
      <c r="R86" s="25"/>
      <c r="W86" s="42"/>
      <c r="X86" s="42"/>
    </row>
    <row r="87" spans="1:24">
      <c r="A87" s="46">
        <f t="shared" si="1"/>
        <v>2</v>
      </c>
      <c r="B87" s="47">
        <v>43</v>
      </c>
      <c r="C87" s="14"/>
      <c r="D87" s="14" t="str">
        <f t="shared" si="2"/>
        <v/>
      </c>
      <c r="E87" s="14"/>
      <c r="F87" s="30"/>
      <c r="G87" s="17"/>
      <c r="H87" s="18"/>
      <c r="I87" t="s">
        <v>424</v>
      </c>
      <c r="J87" s="38">
        <v>3</v>
      </c>
      <c r="K87" s="21">
        <v>1</v>
      </c>
      <c r="L87" s="14"/>
      <c r="M87" s="22"/>
      <c r="N87" s="30"/>
      <c r="O87" s="23"/>
      <c r="P87" s="24"/>
      <c r="Q87" s="25"/>
      <c r="R87" s="25"/>
      <c r="W87" s="42"/>
      <c r="X87" s="42"/>
    </row>
    <row r="88" spans="1:24">
      <c r="A88" s="46">
        <f t="shared" si="1"/>
        <v>3</v>
      </c>
      <c r="B88" s="47">
        <v>1</v>
      </c>
      <c r="C88" s="14"/>
      <c r="D88" s="14" t="str">
        <f t="shared" si="2"/>
        <v/>
      </c>
      <c r="E88" s="14"/>
      <c r="F88" s="30"/>
      <c r="G88" s="17"/>
      <c r="H88" s="18"/>
      <c r="I88" s="14" t="s">
        <v>2</v>
      </c>
      <c r="J88" s="29">
        <v>1</v>
      </c>
      <c r="K88" s="21">
        <v>5000</v>
      </c>
      <c r="L88" s="14"/>
      <c r="M88" s="22"/>
      <c r="N88" s="30"/>
      <c r="O88" s="23"/>
      <c r="P88" s="24"/>
      <c r="Q88" s="25"/>
      <c r="R88" s="31">
        <f>SUM(C88:C130)</f>
        <v>89.93</v>
      </c>
      <c r="W88" s="42"/>
      <c r="X88" s="42"/>
    </row>
    <row r="89" spans="1:24">
      <c r="A89" s="46">
        <f t="shared" si="1"/>
        <v>3</v>
      </c>
      <c r="B89" s="47">
        <v>2</v>
      </c>
      <c r="C89" s="35">
        <v>5.99</v>
      </c>
      <c r="D89" s="14">
        <f t="shared" si="2"/>
        <v>119</v>
      </c>
      <c r="E89" s="36">
        <f>(C89+0.01)*D89*$X$2/100</f>
        <v>7140000</v>
      </c>
      <c r="F89" s="37">
        <f>SUM(E89)</f>
        <v>7140000</v>
      </c>
      <c r="G89" s="17">
        <f>SUM(C89)</f>
        <v>5.99</v>
      </c>
      <c r="H89" s="18"/>
      <c r="I89" s="14" t="s">
        <v>2</v>
      </c>
      <c r="J89" s="29">
        <v>9</v>
      </c>
      <c r="K89" s="21">
        <f>E89</f>
        <v>7140000</v>
      </c>
      <c r="L89" s="36">
        <f>SUMIF(I89:I94,"="&amp;"金币",K89:K94)</f>
        <v>8746440</v>
      </c>
      <c r="M89" s="22">
        <f>L89/$X$2</f>
        <v>8.74644</v>
      </c>
      <c r="N89" s="37">
        <f>SUM(L89)</f>
        <v>8746440</v>
      </c>
      <c r="O89" s="23">
        <f>SUM(M89)</f>
        <v>8.74644</v>
      </c>
      <c r="P89" s="24">
        <f>N89/F89</f>
        <v>1.22499159663866</v>
      </c>
      <c r="Q89" s="25"/>
      <c r="R89" s="26" t="s">
        <v>556</v>
      </c>
      <c r="W89" s="42"/>
      <c r="X89" s="42"/>
    </row>
    <row r="90" spans="1:24">
      <c r="A90" s="46">
        <f t="shared" si="1"/>
        <v>3</v>
      </c>
      <c r="B90" s="47">
        <v>3</v>
      </c>
      <c r="C90" s="14"/>
      <c r="D90" s="14" t="str">
        <f t="shared" si="2"/>
        <v/>
      </c>
      <c r="E90" s="14"/>
      <c r="F90" s="30"/>
      <c r="G90" s="17"/>
      <c r="H90" s="18"/>
      <c r="I90" s="19" t="s">
        <v>408</v>
      </c>
      <c r="J90" s="38">
        <v>3</v>
      </c>
      <c r="K90" s="21">
        <v>1</v>
      </c>
      <c r="L90" s="14"/>
      <c r="M90" s="22"/>
      <c r="N90" s="30"/>
      <c r="O90" s="23"/>
      <c r="P90" s="24"/>
      <c r="Q90" s="25"/>
      <c r="R90" s="39">
        <v>1.15</v>
      </c>
      <c r="W90" s="42"/>
      <c r="X90" s="42"/>
    </row>
    <row r="91" spans="1:24">
      <c r="A91" s="46">
        <f t="shared" si="1"/>
        <v>3</v>
      </c>
      <c r="B91" s="47">
        <v>4</v>
      </c>
      <c r="C91" s="14"/>
      <c r="D91" s="14" t="str">
        <f t="shared" si="2"/>
        <v/>
      </c>
      <c r="E91" s="14"/>
      <c r="F91" s="30"/>
      <c r="G91" s="17"/>
      <c r="H91" s="18">
        <v>0.08</v>
      </c>
      <c r="I91" s="19" t="s">
        <v>2</v>
      </c>
      <c r="J91" s="38">
        <v>17</v>
      </c>
      <c r="K91" s="21">
        <f>H91*$R$92</f>
        <v>1606440</v>
      </c>
      <c r="L91" s="14"/>
      <c r="M91" s="22"/>
      <c r="N91" s="30"/>
      <c r="O91" s="23"/>
      <c r="P91" s="24"/>
      <c r="Q91" s="25"/>
      <c r="R91" s="26" t="s">
        <v>557</v>
      </c>
      <c r="W91" s="42"/>
      <c r="X91" s="42"/>
    </row>
    <row r="92" spans="1:24">
      <c r="A92" s="46">
        <f t="shared" si="1"/>
        <v>3</v>
      </c>
      <c r="B92" s="47">
        <v>5</v>
      </c>
      <c r="C92" s="14"/>
      <c r="D92" s="14" t="str">
        <f t="shared" si="2"/>
        <v/>
      </c>
      <c r="E92" s="14"/>
      <c r="F92" s="30"/>
      <c r="G92" s="17"/>
      <c r="H92" s="18"/>
      <c r="I92" s="19" t="s">
        <v>457</v>
      </c>
      <c r="J92" s="38">
        <v>4</v>
      </c>
      <c r="K92" s="21">
        <v>1</v>
      </c>
      <c r="L92" s="14"/>
      <c r="M92" s="22"/>
      <c r="N92" s="30"/>
      <c r="O92" s="23"/>
      <c r="P92" s="24"/>
      <c r="Q92" s="25"/>
      <c r="R92" s="40">
        <f>SUM(E88:E130)*(R90-1)</f>
        <v>20080500</v>
      </c>
      <c r="W92" s="42"/>
      <c r="X92" s="42"/>
    </row>
    <row r="93" spans="1:24">
      <c r="A93" s="46">
        <f t="shared" si="1"/>
        <v>3</v>
      </c>
      <c r="B93" s="47">
        <v>6</v>
      </c>
      <c r="C93" s="14"/>
      <c r="D93" s="14" t="str">
        <f t="shared" si="2"/>
        <v/>
      </c>
      <c r="E93" s="14"/>
      <c r="F93" s="30"/>
      <c r="G93" s="17"/>
      <c r="H93" s="18"/>
      <c r="I93" s="19" t="s">
        <v>453</v>
      </c>
      <c r="J93" s="38">
        <v>3</v>
      </c>
      <c r="K93" s="21">
        <v>5</v>
      </c>
      <c r="L93" s="14"/>
      <c r="M93" s="22"/>
      <c r="N93" s="30"/>
      <c r="O93" s="23"/>
      <c r="P93" s="24"/>
      <c r="Q93" s="25"/>
      <c r="R93" s="26" t="s">
        <v>558</v>
      </c>
      <c r="W93" s="42"/>
      <c r="X93" s="42"/>
    </row>
    <row r="94" spans="1:24">
      <c r="A94" s="46">
        <f t="shared" si="1"/>
        <v>3</v>
      </c>
      <c r="B94" s="47">
        <v>7</v>
      </c>
      <c r="C94" s="14"/>
      <c r="D94" s="14" t="str">
        <f t="shared" si="2"/>
        <v/>
      </c>
      <c r="E94" s="14"/>
      <c r="F94" s="30"/>
      <c r="G94" s="17"/>
      <c r="H94" s="18"/>
      <c r="I94" t="s">
        <v>424</v>
      </c>
      <c r="J94" s="38">
        <v>3</v>
      </c>
      <c r="K94" s="21">
        <v>1</v>
      </c>
      <c r="L94" s="14"/>
      <c r="M94" s="22"/>
      <c r="N94" s="30"/>
      <c r="O94" s="23"/>
      <c r="P94" s="24"/>
      <c r="Q94" s="25"/>
      <c r="R94" s="26">
        <f>SUM(H88:H130)</f>
        <v>1</v>
      </c>
      <c r="W94" s="42"/>
      <c r="X94" s="42"/>
    </row>
    <row r="95" spans="1:24">
      <c r="A95" s="46">
        <f t="shared" si="1"/>
        <v>3</v>
      </c>
      <c r="B95" s="47">
        <v>8</v>
      </c>
      <c r="C95" s="14">
        <v>7.99</v>
      </c>
      <c r="D95" s="14">
        <f t="shared" si="2"/>
        <v>129</v>
      </c>
      <c r="E95" s="36">
        <f>(C95+0.01)*D95*$X$2/100</f>
        <v>10320000</v>
      </c>
      <c r="F95" s="37">
        <f>SUM(E89:E95)</f>
        <v>17460000</v>
      </c>
      <c r="G95" s="17">
        <f>SUM(C89:C95)</f>
        <v>13.98</v>
      </c>
      <c r="H95" s="18"/>
      <c r="I95" s="14" t="s">
        <v>2</v>
      </c>
      <c r="J95" s="29">
        <v>9</v>
      </c>
      <c r="K95" s="21">
        <f>E95</f>
        <v>10320000</v>
      </c>
      <c r="L95" s="36">
        <f>SUMIF(I95:I100,"="&amp;"金币",K95:K100)</f>
        <v>12328050</v>
      </c>
      <c r="M95" s="22">
        <f>L95/$X$2</f>
        <v>12.32805</v>
      </c>
      <c r="N95" s="37">
        <f>SUM(L89:L95)</f>
        <v>21074490</v>
      </c>
      <c r="O95" s="23">
        <f>SUM(M89:M95)</f>
        <v>21.07449</v>
      </c>
      <c r="P95" s="24">
        <f>N95/F95</f>
        <v>1.20701546391753</v>
      </c>
      <c r="Q95" s="25"/>
      <c r="R95" s="25"/>
      <c r="W95" s="42"/>
      <c r="X95" s="42"/>
    </row>
    <row r="96" spans="1:24">
      <c r="A96" s="46">
        <f t="shared" si="1"/>
        <v>3</v>
      </c>
      <c r="B96" s="47">
        <v>9</v>
      </c>
      <c r="C96" s="14"/>
      <c r="D96" s="14" t="str">
        <f t="shared" si="2"/>
        <v/>
      </c>
      <c r="E96" s="14"/>
      <c r="F96" s="30"/>
      <c r="G96" s="17"/>
      <c r="H96" s="18"/>
      <c r="I96" s="19" t="s">
        <v>408</v>
      </c>
      <c r="J96" s="38">
        <v>3</v>
      </c>
      <c r="K96" s="21">
        <v>2</v>
      </c>
      <c r="L96" s="14"/>
      <c r="M96" s="22"/>
      <c r="N96" s="30"/>
      <c r="O96" s="23"/>
      <c r="P96" s="24"/>
      <c r="Q96" s="25"/>
      <c r="R96" s="25"/>
      <c r="W96" s="42"/>
      <c r="X96" s="42"/>
    </row>
    <row r="97" spans="1:24">
      <c r="A97" s="46">
        <f t="shared" si="1"/>
        <v>3</v>
      </c>
      <c r="B97" s="47">
        <v>10</v>
      </c>
      <c r="C97" s="14"/>
      <c r="D97" s="14" t="str">
        <f t="shared" si="2"/>
        <v/>
      </c>
      <c r="E97" s="14"/>
      <c r="F97" s="30"/>
      <c r="G97" s="17"/>
      <c r="H97" s="18">
        <v>0.1</v>
      </c>
      <c r="I97" s="19" t="s">
        <v>2</v>
      </c>
      <c r="J97" s="38">
        <v>17</v>
      </c>
      <c r="K97" s="21">
        <f>H97*$R$92</f>
        <v>2008050</v>
      </c>
      <c r="L97" s="14"/>
      <c r="M97" s="22"/>
      <c r="N97" s="30"/>
      <c r="O97" s="23"/>
      <c r="P97" s="24"/>
      <c r="Q97" s="25"/>
      <c r="R97" s="25"/>
      <c r="W97" s="42"/>
      <c r="X97" s="42"/>
    </row>
    <row r="98" spans="1:24">
      <c r="A98" s="46">
        <f t="shared" si="1"/>
        <v>3</v>
      </c>
      <c r="B98" s="47">
        <v>11</v>
      </c>
      <c r="C98" s="14"/>
      <c r="D98" s="14" t="str">
        <f t="shared" si="2"/>
        <v/>
      </c>
      <c r="E98" s="14"/>
      <c r="F98" s="30"/>
      <c r="G98" s="17"/>
      <c r="H98" s="18"/>
      <c r="I98" s="19" t="s">
        <v>459</v>
      </c>
      <c r="J98" s="38">
        <v>4</v>
      </c>
      <c r="K98" s="21">
        <v>1</v>
      </c>
      <c r="L98" s="14"/>
      <c r="M98" s="22"/>
      <c r="N98" s="30"/>
      <c r="O98" s="23"/>
      <c r="P98" s="24"/>
      <c r="Q98" s="25"/>
      <c r="R98" s="25"/>
      <c r="W98" s="42"/>
      <c r="X98" s="42"/>
    </row>
    <row r="99" spans="1:24">
      <c r="A99" s="46">
        <f t="shared" si="1"/>
        <v>3</v>
      </c>
      <c r="B99" s="47">
        <v>12</v>
      </c>
      <c r="C99" s="14"/>
      <c r="D99" s="14" t="str">
        <f t="shared" si="2"/>
        <v/>
      </c>
      <c r="E99" s="14"/>
      <c r="F99" s="30"/>
      <c r="G99" s="17"/>
      <c r="H99" s="18"/>
      <c r="I99" s="19" t="s">
        <v>453</v>
      </c>
      <c r="J99" s="38">
        <v>3</v>
      </c>
      <c r="K99" s="21">
        <v>10</v>
      </c>
      <c r="L99" s="14"/>
      <c r="M99" s="22"/>
      <c r="N99" s="30"/>
      <c r="O99" s="23"/>
      <c r="P99" s="24"/>
      <c r="Q99" s="25"/>
      <c r="R99" s="25"/>
      <c r="W99" s="42"/>
      <c r="X99" s="42"/>
    </row>
    <row r="100" spans="1:24">
      <c r="A100" s="46">
        <f t="shared" si="1"/>
        <v>3</v>
      </c>
      <c r="B100" s="47">
        <v>13</v>
      </c>
      <c r="C100" s="14"/>
      <c r="D100" s="14" t="str">
        <f t="shared" si="2"/>
        <v/>
      </c>
      <c r="E100" s="14"/>
      <c r="F100" s="30"/>
      <c r="G100" s="17"/>
      <c r="H100" s="18"/>
      <c r="I100" t="s">
        <v>426</v>
      </c>
      <c r="J100" s="38">
        <v>3</v>
      </c>
      <c r="K100" s="21">
        <v>1</v>
      </c>
      <c r="L100" s="14"/>
      <c r="M100" s="22"/>
      <c r="N100" s="30"/>
      <c r="O100" s="23"/>
      <c r="P100" s="24"/>
      <c r="Q100" s="25"/>
      <c r="R100" s="25"/>
      <c r="W100" s="42"/>
      <c r="X100" s="42"/>
    </row>
    <row r="101" spans="1:24">
      <c r="A101" s="46">
        <f t="shared" si="1"/>
        <v>3</v>
      </c>
      <c r="B101" s="47">
        <v>14</v>
      </c>
      <c r="C101" s="14">
        <v>9.99</v>
      </c>
      <c r="D101" s="14">
        <f t="shared" si="2"/>
        <v>139</v>
      </c>
      <c r="E101" s="36">
        <f>(C101+0.01)*D101*$X$2/100</f>
        <v>13900000</v>
      </c>
      <c r="F101" s="37">
        <f>SUM(E89:E101)</f>
        <v>31360000</v>
      </c>
      <c r="G101" s="17">
        <f>SUM(C89:C101)</f>
        <v>23.97</v>
      </c>
      <c r="H101" s="18"/>
      <c r="I101" s="14" t="s">
        <v>2</v>
      </c>
      <c r="J101" s="29">
        <v>9</v>
      </c>
      <c r="K101" s="21">
        <f>E101</f>
        <v>13900000</v>
      </c>
      <c r="L101" s="36">
        <f>SUMIF(I101:I106,"="&amp;"金币",K101:K106)</f>
        <v>16309660</v>
      </c>
      <c r="M101" s="22">
        <f>L101/$X$2</f>
        <v>16.30966</v>
      </c>
      <c r="N101" s="37">
        <f>SUM(L89:L101)</f>
        <v>37384150</v>
      </c>
      <c r="O101" s="23">
        <f>SUM(M89:M101)</f>
        <v>37.38415</v>
      </c>
      <c r="P101" s="24">
        <f>N101/F101</f>
        <v>1.19209661989796</v>
      </c>
      <c r="Q101" s="25"/>
      <c r="R101" s="25"/>
      <c r="W101" s="42"/>
      <c r="X101" s="42"/>
    </row>
    <row r="102" spans="1:24">
      <c r="A102" s="46">
        <f t="shared" si="1"/>
        <v>3</v>
      </c>
      <c r="B102" s="47">
        <v>15</v>
      </c>
      <c r="C102" s="14"/>
      <c r="D102" s="14" t="str">
        <f t="shared" si="2"/>
        <v/>
      </c>
      <c r="E102" s="14"/>
      <c r="F102" s="30"/>
      <c r="G102" s="17"/>
      <c r="H102" s="18"/>
      <c r="I102" s="19" t="s">
        <v>408</v>
      </c>
      <c r="J102" s="38">
        <v>3</v>
      </c>
      <c r="K102" s="21">
        <v>3</v>
      </c>
      <c r="L102" s="14"/>
      <c r="M102" s="22"/>
      <c r="N102" s="30"/>
      <c r="O102" s="23"/>
      <c r="P102" s="24"/>
      <c r="Q102" s="25"/>
      <c r="R102" s="25"/>
      <c r="W102" s="42"/>
      <c r="X102" s="42"/>
    </row>
    <row r="103" spans="1:24">
      <c r="A103" s="46">
        <f t="shared" si="1"/>
        <v>3</v>
      </c>
      <c r="B103" s="47">
        <v>16</v>
      </c>
      <c r="C103" s="14"/>
      <c r="D103" s="14" t="str">
        <f t="shared" si="2"/>
        <v/>
      </c>
      <c r="E103" s="14"/>
      <c r="F103" s="30"/>
      <c r="G103" s="17"/>
      <c r="H103" s="18">
        <v>0.12</v>
      </c>
      <c r="I103" s="19" t="s">
        <v>2</v>
      </c>
      <c r="J103" s="38">
        <v>17</v>
      </c>
      <c r="K103" s="21">
        <f>H103*$R$92</f>
        <v>2409660</v>
      </c>
      <c r="L103" s="14"/>
      <c r="M103" s="22"/>
      <c r="N103" s="30"/>
      <c r="O103" s="23"/>
      <c r="P103" s="24"/>
      <c r="Q103" s="25"/>
      <c r="R103" s="25"/>
      <c r="W103" s="42"/>
      <c r="X103" s="42"/>
    </row>
    <row r="104" spans="1:24">
      <c r="A104" s="46">
        <f t="shared" si="1"/>
        <v>3</v>
      </c>
      <c r="B104" s="47">
        <v>17</v>
      </c>
      <c r="C104" s="14"/>
      <c r="D104" s="14" t="str">
        <f t="shared" si="2"/>
        <v/>
      </c>
      <c r="E104" s="14"/>
      <c r="F104" s="30"/>
      <c r="G104" s="17"/>
      <c r="H104" s="18"/>
      <c r="I104" s="19" t="s">
        <v>461</v>
      </c>
      <c r="J104" s="38">
        <v>4</v>
      </c>
      <c r="K104" s="21">
        <v>1</v>
      </c>
      <c r="L104" s="14"/>
      <c r="M104" s="22"/>
      <c r="N104" s="30"/>
      <c r="O104" s="23"/>
      <c r="P104" s="24"/>
      <c r="Q104" s="25"/>
      <c r="R104" s="25"/>
      <c r="W104" s="42"/>
      <c r="X104" s="42"/>
    </row>
    <row r="105" spans="1:24">
      <c r="A105" s="46">
        <f t="shared" si="1"/>
        <v>3</v>
      </c>
      <c r="B105" s="47">
        <v>18</v>
      </c>
      <c r="C105" s="14"/>
      <c r="D105" s="14" t="str">
        <f t="shared" si="2"/>
        <v/>
      </c>
      <c r="E105" s="14"/>
      <c r="F105" s="30"/>
      <c r="G105" s="17"/>
      <c r="H105" s="18"/>
      <c r="I105" s="19" t="s">
        <v>453</v>
      </c>
      <c r="J105" s="38">
        <v>3</v>
      </c>
      <c r="K105" s="21">
        <v>15</v>
      </c>
      <c r="L105" s="14"/>
      <c r="M105" s="22"/>
      <c r="N105" s="30"/>
      <c r="O105" s="23"/>
      <c r="P105" s="24"/>
      <c r="Q105" s="25"/>
      <c r="R105" s="25"/>
      <c r="W105" s="42"/>
      <c r="X105" s="42"/>
    </row>
    <row r="106" spans="1:24">
      <c r="A106" s="46">
        <f t="shared" si="1"/>
        <v>3</v>
      </c>
      <c r="B106" s="47">
        <v>19</v>
      </c>
      <c r="C106" s="14"/>
      <c r="D106" s="14" t="str">
        <f t="shared" si="2"/>
        <v/>
      </c>
      <c r="E106" s="14"/>
      <c r="F106" s="30"/>
      <c r="G106" s="17"/>
      <c r="H106" s="18"/>
      <c r="I106" t="s">
        <v>424</v>
      </c>
      <c r="J106" s="38">
        <v>3</v>
      </c>
      <c r="K106" s="21">
        <v>1</v>
      </c>
      <c r="L106" s="14"/>
      <c r="M106" s="22"/>
      <c r="N106" s="30"/>
      <c r="O106" s="23"/>
      <c r="P106" s="24"/>
      <c r="Q106" s="25"/>
      <c r="R106" s="25"/>
      <c r="W106" s="42"/>
      <c r="X106" s="42"/>
    </row>
    <row r="107" spans="1:24">
      <c r="A107" s="46">
        <f t="shared" si="1"/>
        <v>3</v>
      </c>
      <c r="B107" s="47">
        <v>20</v>
      </c>
      <c r="C107" s="14">
        <v>12.99</v>
      </c>
      <c r="D107" s="14">
        <f t="shared" si="2"/>
        <v>149</v>
      </c>
      <c r="E107" s="36">
        <f>(C107+0.01)*D107*$X$2/100</f>
        <v>19370000</v>
      </c>
      <c r="F107" s="37">
        <f>SUM(E89:E107)</f>
        <v>50730000</v>
      </c>
      <c r="G107" s="17">
        <f>SUM(C89:C107)</f>
        <v>36.96</v>
      </c>
      <c r="H107" s="18"/>
      <c r="I107" s="14" t="s">
        <v>2</v>
      </c>
      <c r="J107" s="29">
        <v>9</v>
      </c>
      <c r="K107" s="21">
        <f>E107</f>
        <v>19370000</v>
      </c>
      <c r="L107" s="36">
        <f>SUMIF(I107:I112,"="&amp;"金币",K107:K112)</f>
        <v>22181270</v>
      </c>
      <c r="M107" s="22">
        <f>L107/$X$2</f>
        <v>22.18127</v>
      </c>
      <c r="N107" s="37">
        <f>SUM(L89:L107)</f>
        <v>59565420</v>
      </c>
      <c r="O107" s="23">
        <f>SUM(M89:M107)</f>
        <v>59.56542</v>
      </c>
      <c r="P107" s="24">
        <f>N107/F107</f>
        <v>1.17416558249556</v>
      </c>
      <c r="Q107" s="25"/>
      <c r="R107" s="25"/>
      <c r="W107" s="42"/>
      <c r="X107" s="42"/>
    </row>
    <row r="108" spans="1:24">
      <c r="A108" s="46">
        <f t="shared" si="1"/>
        <v>3</v>
      </c>
      <c r="B108" s="47">
        <v>21</v>
      </c>
      <c r="C108" s="14"/>
      <c r="D108" s="14" t="str">
        <f t="shared" si="2"/>
        <v/>
      </c>
      <c r="E108" s="14"/>
      <c r="F108" s="30"/>
      <c r="G108" s="17"/>
      <c r="H108" s="18"/>
      <c r="I108" s="19" t="s">
        <v>408</v>
      </c>
      <c r="J108" s="38">
        <v>3</v>
      </c>
      <c r="K108" s="21">
        <v>4</v>
      </c>
      <c r="L108" s="14"/>
      <c r="M108" s="22"/>
      <c r="N108" s="30"/>
      <c r="O108" s="23"/>
      <c r="P108" s="24"/>
      <c r="Q108" s="25"/>
      <c r="R108" s="25"/>
      <c r="W108" s="42"/>
      <c r="X108" s="42"/>
    </row>
    <row r="109" spans="1:24">
      <c r="A109" s="46">
        <f t="shared" ref="A109:A172" si="3">A66+1</f>
        <v>3</v>
      </c>
      <c r="B109" s="47">
        <v>22</v>
      </c>
      <c r="C109" s="14"/>
      <c r="D109" s="14" t="str">
        <f t="shared" si="2"/>
        <v/>
      </c>
      <c r="E109" s="14"/>
      <c r="F109" s="30"/>
      <c r="G109" s="17"/>
      <c r="H109" s="18">
        <v>0.14</v>
      </c>
      <c r="I109" s="19" t="s">
        <v>2</v>
      </c>
      <c r="J109" s="38">
        <v>17</v>
      </c>
      <c r="K109" s="21">
        <f>H109*$R$92</f>
        <v>2811270</v>
      </c>
      <c r="L109" s="14"/>
      <c r="M109" s="22"/>
      <c r="N109" s="30"/>
      <c r="O109" s="23"/>
      <c r="P109" s="24"/>
      <c r="Q109" s="25"/>
      <c r="R109" s="25"/>
      <c r="W109" s="42"/>
      <c r="X109" s="42"/>
    </row>
    <row r="110" spans="1:24">
      <c r="A110" s="46">
        <f t="shared" si="3"/>
        <v>3</v>
      </c>
      <c r="B110" s="47">
        <v>23</v>
      </c>
      <c r="C110" s="14"/>
      <c r="D110" s="14" t="str">
        <f t="shared" si="2"/>
        <v/>
      </c>
      <c r="E110" s="14"/>
      <c r="F110" s="30"/>
      <c r="G110" s="17"/>
      <c r="H110" s="18"/>
      <c r="I110" s="19" t="s">
        <v>461</v>
      </c>
      <c r="J110" s="38">
        <v>4</v>
      </c>
      <c r="K110" s="21">
        <v>1</v>
      </c>
      <c r="L110" s="14"/>
      <c r="M110" s="22"/>
      <c r="N110" s="30"/>
      <c r="O110" s="23"/>
      <c r="P110" s="24"/>
      <c r="Q110" s="25"/>
      <c r="R110" s="25"/>
      <c r="W110" s="42"/>
      <c r="X110" s="42"/>
    </row>
    <row r="111" spans="1:24">
      <c r="A111" s="46">
        <f t="shared" si="3"/>
        <v>3</v>
      </c>
      <c r="B111" s="47">
        <v>24</v>
      </c>
      <c r="C111" s="14"/>
      <c r="D111" s="14" t="str">
        <f t="shared" si="2"/>
        <v/>
      </c>
      <c r="E111" s="14"/>
      <c r="F111" s="30"/>
      <c r="G111" s="17"/>
      <c r="H111" s="18"/>
      <c r="I111" s="19" t="s">
        <v>453</v>
      </c>
      <c r="J111" s="38">
        <v>3</v>
      </c>
      <c r="K111" s="21">
        <v>20</v>
      </c>
      <c r="L111" s="14"/>
      <c r="M111" s="22"/>
      <c r="N111" s="30"/>
      <c r="O111" s="23"/>
      <c r="P111" s="24"/>
      <c r="Q111" s="25"/>
      <c r="R111" s="25"/>
      <c r="W111" s="42"/>
      <c r="X111" s="42"/>
    </row>
    <row r="112" spans="1:24">
      <c r="A112" s="46">
        <f t="shared" si="3"/>
        <v>3</v>
      </c>
      <c r="B112" s="47">
        <v>25</v>
      </c>
      <c r="C112" s="14"/>
      <c r="D112" s="14" t="str">
        <f t="shared" si="2"/>
        <v/>
      </c>
      <c r="E112" s="14"/>
      <c r="F112" s="30"/>
      <c r="G112" s="17"/>
      <c r="H112" s="18"/>
      <c r="I112" t="s">
        <v>426</v>
      </c>
      <c r="J112" s="38">
        <v>3</v>
      </c>
      <c r="K112" s="21">
        <v>1</v>
      </c>
      <c r="L112" s="14"/>
      <c r="M112" s="22"/>
      <c r="N112" s="30"/>
      <c r="O112" s="23"/>
      <c r="P112" s="24"/>
      <c r="Q112" s="25"/>
      <c r="R112" s="25"/>
      <c r="W112" s="42"/>
      <c r="X112" s="42"/>
    </row>
    <row r="113" spans="1:24">
      <c r="A113" s="46">
        <f t="shared" si="3"/>
        <v>3</v>
      </c>
      <c r="B113" s="47">
        <v>26</v>
      </c>
      <c r="C113" s="14">
        <v>14.99</v>
      </c>
      <c r="D113" s="14">
        <f t="shared" si="2"/>
        <v>154</v>
      </c>
      <c r="E113" s="36">
        <f>(C113+0.01)*D113*$X$2/100</f>
        <v>23100000</v>
      </c>
      <c r="F113" s="37">
        <f>SUM(E89:E113)</f>
        <v>73830000</v>
      </c>
      <c r="G113" s="17">
        <f>SUM(C89:C113)</f>
        <v>51.95</v>
      </c>
      <c r="H113" s="18"/>
      <c r="I113" s="14" t="s">
        <v>2</v>
      </c>
      <c r="J113" s="29">
        <v>9</v>
      </c>
      <c r="K113" s="21">
        <f>E113</f>
        <v>23100000</v>
      </c>
      <c r="L113" s="36">
        <f>SUMIF(I113:I118,"="&amp;"金币",K113:K118)</f>
        <v>26312880</v>
      </c>
      <c r="M113" s="22">
        <f>L113/$X$2</f>
        <v>26.31288</v>
      </c>
      <c r="N113" s="37">
        <f>SUM(L89:L113)</f>
        <v>85878300</v>
      </c>
      <c r="O113" s="23">
        <f>SUM(M89:M113)</f>
        <v>85.8783</v>
      </c>
      <c r="P113" s="24">
        <f>N113/F113</f>
        <v>1.16318976026006</v>
      </c>
      <c r="Q113" s="25"/>
      <c r="R113" s="25"/>
      <c r="W113" s="42"/>
      <c r="X113" s="42"/>
    </row>
    <row r="114" spans="1:24">
      <c r="A114" s="46">
        <f t="shared" si="3"/>
        <v>3</v>
      </c>
      <c r="B114" s="47">
        <v>27</v>
      </c>
      <c r="C114" s="14"/>
      <c r="D114" s="14" t="str">
        <f t="shared" si="2"/>
        <v/>
      </c>
      <c r="E114" s="14"/>
      <c r="F114" s="30"/>
      <c r="G114" s="17"/>
      <c r="H114" s="18"/>
      <c r="I114" s="19" t="s">
        <v>408</v>
      </c>
      <c r="J114" s="38">
        <v>3</v>
      </c>
      <c r="K114" s="21">
        <v>5</v>
      </c>
      <c r="L114" s="14"/>
      <c r="M114" s="22"/>
      <c r="N114" s="30"/>
      <c r="O114" s="23"/>
      <c r="P114" s="24"/>
      <c r="Q114" s="25"/>
      <c r="R114" s="25"/>
      <c r="W114" s="42"/>
      <c r="X114" s="42"/>
    </row>
    <row r="115" spans="1:24">
      <c r="A115" s="46">
        <f t="shared" si="3"/>
        <v>3</v>
      </c>
      <c r="B115" s="47">
        <v>28</v>
      </c>
      <c r="C115" s="14"/>
      <c r="D115" s="14" t="str">
        <f t="shared" si="2"/>
        <v/>
      </c>
      <c r="E115" s="14"/>
      <c r="F115" s="30"/>
      <c r="G115" s="17"/>
      <c r="H115" s="18">
        <v>0.16</v>
      </c>
      <c r="I115" s="19" t="s">
        <v>2</v>
      </c>
      <c r="J115" s="38">
        <v>17</v>
      </c>
      <c r="K115" s="21">
        <f>H115*$R$92</f>
        <v>3212880</v>
      </c>
      <c r="L115" s="14"/>
      <c r="M115" s="22"/>
      <c r="N115" s="30"/>
      <c r="O115" s="23"/>
      <c r="P115" s="24"/>
      <c r="Q115" s="25"/>
      <c r="R115" s="25"/>
      <c r="W115" s="42"/>
      <c r="X115" s="42"/>
    </row>
    <row r="116" spans="1:24">
      <c r="A116" s="46">
        <f t="shared" si="3"/>
        <v>3</v>
      </c>
      <c r="B116" s="47">
        <v>29</v>
      </c>
      <c r="C116" s="14"/>
      <c r="D116" s="14" t="str">
        <f t="shared" si="2"/>
        <v/>
      </c>
      <c r="E116" s="14"/>
      <c r="F116" s="30"/>
      <c r="G116" s="17"/>
      <c r="H116" s="18"/>
      <c r="I116" s="19" t="s">
        <v>463</v>
      </c>
      <c r="J116" s="38">
        <v>4</v>
      </c>
      <c r="K116" s="21">
        <v>1</v>
      </c>
      <c r="L116" s="14"/>
      <c r="M116" s="22"/>
      <c r="N116" s="30"/>
      <c r="O116" s="23"/>
      <c r="P116" s="24"/>
      <c r="Q116" s="25"/>
      <c r="R116" s="25"/>
      <c r="W116" s="42"/>
      <c r="X116" s="42"/>
    </row>
    <row r="117" spans="1:24">
      <c r="A117" s="46">
        <f t="shared" si="3"/>
        <v>3</v>
      </c>
      <c r="B117" s="47">
        <v>30</v>
      </c>
      <c r="C117" s="14"/>
      <c r="D117" s="14" t="str">
        <f t="shared" si="2"/>
        <v/>
      </c>
      <c r="E117" s="14"/>
      <c r="F117" s="30"/>
      <c r="G117" s="17"/>
      <c r="H117" s="18"/>
      <c r="I117" s="19" t="s">
        <v>453</v>
      </c>
      <c r="J117" s="38">
        <v>3</v>
      </c>
      <c r="K117" s="21">
        <v>25</v>
      </c>
      <c r="L117" s="14"/>
      <c r="M117" s="22"/>
      <c r="N117" s="30"/>
      <c r="O117" s="23"/>
      <c r="P117" s="24"/>
      <c r="Q117" s="25"/>
      <c r="R117" s="25"/>
      <c r="W117" s="42"/>
      <c r="X117" s="42"/>
    </row>
    <row r="118" spans="1:24">
      <c r="A118" s="46">
        <f t="shared" si="3"/>
        <v>3</v>
      </c>
      <c r="B118" s="47">
        <v>31</v>
      </c>
      <c r="C118" s="14"/>
      <c r="D118" s="14" t="str">
        <f t="shared" si="2"/>
        <v/>
      </c>
      <c r="E118" s="14"/>
      <c r="F118" s="30"/>
      <c r="G118" s="17"/>
      <c r="H118" s="18"/>
      <c r="I118" t="s">
        <v>424</v>
      </c>
      <c r="J118" s="38">
        <v>3</v>
      </c>
      <c r="K118" s="21">
        <v>1</v>
      </c>
      <c r="L118" s="14"/>
      <c r="M118" s="22"/>
      <c r="N118" s="30"/>
      <c r="O118" s="23"/>
      <c r="P118" s="24"/>
      <c r="Q118" s="25"/>
      <c r="R118" s="25"/>
      <c r="W118" s="42"/>
      <c r="X118" s="42"/>
    </row>
    <row r="119" spans="1:24">
      <c r="A119" s="46">
        <f t="shared" si="3"/>
        <v>3</v>
      </c>
      <c r="B119" s="47">
        <v>32</v>
      </c>
      <c r="C119" s="14">
        <v>17.99</v>
      </c>
      <c r="D119" s="14">
        <f t="shared" si="2"/>
        <v>158</v>
      </c>
      <c r="E119" s="36">
        <f>(C119+0.01)*D119*$X$2/100</f>
        <v>28440000</v>
      </c>
      <c r="F119" s="37">
        <f>SUM(E89:E119)</f>
        <v>102270000</v>
      </c>
      <c r="G119" s="17">
        <f>SUM(C89:C119)</f>
        <v>69.94</v>
      </c>
      <c r="H119" s="18"/>
      <c r="I119" s="14" t="s">
        <v>2</v>
      </c>
      <c r="J119" s="29">
        <v>9</v>
      </c>
      <c r="K119" s="21">
        <f>E119</f>
        <v>28440000</v>
      </c>
      <c r="L119" s="36">
        <f>SUMIF(I119:I124,"="&amp;"金币",K119:K124)</f>
        <v>32054490</v>
      </c>
      <c r="M119" s="22">
        <f>L119/$X$2</f>
        <v>32.05449</v>
      </c>
      <c r="N119" s="37">
        <f>SUM(L89:L119)</f>
        <v>117932790</v>
      </c>
      <c r="O119" s="23">
        <f>SUM(M89:M119)</f>
        <v>117.93279</v>
      </c>
      <c r="P119" s="24">
        <f>N119/F119</f>
        <v>1.15315136403637</v>
      </c>
      <c r="Q119" s="25"/>
      <c r="R119" s="25"/>
      <c r="W119" s="42"/>
      <c r="X119" s="42"/>
    </row>
    <row r="120" spans="1:24">
      <c r="A120" s="46">
        <f t="shared" si="3"/>
        <v>3</v>
      </c>
      <c r="B120" s="47">
        <v>33</v>
      </c>
      <c r="C120" s="14"/>
      <c r="D120" s="14" t="str">
        <f t="shared" si="2"/>
        <v/>
      </c>
      <c r="E120" s="14"/>
      <c r="F120" s="30"/>
      <c r="G120" s="17"/>
      <c r="H120" s="18"/>
      <c r="I120" s="19" t="s">
        <v>408</v>
      </c>
      <c r="J120" s="38">
        <v>3</v>
      </c>
      <c r="K120" s="21">
        <v>6</v>
      </c>
      <c r="L120" s="14"/>
      <c r="M120" s="22"/>
      <c r="N120" s="30"/>
      <c r="O120" s="23"/>
      <c r="P120" s="24"/>
      <c r="Q120" s="25"/>
      <c r="R120" s="25"/>
      <c r="W120" s="42"/>
      <c r="X120" s="42"/>
    </row>
    <row r="121" spans="1:24">
      <c r="A121" s="46">
        <f t="shared" si="3"/>
        <v>3</v>
      </c>
      <c r="B121" s="47">
        <v>34</v>
      </c>
      <c r="C121" s="14"/>
      <c r="D121" s="14" t="str">
        <f t="shared" si="2"/>
        <v/>
      </c>
      <c r="E121" s="14"/>
      <c r="F121" s="30"/>
      <c r="G121" s="17"/>
      <c r="H121" s="18">
        <v>0.18</v>
      </c>
      <c r="I121" s="19" t="s">
        <v>2</v>
      </c>
      <c r="J121" s="38">
        <v>17</v>
      </c>
      <c r="K121" s="21">
        <f>H121*$R$92</f>
        <v>3614490</v>
      </c>
      <c r="L121" s="14"/>
      <c r="M121" s="22"/>
      <c r="N121" s="30"/>
      <c r="O121" s="23"/>
      <c r="P121" s="24"/>
      <c r="Q121" s="25"/>
      <c r="R121" s="25"/>
      <c r="W121" s="42"/>
      <c r="X121" s="42"/>
    </row>
    <row r="122" spans="1:24">
      <c r="A122" s="46">
        <f t="shared" si="3"/>
        <v>3</v>
      </c>
      <c r="B122" s="47">
        <v>35</v>
      </c>
      <c r="C122" s="14"/>
      <c r="D122" s="14" t="str">
        <f t="shared" si="2"/>
        <v/>
      </c>
      <c r="E122" s="14"/>
      <c r="F122" s="30"/>
      <c r="G122" s="17"/>
      <c r="H122" s="18"/>
      <c r="I122" s="19" t="s">
        <v>463</v>
      </c>
      <c r="J122" s="38">
        <v>4</v>
      </c>
      <c r="K122" s="21">
        <v>1</v>
      </c>
      <c r="L122" s="14"/>
      <c r="M122" s="22"/>
      <c r="N122" s="30"/>
      <c r="O122" s="23"/>
      <c r="P122" s="24"/>
      <c r="Q122" s="25"/>
      <c r="R122" s="25"/>
      <c r="W122" s="42"/>
      <c r="X122" s="42"/>
    </row>
    <row r="123" spans="1:24">
      <c r="A123" s="46">
        <f t="shared" si="3"/>
        <v>3</v>
      </c>
      <c r="B123" s="47">
        <v>36</v>
      </c>
      <c r="C123" s="14"/>
      <c r="D123" s="14" t="str">
        <f t="shared" si="2"/>
        <v/>
      </c>
      <c r="E123" s="14"/>
      <c r="F123" s="30"/>
      <c r="G123" s="17"/>
      <c r="H123" s="18"/>
      <c r="I123" s="19" t="s">
        <v>453</v>
      </c>
      <c r="J123" s="38">
        <v>3</v>
      </c>
      <c r="K123" s="21">
        <v>30</v>
      </c>
      <c r="L123" s="14"/>
      <c r="M123" s="22"/>
      <c r="N123" s="30"/>
      <c r="O123" s="23"/>
      <c r="P123" s="24"/>
      <c r="Q123" s="25"/>
      <c r="R123" s="25"/>
      <c r="W123" s="42"/>
      <c r="X123" s="42"/>
    </row>
    <row r="124" spans="1:24">
      <c r="A124" s="46">
        <f t="shared" si="3"/>
        <v>3</v>
      </c>
      <c r="B124" s="47">
        <v>37</v>
      </c>
      <c r="C124" s="14"/>
      <c r="D124" s="14" t="str">
        <f t="shared" si="2"/>
        <v/>
      </c>
      <c r="E124" s="14"/>
      <c r="F124" s="30"/>
      <c r="G124" s="17"/>
      <c r="H124" s="18"/>
      <c r="I124" t="s">
        <v>426</v>
      </c>
      <c r="J124" s="38">
        <v>3</v>
      </c>
      <c r="K124" s="21">
        <v>1</v>
      </c>
      <c r="L124" s="14"/>
      <c r="M124" s="22"/>
      <c r="N124" s="30"/>
      <c r="O124" s="23"/>
      <c r="P124" s="24"/>
      <c r="Q124" s="25"/>
      <c r="R124" s="25"/>
      <c r="W124" s="42"/>
      <c r="X124" s="42"/>
    </row>
    <row r="125" spans="1:24">
      <c r="A125" s="46">
        <f t="shared" si="3"/>
        <v>3</v>
      </c>
      <c r="B125" s="47">
        <v>38</v>
      </c>
      <c r="C125" s="14">
        <v>19.99</v>
      </c>
      <c r="D125" s="14">
        <f t="shared" si="2"/>
        <v>158</v>
      </c>
      <c r="E125" s="36">
        <f>(C125+0.01)*D125*$X$2/100</f>
        <v>31600000</v>
      </c>
      <c r="F125" s="37">
        <f>SUM(E89:E125)</f>
        <v>133870000</v>
      </c>
      <c r="G125" s="17">
        <f>SUM(C89:C125)</f>
        <v>89.93</v>
      </c>
      <c r="H125" s="18"/>
      <c r="I125" s="14" t="s">
        <v>2</v>
      </c>
      <c r="J125" s="29">
        <v>9</v>
      </c>
      <c r="K125" s="21">
        <f>E125</f>
        <v>31600000</v>
      </c>
      <c r="L125" s="36">
        <f>SUMIF(I125:I130,"="&amp;"金币",K125:K130)</f>
        <v>36017710</v>
      </c>
      <c r="M125" s="22">
        <f>L125/$X$2</f>
        <v>36.01771</v>
      </c>
      <c r="N125" s="37">
        <f>SUM(L89:L125)</f>
        <v>153950500</v>
      </c>
      <c r="O125" s="23">
        <f>SUM(M89:M125)</f>
        <v>153.9505</v>
      </c>
      <c r="P125" s="24">
        <f>N125/F125</f>
        <v>1.15</v>
      </c>
      <c r="Q125" s="25"/>
      <c r="R125" s="25"/>
      <c r="W125" s="42"/>
      <c r="X125" s="42"/>
    </row>
    <row r="126" spans="1:24">
      <c r="A126" s="46">
        <f t="shared" si="3"/>
        <v>3</v>
      </c>
      <c r="B126" s="47">
        <v>39</v>
      </c>
      <c r="C126" s="14"/>
      <c r="D126" s="14" t="str">
        <f t="shared" si="2"/>
        <v/>
      </c>
      <c r="E126" s="14"/>
      <c r="F126" s="30"/>
      <c r="G126" s="17"/>
      <c r="H126" s="18"/>
      <c r="I126" s="19" t="s">
        <v>408</v>
      </c>
      <c r="J126" s="38">
        <v>3</v>
      </c>
      <c r="K126" s="21">
        <v>7</v>
      </c>
      <c r="L126" s="14"/>
      <c r="M126" s="22"/>
      <c r="N126" s="30"/>
      <c r="O126" s="23"/>
      <c r="P126" s="24"/>
      <c r="Q126" s="25"/>
      <c r="R126" s="25"/>
      <c r="W126" s="42"/>
      <c r="X126" s="42"/>
    </row>
    <row r="127" spans="1:24">
      <c r="A127" s="46">
        <f t="shared" si="3"/>
        <v>3</v>
      </c>
      <c r="B127" s="47">
        <v>40</v>
      </c>
      <c r="C127" s="14"/>
      <c r="D127" s="14" t="str">
        <f t="shared" si="2"/>
        <v/>
      </c>
      <c r="E127" s="14"/>
      <c r="F127" s="30"/>
      <c r="G127" s="17"/>
      <c r="H127" s="18">
        <v>0.22</v>
      </c>
      <c r="I127" s="19" t="s">
        <v>2</v>
      </c>
      <c r="J127" s="38">
        <v>17</v>
      </c>
      <c r="K127" s="21">
        <f>H127*$R$92</f>
        <v>4417710</v>
      </c>
      <c r="L127" s="14"/>
      <c r="M127" s="22"/>
      <c r="N127" s="30"/>
      <c r="O127" s="23"/>
      <c r="P127" s="24"/>
      <c r="Q127" s="25"/>
      <c r="R127" s="25"/>
      <c r="W127" s="42"/>
      <c r="X127" s="42"/>
    </row>
    <row r="128" spans="1:24">
      <c r="A128" s="46">
        <f t="shared" si="3"/>
        <v>3</v>
      </c>
      <c r="B128" s="47">
        <v>41</v>
      </c>
      <c r="C128" s="14"/>
      <c r="D128" s="14" t="str">
        <f t="shared" si="2"/>
        <v/>
      </c>
      <c r="E128" s="14"/>
      <c r="F128" s="30"/>
      <c r="G128" s="17"/>
      <c r="H128" s="18"/>
      <c r="I128" s="19" t="s">
        <v>473</v>
      </c>
      <c r="J128" s="38">
        <v>4</v>
      </c>
      <c r="K128" s="21">
        <v>1</v>
      </c>
      <c r="L128" s="14"/>
      <c r="M128" s="22"/>
      <c r="N128" s="30"/>
      <c r="O128" s="23"/>
      <c r="P128" s="24"/>
      <c r="Q128" s="25"/>
      <c r="R128" s="25"/>
      <c r="W128" s="42"/>
      <c r="X128" s="42"/>
    </row>
    <row r="129" spans="1:24">
      <c r="A129" s="46">
        <f t="shared" si="3"/>
        <v>3</v>
      </c>
      <c r="B129" s="47">
        <v>42</v>
      </c>
      <c r="C129" s="14"/>
      <c r="D129" s="14" t="str">
        <f t="shared" si="2"/>
        <v/>
      </c>
      <c r="E129" s="14"/>
      <c r="F129" s="30"/>
      <c r="G129" s="17"/>
      <c r="H129" s="18"/>
      <c r="I129" s="19" t="s">
        <v>453</v>
      </c>
      <c r="J129" s="38">
        <v>3</v>
      </c>
      <c r="K129" s="21">
        <v>35</v>
      </c>
      <c r="L129" s="14"/>
      <c r="M129" s="22"/>
      <c r="N129" s="30"/>
      <c r="O129" s="23"/>
      <c r="P129" s="24"/>
      <c r="Q129" s="25"/>
      <c r="R129" s="25"/>
      <c r="W129" s="42"/>
      <c r="X129" s="42"/>
    </row>
    <row r="130" spans="1:24">
      <c r="A130" s="46">
        <f t="shared" si="3"/>
        <v>3</v>
      </c>
      <c r="B130" s="47">
        <v>43</v>
      </c>
      <c r="C130" s="14"/>
      <c r="D130" s="14" t="str">
        <f t="shared" si="2"/>
        <v/>
      </c>
      <c r="E130" s="14"/>
      <c r="F130" s="30"/>
      <c r="G130" s="17"/>
      <c r="H130" s="18"/>
      <c r="I130" t="s">
        <v>424</v>
      </c>
      <c r="J130" s="38">
        <v>3</v>
      </c>
      <c r="K130" s="21">
        <v>1</v>
      </c>
      <c r="L130" s="14"/>
      <c r="M130" s="22"/>
      <c r="N130" s="30"/>
      <c r="O130" s="23"/>
      <c r="P130" s="24"/>
      <c r="Q130" s="25"/>
      <c r="R130" s="25"/>
      <c r="W130" s="42"/>
      <c r="X130" s="42"/>
    </row>
    <row r="131" spans="1:24">
      <c r="A131" s="46">
        <f t="shared" si="3"/>
        <v>4</v>
      </c>
      <c r="B131" s="47">
        <v>1</v>
      </c>
      <c r="C131" s="14"/>
      <c r="D131" s="14" t="str">
        <f t="shared" ref="D131:D194" si="4">IFERROR(VLOOKUP(ROUND(C131*100,0),T:U,2,FALSE),"")</f>
        <v/>
      </c>
      <c r="E131" s="14"/>
      <c r="F131" s="30"/>
      <c r="G131" s="17"/>
      <c r="H131" s="18"/>
      <c r="I131" s="14" t="s">
        <v>2</v>
      </c>
      <c r="J131" s="29">
        <v>1</v>
      </c>
      <c r="K131" s="21">
        <v>5000</v>
      </c>
      <c r="L131" s="14"/>
      <c r="M131" s="22"/>
      <c r="N131" s="30"/>
      <c r="O131" s="23"/>
      <c r="P131" s="24"/>
      <c r="Q131" s="25"/>
      <c r="R131" s="31">
        <f>SUM(C131:C173)</f>
        <v>89.93</v>
      </c>
      <c r="W131" s="42"/>
      <c r="X131" s="42"/>
    </row>
    <row r="132" spans="1:24">
      <c r="A132" s="46">
        <f t="shared" si="3"/>
        <v>4</v>
      </c>
      <c r="B132" s="47">
        <v>2</v>
      </c>
      <c r="C132" s="35">
        <v>5.99</v>
      </c>
      <c r="D132" s="14">
        <f t="shared" si="4"/>
        <v>119</v>
      </c>
      <c r="E132" s="36">
        <f>(C132+0.01)*D132*$X$2/100</f>
        <v>7140000</v>
      </c>
      <c r="F132" s="37">
        <f>SUM(E132)</f>
        <v>7140000</v>
      </c>
      <c r="G132" s="17">
        <f>SUM(C132)</f>
        <v>5.99</v>
      </c>
      <c r="H132" s="18"/>
      <c r="I132" s="14" t="s">
        <v>2</v>
      </c>
      <c r="J132" s="29">
        <v>9</v>
      </c>
      <c r="K132" s="21">
        <f>E132</f>
        <v>7140000</v>
      </c>
      <c r="L132" s="36">
        <f>SUMIF(I132:I137,"="&amp;"金币",K132:K137)</f>
        <v>8746440</v>
      </c>
      <c r="M132" s="22">
        <f>L132/$X$2</f>
        <v>8.74644</v>
      </c>
      <c r="N132" s="37">
        <f>SUM(L132)</f>
        <v>8746440</v>
      </c>
      <c r="O132" s="23">
        <f>SUM(M132)</f>
        <v>8.74644</v>
      </c>
      <c r="P132" s="24">
        <f>N132/F132</f>
        <v>1.22499159663866</v>
      </c>
      <c r="Q132" s="25"/>
      <c r="R132" s="26" t="s">
        <v>556</v>
      </c>
      <c r="W132" s="42"/>
      <c r="X132" s="42"/>
    </row>
    <row r="133" spans="1:24">
      <c r="A133" s="46">
        <f t="shared" si="3"/>
        <v>4</v>
      </c>
      <c r="B133" s="47">
        <v>3</v>
      </c>
      <c r="C133" s="14"/>
      <c r="D133" s="14" t="str">
        <f t="shared" si="4"/>
        <v/>
      </c>
      <c r="E133" s="14"/>
      <c r="F133" s="30"/>
      <c r="G133" s="17"/>
      <c r="H133" s="18"/>
      <c r="I133" s="19" t="s">
        <v>408</v>
      </c>
      <c r="J133" s="38">
        <v>3</v>
      </c>
      <c r="K133" s="21">
        <v>1</v>
      </c>
      <c r="L133" s="14"/>
      <c r="M133" s="22"/>
      <c r="N133" s="30"/>
      <c r="O133" s="23"/>
      <c r="P133" s="24"/>
      <c r="Q133" s="25"/>
      <c r="R133" s="39">
        <v>1.15</v>
      </c>
      <c r="W133" s="42"/>
      <c r="X133" s="42"/>
    </row>
    <row r="134" spans="1:24">
      <c r="A134" s="46">
        <f t="shared" si="3"/>
        <v>4</v>
      </c>
      <c r="B134" s="47">
        <v>4</v>
      </c>
      <c r="C134" s="14"/>
      <c r="D134" s="14" t="str">
        <f t="shared" si="4"/>
        <v/>
      </c>
      <c r="E134" s="14"/>
      <c r="F134" s="30"/>
      <c r="G134" s="17"/>
      <c r="H134" s="18">
        <v>0.08</v>
      </c>
      <c r="I134" s="19" t="s">
        <v>2</v>
      </c>
      <c r="J134" s="38">
        <v>17</v>
      </c>
      <c r="K134" s="21">
        <f>H134*$R$135</f>
        <v>1606440</v>
      </c>
      <c r="L134" s="14"/>
      <c r="M134" s="22"/>
      <c r="N134" s="30"/>
      <c r="O134" s="23"/>
      <c r="P134" s="24"/>
      <c r="Q134" s="25"/>
      <c r="R134" s="26" t="s">
        <v>557</v>
      </c>
      <c r="W134" s="42"/>
      <c r="X134" s="42"/>
    </row>
    <row r="135" spans="1:24">
      <c r="A135" s="46">
        <f t="shared" si="3"/>
        <v>4</v>
      </c>
      <c r="B135" s="47">
        <v>5</v>
      </c>
      <c r="C135" s="14"/>
      <c r="D135" s="14" t="str">
        <f t="shared" si="4"/>
        <v/>
      </c>
      <c r="E135" s="14"/>
      <c r="F135" s="30"/>
      <c r="G135" s="17"/>
      <c r="H135" s="18"/>
      <c r="I135" s="19" t="s">
        <v>457</v>
      </c>
      <c r="J135" s="38">
        <v>4</v>
      </c>
      <c r="K135" s="21">
        <v>1</v>
      </c>
      <c r="L135" s="14"/>
      <c r="M135" s="22"/>
      <c r="N135" s="30"/>
      <c r="O135" s="23"/>
      <c r="P135" s="24"/>
      <c r="Q135" s="25"/>
      <c r="R135" s="40">
        <f>SUM(E131:E173)*(R133-1)</f>
        <v>20080500</v>
      </c>
      <c r="W135" s="42"/>
      <c r="X135" s="42"/>
    </row>
    <row r="136" spans="1:24">
      <c r="A136" s="46">
        <f t="shared" si="3"/>
        <v>4</v>
      </c>
      <c r="B136" s="47">
        <v>6</v>
      </c>
      <c r="C136" s="14"/>
      <c r="D136" s="14" t="str">
        <f t="shared" si="4"/>
        <v/>
      </c>
      <c r="E136" s="14"/>
      <c r="F136" s="30"/>
      <c r="G136" s="17"/>
      <c r="H136" s="18"/>
      <c r="I136" s="19" t="s">
        <v>453</v>
      </c>
      <c r="J136" s="38">
        <v>3</v>
      </c>
      <c r="K136" s="21">
        <v>5</v>
      </c>
      <c r="L136" s="14"/>
      <c r="M136" s="22"/>
      <c r="N136" s="30"/>
      <c r="O136" s="23"/>
      <c r="P136" s="24"/>
      <c r="Q136" s="25"/>
      <c r="R136" s="26" t="s">
        <v>558</v>
      </c>
      <c r="W136" s="42"/>
      <c r="X136" s="42"/>
    </row>
    <row r="137" spans="1:24">
      <c r="A137" s="46">
        <f t="shared" si="3"/>
        <v>4</v>
      </c>
      <c r="B137" s="47">
        <v>7</v>
      </c>
      <c r="C137" s="14"/>
      <c r="D137" s="14" t="str">
        <f t="shared" si="4"/>
        <v/>
      </c>
      <c r="E137" s="14"/>
      <c r="F137" s="30"/>
      <c r="G137" s="17"/>
      <c r="H137" s="18"/>
      <c r="I137" t="s">
        <v>424</v>
      </c>
      <c r="J137" s="38">
        <v>3</v>
      </c>
      <c r="K137" s="21">
        <v>1</v>
      </c>
      <c r="L137" s="14"/>
      <c r="M137" s="22"/>
      <c r="N137" s="30"/>
      <c r="O137" s="23"/>
      <c r="P137" s="24"/>
      <c r="Q137" s="25"/>
      <c r="R137" s="26">
        <f>SUM(H131:H173)</f>
        <v>1</v>
      </c>
      <c r="W137" s="42"/>
      <c r="X137" s="42"/>
    </row>
    <row r="138" spans="1:24">
      <c r="A138" s="46">
        <f t="shared" si="3"/>
        <v>4</v>
      </c>
      <c r="B138" s="47">
        <v>8</v>
      </c>
      <c r="C138" s="14">
        <v>7.99</v>
      </c>
      <c r="D138" s="14">
        <f t="shared" si="4"/>
        <v>129</v>
      </c>
      <c r="E138" s="36">
        <f>(C138+0.01)*D138*$X$2/100</f>
        <v>10320000</v>
      </c>
      <c r="F138" s="37">
        <f>SUM(E132:E138)</f>
        <v>17460000</v>
      </c>
      <c r="G138" s="17">
        <f>SUM(C132:C138)</f>
        <v>13.98</v>
      </c>
      <c r="H138" s="18"/>
      <c r="I138" s="14" t="s">
        <v>2</v>
      </c>
      <c r="J138" s="29">
        <v>9</v>
      </c>
      <c r="K138" s="21">
        <f>E138</f>
        <v>10320000</v>
      </c>
      <c r="L138" s="36">
        <f>SUMIF(I138:I143,"="&amp;"金币",K138:K143)</f>
        <v>12328050</v>
      </c>
      <c r="M138" s="22">
        <f>L138/$X$2</f>
        <v>12.32805</v>
      </c>
      <c r="N138" s="37">
        <f>SUM(L132:L138)</f>
        <v>21074490</v>
      </c>
      <c r="O138" s="23">
        <f>SUM(M132:M138)</f>
        <v>21.07449</v>
      </c>
      <c r="P138" s="24">
        <f>N138/F138</f>
        <v>1.20701546391753</v>
      </c>
      <c r="Q138" s="25"/>
      <c r="R138" s="25"/>
      <c r="W138" s="42"/>
      <c r="X138" s="42"/>
    </row>
    <row r="139" spans="1:24">
      <c r="A139" s="46">
        <f t="shared" si="3"/>
        <v>4</v>
      </c>
      <c r="B139" s="47">
        <v>9</v>
      </c>
      <c r="C139" s="14"/>
      <c r="D139" s="14" t="str">
        <f t="shared" si="4"/>
        <v/>
      </c>
      <c r="E139" s="14"/>
      <c r="F139" s="30"/>
      <c r="G139" s="17"/>
      <c r="H139" s="18"/>
      <c r="I139" s="19" t="s">
        <v>408</v>
      </c>
      <c r="J139" s="38">
        <v>3</v>
      </c>
      <c r="K139" s="21">
        <v>2</v>
      </c>
      <c r="L139" s="14"/>
      <c r="M139" s="22"/>
      <c r="N139" s="30"/>
      <c r="O139" s="23"/>
      <c r="P139" s="24"/>
      <c r="Q139" s="25"/>
      <c r="R139" s="25"/>
      <c r="W139" s="42"/>
      <c r="X139" s="42"/>
    </row>
    <row r="140" spans="1:24">
      <c r="A140" s="46">
        <f t="shared" si="3"/>
        <v>4</v>
      </c>
      <c r="B140" s="47">
        <v>10</v>
      </c>
      <c r="C140" s="14"/>
      <c r="D140" s="14" t="str">
        <f t="shared" si="4"/>
        <v/>
      </c>
      <c r="E140" s="14"/>
      <c r="F140" s="30"/>
      <c r="G140" s="17"/>
      <c r="H140" s="18">
        <v>0.1</v>
      </c>
      <c r="I140" s="19" t="s">
        <v>2</v>
      </c>
      <c r="J140" s="38">
        <v>17</v>
      </c>
      <c r="K140" s="21">
        <f>H140*$R$135</f>
        <v>2008050</v>
      </c>
      <c r="L140" s="14"/>
      <c r="M140" s="22"/>
      <c r="N140" s="30"/>
      <c r="O140" s="23"/>
      <c r="P140" s="24"/>
      <c r="Q140" s="25"/>
      <c r="R140" s="25"/>
      <c r="W140" s="42"/>
      <c r="X140" s="42"/>
    </row>
    <row r="141" spans="1:24">
      <c r="A141" s="46">
        <f t="shared" si="3"/>
        <v>4</v>
      </c>
      <c r="B141" s="47">
        <v>11</v>
      </c>
      <c r="C141" s="14"/>
      <c r="D141" s="14" t="str">
        <f t="shared" si="4"/>
        <v/>
      </c>
      <c r="E141" s="14"/>
      <c r="F141" s="30"/>
      <c r="G141" s="17"/>
      <c r="H141" s="18"/>
      <c r="I141" s="19" t="s">
        <v>459</v>
      </c>
      <c r="J141" s="38">
        <v>4</v>
      </c>
      <c r="K141" s="21">
        <v>1</v>
      </c>
      <c r="L141" s="14"/>
      <c r="M141" s="22"/>
      <c r="N141" s="30"/>
      <c r="O141" s="23"/>
      <c r="P141" s="24"/>
      <c r="Q141" s="25"/>
      <c r="R141" s="25"/>
      <c r="W141" s="42"/>
      <c r="X141" s="42"/>
    </row>
    <row r="142" spans="1:24">
      <c r="A142" s="46">
        <f t="shared" si="3"/>
        <v>4</v>
      </c>
      <c r="B142" s="47">
        <v>12</v>
      </c>
      <c r="C142" s="14"/>
      <c r="D142" s="14" t="str">
        <f t="shared" si="4"/>
        <v/>
      </c>
      <c r="E142" s="14"/>
      <c r="F142" s="30"/>
      <c r="G142" s="17"/>
      <c r="H142" s="18"/>
      <c r="I142" s="19" t="s">
        <v>453</v>
      </c>
      <c r="J142" s="38">
        <v>3</v>
      </c>
      <c r="K142" s="21">
        <v>10</v>
      </c>
      <c r="L142" s="14"/>
      <c r="M142" s="22"/>
      <c r="N142" s="30"/>
      <c r="O142" s="23"/>
      <c r="P142" s="24"/>
      <c r="Q142" s="25"/>
      <c r="R142" s="25"/>
      <c r="W142" s="42"/>
      <c r="X142" s="42"/>
    </row>
    <row r="143" spans="1:24">
      <c r="A143" s="46">
        <f t="shared" si="3"/>
        <v>4</v>
      </c>
      <c r="B143" s="47">
        <v>13</v>
      </c>
      <c r="C143" s="14"/>
      <c r="D143" s="14" t="str">
        <f t="shared" si="4"/>
        <v/>
      </c>
      <c r="E143" s="14"/>
      <c r="F143" s="30"/>
      <c r="G143" s="17"/>
      <c r="H143" s="18"/>
      <c r="I143" t="s">
        <v>426</v>
      </c>
      <c r="J143" s="38">
        <v>3</v>
      </c>
      <c r="K143" s="21">
        <v>1</v>
      </c>
      <c r="L143" s="14"/>
      <c r="M143" s="22"/>
      <c r="N143" s="30"/>
      <c r="O143" s="23"/>
      <c r="P143" s="24"/>
      <c r="Q143" s="25"/>
      <c r="R143" s="25"/>
      <c r="W143" s="42"/>
      <c r="X143" s="42"/>
    </row>
    <row r="144" spans="1:24">
      <c r="A144" s="46">
        <f t="shared" si="3"/>
        <v>4</v>
      </c>
      <c r="B144" s="47">
        <v>14</v>
      </c>
      <c r="C144" s="14">
        <v>9.99</v>
      </c>
      <c r="D144" s="14">
        <f t="shared" si="4"/>
        <v>139</v>
      </c>
      <c r="E144" s="36">
        <f>(C144+0.01)*D144*$X$2/100</f>
        <v>13900000</v>
      </c>
      <c r="F144" s="37">
        <f>SUM(E132:E144)</f>
        <v>31360000</v>
      </c>
      <c r="G144" s="17">
        <f>SUM(C132:C144)</f>
        <v>23.97</v>
      </c>
      <c r="H144" s="18"/>
      <c r="I144" s="14" t="s">
        <v>2</v>
      </c>
      <c r="J144" s="29">
        <v>9</v>
      </c>
      <c r="K144" s="21">
        <f>E144</f>
        <v>13900000</v>
      </c>
      <c r="L144" s="36">
        <f>SUMIF(I144:I149,"="&amp;"金币",K144:K149)</f>
        <v>16309660</v>
      </c>
      <c r="M144" s="22">
        <f>L144/$X$2</f>
        <v>16.30966</v>
      </c>
      <c r="N144" s="37">
        <f>SUM(L132:L144)</f>
        <v>37384150</v>
      </c>
      <c r="O144" s="23">
        <f>SUM(M132:M144)</f>
        <v>37.38415</v>
      </c>
      <c r="P144" s="24">
        <f>N144/F144</f>
        <v>1.19209661989796</v>
      </c>
      <c r="Q144" s="25"/>
      <c r="R144" s="25"/>
      <c r="W144" s="42"/>
      <c r="X144" s="42"/>
    </row>
    <row r="145" spans="1:24">
      <c r="A145" s="46">
        <f t="shared" si="3"/>
        <v>4</v>
      </c>
      <c r="B145" s="47">
        <v>15</v>
      </c>
      <c r="C145" s="14"/>
      <c r="D145" s="14" t="str">
        <f t="shared" si="4"/>
        <v/>
      </c>
      <c r="E145" s="14"/>
      <c r="F145" s="30"/>
      <c r="G145" s="17"/>
      <c r="H145" s="18"/>
      <c r="I145" s="19" t="s">
        <v>408</v>
      </c>
      <c r="J145" s="38">
        <v>3</v>
      </c>
      <c r="K145" s="21">
        <v>3</v>
      </c>
      <c r="L145" s="14"/>
      <c r="M145" s="22"/>
      <c r="N145" s="30"/>
      <c r="O145" s="23"/>
      <c r="P145" s="24"/>
      <c r="Q145" s="25"/>
      <c r="R145" s="25"/>
      <c r="W145" s="42"/>
      <c r="X145" s="42"/>
    </row>
    <row r="146" spans="1:24">
      <c r="A146" s="46">
        <f t="shared" si="3"/>
        <v>4</v>
      </c>
      <c r="B146" s="47">
        <v>16</v>
      </c>
      <c r="C146" s="14"/>
      <c r="D146" s="14" t="str">
        <f t="shared" si="4"/>
        <v/>
      </c>
      <c r="E146" s="14"/>
      <c r="F146" s="30"/>
      <c r="G146" s="17"/>
      <c r="H146" s="18">
        <v>0.12</v>
      </c>
      <c r="I146" s="19" t="s">
        <v>2</v>
      </c>
      <c r="J146" s="38">
        <v>17</v>
      </c>
      <c r="K146" s="21">
        <f>H146*$R$135</f>
        <v>2409660</v>
      </c>
      <c r="L146" s="14"/>
      <c r="M146" s="22"/>
      <c r="N146" s="30"/>
      <c r="O146" s="23"/>
      <c r="P146" s="24"/>
      <c r="Q146" s="25"/>
      <c r="R146" s="25"/>
      <c r="W146" s="42"/>
      <c r="X146" s="42"/>
    </row>
    <row r="147" spans="1:24">
      <c r="A147" s="46">
        <f t="shared" si="3"/>
        <v>4</v>
      </c>
      <c r="B147" s="47">
        <v>17</v>
      </c>
      <c r="C147" s="14"/>
      <c r="D147" s="14" t="str">
        <f t="shared" si="4"/>
        <v/>
      </c>
      <c r="E147" s="14"/>
      <c r="F147" s="30"/>
      <c r="G147" s="17"/>
      <c r="H147" s="18"/>
      <c r="I147" s="19" t="s">
        <v>461</v>
      </c>
      <c r="J147" s="38">
        <v>4</v>
      </c>
      <c r="K147" s="21">
        <v>1</v>
      </c>
      <c r="L147" s="14"/>
      <c r="M147" s="22"/>
      <c r="N147" s="30"/>
      <c r="O147" s="23"/>
      <c r="P147" s="24"/>
      <c r="Q147" s="25"/>
      <c r="R147" s="25"/>
      <c r="W147" s="42"/>
      <c r="X147" s="42"/>
    </row>
    <row r="148" spans="1:24">
      <c r="A148" s="46">
        <f t="shared" si="3"/>
        <v>4</v>
      </c>
      <c r="B148" s="47">
        <v>18</v>
      </c>
      <c r="C148" s="14"/>
      <c r="D148" s="14" t="str">
        <f t="shared" si="4"/>
        <v/>
      </c>
      <c r="E148" s="14"/>
      <c r="F148" s="30"/>
      <c r="G148" s="17"/>
      <c r="H148" s="18"/>
      <c r="I148" s="19" t="s">
        <v>453</v>
      </c>
      <c r="J148" s="38">
        <v>3</v>
      </c>
      <c r="K148" s="21">
        <v>15</v>
      </c>
      <c r="L148" s="14"/>
      <c r="M148" s="22"/>
      <c r="N148" s="30"/>
      <c r="O148" s="23"/>
      <c r="P148" s="24"/>
      <c r="Q148" s="25"/>
      <c r="R148" s="25"/>
      <c r="W148" s="42"/>
      <c r="X148" s="42"/>
    </row>
    <row r="149" spans="1:24">
      <c r="A149" s="46">
        <f t="shared" si="3"/>
        <v>4</v>
      </c>
      <c r="B149" s="47">
        <v>19</v>
      </c>
      <c r="C149" s="14"/>
      <c r="D149" s="14" t="str">
        <f t="shared" si="4"/>
        <v/>
      </c>
      <c r="E149" s="14"/>
      <c r="F149" s="30"/>
      <c r="G149" s="17"/>
      <c r="H149" s="18"/>
      <c r="I149" t="s">
        <v>424</v>
      </c>
      <c r="J149" s="38">
        <v>3</v>
      </c>
      <c r="K149" s="21">
        <v>1</v>
      </c>
      <c r="L149" s="14"/>
      <c r="M149" s="22"/>
      <c r="N149" s="30"/>
      <c r="O149" s="23"/>
      <c r="P149" s="24"/>
      <c r="Q149" s="25"/>
      <c r="R149" s="25"/>
      <c r="W149" s="42"/>
      <c r="X149" s="42"/>
    </row>
    <row r="150" spans="1:24">
      <c r="A150" s="46">
        <f t="shared" si="3"/>
        <v>4</v>
      </c>
      <c r="B150" s="47">
        <v>20</v>
      </c>
      <c r="C150" s="14">
        <v>12.99</v>
      </c>
      <c r="D150" s="14">
        <f t="shared" si="4"/>
        <v>149</v>
      </c>
      <c r="E150" s="36">
        <f>(C150+0.01)*D150*$X$2/100</f>
        <v>19370000</v>
      </c>
      <c r="F150" s="37">
        <f>SUM(E132:E150)</f>
        <v>50730000</v>
      </c>
      <c r="G150" s="17">
        <f>SUM(C132:C150)</f>
        <v>36.96</v>
      </c>
      <c r="H150" s="18"/>
      <c r="I150" s="14" t="s">
        <v>2</v>
      </c>
      <c r="J150" s="29">
        <v>9</v>
      </c>
      <c r="K150" s="21">
        <f>E150</f>
        <v>19370000</v>
      </c>
      <c r="L150" s="36">
        <f>SUMIF(I150:I155,"="&amp;"金币",K150:K155)</f>
        <v>22181270</v>
      </c>
      <c r="M150" s="22">
        <f>L150/$X$2</f>
        <v>22.18127</v>
      </c>
      <c r="N150" s="37">
        <f>SUM(L132:L150)</f>
        <v>59565420</v>
      </c>
      <c r="O150" s="23">
        <f>SUM(M132:M150)</f>
        <v>59.56542</v>
      </c>
      <c r="P150" s="24">
        <f>N150/F150</f>
        <v>1.17416558249556</v>
      </c>
      <c r="Q150" s="25"/>
      <c r="R150" s="25"/>
      <c r="W150" s="42"/>
      <c r="X150" s="42"/>
    </row>
    <row r="151" spans="1:24">
      <c r="A151" s="46">
        <f t="shared" si="3"/>
        <v>4</v>
      </c>
      <c r="B151" s="47">
        <v>21</v>
      </c>
      <c r="C151" s="14"/>
      <c r="D151" s="14" t="str">
        <f t="shared" si="4"/>
        <v/>
      </c>
      <c r="E151" s="14"/>
      <c r="F151" s="30"/>
      <c r="G151" s="17"/>
      <c r="H151" s="18"/>
      <c r="I151" s="19" t="s">
        <v>408</v>
      </c>
      <c r="J151" s="38">
        <v>3</v>
      </c>
      <c r="K151" s="21">
        <v>4</v>
      </c>
      <c r="L151" s="14"/>
      <c r="M151" s="22"/>
      <c r="N151" s="30"/>
      <c r="O151" s="23"/>
      <c r="P151" s="24"/>
      <c r="Q151" s="25"/>
      <c r="R151" s="25"/>
      <c r="W151" s="42"/>
      <c r="X151" s="42"/>
    </row>
    <row r="152" spans="1:24">
      <c r="A152" s="46">
        <f t="shared" si="3"/>
        <v>4</v>
      </c>
      <c r="B152" s="47">
        <v>22</v>
      </c>
      <c r="C152" s="14"/>
      <c r="D152" s="14" t="str">
        <f t="shared" si="4"/>
        <v/>
      </c>
      <c r="E152" s="14"/>
      <c r="F152" s="30"/>
      <c r="G152" s="17"/>
      <c r="H152" s="18">
        <v>0.14</v>
      </c>
      <c r="I152" s="19" t="s">
        <v>2</v>
      </c>
      <c r="J152" s="38">
        <v>17</v>
      </c>
      <c r="K152" s="21">
        <f>H152*$R$135</f>
        <v>2811270</v>
      </c>
      <c r="L152" s="14"/>
      <c r="M152" s="22"/>
      <c r="N152" s="30"/>
      <c r="O152" s="23"/>
      <c r="P152" s="24"/>
      <c r="Q152" s="25"/>
      <c r="R152" s="25"/>
      <c r="W152" s="42"/>
      <c r="X152" s="42"/>
    </row>
    <row r="153" spans="1:24">
      <c r="A153" s="46">
        <f t="shared" si="3"/>
        <v>4</v>
      </c>
      <c r="B153" s="47">
        <v>23</v>
      </c>
      <c r="C153" s="14"/>
      <c r="D153" s="14" t="str">
        <f t="shared" si="4"/>
        <v/>
      </c>
      <c r="E153" s="14"/>
      <c r="F153" s="30"/>
      <c r="G153" s="17"/>
      <c r="H153" s="18"/>
      <c r="I153" s="19" t="s">
        <v>461</v>
      </c>
      <c r="J153" s="38">
        <v>4</v>
      </c>
      <c r="K153" s="21">
        <v>1</v>
      </c>
      <c r="L153" s="14"/>
      <c r="M153" s="22"/>
      <c r="N153" s="30"/>
      <c r="O153" s="23"/>
      <c r="P153" s="24"/>
      <c r="Q153" s="25"/>
      <c r="R153" s="25"/>
      <c r="W153" s="42"/>
      <c r="X153" s="42"/>
    </row>
    <row r="154" spans="1:24">
      <c r="A154" s="46">
        <f t="shared" si="3"/>
        <v>4</v>
      </c>
      <c r="B154" s="47">
        <v>24</v>
      </c>
      <c r="C154" s="14"/>
      <c r="D154" s="14" t="str">
        <f t="shared" si="4"/>
        <v/>
      </c>
      <c r="E154" s="14"/>
      <c r="F154" s="30"/>
      <c r="G154" s="17"/>
      <c r="H154" s="18"/>
      <c r="I154" s="19" t="s">
        <v>453</v>
      </c>
      <c r="J154" s="38">
        <v>3</v>
      </c>
      <c r="K154" s="21">
        <v>20</v>
      </c>
      <c r="L154" s="14"/>
      <c r="M154" s="22"/>
      <c r="N154" s="30"/>
      <c r="O154" s="23"/>
      <c r="P154" s="24"/>
      <c r="Q154" s="25"/>
      <c r="R154" s="25"/>
      <c r="W154" s="42"/>
      <c r="X154" s="42"/>
    </row>
    <row r="155" spans="1:24">
      <c r="A155" s="46">
        <f t="shared" si="3"/>
        <v>4</v>
      </c>
      <c r="B155" s="47">
        <v>25</v>
      </c>
      <c r="C155" s="14"/>
      <c r="D155" s="14" t="str">
        <f t="shared" si="4"/>
        <v/>
      </c>
      <c r="E155" s="14"/>
      <c r="F155" s="30"/>
      <c r="G155" s="17"/>
      <c r="H155" s="18"/>
      <c r="I155" t="s">
        <v>426</v>
      </c>
      <c r="J155" s="38">
        <v>3</v>
      </c>
      <c r="K155" s="21">
        <v>1</v>
      </c>
      <c r="L155" s="14"/>
      <c r="M155" s="22"/>
      <c r="N155" s="30"/>
      <c r="O155" s="23"/>
      <c r="P155" s="24"/>
      <c r="Q155" s="25"/>
      <c r="R155" s="25"/>
      <c r="W155" s="42"/>
      <c r="X155" s="42"/>
    </row>
    <row r="156" spans="1:24">
      <c r="A156" s="46">
        <f t="shared" si="3"/>
        <v>4</v>
      </c>
      <c r="B156" s="47">
        <v>26</v>
      </c>
      <c r="C156" s="14">
        <v>14.99</v>
      </c>
      <c r="D156" s="14">
        <f t="shared" si="4"/>
        <v>154</v>
      </c>
      <c r="E156" s="36">
        <f>(C156+0.01)*D156*$X$2/100</f>
        <v>23100000</v>
      </c>
      <c r="F156" s="37">
        <f>SUM(E132:E156)</f>
        <v>73830000</v>
      </c>
      <c r="G156" s="17">
        <f>SUM(C132:C156)</f>
        <v>51.95</v>
      </c>
      <c r="H156" s="18"/>
      <c r="I156" s="14" t="s">
        <v>2</v>
      </c>
      <c r="J156" s="29">
        <v>9</v>
      </c>
      <c r="K156" s="21">
        <f>E156</f>
        <v>23100000</v>
      </c>
      <c r="L156" s="36">
        <f>SUMIF(I156:I161,"="&amp;"金币",K156:K161)</f>
        <v>26312880</v>
      </c>
      <c r="M156" s="22">
        <f>L156/$X$2</f>
        <v>26.31288</v>
      </c>
      <c r="N156" s="37">
        <f>SUM(L132:L156)</f>
        <v>85878300</v>
      </c>
      <c r="O156" s="23">
        <f>SUM(M132:M156)</f>
        <v>85.8783</v>
      </c>
      <c r="P156" s="24">
        <f>N156/F156</f>
        <v>1.16318976026006</v>
      </c>
      <c r="Q156" s="25"/>
      <c r="R156" s="25"/>
      <c r="W156" s="42"/>
      <c r="X156" s="42"/>
    </row>
    <row r="157" spans="1:24">
      <c r="A157" s="46">
        <f t="shared" si="3"/>
        <v>4</v>
      </c>
      <c r="B157" s="47">
        <v>27</v>
      </c>
      <c r="C157" s="14"/>
      <c r="D157" s="14" t="str">
        <f t="shared" si="4"/>
        <v/>
      </c>
      <c r="E157" s="14"/>
      <c r="F157" s="30"/>
      <c r="G157" s="17"/>
      <c r="H157" s="18"/>
      <c r="I157" s="19" t="s">
        <v>408</v>
      </c>
      <c r="J157" s="38">
        <v>3</v>
      </c>
      <c r="K157" s="21">
        <v>5</v>
      </c>
      <c r="L157" s="14"/>
      <c r="M157" s="22"/>
      <c r="N157" s="30"/>
      <c r="O157" s="23"/>
      <c r="P157" s="24"/>
      <c r="Q157" s="25"/>
      <c r="R157" s="25"/>
      <c r="W157" s="42"/>
      <c r="X157" s="42"/>
    </row>
    <row r="158" spans="1:24">
      <c r="A158" s="46">
        <f t="shared" si="3"/>
        <v>4</v>
      </c>
      <c r="B158" s="47">
        <v>28</v>
      </c>
      <c r="C158" s="14"/>
      <c r="D158" s="14" t="str">
        <f t="shared" si="4"/>
        <v/>
      </c>
      <c r="E158" s="14"/>
      <c r="F158" s="30"/>
      <c r="G158" s="17"/>
      <c r="H158" s="18">
        <v>0.16</v>
      </c>
      <c r="I158" s="19" t="s">
        <v>2</v>
      </c>
      <c r="J158" s="38">
        <v>17</v>
      </c>
      <c r="K158" s="21">
        <f>H158*$R$135</f>
        <v>3212880</v>
      </c>
      <c r="L158" s="14"/>
      <c r="M158" s="22"/>
      <c r="N158" s="30"/>
      <c r="O158" s="23"/>
      <c r="P158" s="24"/>
      <c r="Q158" s="25"/>
      <c r="R158" s="25"/>
      <c r="W158" s="42"/>
      <c r="X158" s="42"/>
    </row>
    <row r="159" spans="1:24">
      <c r="A159" s="46">
        <f t="shared" si="3"/>
        <v>4</v>
      </c>
      <c r="B159" s="47">
        <v>29</v>
      </c>
      <c r="C159" s="14"/>
      <c r="D159" s="14" t="str">
        <f t="shared" si="4"/>
        <v/>
      </c>
      <c r="E159" s="14"/>
      <c r="F159" s="30"/>
      <c r="G159" s="17"/>
      <c r="H159" s="18"/>
      <c r="I159" s="19" t="s">
        <v>463</v>
      </c>
      <c r="J159" s="38">
        <v>4</v>
      </c>
      <c r="K159" s="21">
        <v>1</v>
      </c>
      <c r="L159" s="14"/>
      <c r="M159" s="22"/>
      <c r="N159" s="30"/>
      <c r="O159" s="23"/>
      <c r="P159" s="24"/>
      <c r="Q159" s="25"/>
      <c r="R159" s="25"/>
      <c r="W159" s="42"/>
      <c r="X159" s="42"/>
    </row>
    <row r="160" spans="1:24">
      <c r="A160" s="46">
        <f t="shared" si="3"/>
        <v>4</v>
      </c>
      <c r="B160" s="47">
        <v>30</v>
      </c>
      <c r="C160" s="14"/>
      <c r="D160" s="14" t="str">
        <f t="shared" si="4"/>
        <v/>
      </c>
      <c r="E160" s="14"/>
      <c r="F160" s="30"/>
      <c r="G160" s="17"/>
      <c r="H160" s="18"/>
      <c r="I160" s="19" t="s">
        <v>453</v>
      </c>
      <c r="J160" s="38">
        <v>3</v>
      </c>
      <c r="K160" s="21">
        <v>25</v>
      </c>
      <c r="L160" s="14"/>
      <c r="M160" s="22"/>
      <c r="N160" s="30"/>
      <c r="O160" s="23"/>
      <c r="P160" s="24"/>
      <c r="Q160" s="25"/>
      <c r="R160" s="25"/>
      <c r="W160" s="42"/>
      <c r="X160" s="42"/>
    </row>
    <row r="161" spans="1:24">
      <c r="A161" s="46">
        <f t="shared" si="3"/>
        <v>4</v>
      </c>
      <c r="B161" s="47">
        <v>31</v>
      </c>
      <c r="C161" s="14"/>
      <c r="D161" s="14" t="str">
        <f t="shared" si="4"/>
        <v/>
      </c>
      <c r="E161" s="14"/>
      <c r="F161" s="30"/>
      <c r="G161" s="17"/>
      <c r="H161" s="18"/>
      <c r="I161" t="s">
        <v>424</v>
      </c>
      <c r="J161" s="38">
        <v>3</v>
      </c>
      <c r="K161" s="21">
        <v>1</v>
      </c>
      <c r="L161" s="14"/>
      <c r="M161" s="22"/>
      <c r="N161" s="30"/>
      <c r="O161" s="23"/>
      <c r="P161" s="24"/>
      <c r="Q161" s="25"/>
      <c r="R161" s="25"/>
      <c r="W161" s="42"/>
      <c r="X161" s="42"/>
    </row>
    <row r="162" spans="1:24">
      <c r="A162" s="46">
        <f t="shared" si="3"/>
        <v>4</v>
      </c>
      <c r="B162" s="47">
        <v>32</v>
      </c>
      <c r="C162" s="14">
        <v>17.99</v>
      </c>
      <c r="D162" s="14">
        <f t="shared" si="4"/>
        <v>158</v>
      </c>
      <c r="E162" s="36">
        <f>(C162+0.01)*D162*$X$2/100</f>
        <v>28440000</v>
      </c>
      <c r="F162" s="37">
        <f>SUM(E132:E162)</f>
        <v>102270000</v>
      </c>
      <c r="G162" s="17">
        <f>SUM(C132:C162)</f>
        <v>69.94</v>
      </c>
      <c r="H162" s="18"/>
      <c r="I162" s="14" t="s">
        <v>2</v>
      </c>
      <c r="J162" s="29">
        <v>9</v>
      </c>
      <c r="K162" s="21">
        <f>E162</f>
        <v>28440000</v>
      </c>
      <c r="L162" s="36">
        <f>SUMIF(I162:I167,"="&amp;"金币",K162:K167)</f>
        <v>32054490</v>
      </c>
      <c r="M162" s="22">
        <f>L162/$X$2</f>
        <v>32.05449</v>
      </c>
      <c r="N162" s="37">
        <f>SUM(L132:L162)</f>
        <v>117932790</v>
      </c>
      <c r="O162" s="23">
        <f>SUM(M132:M162)</f>
        <v>117.93279</v>
      </c>
      <c r="P162" s="24">
        <f>N162/F162</f>
        <v>1.15315136403637</v>
      </c>
      <c r="Q162" s="25"/>
      <c r="R162" s="25"/>
      <c r="W162" s="42"/>
      <c r="X162" s="42"/>
    </row>
    <row r="163" spans="1:24">
      <c r="A163" s="46">
        <f t="shared" si="3"/>
        <v>4</v>
      </c>
      <c r="B163" s="47">
        <v>33</v>
      </c>
      <c r="C163" s="14"/>
      <c r="D163" s="14" t="str">
        <f t="shared" si="4"/>
        <v/>
      </c>
      <c r="E163" s="14"/>
      <c r="F163" s="30"/>
      <c r="G163" s="17"/>
      <c r="H163" s="18"/>
      <c r="I163" s="19" t="s">
        <v>408</v>
      </c>
      <c r="J163" s="38">
        <v>3</v>
      </c>
      <c r="K163" s="21">
        <v>6</v>
      </c>
      <c r="L163" s="14"/>
      <c r="M163" s="22"/>
      <c r="N163" s="30"/>
      <c r="O163" s="23"/>
      <c r="P163" s="24"/>
      <c r="Q163" s="25"/>
      <c r="R163" s="25"/>
      <c r="W163" s="42"/>
      <c r="X163" s="42"/>
    </row>
    <row r="164" spans="1:24">
      <c r="A164" s="46">
        <f t="shared" si="3"/>
        <v>4</v>
      </c>
      <c r="B164" s="47">
        <v>34</v>
      </c>
      <c r="C164" s="14"/>
      <c r="D164" s="14" t="str">
        <f t="shared" si="4"/>
        <v/>
      </c>
      <c r="E164" s="14"/>
      <c r="F164" s="30"/>
      <c r="G164" s="17"/>
      <c r="H164" s="18">
        <v>0.18</v>
      </c>
      <c r="I164" s="19" t="s">
        <v>2</v>
      </c>
      <c r="J164" s="38">
        <v>17</v>
      </c>
      <c r="K164" s="21">
        <f>H164*$R$135</f>
        <v>3614490</v>
      </c>
      <c r="L164" s="14"/>
      <c r="M164" s="22"/>
      <c r="N164" s="30"/>
      <c r="O164" s="23"/>
      <c r="P164" s="24"/>
      <c r="Q164" s="25"/>
      <c r="R164" s="25"/>
      <c r="W164" s="42"/>
      <c r="X164" s="42"/>
    </row>
    <row r="165" spans="1:24">
      <c r="A165" s="46">
        <f t="shared" si="3"/>
        <v>4</v>
      </c>
      <c r="B165" s="47">
        <v>35</v>
      </c>
      <c r="C165" s="14"/>
      <c r="D165" s="14" t="str">
        <f t="shared" si="4"/>
        <v/>
      </c>
      <c r="E165" s="14"/>
      <c r="F165" s="30"/>
      <c r="G165" s="17"/>
      <c r="H165" s="18"/>
      <c r="I165" s="19" t="s">
        <v>463</v>
      </c>
      <c r="J165" s="38">
        <v>4</v>
      </c>
      <c r="K165" s="21">
        <v>1</v>
      </c>
      <c r="L165" s="14"/>
      <c r="M165" s="22"/>
      <c r="N165" s="30"/>
      <c r="O165" s="23"/>
      <c r="P165" s="24"/>
      <c r="Q165" s="25"/>
      <c r="R165" s="25"/>
      <c r="W165" s="42"/>
      <c r="X165" s="42"/>
    </row>
    <row r="166" spans="1:24">
      <c r="A166" s="46">
        <f t="shared" si="3"/>
        <v>4</v>
      </c>
      <c r="B166" s="47">
        <v>36</v>
      </c>
      <c r="C166" s="14"/>
      <c r="D166" s="14" t="str">
        <f t="shared" si="4"/>
        <v/>
      </c>
      <c r="E166" s="14"/>
      <c r="F166" s="30"/>
      <c r="G166" s="17"/>
      <c r="H166" s="18"/>
      <c r="I166" s="19" t="s">
        <v>453</v>
      </c>
      <c r="J166" s="38">
        <v>3</v>
      </c>
      <c r="K166" s="21">
        <v>30</v>
      </c>
      <c r="L166" s="14"/>
      <c r="M166" s="22"/>
      <c r="N166" s="30"/>
      <c r="O166" s="23"/>
      <c r="P166" s="24"/>
      <c r="Q166" s="25"/>
      <c r="R166" s="25"/>
      <c r="W166" s="42"/>
      <c r="X166" s="42"/>
    </row>
    <row r="167" spans="1:24">
      <c r="A167" s="46">
        <f t="shared" si="3"/>
        <v>4</v>
      </c>
      <c r="B167" s="47">
        <v>37</v>
      </c>
      <c r="C167" s="14"/>
      <c r="D167" s="14" t="str">
        <f t="shared" si="4"/>
        <v/>
      </c>
      <c r="E167" s="14"/>
      <c r="F167" s="30"/>
      <c r="G167" s="17"/>
      <c r="H167" s="18"/>
      <c r="I167" t="s">
        <v>426</v>
      </c>
      <c r="J167" s="38">
        <v>3</v>
      </c>
      <c r="K167" s="21">
        <v>1</v>
      </c>
      <c r="L167" s="14"/>
      <c r="M167" s="22"/>
      <c r="N167" s="30"/>
      <c r="O167" s="23"/>
      <c r="P167" s="24"/>
      <c r="Q167" s="25"/>
      <c r="R167" s="25"/>
      <c r="W167" s="42"/>
      <c r="X167" s="42"/>
    </row>
    <row r="168" spans="1:24">
      <c r="A168" s="46">
        <f t="shared" si="3"/>
        <v>4</v>
      </c>
      <c r="B168" s="47">
        <v>38</v>
      </c>
      <c r="C168" s="14">
        <v>19.99</v>
      </c>
      <c r="D168" s="14">
        <f t="shared" si="4"/>
        <v>158</v>
      </c>
      <c r="E168" s="36">
        <f>(C168+0.01)*D168*$X$2/100</f>
        <v>31600000</v>
      </c>
      <c r="F168" s="37">
        <f>SUM(E132:E168)</f>
        <v>133870000</v>
      </c>
      <c r="G168" s="17">
        <f>SUM(C132:C168)</f>
        <v>89.93</v>
      </c>
      <c r="H168" s="18"/>
      <c r="I168" s="14" t="s">
        <v>2</v>
      </c>
      <c r="J168" s="29">
        <v>9</v>
      </c>
      <c r="K168" s="21">
        <f>E168</f>
        <v>31600000</v>
      </c>
      <c r="L168" s="36">
        <f>SUMIF(I168:I173,"="&amp;"金币",K168:K173)</f>
        <v>36017710</v>
      </c>
      <c r="M168" s="22">
        <f>L168/$X$2</f>
        <v>36.01771</v>
      </c>
      <c r="N168" s="37">
        <f>SUM(L132:L168)</f>
        <v>153950500</v>
      </c>
      <c r="O168" s="23">
        <f>SUM(M132:M168)</f>
        <v>153.9505</v>
      </c>
      <c r="P168" s="24">
        <f>N168/F168</f>
        <v>1.15</v>
      </c>
      <c r="Q168" s="25"/>
      <c r="R168" s="25"/>
      <c r="W168" s="42"/>
      <c r="X168" s="42"/>
    </row>
    <row r="169" spans="1:24">
      <c r="A169" s="46">
        <f t="shared" si="3"/>
        <v>4</v>
      </c>
      <c r="B169" s="47">
        <v>39</v>
      </c>
      <c r="C169" s="14"/>
      <c r="D169" s="14" t="str">
        <f t="shared" si="4"/>
        <v/>
      </c>
      <c r="E169" s="14"/>
      <c r="F169" s="30"/>
      <c r="G169" s="17"/>
      <c r="H169" s="18"/>
      <c r="I169" s="19" t="s">
        <v>408</v>
      </c>
      <c r="J169" s="38">
        <v>3</v>
      </c>
      <c r="K169" s="21">
        <v>7</v>
      </c>
      <c r="L169" s="14"/>
      <c r="M169" s="22"/>
      <c r="N169" s="30"/>
      <c r="O169" s="23"/>
      <c r="P169" s="24"/>
      <c r="Q169" s="25"/>
      <c r="R169" s="25"/>
      <c r="W169" s="42"/>
      <c r="X169" s="42"/>
    </row>
    <row r="170" spans="1:24">
      <c r="A170" s="46">
        <f t="shared" si="3"/>
        <v>4</v>
      </c>
      <c r="B170" s="47">
        <v>40</v>
      </c>
      <c r="C170" s="14"/>
      <c r="D170" s="14" t="str">
        <f t="shared" si="4"/>
        <v/>
      </c>
      <c r="E170" s="14"/>
      <c r="F170" s="30"/>
      <c r="G170" s="17"/>
      <c r="H170" s="18">
        <v>0.22</v>
      </c>
      <c r="I170" s="19" t="s">
        <v>2</v>
      </c>
      <c r="J170" s="38">
        <v>17</v>
      </c>
      <c r="K170" s="21">
        <f>H170*$R$135</f>
        <v>4417710</v>
      </c>
      <c r="L170" s="14"/>
      <c r="M170" s="22"/>
      <c r="N170" s="30"/>
      <c r="O170" s="23"/>
      <c r="P170" s="24"/>
      <c r="Q170" s="25"/>
      <c r="R170" s="25"/>
      <c r="W170" s="42"/>
      <c r="X170" s="42"/>
    </row>
    <row r="171" spans="1:24">
      <c r="A171" s="46">
        <f t="shared" si="3"/>
        <v>4</v>
      </c>
      <c r="B171" s="47">
        <v>41</v>
      </c>
      <c r="C171" s="14"/>
      <c r="D171" s="14" t="str">
        <f t="shared" si="4"/>
        <v/>
      </c>
      <c r="E171" s="14"/>
      <c r="F171" s="30"/>
      <c r="G171" s="17"/>
      <c r="H171" s="18"/>
      <c r="I171" s="19" t="s">
        <v>473</v>
      </c>
      <c r="J171" s="38">
        <v>4</v>
      </c>
      <c r="K171" s="21">
        <v>1</v>
      </c>
      <c r="L171" s="14"/>
      <c r="M171" s="22"/>
      <c r="N171" s="30"/>
      <c r="O171" s="23"/>
      <c r="P171" s="24"/>
      <c r="Q171" s="25"/>
      <c r="R171" s="25"/>
      <c r="W171" s="42"/>
      <c r="X171" s="42"/>
    </row>
    <row r="172" spans="1:24">
      <c r="A172" s="46">
        <f t="shared" si="3"/>
        <v>4</v>
      </c>
      <c r="B172" s="47">
        <v>42</v>
      </c>
      <c r="C172" s="14"/>
      <c r="D172" s="14" t="str">
        <f t="shared" si="4"/>
        <v/>
      </c>
      <c r="E172" s="14"/>
      <c r="F172" s="30"/>
      <c r="G172" s="17"/>
      <c r="H172" s="18"/>
      <c r="I172" s="19" t="s">
        <v>453</v>
      </c>
      <c r="J172" s="38">
        <v>3</v>
      </c>
      <c r="K172" s="21">
        <v>35</v>
      </c>
      <c r="L172" s="14"/>
      <c r="M172" s="22"/>
      <c r="N172" s="30"/>
      <c r="O172" s="23"/>
      <c r="P172" s="24"/>
      <c r="Q172" s="25"/>
      <c r="R172" s="25"/>
      <c r="W172" s="42"/>
      <c r="X172" s="42"/>
    </row>
    <row r="173" spans="1:24">
      <c r="A173" s="46">
        <f t="shared" ref="A173:A236" si="5">A130+1</f>
        <v>4</v>
      </c>
      <c r="B173" s="47">
        <v>43</v>
      </c>
      <c r="C173" s="14"/>
      <c r="D173" s="14" t="str">
        <f t="shared" si="4"/>
        <v/>
      </c>
      <c r="E173" s="14"/>
      <c r="F173" s="30"/>
      <c r="G173" s="17"/>
      <c r="H173" s="18"/>
      <c r="I173" t="s">
        <v>424</v>
      </c>
      <c r="J173" s="38">
        <v>3</v>
      </c>
      <c r="K173" s="21">
        <v>1</v>
      </c>
      <c r="L173" s="14"/>
      <c r="M173" s="22"/>
      <c r="N173" s="30"/>
      <c r="O173" s="23"/>
      <c r="P173" s="24"/>
      <c r="Q173" s="25"/>
      <c r="R173" s="25"/>
      <c r="W173" s="42"/>
      <c r="X173" s="42"/>
    </row>
    <row r="174" spans="1:24">
      <c r="A174" s="46">
        <f t="shared" si="5"/>
        <v>5</v>
      </c>
      <c r="B174" s="47">
        <v>1</v>
      </c>
      <c r="C174" s="14"/>
      <c r="D174" s="14" t="str">
        <f t="shared" si="4"/>
        <v/>
      </c>
      <c r="E174" s="14"/>
      <c r="F174" s="30"/>
      <c r="G174" s="17"/>
      <c r="H174" s="18"/>
      <c r="I174" s="14" t="s">
        <v>2</v>
      </c>
      <c r="J174" s="29">
        <v>1</v>
      </c>
      <c r="K174" s="21">
        <v>5000</v>
      </c>
      <c r="L174" s="14"/>
      <c r="M174" s="22"/>
      <c r="N174" s="30"/>
      <c r="O174" s="23"/>
      <c r="P174" s="24"/>
      <c r="Q174" s="25"/>
      <c r="R174" s="31">
        <f>SUM(C174:C216)</f>
        <v>89.93</v>
      </c>
      <c r="W174" s="42"/>
      <c r="X174" s="42"/>
    </row>
    <row r="175" spans="1:24">
      <c r="A175" s="46">
        <f t="shared" si="5"/>
        <v>5</v>
      </c>
      <c r="B175" s="47">
        <v>2</v>
      </c>
      <c r="C175" s="35">
        <v>5.99</v>
      </c>
      <c r="D175" s="14">
        <f t="shared" si="4"/>
        <v>119</v>
      </c>
      <c r="E175" s="36">
        <f>(C175+0.01)*D175*$X$2/100</f>
        <v>7140000</v>
      </c>
      <c r="F175" s="37">
        <f>SUM(E175)</f>
        <v>7140000</v>
      </c>
      <c r="G175" s="17">
        <f>SUM(C175)</f>
        <v>5.99</v>
      </c>
      <c r="H175" s="18"/>
      <c r="I175" s="14" t="s">
        <v>2</v>
      </c>
      <c r="J175" s="29">
        <v>9</v>
      </c>
      <c r="K175" s="21">
        <f>E175</f>
        <v>7140000</v>
      </c>
      <c r="L175" s="36">
        <f>SUMIF(I175:I180,"="&amp;"金币",K175:K180)</f>
        <v>8746440</v>
      </c>
      <c r="M175" s="22">
        <f>L175/$X$2</f>
        <v>8.74644</v>
      </c>
      <c r="N175" s="37">
        <f>SUM(L175)</f>
        <v>8746440</v>
      </c>
      <c r="O175" s="23">
        <f>SUM(M175)</f>
        <v>8.74644</v>
      </c>
      <c r="P175" s="24">
        <f>N175/F175</f>
        <v>1.22499159663866</v>
      </c>
      <c r="Q175" s="25"/>
      <c r="R175" s="26" t="s">
        <v>556</v>
      </c>
      <c r="W175" s="42"/>
      <c r="X175" s="42"/>
    </row>
    <row r="176" spans="1:24">
      <c r="A176" s="46">
        <f t="shared" si="5"/>
        <v>5</v>
      </c>
      <c r="B176" s="47">
        <v>3</v>
      </c>
      <c r="C176" s="14"/>
      <c r="D176" s="14" t="str">
        <f t="shared" si="4"/>
        <v/>
      </c>
      <c r="E176" s="14"/>
      <c r="F176" s="30"/>
      <c r="G176" s="17"/>
      <c r="H176" s="18"/>
      <c r="I176" s="19" t="s">
        <v>408</v>
      </c>
      <c r="J176" s="38">
        <v>3</v>
      </c>
      <c r="K176" s="21">
        <v>1</v>
      </c>
      <c r="L176" s="14"/>
      <c r="M176" s="22"/>
      <c r="N176" s="30"/>
      <c r="O176" s="23"/>
      <c r="P176" s="24"/>
      <c r="Q176" s="25"/>
      <c r="R176" s="39">
        <v>1.15</v>
      </c>
      <c r="W176" s="42"/>
      <c r="X176" s="42"/>
    </row>
    <row r="177" spans="1:24">
      <c r="A177" s="46">
        <f t="shared" si="5"/>
        <v>5</v>
      </c>
      <c r="B177" s="47">
        <v>4</v>
      </c>
      <c r="C177" s="14"/>
      <c r="D177" s="14" t="str">
        <f t="shared" si="4"/>
        <v/>
      </c>
      <c r="E177" s="14"/>
      <c r="F177" s="30"/>
      <c r="G177" s="17"/>
      <c r="H177" s="18">
        <v>0.08</v>
      </c>
      <c r="I177" s="19" t="s">
        <v>2</v>
      </c>
      <c r="J177" s="38">
        <v>17</v>
      </c>
      <c r="K177" s="21">
        <f>H177*$R$178</f>
        <v>1606440</v>
      </c>
      <c r="L177" s="14"/>
      <c r="M177" s="22"/>
      <c r="N177" s="30"/>
      <c r="O177" s="23"/>
      <c r="P177" s="24"/>
      <c r="Q177" s="25"/>
      <c r="R177" s="26" t="s">
        <v>557</v>
      </c>
      <c r="W177" s="42"/>
      <c r="X177" s="42"/>
    </row>
    <row r="178" spans="1:24">
      <c r="A178" s="46">
        <f t="shared" si="5"/>
        <v>5</v>
      </c>
      <c r="B178" s="47">
        <v>5</v>
      </c>
      <c r="C178" s="14"/>
      <c r="D178" s="14" t="str">
        <f t="shared" si="4"/>
        <v/>
      </c>
      <c r="E178" s="14"/>
      <c r="F178" s="30"/>
      <c r="G178" s="17"/>
      <c r="H178" s="18"/>
      <c r="I178" s="19" t="s">
        <v>457</v>
      </c>
      <c r="J178" s="38">
        <v>4</v>
      </c>
      <c r="K178" s="21">
        <v>1</v>
      </c>
      <c r="L178" s="14"/>
      <c r="M178" s="22"/>
      <c r="N178" s="30"/>
      <c r="O178" s="23"/>
      <c r="P178" s="24"/>
      <c r="Q178" s="25"/>
      <c r="R178" s="40">
        <f>SUM(E174:E216)*(R176-1)</f>
        <v>20080500</v>
      </c>
      <c r="W178" s="42"/>
      <c r="X178" s="42"/>
    </row>
    <row r="179" spans="1:24">
      <c r="A179" s="46">
        <f t="shared" si="5"/>
        <v>5</v>
      </c>
      <c r="B179" s="47">
        <v>6</v>
      </c>
      <c r="C179" s="14"/>
      <c r="D179" s="14" t="str">
        <f t="shared" si="4"/>
        <v/>
      </c>
      <c r="E179" s="14"/>
      <c r="F179" s="30"/>
      <c r="G179" s="17"/>
      <c r="H179" s="18"/>
      <c r="I179" s="19" t="s">
        <v>453</v>
      </c>
      <c r="J179" s="38">
        <v>3</v>
      </c>
      <c r="K179" s="21">
        <v>5</v>
      </c>
      <c r="L179" s="14"/>
      <c r="M179" s="22"/>
      <c r="N179" s="30"/>
      <c r="O179" s="23"/>
      <c r="P179" s="24"/>
      <c r="Q179" s="25"/>
      <c r="R179" s="26" t="s">
        <v>558</v>
      </c>
      <c r="W179" s="42"/>
      <c r="X179" s="42"/>
    </row>
    <row r="180" spans="1:24">
      <c r="A180" s="46">
        <f t="shared" si="5"/>
        <v>5</v>
      </c>
      <c r="B180" s="47">
        <v>7</v>
      </c>
      <c r="C180" s="14"/>
      <c r="D180" s="14" t="str">
        <f t="shared" si="4"/>
        <v/>
      </c>
      <c r="E180" s="14"/>
      <c r="F180" s="30"/>
      <c r="G180" s="17"/>
      <c r="H180" s="18"/>
      <c r="I180" t="s">
        <v>424</v>
      </c>
      <c r="J180" s="38">
        <v>3</v>
      </c>
      <c r="K180" s="21">
        <v>1</v>
      </c>
      <c r="L180" s="14"/>
      <c r="M180" s="22"/>
      <c r="N180" s="30"/>
      <c r="O180" s="23"/>
      <c r="P180" s="24"/>
      <c r="Q180" s="25"/>
      <c r="R180" s="26">
        <f>SUM(H174:H216)</f>
        <v>1</v>
      </c>
      <c r="W180" s="42"/>
      <c r="X180" s="42"/>
    </row>
    <row r="181" spans="1:24">
      <c r="A181" s="46">
        <f t="shared" si="5"/>
        <v>5</v>
      </c>
      <c r="B181" s="47">
        <v>8</v>
      </c>
      <c r="C181" s="14">
        <v>7.99</v>
      </c>
      <c r="D181" s="14">
        <f t="shared" si="4"/>
        <v>129</v>
      </c>
      <c r="E181" s="36">
        <f>(C181+0.01)*D181*$X$2/100</f>
        <v>10320000</v>
      </c>
      <c r="F181" s="37">
        <f>SUM(E175:E181)</f>
        <v>17460000</v>
      </c>
      <c r="G181" s="17">
        <f>SUM(C175:C181)</f>
        <v>13.98</v>
      </c>
      <c r="H181" s="18"/>
      <c r="I181" s="14" t="s">
        <v>2</v>
      </c>
      <c r="J181" s="29">
        <v>9</v>
      </c>
      <c r="K181" s="21">
        <f>E181</f>
        <v>10320000</v>
      </c>
      <c r="L181" s="36">
        <f>SUMIF(I181:I186,"="&amp;"金币",K181:K186)</f>
        <v>12328050</v>
      </c>
      <c r="M181" s="22">
        <f>L181/$X$2</f>
        <v>12.32805</v>
      </c>
      <c r="N181" s="37">
        <f>SUM(L175:L181)</f>
        <v>21074490</v>
      </c>
      <c r="O181" s="23">
        <f>SUM(M175:M181)</f>
        <v>21.07449</v>
      </c>
      <c r="P181" s="24">
        <f>N181/F181</f>
        <v>1.20701546391753</v>
      </c>
      <c r="Q181" s="25"/>
      <c r="R181" s="25"/>
      <c r="W181" s="42"/>
      <c r="X181" s="42"/>
    </row>
    <row r="182" spans="1:24">
      <c r="A182" s="46">
        <f t="shared" si="5"/>
        <v>5</v>
      </c>
      <c r="B182" s="47">
        <v>9</v>
      </c>
      <c r="C182" s="14"/>
      <c r="D182" s="14" t="str">
        <f t="shared" si="4"/>
        <v/>
      </c>
      <c r="E182" s="14"/>
      <c r="F182" s="30"/>
      <c r="G182" s="17"/>
      <c r="H182" s="18"/>
      <c r="I182" s="19" t="s">
        <v>408</v>
      </c>
      <c r="J182" s="38">
        <v>3</v>
      </c>
      <c r="K182" s="21">
        <v>2</v>
      </c>
      <c r="L182" s="14"/>
      <c r="M182" s="22"/>
      <c r="N182" s="30"/>
      <c r="O182" s="23"/>
      <c r="P182" s="24"/>
      <c r="Q182" s="25"/>
      <c r="R182" s="25"/>
      <c r="W182" s="42"/>
      <c r="X182" s="42"/>
    </row>
    <row r="183" spans="1:24">
      <c r="A183" s="46">
        <f t="shared" si="5"/>
        <v>5</v>
      </c>
      <c r="B183" s="47">
        <v>10</v>
      </c>
      <c r="C183" s="14"/>
      <c r="D183" s="14" t="str">
        <f t="shared" si="4"/>
        <v/>
      </c>
      <c r="E183" s="14"/>
      <c r="F183" s="30"/>
      <c r="G183" s="17"/>
      <c r="H183" s="18">
        <v>0.1</v>
      </c>
      <c r="I183" s="19" t="s">
        <v>2</v>
      </c>
      <c r="J183" s="38">
        <v>17</v>
      </c>
      <c r="K183" s="21">
        <f>H183*$R$178</f>
        <v>2008050</v>
      </c>
      <c r="L183" s="14"/>
      <c r="M183" s="22"/>
      <c r="N183" s="30"/>
      <c r="O183" s="23"/>
      <c r="P183" s="24"/>
      <c r="Q183" s="25"/>
      <c r="R183" s="25"/>
      <c r="W183" s="42"/>
      <c r="X183" s="42"/>
    </row>
    <row r="184" spans="1:24">
      <c r="A184" s="46">
        <f t="shared" si="5"/>
        <v>5</v>
      </c>
      <c r="B184" s="47">
        <v>11</v>
      </c>
      <c r="C184" s="14"/>
      <c r="D184" s="14" t="str">
        <f t="shared" si="4"/>
        <v/>
      </c>
      <c r="E184" s="14"/>
      <c r="F184" s="30"/>
      <c r="G184" s="17"/>
      <c r="H184" s="18"/>
      <c r="I184" s="19" t="s">
        <v>459</v>
      </c>
      <c r="J184" s="38">
        <v>4</v>
      </c>
      <c r="K184" s="21">
        <v>1</v>
      </c>
      <c r="L184" s="14"/>
      <c r="M184" s="22"/>
      <c r="N184" s="30"/>
      <c r="O184" s="23"/>
      <c r="P184" s="24"/>
      <c r="Q184" s="25"/>
      <c r="R184" s="25"/>
      <c r="W184" s="42"/>
      <c r="X184" s="42"/>
    </row>
    <row r="185" spans="1:24">
      <c r="A185" s="46">
        <f t="shared" si="5"/>
        <v>5</v>
      </c>
      <c r="B185" s="47">
        <v>12</v>
      </c>
      <c r="C185" s="14"/>
      <c r="D185" s="14" t="str">
        <f t="shared" si="4"/>
        <v/>
      </c>
      <c r="E185" s="14"/>
      <c r="F185" s="30"/>
      <c r="G185" s="17"/>
      <c r="H185" s="18"/>
      <c r="I185" s="19" t="s">
        <v>453</v>
      </c>
      <c r="J185" s="38">
        <v>3</v>
      </c>
      <c r="K185" s="21">
        <v>10</v>
      </c>
      <c r="L185" s="14"/>
      <c r="M185" s="22"/>
      <c r="N185" s="30"/>
      <c r="O185" s="23"/>
      <c r="P185" s="24"/>
      <c r="Q185" s="25"/>
      <c r="R185" s="25"/>
      <c r="W185" s="42"/>
      <c r="X185" s="42"/>
    </row>
    <row r="186" spans="1:24">
      <c r="A186" s="46">
        <f t="shared" si="5"/>
        <v>5</v>
      </c>
      <c r="B186" s="47">
        <v>13</v>
      </c>
      <c r="C186" s="14"/>
      <c r="D186" s="14" t="str">
        <f t="shared" si="4"/>
        <v/>
      </c>
      <c r="E186" s="14"/>
      <c r="F186" s="30"/>
      <c r="G186" s="17"/>
      <c r="H186" s="18"/>
      <c r="I186" t="s">
        <v>426</v>
      </c>
      <c r="J186" s="38">
        <v>3</v>
      </c>
      <c r="K186" s="21">
        <v>1</v>
      </c>
      <c r="L186" s="14"/>
      <c r="M186" s="22"/>
      <c r="N186" s="30"/>
      <c r="O186" s="23"/>
      <c r="P186" s="24"/>
      <c r="Q186" s="25"/>
      <c r="R186" s="25"/>
      <c r="W186" s="42"/>
      <c r="X186" s="42"/>
    </row>
    <row r="187" spans="1:24">
      <c r="A187" s="46">
        <f t="shared" si="5"/>
        <v>5</v>
      </c>
      <c r="B187" s="47">
        <v>14</v>
      </c>
      <c r="C187" s="14">
        <v>9.99</v>
      </c>
      <c r="D187" s="14">
        <f t="shared" si="4"/>
        <v>139</v>
      </c>
      <c r="E187" s="36">
        <f>(C187+0.01)*D187*$X$2/100</f>
        <v>13900000</v>
      </c>
      <c r="F187" s="37">
        <f>SUM(E175:E187)</f>
        <v>31360000</v>
      </c>
      <c r="G187" s="17">
        <f>SUM(C175:C187)</f>
        <v>23.97</v>
      </c>
      <c r="H187" s="18"/>
      <c r="I187" s="14" t="s">
        <v>2</v>
      </c>
      <c r="J187" s="29">
        <v>9</v>
      </c>
      <c r="K187" s="21">
        <f>E187</f>
        <v>13900000</v>
      </c>
      <c r="L187" s="36">
        <f>SUMIF(I187:I192,"="&amp;"金币",K187:K192)</f>
        <v>16309660</v>
      </c>
      <c r="M187" s="22">
        <f>L187/$X$2</f>
        <v>16.30966</v>
      </c>
      <c r="N187" s="37">
        <f>SUM(L175:L187)</f>
        <v>37384150</v>
      </c>
      <c r="O187" s="23">
        <f>SUM(M175:M187)</f>
        <v>37.38415</v>
      </c>
      <c r="P187" s="24">
        <f>N187/F187</f>
        <v>1.19209661989796</v>
      </c>
      <c r="Q187" s="25"/>
      <c r="R187" s="25"/>
      <c r="W187" s="42"/>
      <c r="X187" s="42"/>
    </row>
    <row r="188" spans="1:24">
      <c r="A188" s="46">
        <f t="shared" si="5"/>
        <v>5</v>
      </c>
      <c r="B188" s="47">
        <v>15</v>
      </c>
      <c r="C188" s="14"/>
      <c r="D188" s="14" t="str">
        <f t="shared" si="4"/>
        <v/>
      </c>
      <c r="E188" s="14"/>
      <c r="F188" s="30"/>
      <c r="G188" s="17"/>
      <c r="H188" s="18"/>
      <c r="I188" s="19" t="s">
        <v>408</v>
      </c>
      <c r="J188" s="38">
        <v>3</v>
      </c>
      <c r="K188" s="21">
        <v>3</v>
      </c>
      <c r="L188" s="14"/>
      <c r="M188" s="22"/>
      <c r="N188" s="30"/>
      <c r="O188" s="23"/>
      <c r="P188" s="24"/>
      <c r="Q188" s="25"/>
      <c r="R188" s="25"/>
      <c r="W188" s="42"/>
      <c r="X188" s="42"/>
    </row>
    <row r="189" spans="1:24">
      <c r="A189" s="46">
        <f t="shared" si="5"/>
        <v>5</v>
      </c>
      <c r="B189" s="47">
        <v>16</v>
      </c>
      <c r="C189" s="14"/>
      <c r="D189" s="14" t="str">
        <f t="shared" si="4"/>
        <v/>
      </c>
      <c r="E189" s="14"/>
      <c r="F189" s="30"/>
      <c r="G189" s="17"/>
      <c r="H189" s="18">
        <v>0.12</v>
      </c>
      <c r="I189" s="19" t="s">
        <v>2</v>
      </c>
      <c r="J189" s="38">
        <v>17</v>
      </c>
      <c r="K189" s="21">
        <f>H189*$R$178</f>
        <v>2409660</v>
      </c>
      <c r="L189" s="14"/>
      <c r="M189" s="22"/>
      <c r="N189" s="30"/>
      <c r="O189" s="23"/>
      <c r="P189" s="24"/>
      <c r="Q189" s="25"/>
      <c r="R189" s="25"/>
      <c r="W189" s="42"/>
      <c r="X189" s="42"/>
    </row>
    <row r="190" spans="1:24">
      <c r="A190" s="46">
        <f t="shared" si="5"/>
        <v>5</v>
      </c>
      <c r="B190" s="47">
        <v>17</v>
      </c>
      <c r="C190" s="14"/>
      <c r="D190" s="14" t="str">
        <f t="shared" si="4"/>
        <v/>
      </c>
      <c r="E190" s="14"/>
      <c r="F190" s="30"/>
      <c r="G190" s="17"/>
      <c r="H190" s="18"/>
      <c r="I190" s="19" t="s">
        <v>461</v>
      </c>
      <c r="J190" s="38">
        <v>4</v>
      </c>
      <c r="K190" s="21">
        <v>1</v>
      </c>
      <c r="L190" s="14"/>
      <c r="M190" s="22"/>
      <c r="N190" s="30"/>
      <c r="O190" s="23"/>
      <c r="P190" s="24"/>
      <c r="Q190" s="25"/>
      <c r="R190" s="25"/>
      <c r="W190" s="42"/>
      <c r="X190" s="42"/>
    </row>
    <row r="191" spans="1:24">
      <c r="A191" s="46">
        <f t="shared" si="5"/>
        <v>5</v>
      </c>
      <c r="B191" s="47">
        <v>18</v>
      </c>
      <c r="C191" s="14"/>
      <c r="D191" s="14" t="str">
        <f t="shared" si="4"/>
        <v/>
      </c>
      <c r="E191" s="14"/>
      <c r="F191" s="30"/>
      <c r="G191" s="17"/>
      <c r="H191" s="18"/>
      <c r="I191" s="19" t="s">
        <v>453</v>
      </c>
      <c r="J191" s="38">
        <v>3</v>
      </c>
      <c r="K191" s="21">
        <v>15</v>
      </c>
      <c r="L191" s="14"/>
      <c r="M191" s="22"/>
      <c r="N191" s="30"/>
      <c r="O191" s="23"/>
      <c r="P191" s="24"/>
      <c r="Q191" s="25"/>
      <c r="R191" s="25"/>
      <c r="W191" s="42"/>
      <c r="X191" s="42"/>
    </row>
    <row r="192" spans="1:24">
      <c r="A192" s="46">
        <f t="shared" si="5"/>
        <v>5</v>
      </c>
      <c r="B192" s="47">
        <v>19</v>
      </c>
      <c r="C192" s="14"/>
      <c r="D192" s="14" t="str">
        <f t="shared" si="4"/>
        <v/>
      </c>
      <c r="E192" s="14"/>
      <c r="F192" s="30"/>
      <c r="G192" s="17"/>
      <c r="H192" s="18"/>
      <c r="I192" t="s">
        <v>424</v>
      </c>
      <c r="J192" s="38">
        <v>3</v>
      </c>
      <c r="K192" s="21">
        <v>1</v>
      </c>
      <c r="L192" s="14"/>
      <c r="M192" s="22"/>
      <c r="N192" s="30"/>
      <c r="O192" s="23"/>
      <c r="P192" s="24"/>
      <c r="Q192" s="25"/>
      <c r="R192" s="25"/>
      <c r="W192" s="42"/>
      <c r="X192" s="42"/>
    </row>
    <row r="193" spans="1:24">
      <c r="A193" s="46">
        <f t="shared" si="5"/>
        <v>5</v>
      </c>
      <c r="B193" s="47">
        <v>20</v>
      </c>
      <c r="C193" s="14">
        <v>12.99</v>
      </c>
      <c r="D193" s="14">
        <f t="shared" si="4"/>
        <v>149</v>
      </c>
      <c r="E193" s="36">
        <f>(C193+0.01)*D193*$X$2/100</f>
        <v>19370000</v>
      </c>
      <c r="F193" s="37">
        <f>SUM(E175:E193)</f>
        <v>50730000</v>
      </c>
      <c r="G193" s="17">
        <f>SUM(C175:C193)</f>
        <v>36.96</v>
      </c>
      <c r="H193" s="18"/>
      <c r="I193" s="14" t="s">
        <v>2</v>
      </c>
      <c r="J193" s="29">
        <v>9</v>
      </c>
      <c r="K193" s="21">
        <f>E193</f>
        <v>19370000</v>
      </c>
      <c r="L193" s="36">
        <f>SUMIF(I193:I198,"="&amp;"金币",K193:K198)</f>
        <v>22181270</v>
      </c>
      <c r="M193" s="22">
        <f>L193/$X$2</f>
        <v>22.18127</v>
      </c>
      <c r="N193" s="37">
        <f>SUM(L175:L193)</f>
        <v>59565420</v>
      </c>
      <c r="O193" s="23">
        <f>SUM(M175:M193)</f>
        <v>59.56542</v>
      </c>
      <c r="P193" s="24">
        <f>N193/F193</f>
        <v>1.17416558249556</v>
      </c>
      <c r="Q193" s="25"/>
      <c r="R193" s="25"/>
      <c r="W193" s="42"/>
      <c r="X193" s="42"/>
    </row>
    <row r="194" spans="1:24">
      <c r="A194" s="46">
        <f t="shared" si="5"/>
        <v>5</v>
      </c>
      <c r="B194" s="47">
        <v>21</v>
      </c>
      <c r="C194" s="14"/>
      <c r="D194" s="14" t="str">
        <f t="shared" si="4"/>
        <v/>
      </c>
      <c r="E194" s="14"/>
      <c r="F194" s="30"/>
      <c r="G194" s="17"/>
      <c r="H194" s="18"/>
      <c r="I194" s="19" t="s">
        <v>408</v>
      </c>
      <c r="J194" s="38">
        <v>3</v>
      </c>
      <c r="K194" s="21">
        <v>4</v>
      </c>
      <c r="L194" s="14"/>
      <c r="M194" s="22"/>
      <c r="N194" s="30"/>
      <c r="O194" s="23"/>
      <c r="P194" s="24"/>
      <c r="Q194" s="25"/>
      <c r="R194" s="25"/>
      <c r="W194" s="42"/>
      <c r="X194" s="42"/>
    </row>
    <row r="195" spans="1:24">
      <c r="A195" s="46">
        <f t="shared" si="5"/>
        <v>5</v>
      </c>
      <c r="B195" s="47">
        <v>22</v>
      </c>
      <c r="C195" s="14"/>
      <c r="D195" s="14" t="str">
        <f t="shared" ref="D195:D258" si="6">IFERROR(VLOOKUP(ROUND(C195*100,0),T:U,2,FALSE),"")</f>
        <v/>
      </c>
      <c r="E195" s="14"/>
      <c r="F195" s="30"/>
      <c r="G195" s="17"/>
      <c r="H195" s="18">
        <v>0.14</v>
      </c>
      <c r="I195" s="19" t="s">
        <v>2</v>
      </c>
      <c r="J195" s="38">
        <v>17</v>
      </c>
      <c r="K195" s="21">
        <f>H195*$R$178</f>
        <v>2811270</v>
      </c>
      <c r="L195" s="14"/>
      <c r="M195" s="22"/>
      <c r="N195" s="30"/>
      <c r="O195" s="23"/>
      <c r="P195" s="24"/>
      <c r="Q195" s="25"/>
      <c r="R195" s="25"/>
      <c r="W195" s="42"/>
      <c r="X195" s="42"/>
    </row>
    <row r="196" spans="1:24">
      <c r="A196" s="46">
        <f t="shared" si="5"/>
        <v>5</v>
      </c>
      <c r="B196" s="47">
        <v>23</v>
      </c>
      <c r="C196" s="14"/>
      <c r="D196" s="14" t="str">
        <f t="shared" si="6"/>
        <v/>
      </c>
      <c r="E196" s="14"/>
      <c r="F196" s="30"/>
      <c r="G196" s="17"/>
      <c r="H196" s="18"/>
      <c r="I196" s="19" t="s">
        <v>461</v>
      </c>
      <c r="J196" s="38">
        <v>4</v>
      </c>
      <c r="K196" s="21">
        <v>1</v>
      </c>
      <c r="L196" s="14"/>
      <c r="M196" s="22"/>
      <c r="N196" s="30"/>
      <c r="O196" s="23"/>
      <c r="P196" s="24"/>
      <c r="Q196" s="25"/>
      <c r="R196" s="25"/>
      <c r="W196" s="42"/>
      <c r="X196" s="42"/>
    </row>
    <row r="197" spans="1:24">
      <c r="A197" s="46">
        <f t="shared" si="5"/>
        <v>5</v>
      </c>
      <c r="B197" s="47">
        <v>24</v>
      </c>
      <c r="C197" s="14"/>
      <c r="D197" s="14" t="str">
        <f t="shared" si="6"/>
        <v/>
      </c>
      <c r="E197" s="14"/>
      <c r="F197" s="30"/>
      <c r="G197" s="17"/>
      <c r="H197" s="18"/>
      <c r="I197" s="19" t="s">
        <v>453</v>
      </c>
      <c r="J197" s="38">
        <v>3</v>
      </c>
      <c r="K197" s="21">
        <v>20</v>
      </c>
      <c r="L197" s="14"/>
      <c r="M197" s="22"/>
      <c r="N197" s="30"/>
      <c r="O197" s="23"/>
      <c r="P197" s="24"/>
      <c r="Q197" s="25"/>
      <c r="R197" s="25"/>
      <c r="W197" s="42"/>
      <c r="X197" s="42"/>
    </row>
    <row r="198" spans="1:24">
      <c r="A198" s="46">
        <f t="shared" si="5"/>
        <v>5</v>
      </c>
      <c r="B198" s="47">
        <v>25</v>
      </c>
      <c r="C198" s="14"/>
      <c r="D198" s="14" t="str">
        <f t="shared" si="6"/>
        <v/>
      </c>
      <c r="E198" s="14"/>
      <c r="F198" s="30"/>
      <c r="G198" s="17"/>
      <c r="H198" s="18"/>
      <c r="I198" t="s">
        <v>426</v>
      </c>
      <c r="J198" s="38">
        <v>3</v>
      </c>
      <c r="K198" s="21">
        <v>1</v>
      </c>
      <c r="L198" s="14"/>
      <c r="M198" s="22"/>
      <c r="N198" s="30"/>
      <c r="O198" s="23"/>
      <c r="P198" s="24"/>
      <c r="Q198" s="25"/>
      <c r="R198" s="25"/>
      <c r="W198" s="42"/>
      <c r="X198" s="42"/>
    </row>
    <row r="199" spans="1:24">
      <c r="A199" s="46">
        <f t="shared" si="5"/>
        <v>5</v>
      </c>
      <c r="B199" s="47">
        <v>26</v>
      </c>
      <c r="C199" s="14">
        <v>14.99</v>
      </c>
      <c r="D199" s="14">
        <f t="shared" si="6"/>
        <v>154</v>
      </c>
      <c r="E199" s="36">
        <f>(C199+0.01)*D199*$X$2/100</f>
        <v>23100000</v>
      </c>
      <c r="F199" s="37">
        <f>SUM(E175:E199)</f>
        <v>73830000</v>
      </c>
      <c r="G199" s="17">
        <f>SUM(C175:C199)</f>
        <v>51.95</v>
      </c>
      <c r="H199" s="18"/>
      <c r="I199" s="14" t="s">
        <v>2</v>
      </c>
      <c r="J199" s="29">
        <v>9</v>
      </c>
      <c r="K199" s="21">
        <f>E199</f>
        <v>23100000</v>
      </c>
      <c r="L199" s="36">
        <f>SUMIF(I199:I204,"="&amp;"金币",K199:K204)</f>
        <v>26312880</v>
      </c>
      <c r="M199" s="22">
        <f>L199/$X$2</f>
        <v>26.31288</v>
      </c>
      <c r="N199" s="37">
        <f>SUM(L175:L199)</f>
        <v>85878300</v>
      </c>
      <c r="O199" s="23">
        <f>SUM(M175:M199)</f>
        <v>85.8783</v>
      </c>
      <c r="P199" s="24">
        <f>N199/F199</f>
        <v>1.16318976026006</v>
      </c>
      <c r="Q199" s="25"/>
      <c r="R199" s="25"/>
    </row>
    <row r="200" spans="1:24">
      <c r="A200" s="46">
        <f t="shared" si="5"/>
        <v>5</v>
      </c>
      <c r="B200" s="47">
        <v>27</v>
      </c>
      <c r="C200" s="14"/>
      <c r="D200" s="14" t="str">
        <f t="shared" si="6"/>
        <v/>
      </c>
      <c r="E200" s="14"/>
      <c r="F200" s="30"/>
      <c r="G200" s="17"/>
      <c r="H200" s="18"/>
      <c r="I200" s="19" t="s">
        <v>408</v>
      </c>
      <c r="J200" s="38">
        <v>3</v>
      </c>
      <c r="K200" s="21">
        <v>5</v>
      </c>
      <c r="L200" s="14"/>
      <c r="M200" s="22"/>
      <c r="N200" s="30"/>
      <c r="O200" s="23"/>
      <c r="P200" s="24"/>
      <c r="Q200" s="25"/>
      <c r="R200" s="25"/>
    </row>
    <row r="201" spans="1:24">
      <c r="A201" s="46">
        <f t="shared" si="5"/>
        <v>5</v>
      </c>
      <c r="B201" s="47">
        <v>28</v>
      </c>
      <c r="C201" s="14"/>
      <c r="D201" s="14" t="str">
        <f t="shared" si="6"/>
        <v/>
      </c>
      <c r="E201" s="14"/>
      <c r="F201" s="30"/>
      <c r="G201" s="17"/>
      <c r="H201" s="18">
        <v>0.16</v>
      </c>
      <c r="I201" s="19" t="s">
        <v>2</v>
      </c>
      <c r="J201" s="38">
        <v>17</v>
      </c>
      <c r="K201" s="21">
        <f>H201*$R$178</f>
        <v>3212880</v>
      </c>
      <c r="L201" s="14"/>
      <c r="M201" s="22"/>
      <c r="N201" s="30"/>
      <c r="O201" s="23"/>
      <c r="P201" s="24"/>
      <c r="Q201" s="25"/>
      <c r="R201" s="25"/>
    </row>
    <row r="202" spans="1:24">
      <c r="A202" s="46">
        <f t="shared" si="5"/>
        <v>5</v>
      </c>
      <c r="B202" s="47">
        <v>29</v>
      </c>
      <c r="C202" s="14"/>
      <c r="D202" s="14" t="str">
        <f t="shared" si="6"/>
        <v/>
      </c>
      <c r="E202" s="14"/>
      <c r="F202" s="30"/>
      <c r="G202" s="17"/>
      <c r="H202" s="18"/>
      <c r="I202" s="19" t="s">
        <v>463</v>
      </c>
      <c r="J202" s="38">
        <v>4</v>
      </c>
      <c r="K202" s="21">
        <v>1</v>
      </c>
      <c r="L202" s="14"/>
      <c r="M202" s="22"/>
      <c r="N202" s="30"/>
      <c r="O202" s="23"/>
      <c r="P202" s="24"/>
      <c r="Q202" s="25"/>
      <c r="R202" s="25"/>
    </row>
    <row r="203" spans="1:24">
      <c r="A203" s="46">
        <f t="shared" si="5"/>
        <v>5</v>
      </c>
      <c r="B203" s="47">
        <v>30</v>
      </c>
      <c r="C203" s="14"/>
      <c r="D203" s="14" t="str">
        <f t="shared" si="6"/>
        <v/>
      </c>
      <c r="E203" s="14"/>
      <c r="F203" s="30"/>
      <c r="G203" s="17"/>
      <c r="H203" s="18"/>
      <c r="I203" s="19" t="s">
        <v>453</v>
      </c>
      <c r="J203" s="38">
        <v>3</v>
      </c>
      <c r="K203" s="21">
        <v>25</v>
      </c>
      <c r="L203" s="14"/>
      <c r="M203" s="22"/>
      <c r="N203" s="30"/>
      <c r="O203" s="23"/>
      <c r="P203" s="24"/>
      <c r="Q203" s="25"/>
      <c r="R203" s="25"/>
    </row>
    <row r="204" spans="1:24">
      <c r="A204" s="46">
        <f t="shared" si="5"/>
        <v>5</v>
      </c>
      <c r="B204" s="47">
        <v>31</v>
      </c>
      <c r="C204" s="14"/>
      <c r="D204" s="14" t="str">
        <f t="shared" si="6"/>
        <v/>
      </c>
      <c r="E204" s="14"/>
      <c r="F204" s="30"/>
      <c r="G204" s="17"/>
      <c r="H204" s="18"/>
      <c r="I204" t="s">
        <v>424</v>
      </c>
      <c r="J204" s="38">
        <v>3</v>
      </c>
      <c r="K204" s="21">
        <v>1</v>
      </c>
      <c r="L204" s="14"/>
      <c r="M204" s="22"/>
      <c r="N204" s="30"/>
      <c r="O204" s="23"/>
      <c r="P204" s="24"/>
      <c r="Q204" s="25"/>
      <c r="R204" s="25"/>
    </row>
    <row r="205" spans="1:24">
      <c r="A205" s="46">
        <f t="shared" si="5"/>
        <v>5</v>
      </c>
      <c r="B205" s="47">
        <v>32</v>
      </c>
      <c r="C205" s="14">
        <v>17.99</v>
      </c>
      <c r="D205" s="14">
        <f t="shared" si="6"/>
        <v>158</v>
      </c>
      <c r="E205" s="36">
        <f>(C205+0.01)*D205*$X$2/100</f>
        <v>28440000</v>
      </c>
      <c r="F205" s="37">
        <f>SUM(E175:E205)</f>
        <v>102270000</v>
      </c>
      <c r="G205" s="17">
        <f>SUM(C175:C205)</f>
        <v>69.94</v>
      </c>
      <c r="H205" s="18"/>
      <c r="I205" s="14" t="s">
        <v>2</v>
      </c>
      <c r="J205" s="29">
        <v>9</v>
      </c>
      <c r="K205" s="21">
        <f>E205</f>
        <v>28440000</v>
      </c>
      <c r="L205" s="36">
        <f>SUMIF(I205:I210,"="&amp;"金币",K205:K210)</f>
        <v>32054490</v>
      </c>
      <c r="M205" s="22">
        <f>L205/$X$2</f>
        <v>32.05449</v>
      </c>
      <c r="N205" s="37">
        <f>SUM(L175:L205)</f>
        <v>117932790</v>
      </c>
      <c r="O205" s="23">
        <f>SUM(M175:M205)</f>
        <v>117.93279</v>
      </c>
      <c r="P205" s="24">
        <f>N205/F205</f>
        <v>1.15315136403637</v>
      </c>
      <c r="Q205" s="25"/>
      <c r="R205" s="25"/>
    </row>
    <row r="206" spans="1:24">
      <c r="A206" s="46">
        <f t="shared" si="5"/>
        <v>5</v>
      </c>
      <c r="B206" s="47">
        <v>33</v>
      </c>
      <c r="C206" s="14"/>
      <c r="D206" s="14" t="str">
        <f t="shared" si="6"/>
        <v/>
      </c>
      <c r="E206" s="14"/>
      <c r="F206" s="30"/>
      <c r="G206" s="17"/>
      <c r="H206" s="18"/>
      <c r="I206" s="19" t="s">
        <v>408</v>
      </c>
      <c r="J206" s="38">
        <v>3</v>
      </c>
      <c r="K206" s="21">
        <v>6</v>
      </c>
      <c r="L206" s="14"/>
      <c r="M206" s="22"/>
      <c r="N206" s="30"/>
      <c r="O206" s="23"/>
      <c r="P206" s="24"/>
      <c r="Q206" s="25"/>
      <c r="R206" s="25"/>
    </row>
    <row r="207" spans="1:24">
      <c r="A207" s="46">
        <f t="shared" si="5"/>
        <v>5</v>
      </c>
      <c r="B207" s="47">
        <v>34</v>
      </c>
      <c r="C207" s="14"/>
      <c r="D207" s="14" t="str">
        <f t="shared" si="6"/>
        <v/>
      </c>
      <c r="E207" s="14"/>
      <c r="F207" s="30"/>
      <c r="G207" s="17"/>
      <c r="H207" s="18">
        <v>0.18</v>
      </c>
      <c r="I207" s="19" t="s">
        <v>2</v>
      </c>
      <c r="J207" s="38">
        <v>17</v>
      </c>
      <c r="K207" s="21">
        <f>H207*$R$178</f>
        <v>3614490</v>
      </c>
      <c r="L207" s="14"/>
      <c r="M207" s="22"/>
      <c r="N207" s="30"/>
      <c r="O207" s="23"/>
      <c r="P207" s="24"/>
      <c r="Q207" s="25"/>
      <c r="R207" s="25"/>
    </row>
    <row r="208" spans="1:24">
      <c r="A208" s="46">
        <f t="shared" si="5"/>
        <v>5</v>
      </c>
      <c r="B208" s="47">
        <v>35</v>
      </c>
      <c r="C208" s="14"/>
      <c r="D208" s="14" t="str">
        <f t="shared" si="6"/>
        <v/>
      </c>
      <c r="E208" s="14"/>
      <c r="F208" s="30"/>
      <c r="G208" s="17"/>
      <c r="H208" s="18"/>
      <c r="I208" s="19" t="s">
        <v>463</v>
      </c>
      <c r="J208" s="38">
        <v>4</v>
      </c>
      <c r="K208" s="21">
        <v>1</v>
      </c>
      <c r="L208" s="14"/>
      <c r="M208" s="22"/>
      <c r="N208" s="30"/>
      <c r="O208" s="23"/>
      <c r="P208" s="24"/>
      <c r="Q208" s="25"/>
      <c r="R208" s="25"/>
    </row>
    <row r="209" spans="1:18">
      <c r="A209" s="46">
        <f t="shared" si="5"/>
        <v>5</v>
      </c>
      <c r="B209" s="47">
        <v>36</v>
      </c>
      <c r="C209" s="14"/>
      <c r="D209" s="14" t="str">
        <f t="shared" si="6"/>
        <v/>
      </c>
      <c r="E209" s="14"/>
      <c r="F209" s="30"/>
      <c r="G209" s="17"/>
      <c r="H209" s="18"/>
      <c r="I209" s="19" t="s">
        <v>453</v>
      </c>
      <c r="J209" s="38">
        <v>3</v>
      </c>
      <c r="K209" s="21">
        <v>30</v>
      </c>
      <c r="L209" s="14"/>
      <c r="M209" s="22"/>
      <c r="N209" s="30"/>
      <c r="O209" s="23"/>
      <c r="P209" s="24"/>
      <c r="Q209" s="25"/>
      <c r="R209" s="25"/>
    </row>
    <row r="210" spans="1:18">
      <c r="A210" s="46">
        <f t="shared" si="5"/>
        <v>5</v>
      </c>
      <c r="B210" s="47">
        <v>37</v>
      </c>
      <c r="C210" s="14"/>
      <c r="D210" s="14" t="str">
        <f t="shared" si="6"/>
        <v/>
      </c>
      <c r="E210" s="14"/>
      <c r="F210" s="30"/>
      <c r="G210" s="17"/>
      <c r="H210" s="18"/>
      <c r="I210" t="s">
        <v>426</v>
      </c>
      <c r="J210" s="38">
        <v>3</v>
      </c>
      <c r="K210" s="21">
        <v>1</v>
      </c>
      <c r="L210" s="14"/>
      <c r="M210" s="22"/>
      <c r="N210" s="30"/>
      <c r="O210" s="23"/>
      <c r="P210" s="24"/>
      <c r="Q210" s="25"/>
      <c r="R210" s="25"/>
    </row>
    <row r="211" spans="1:18">
      <c r="A211" s="46">
        <f t="shared" si="5"/>
        <v>5</v>
      </c>
      <c r="B211" s="47">
        <v>38</v>
      </c>
      <c r="C211" s="14">
        <v>19.99</v>
      </c>
      <c r="D211" s="14">
        <f t="shared" si="6"/>
        <v>158</v>
      </c>
      <c r="E211" s="36">
        <f>(C211+0.01)*D211*$X$2/100</f>
        <v>31600000</v>
      </c>
      <c r="F211" s="37">
        <f>SUM(E175:E211)</f>
        <v>133870000</v>
      </c>
      <c r="G211" s="17">
        <f>SUM(C175:C211)</f>
        <v>89.93</v>
      </c>
      <c r="H211" s="18"/>
      <c r="I211" s="14" t="s">
        <v>2</v>
      </c>
      <c r="J211" s="29">
        <v>9</v>
      </c>
      <c r="K211" s="21">
        <f>E211</f>
        <v>31600000</v>
      </c>
      <c r="L211" s="36">
        <f>SUMIF(I211:I216,"="&amp;"金币",K211:K216)</f>
        <v>36017710</v>
      </c>
      <c r="M211" s="22">
        <f>L211/$X$2</f>
        <v>36.01771</v>
      </c>
      <c r="N211" s="37">
        <f>SUM(L175:L211)</f>
        <v>153950500</v>
      </c>
      <c r="O211" s="23">
        <f>SUM(M175:M211)</f>
        <v>153.9505</v>
      </c>
      <c r="P211" s="24">
        <f>N211/F211</f>
        <v>1.15</v>
      </c>
      <c r="Q211" s="25"/>
      <c r="R211" s="25"/>
    </row>
    <row r="212" spans="1:18">
      <c r="A212" s="46">
        <f t="shared" si="5"/>
        <v>5</v>
      </c>
      <c r="B212" s="47">
        <v>39</v>
      </c>
      <c r="C212" s="14"/>
      <c r="D212" s="14" t="str">
        <f t="shared" si="6"/>
        <v/>
      </c>
      <c r="E212" s="14"/>
      <c r="F212" s="30"/>
      <c r="G212" s="17"/>
      <c r="H212" s="18"/>
      <c r="I212" s="19" t="s">
        <v>408</v>
      </c>
      <c r="J212" s="38">
        <v>3</v>
      </c>
      <c r="K212" s="21">
        <v>7</v>
      </c>
      <c r="L212" s="14"/>
      <c r="M212" s="22"/>
      <c r="N212" s="30"/>
      <c r="O212" s="23"/>
      <c r="P212" s="24"/>
      <c r="Q212" s="25"/>
      <c r="R212" s="25"/>
    </row>
    <row r="213" spans="1:18">
      <c r="A213" s="46">
        <f t="shared" si="5"/>
        <v>5</v>
      </c>
      <c r="B213" s="47">
        <v>40</v>
      </c>
      <c r="C213" s="14"/>
      <c r="D213" s="14" t="str">
        <f t="shared" si="6"/>
        <v/>
      </c>
      <c r="E213" s="14"/>
      <c r="F213" s="30"/>
      <c r="G213" s="17"/>
      <c r="H213" s="18">
        <v>0.22</v>
      </c>
      <c r="I213" s="19" t="s">
        <v>2</v>
      </c>
      <c r="J213" s="38">
        <v>17</v>
      </c>
      <c r="K213" s="21">
        <f>H213*$R$178</f>
        <v>4417710</v>
      </c>
      <c r="L213" s="14"/>
      <c r="M213" s="22"/>
      <c r="N213" s="30"/>
      <c r="O213" s="23"/>
      <c r="P213" s="24"/>
      <c r="Q213" s="25"/>
      <c r="R213" s="25"/>
    </row>
    <row r="214" spans="1:18">
      <c r="A214" s="46">
        <f t="shared" si="5"/>
        <v>5</v>
      </c>
      <c r="B214" s="47">
        <v>41</v>
      </c>
      <c r="C214" s="14"/>
      <c r="D214" s="14" t="str">
        <f t="shared" si="6"/>
        <v/>
      </c>
      <c r="E214" s="14"/>
      <c r="F214" s="30"/>
      <c r="G214" s="17"/>
      <c r="H214" s="18"/>
      <c r="I214" s="19" t="s">
        <v>473</v>
      </c>
      <c r="J214" s="38">
        <v>4</v>
      </c>
      <c r="K214" s="21">
        <v>1</v>
      </c>
      <c r="L214" s="14"/>
      <c r="M214" s="22"/>
      <c r="N214" s="30"/>
      <c r="O214" s="23"/>
      <c r="P214" s="24"/>
      <c r="Q214" s="25"/>
      <c r="R214" s="25"/>
    </row>
    <row r="215" spans="1:18">
      <c r="A215" s="46">
        <f t="shared" si="5"/>
        <v>5</v>
      </c>
      <c r="B215" s="47">
        <v>42</v>
      </c>
      <c r="C215" s="14"/>
      <c r="D215" s="14" t="str">
        <f t="shared" si="6"/>
        <v/>
      </c>
      <c r="E215" s="14"/>
      <c r="F215" s="30"/>
      <c r="G215" s="17"/>
      <c r="H215" s="18"/>
      <c r="I215" s="19" t="s">
        <v>453</v>
      </c>
      <c r="J215" s="38">
        <v>3</v>
      </c>
      <c r="K215" s="21">
        <v>35</v>
      </c>
      <c r="L215" s="14"/>
      <c r="M215" s="22"/>
      <c r="N215" s="30"/>
      <c r="O215" s="23"/>
      <c r="P215" s="24"/>
      <c r="Q215" s="25"/>
      <c r="R215" s="25"/>
    </row>
    <row r="216" spans="1:18">
      <c r="A216" s="46">
        <f t="shared" si="5"/>
        <v>5</v>
      </c>
      <c r="B216" s="47">
        <v>43</v>
      </c>
      <c r="C216" s="14"/>
      <c r="D216" s="14" t="str">
        <f t="shared" si="6"/>
        <v/>
      </c>
      <c r="E216" s="14"/>
      <c r="F216" s="30"/>
      <c r="G216" s="17"/>
      <c r="H216" s="18"/>
      <c r="I216" t="s">
        <v>424</v>
      </c>
      <c r="J216" s="38">
        <v>3</v>
      </c>
      <c r="K216" s="21">
        <v>1</v>
      </c>
      <c r="L216" s="14"/>
      <c r="M216" s="22"/>
      <c r="N216" s="30"/>
      <c r="O216" s="23"/>
      <c r="P216" s="24"/>
      <c r="Q216" s="25"/>
      <c r="R216" s="25"/>
    </row>
    <row r="217" spans="1:18">
      <c r="A217" s="46">
        <f t="shared" si="5"/>
        <v>6</v>
      </c>
      <c r="B217" s="47">
        <v>1</v>
      </c>
      <c r="C217" s="14"/>
      <c r="D217" s="14" t="str">
        <f t="shared" si="6"/>
        <v/>
      </c>
      <c r="E217" s="14"/>
      <c r="F217" s="30"/>
      <c r="G217" s="17"/>
      <c r="H217" s="18"/>
      <c r="I217" s="14" t="s">
        <v>2</v>
      </c>
      <c r="J217" s="29">
        <v>1</v>
      </c>
      <c r="K217" s="21">
        <v>5000</v>
      </c>
      <c r="L217" s="14"/>
      <c r="M217" s="22"/>
      <c r="N217" s="30"/>
      <c r="O217" s="23"/>
      <c r="P217" s="24"/>
      <c r="Q217" s="25"/>
      <c r="R217" s="31">
        <f>SUM(C217:C259)</f>
        <v>89.93</v>
      </c>
    </row>
    <row r="218" spans="1:18">
      <c r="A218" s="46">
        <f t="shared" si="5"/>
        <v>6</v>
      </c>
      <c r="B218" s="47">
        <v>2</v>
      </c>
      <c r="C218" s="35">
        <v>5.99</v>
      </c>
      <c r="D218" s="14">
        <f t="shared" si="6"/>
        <v>119</v>
      </c>
      <c r="E218" s="36">
        <f>(C218+0.01)*D218*$X$2/100</f>
        <v>7140000</v>
      </c>
      <c r="F218" s="37">
        <f>SUM(E218)</f>
        <v>7140000</v>
      </c>
      <c r="G218" s="17">
        <f>SUM(C218)</f>
        <v>5.99</v>
      </c>
      <c r="H218" s="18"/>
      <c r="I218" s="14" t="s">
        <v>2</v>
      </c>
      <c r="J218" s="29">
        <v>9</v>
      </c>
      <c r="K218" s="21">
        <f>E218</f>
        <v>7140000</v>
      </c>
      <c r="L218" s="36">
        <f>SUMIF(I218:I223,"="&amp;"金币",K218:K223)</f>
        <v>8746440</v>
      </c>
      <c r="M218" s="22">
        <f>L218/$X$2</f>
        <v>8.74644</v>
      </c>
      <c r="N218" s="37">
        <f>SUM(L218)</f>
        <v>8746440</v>
      </c>
      <c r="O218" s="23">
        <f>SUM(M218)</f>
        <v>8.74644</v>
      </c>
      <c r="P218" s="24">
        <f>N218/F218</f>
        <v>1.22499159663866</v>
      </c>
      <c r="Q218" s="25"/>
      <c r="R218" s="26" t="s">
        <v>556</v>
      </c>
    </row>
    <row r="219" spans="1:18">
      <c r="A219" s="46">
        <f t="shared" si="5"/>
        <v>6</v>
      </c>
      <c r="B219" s="47">
        <v>3</v>
      </c>
      <c r="C219" s="14"/>
      <c r="D219" s="14" t="str">
        <f t="shared" si="6"/>
        <v/>
      </c>
      <c r="E219" s="14"/>
      <c r="F219" s="30"/>
      <c r="G219" s="17"/>
      <c r="H219" s="18"/>
      <c r="I219" s="19" t="s">
        <v>408</v>
      </c>
      <c r="J219" s="38">
        <v>3</v>
      </c>
      <c r="K219" s="21">
        <v>1</v>
      </c>
      <c r="L219" s="14"/>
      <c r="M219" s="22"/>
      <c r="N219" s="30"/>
      <c r="O219" s="23"/>
      <c r="P219" s="24"/>
      <c r="Q219" s="25"/>
      <c r="R219" s="39">
        <v>1.15</v>
      </c>
    </row>
    <row r="220" spans="1:18">
      <c r="A220" s="46">
        <f t="shared" si="5"/>
        <v>6</v>
      </c>
      <c r="B220" s="47">
        <v>4</v>
      </c>
      <c r="C220" s="14"/>
      <c r="D220" s="14" t="str">
        <f t="shared" si="6"/>
        <v/>
      </c>
      <c r="E220" s="14"/>
      <c r="F220" s="30"/>
      <c r="G220" s="17"/>
      <c r="H220" s="18">
        <v>0.08</v>
      </c>
      <c r="I220" s="19" t="s">
        <v>2</v>
      </c>
      <c r="J220" s="38">
        <v>17</v>
      </c>
      <c r="K220" s="21">
        <f>H220*$R$221</f>
        <v>1606440</v>
      </c>
      <c r="L220" s="14"/>
      <c r="M220" s="22"/>
      <c r="N220" s="30"/>
      <c r="O220" s="23"/>
      <c r="P220" s="24"/>
      <c r="Q220" s="25"/>
      <c r="R220" s="26" t="s">
        <v>557</v>
      </c>
    </row>
    <row r="221" spans="1:18">
      <c r="A221" s="46">
        <f t="shared" si="5"/>
        <v>6</v>
      </c>
      <c r="B221" s="47">
        <v>5</v>
      </c>
      <c r="C221" s="14"/>
      <c r="D221" s="14" t="str">
        <f t="shared" si="6"/>
        <v/>
      </c>
      <c r="E221" s="14"/>
      <c r="F221" s="30"/>
      <c r="G221" s="17"/>
      <c r="H221" s="18"/>
      <c r="I221" s="19" t="s">
        <v>457</v>
      </c>
      <c r="J221" s="38">
        <v>4</v>
      </c>
      <c r="K221" s="21">
        <v>1</v>
      </c>
      <c r="L221" s="14"/>
      <c r="M221" s="22"/>
      <c r="N221" s="30"/>
      <c r="O221" s="23"/>
      <c r="P221" s="24"/>
      <c r="Q221" s="25"/>
      <c r="R221" s="40">
        <f>SUM(E217:E259)*(R219-1)</f>
        <v>20080500</v>
      </c>
    </row>
    <row r="222" spans="1:18">
      <c r="A222" s="46">
        <f t="shared" si="5"/>
        <v>6</v>
      </c>
      <c r="B222" s="47">
        <v>6</v>
      </c>
      <c r="C222" s="14"/>
      <c r="D222" s="14" t="str">
        <f t="shared" si="6"/>
        <v/>
      </c>
      <c r="E222" s="14"/>
      <c r="F222" s="30"/>
      <c r="G222" s="17"/>
      <c r="H222" s="18"/>
      <c r="I222" s="19" t="s">
        <v>453</v>
      </c>
      <c r="J222" s="38">
        <v>3</v>
      </c>
      <c r="K222" s="21">
        <v>5</v>
      </c>
      <c r="L222" s="14"/>
      <c r="M222" s="22"/>
      <c r="N222" s="30"/>
      <c r="O222" s="23"/>
      <c r="P222" s="24"/>
      <c r="Q222" s="25"/>
      <c r="R222" s="26" t="s">
        <v>558</v>
      </c>
    </row>
    <row r="223" spans="1:18">
      <c r="A223" s="46">
        <f t="shared" si="5"/>
        <v>6</v>
      </c>
      <c r="B223" s="47">
        <v>7</v>
      </c>
      <c r="C223" s="14"/>
      <c r="D223" s="14" t="str">
        <f t="shared" si="6"/>
        <v/>
      </c>
      <c r="E223" s="14"/>
      <c r="F223" s="30"/>
      <c r="G223" s="17"/>
      <c r="H223" s="18"/>
      <c r="I223" t="s">
        <v>424</v>
      </c>
      <c r="J223" s="38">
        <v>3</v>
      </c>
      <c r="K223" s="21">
        <v>1</v>
      </c>
      <c r="L223" s="14"/>
      <c r="M223" s="22"/>
      <c r="N223" s="30"/>
      <c r="O223" s="23"/>
      <c r="P223" s="24"/>
      <c r="Q223" s="25"/>
      <c r="R223" s="26">
        <f>SUM(H217:H259)</f>
        <v>1</v>
      </c>
    </row>
    <row r="224" spans="1:18">
      <c r="A224" s="46">
        <f t="shared" si="5"/>
        <v>6</v>
      </c>
      <c r="B224" s="47">
        <v>8</v>
      </c>
      <c r="C224" s="14">
        <v>7.99</v>
      </c>
      <c r="D224" s="14">
        <f t="shared" si="6"/>
        <v>129</v>
      </c>
      <c r="E224" s="36">
        <f>(C224+0.01)*D224*$X$2/100</f>
        <v>10320000</v>
      </c>
      <c r="F224" s="37">
        <f>SUM(E218:E224)</f>
        <v>17460000</v>
      </c>
      <c r="G224" s="17">
        <f>SUM(C218:C224)</f>
        <v>13.98</v>
      </c>
      <c r="H224" s="18"/>
      <c r="I224" s="14" t="s">
        <v>2</v>
      </c>
      <c r="J224" s="29">
        <v>9</v>
      </c>
      <c r="K224" s="21">
        <f>E224</f>
        <v>10320000</v>
      </c>
      <c r="L224" s="36">
        <f>SUMIF(I224:I229,"="&amp;"金币",K224:K229)</f>
        <v>12328050</v>
      </c>
      <c r="M224" s="22">
        <f>L224/$X$2</f>
        <v>12.32805</v>
      </c>
      <c r="N224" s="37">
        <f>SUM(L218:L224)</f>
        <v>21074490</v>
      </c>
      <c r="O224" s="23">
        <f>SUM(M218:M224)</f>
        <v>21.07449</v>
      </c>
      <c r="P224" s="24">
        <f>N224/F224</f>
        <v>1.20701546391753</v>
      </c>
      <c r="Q224" s="25"/>
      <c r="R224" s="25"/>
    </row>
    <row r="225" spans="1:18">
      <c r="A225" s="46">
        <f t="shared" si="5"/>
        <v>6</v>
      </c>
      <c r="B225" s="47">
        <v>9</v>
      </c>
      <c r="C225" s="14"/>
      <c r="D225" s="14" t="str">
        <f t="shared" si="6"/>
        <v/>
      </c>
      <c r="E225" s="14"/>
      <c r="F225" s="30"/>
      <c r="G225" s="17"/>
      <c r="H225" s="18"/>
      <c r="I225" s="19" t="s">
        <v>408</v>
      </c>
      <c r="J225" s="38">
        <v>3</v>
      </c>
      <c r="K225" s="21">
        <v>2</v>
      </c>
      <c r="L225" s="14"/>
      <c r="M225" s="22"/>
      <c r="N225" s="30"/>
      <c r="O225" s="23"/>
      <c r="P225" s="24"/>
      <c r="Q225" s="25"/>
      <c r="R225" s="25"/>
    </row>
    <row r="226" spans="1:18">
      <c r="A226" s="46">
        <f t="shared" si="5"/>
        <v>6</v>
      </c>
      <c r="B226" s="47">
        <v>10</v>
      </c>
      <c r="C226" s="14"/>
      <c r="D226" s="14" t="str">
        <f t="shared" si="6"/>
        <v/>
      </c>
      <c r="E226" s="14"/>
      <c r="F226" s="30"/>
      <c r="G226" s="17"/>
      <c r="H226" s="18">
        <v>0.1</v>
      </c>
      <c r="I226" s="19" t="s">
        <v>2</v>
      </c>
      <c r="J226" s="38">
        <v>17</v>
      </c>
      <c r="K226" s="21">
        <f>H226*$R$221</f>
        <v>2008050</v>
      </c>
      <c r="L226" s="14"/>
      <c r="M226" s="22"/>
      <c r="N226" s="30"/>
      <c r="O226" s="23"/>
      <c r="P226" s="24"/>
      <c r="Q226" s="25"/>
      <c r="R226" s="25"/>
    </row>
    <row r="227" spans="1:18">
      <c r="A227" s="46">
        <f t="shared" si="5"/>
        <v>6</v>
      </c>
      <c r="B227" s="47">
        <v>11</v>
      </c>
      <c r="C227" s="14"/>
      <c r="D227" s="14" t="str">
        <f t="shared" si="6"/>
        <v/>
      </c>
      <c r="E227" s="14"/>
      <c r="F227" s="30"/>
      <c r="G227" s="17"/>
      <c r="H227" s="18"/>
      <c r="I227" s="19" t="s">
        <v>459</v>
      </c>
      <c r="J227" s="38">
        <v>4</v>
      </c>
      <c r="K227" s="21">
        <v>1</v>
      </c>
      <c r="L227" s="14"/>
      <c r="M227" s="22"/>
      <c r="N227" s="30"/>
      <c r="O227" s="23"/>
      <c r="P227" s="24"/>
      <c r="Q227" s="25"/>
      <c r="R227" s="25"/>
    </row>
    <row r="228" spans="1:18">
      <c r="A228" s="46">
        <f t="shared" si="5"/>
        <v>6</v>
      </c>
      <c r="B228" s="47">
        <v>12</v>
      </c>
      <c r="C228" s="14"/>
      <c r="D228" s="14" t="str">
        <f t="shared" si="6"/>
        <v/>
      </c>
      <c r="E228" s="14"/>
      <c r="F228" s="30"/>
      <c r="G228" s="17"/>
      <c r="H228" s="18"/>
      <c r="I228" s="19" t="s">
        <v>453</v>
      </c>
      <c r="J228" s="38">
        <v>3</v>
      </c>
      <c r="K228" s="21">
        <v>10</v>
      </c>
      <c r="L228" s="14"/>
      <c r="M228" s="22"/>
      <c r="N228" s="30"/>
      <c r="O228" s="23"/>
      <c r="P228" s="24"/>
      <c r="Q228" s="25"/>
      <c r="R228" s="25"/>
    </row>
    <row r="229" spans="1:18">
      <c r="A229" s="46">
        <f t="shared" si="5"/>
        <v>6</v>
      </c>
      <c r="B229" s="47">
        <v>13</v>
      </c>
      <c r="C229" s="14"/>
      <c r="D229" s="14" t="str">
        <f t="shared" si="6"/>
        <v/>
      </c>
      <c r="E229" s="14"/>
      <c r="F229" s="30"/>
      <c r="G229" s="17"/>
      <c r="H229" s="18"/>
      <c r="I229" t="s">
        <v>426</v>
      </c>
      <c r="J229" s="38">
        <v>3</v>
      </c>
      <c r="K229" s="21">
        <v>1</v>
      </c>
      <c r="L229" s="14"/>
      <c r="M229" s="22"/>
      <c r="N229" s="30"/>
      <c r="O229" s="23"/>
      <c r="P229" s="24"/>
      <c r="Q229" s="25"/>
      <c r="R229" s="25"/>
    </row>
    <row r="230" spans="1:18">
      <c r="A230" s="46">
        <f t="shared" si="5"/>
        <v>6</v>
      </c>
      <c r="B230" s="47">
        <v>14</v>
      </c>
      <c r="C230" s="14">
        <v>9.99</v>
      </c>
      <c r="D230" s="14">
        <f t="shared" si="6"/>
        <v>139</v>
      </c>
      <c r="E230" s="36">
        <f>(C230+0.01)*D230*$X$2/100</f>
        <v>13900000</v>
      </c>
      <c r="F230" s="37">
        <f>SUM(E218:E230)</f>
        <v>31360000</v>
      </c>
      <c r="G230" s="17">
        <f>SUM(C218:C230)</f>
        <v>23.97</v>
      </c>
      <c r="H230" s="18"/>
      <c r="I230" s="14" t="s">
        <v>2</v>
      </c>
      <c r="J230" s="29">
        <v>9</v>
      </c>
      <c r="K230" s="21">
        <f>E230</f>
        <v>13900000</v>
      </c>
      <c r="L230" s="36">
        <f>SUMIF(I230:I235,"="&amp;"金币",K230:K235)</f>
        <v>16309660</v>
      </c>
      <c r="M230" s="22">
        <f>L230/$X$2</f>
        <v>16.30966</v>
      </c>
      <c r="N230" s="37">
        <f>SUM(L218:L230)</f>
        <v>37384150</v>
      </c>
      <c r="O230" s="23">
        <f>SUM(M218:M230)</f>
        <v>37.38415</v>
      </c>
      <c r="P230" s="24">
        <f>N230/F230</f>
        <v>1.19209661989796</v>
      </c>
      <c r="Q230" s="25"/>
      <c r="R230" s="25"/>
    </row>
    <row r="231" spans="1:18">
      <c r="A231" s="46">
        <f t="shared" si="5"/>
        <v>6</v>
      </c>
      <c r="B231" s="47">
        <v>15</v>
      </c>
      <c r="C231" s="14"/>
      <c r="D231" s="14" t="str">
        <f t="shared" si="6"/>
        <v/>
      </c>
      <c r="E231" s="14"/>
      <c r="F231" s="30"/>
      <c r="G231" s="17"/>
      <c r="H231" s="18"/>
      <c r="I231" s="19" t="s">
        <v>408</v>
      </c>
      <c r="J231" s="38">
        <v>3</v>
      </c>
      <c r="K231" s="21">
        <v>3</v>
      </c>
      <c r="L231" s="14"/>
      <c r="M231" s="22"/>
      <c r="N231" s="30"/>
      <c r="O231" s="23"/>
      <c r="P231" s="24"/>
      <c r="Q231" s="25"/>
      <c r="R231" s="25"/>
    </row>
    <row r="232" spans="1:18">
      <c r="A232" s="46">
        <f t="shared" si="5"/>
        <v>6</v>
      </c>
      <c r="B232" s="47">
        <v>16</v>
      </c>
      <c r="C232" s="14"/>
      <c r="D232" s="14" t="str">
        <f t="shared" si="6"/>
        <v/>
      </c>
      <c r="E232" s="14"/>
      <c r="F232" s="30"/>
      <c r="G232" s="17"/>
      <c r="H232" s="18">
        <v>0.12</v>
      </c>
      <c r="I232" s="19" t="s">
        <v>2</v>
      </c>
      <c r="J232" s="38">
        <v>17</v>
      </c>
      <c r="K232" s="21">
        <f>H232*$R$221</f>
        <v>2409660</v>
      </c>
      <c r="L232" s="14"/>
      <c r="M232" s="22"/>
      <c r="N232" s="30"/>
      <c r="O232" s="23"/>
      <c r="P232" s="24"/>
      <c r="Q232" s="25"/>
      <c r="R232" s="25"/>
    </row>
    <row r="233" spans="1:18">
      <c r="A233" s="46">
        <f t="shared" si="5"/>
        <v>6</v>
      </c>
      <c r="B233" s="47">
        <v>17</v>
      </c>
      <c r="C233" s="14"/>
      <c r="D233" s="14" t="str">
        <f t="shared" si="6"/>
        <v/>
      </c>
      <c r="E233" s="14"/>
      <c r="F233" s="30"/>
      <c r="G233" s="17"/>
      <c r="H233" s="18"/>
      <c r="I233" s="19" t="s">
        <v>461</v>
      </c>
      <c r="J233" s="38">
        <v>4</v>
      </c>
      <c r="K233" s="21">
        <v>1</v>
      </c>
      <c r="L233" s="14"/>
      <c r="M233" s="22"/>
      <c r="N233" s="30"/>
      <c r="O233" s="23"/>
      <c r="P233" s="24"/>
      <c r="Q233" s="25"/>
      <c r="R233" s="25"/>
    </row>
    <row r="234" spans="1:18">
      <c r="A234" s="46">
        <f t="shared" si="5"/>
        <v>6</v>
      </c>
      <c r="B234" s="47">
        <v>18</v>
      </c>
      <c r="C234" s="14"/>
      <c r="D234" s="14" t="str">
        <f t="shared" si="6"/>
        <v/>
      </c>
      <c r="E234" s="14"/>
      <c r="F234" s="30"/>
      <c r="G234" s="17"/>
      <c r="H234" s="18"/>
      <c r="I234" s="19" t="s">
        <v>453</v>
      </c>
      <c r="J234" s="38">
        <v>3</v>
      </c>
      <c r="K234" s="21">
        <v>15</v>
      </c>
      <c r="L234" s="14"/>
      <c r="M234" s="22"/>
      <c r="N234" s="30"/>
      <c r="O234" s="23"/>
      <c r="P234" s="24"/>
      <c r="Q234" s="25"/>
      <c r="R234" s="25"/>
    </row>
    <row r="235" spans="1:18">
      <c r="A235" s="46">
        <f t="shared" si="5"/>
        <v>6</v>
      </c>
      <c r="B235" s="47">
        <v>19</v>
      </c>
      <c r="C235" s="14"/>
      <c r="D235" s="14" t="str">
        <f t="shared" si="6"/>
        <v/>
      </c>
      <c r="E235" s="14"/>
      <c r="F235" s="30"/>
      <c r="G235" s="17"/>
      <c r="H235" s="18"/>
      <c r="I235" t="s">
        <v>424</v>
      </c>
      <c r="J235" s="38">
        <v>3</v>
      </c>
      <c r="K235" s="21">
        <v>1</v>
      </c>
      <c r="L235" s="14"/>
      <c r="M235" s="22"/>
      <c r="N235" s="30"/>
      <c r="O235" s="23"/>
      <c r="P235" s="24"/>
      <c r="Q235" s="25"/>
      <c r="R235" s="25"/>
    </row>
    <row r="236" spans="1:18">
      <c r="A236" s="46">
        <f t="shared" si="5"/>
        <v>6</v>
      </c>
      <c r="B236" s="47">
        <v>20</v>
      </c>
      <c r="C236" s="14">
        <v>12.99</v>
      </c>
      <c r="D236" s="14">
        <f t="shared" si="6"/>
        <v>149</v>
      </c>
      <c r="E236" s="36">
        <f>(C236+0.01)*D236*$X$2/100</f>
        <v>19370000</v>
      </c>
      <c r="F236" s="37">
        <f>SUM(E218:E236)</f>
        <v>50730000</v>
      </c>
      <c r="G236" s="17">
        <f>SUM(C218:C236)</f>
        <v>36.96</v>
      </c>
      <c r="H236" s="18"/>
      <c r="I236" s="14" t="s">
        <v>2</v>
      </c>
      <c r="J236" s="29">
        <v>9</v>
      </c>
      <c r="K236" s="21">
        <f>E236</f>
        <v>19370000</v>
      </c>
      <c r="L236" s="36">
        <f>SUMIF(I236:I241,"="&amp;"金币",K236:K241)</f>
        <v>22181270</v>
      </c>
      <c r="M236" s="22">
        <f>L236/$X$2</f>
        <v>22.18127</v>
      </c>
      <c r="N236" s="37">
        <f>SUM(L218:L236)</f>
        <v>59565420</v>
      </c>
      <c r="O236" s="23">
        <f>SUM(M218:M236)</f>
        <v>59.56542</v>
      </c>
      <c r="P236" s="24">
        <f>N236/F236</f>
        <v>1.17416558249556</v>
      </c>
      <c r="Q236" s="25"/>
      <c r="R236" s="25"/>
    </row>
    <row r="237" spans="1:18">
      <c r="A237" s="46">
        <f t="shared" ref="A237:A300" si="7">A194+1</f>
        <v>6</v>
      </c>
      <c r="B237" s="47">
        <v>21</v>
      </c>
      <c r="C237" s="14"/>
      <c r="D237" s="14" t="str">
        <f t="shared" si="6"/>
        <v/>
      </c>
      <c r="E237" s="14"/>
      <c r="F237" s="30"/>
      <c r="G237" s="17"/>
      <c r="H237" s="18"/>
      <c r="I237" s="19" t="s">
        <v>408</v>
      </c>
      <c r="J237" s="38">
        <v>3</v>
      </c>
      <c r="K237" s="21">
        <v>4</v>
      </c>
      <c r="L237" s="14"/>
      <c r="M237" s="22"/>
      <c r="N237" s="30"/>
      <c r="O237" s="23"/>
      <c r="P237" s="24"/>
      <c r="Q237" s="25"/>
      <c r="R237" s="25"/>
    </row>
    <row r="238" spans="1:18">
      <c r="A238" s="46">
        <f t="shared" si="7"/>
        <v>6</v>
      </c>
      <c r="B238" s="47">
        <v>22</v>
      </c>
      <c r="C238" s="14"/>
      <c r="D238" s="14" t="str">
        <f t="shared" si="6"/>
        <v/>
      </c>
      <c r="E238" s="14"/>
      <c r="F238" s="30"/>
      <c r="G238" s="17"/>
      <c r="H238" s="18">
        <v>0.14</v>
      </c>
      <c r="I238" s="19" t="s">
        <v>2</v>
      </c>
      <c r="J238" s="38">
        <v>17</v>
      </c>
      <c r="K238" s="21">
        <f>H238*$R$221</f>
        <v>2811270</v>
      </c>
      <c r="L238" s="14"/>
      <c r="M238" s="22"/>
      <c r="N238" s="30"/>
      <c r="O238" s="23"/>
      <c r="P238" s="24"/>
      <c r="Q238" s="25"/>
      <c r="R238" s="25"/>
    </row>
    <row r="239" spans="1:18">
      <c r="A239" s="46">
        <f t="shared" si="7"/>
        <v>6</v>
      </c>
      <c r="B239" s="47">
        <v>23</v>
      </c>
      <c r="C239" s="14"/>
      <c r="D239" s="14" t="str">
        <f t="shared" si="6"/>
        <v/>
      </c>
      <c r="E239" s="14"/>
      <c r="F239" s="30"/>
      <c r="G239" s="17"/>
      <c r="H239" s="18"/>
      <c r="I239" s="19" t="s">
        <v>461</v>
      </c>
      <c r="J239" s="38">
        <v>4</v>
      </c>
      <c r="K239" s="21">
        <v>1</v>
      </c>
      <c r="L239" s="14"/>
      <c r="M239" s="22"/>
      <c r="N239" s="30"/>
      <c r="O239" s="23"/>
      <c r="P239" s="24"/>
      <c r="Q239" s="25"/>
      <c r="R239" s="25"/>
    </row>
    <row r="240" spans="1:18">
      <c r="A240" s="46">
        <f t="shared" si="7"/>
        <v>6</v>
      </c>
      <c r="B240" s="47">
        <v>24</v>
      </c>
      <c r="C240" s="14"/>
      <c r="D240" s="14" t="str">
        <f t="shared" si="6"/>
        <v/>
      </c>
      <c r="E240" s="14"/>
      <c r="F240" s="30"/>
      <c r="G240" s="17"/>
      <c r="H240" s="18"/>
      <c r="I240" s="19" t="s">
        <v>453</v>
      </c>
      <c r="J240" s="38">
        <v>3</v>
      </c>
      <c r="K240" s="21">
        <v>20</v>
      </c>
      <c r="L240" s="14"/>
      <c r="M240" s="22"/>
      <c r="N240" s="30"/>
      <c r="O240" s="23"/>
      <c r="P240" s="24"/>
      <c r="Q240" s="25"/>
      <c r="R240" s="25"/>
    </row>
    <row r="241" spans="1:18">
      <c r="A241" s="46">
        <f t="shared" si="7"/>
        <v>6</v>
      </c>
      <c r="B241" s="47">
        <v>25</v>
      </c>
      <c r="C241" s="14"/>
      <c r="D241" s="14" t="str">
        <f t="shared" si="6"/>
        <v/>
      </c>
      <c r="E241" s="14"/>
      <c r="F241" s="30"/>
      <c r="G241" s="17"/>
      <c r="H241" s="18"/>
      <c r="I241" t="s">
        <v>426</v>
      </c>
      <c r="J241" s="38">
        <v>3</v>
      </c>
      <c r="K241" s="21">
        <v>1</v>
      </c>
      <c r="L241" s="14"/>
      <c r="M241" s="22"/>
      <c r="N241" s="30"/>
      <c r="O241" s="23"/>
      <c r="P241" s="24"/>
      <c r="Q241" s="25"/>
      <c r="R241" s="25"/>
    </row>
    <row r="242" spans="1:18">
      <c r="A242" s="46">
        <f t="shared" si="7"/>
        <v>6</v>
      </c>
      <c r="B242" s="47">
        <v>26</v>
      </c>
      <c r="C242" s="14">
        <v>14.99</v>
      </c>
      <c r="D242" s="14">
        <f t="shared" si="6"/>
        <v>154</v>
      </c>
      <c r="E242" s="36">
        <f>(C242+0.01)*D242*$X$2/100</f>
        <v>23100000</v>
      </c>
      <c r="F242" s="37">
        <f>SUM(E218:E242)</f>
        <v>73830000</v>
      </c>
      <c r="G242" s="17">
        <f>SUM(C218:C242)</f>
        <v>51.95</v>
      </c>
      <c r="H242" s="18"/>
      <c r="I242" s="14" t="s">
        <v>2</v>
      </c>
      <c r="J242" s="29">
        <v>9</v>
      </c>
      <c r="K242" s="21">
        <f>E242</f>
        <v>23100000</v>
      </c>
      <c r="L242" s="36">
        <f>SUMIF(I242:I247,"="&amp;"金币",K242:K247)</f>
        <v>26312880</v>
      </c>
      <c r="M242" s="22">
        <f>L242/$X$2</f>
        <v>26.31288</v>
      </c>
      <c r="N242" s="37">
        <f>SUM(L218:L242)</f>
        <v>85878300</v>
      </c>
      <c r="O242" s="23">
        <f>SUM(M218:M242)</f>
        <v>85.8783</v>
      </c>
      <c r="P242" s="24">
        <f>N242/F242</f>
        <v>1.16318976026006</v>
      </c>
      <c r="Q242" s="25"/>
      <c r="R242" s="25"/>
    </row>
    <row r="243" spans="1:18">
      <c r="A243" s="46">
        <f t="shared" si="7"/>
        <v>6</v>
      </c>
      <c r="B243" s="47">
        <v>27</v>
      </c>
      <c r="C243" s="14"/>
      <c r="D243" s="14" t="str">
        <f t="shared" si="6"/>
        <v/>
      </c>
      <c r="E243" s="14"/>
      <c r="F243" s="30"/>
      <c r="G243" s="17"/>
      <c r="H243" s="18"/>
      <c r="I243" s="19" t="s">
        <v>408</v>
      </c>
      <c r="J243" s="38">
        <v>3</v>
      </c>
      <c r="K243" s="21">
        <v>5</v>
      </c>
      <c r="L243" s="14"/>
      <c r="M243" s="22"/>
      <c r="N243" s="30"/>
      <c r="O243" s="23"/>
      <c r="P243" s="24"/>
      <c r="Q243" s="25"/>
      <c r="R243" s="25"/>
    </row>
    <row r="244" spans="1:18">
      <c r="A244" s="46">
        <f t="shared" si="7"/>
        <v>6</v>
      </c>
      <c r="B244" s="47">
        <v>28</v>
      </c>
      <c r="C244" s="14"/>
      <c r="D244" s="14" t="str">
        <f t="shared" si="6"/>
        <v/>
      </c>
      <c r="E244" s="14"/>
      <c r="F244" s="30"/>
      <c r="G244" s="17"/>
      <c r="H244" s="18">
        <v>0.16</v>
      </c>
      <c r="I244" s="19" t="s">
        <v>2</v>
      </c>
      <c r="J244" s="38">
        <v>17</v>
      </c>
      <c r="K244" s="21">
        <f>H244*$R$221</f>
        <v>3212880</v>
      </c>
      <c r="L244" s="14"/>
      <c r="M244" s="22"/>
      <c r="N244" s="30"/>
      <c r="O244" s="23"/>
      <c r="P244" s="24"/>
      <c r="Q244" s="25"/>
      <c r="R244" s="25"/>
    </row>
    <row r="245" spans="1:18">
      <c r="A245" s="46">
        <f t="shared" si="7"/>
        <v>6</v>
      </c>
      <c r="B245" s="47">
        <v>29</v>
      </c>
      <c r="C245" s="14"/>
      <c r="D245" s="14" t="str">
        <f t="shared" si="6"/>
        <v/>
      </c>
      <c r="E245" s="14"/>
      <c r="F245" s="30"/>
      <c r="G245" s="17"/>
      <c r="H245" s="18"/>
      <c r="I245" s="19" t="s">
        <v>463</v>
      </c>
      <c r="J245" s="38">
        <v>4</v>
      </c>
      <c r="K245" s="21">
        <v>1</v>
      </c>
      <c r="L245" s="14"/>
      <c r="M245" s="22"/>
      <c r="N245" s="30"/>
      <c r="O245" s="23"/>
      <c r="P245" s="24"/>
      <c r="Q245" s="25"/>
      <c r="R245" s="25"/>
    </row>
    <row r="246" spans="1:18">
      <c r="A246" s="46">
        <f t="shared" si="7"/>
        <v>6</v>
      </c>
      <c r="B246" s="47">
        <v>30</v>
      </c>
      <c r="C246" s="14"/>
      <c r="D246" s="14" t="str">
        <f t="shared" si="6"/>
        <v/>
      </c>
      <c r="E246" s="14"/>
      <c r="F246" s="30"/>
      <c r="G246" s="17"/>
      <c r="H246" s="18"/>
      <c r="I246" s="19" t="s">
        <v>453</v>
      </c>
      <c r="J246" s="38">
        <v>3</v>
      </c>
      <c r="K246" s="21">
        <v>25</v>
      </c>
      <c r="L246" s="14"/>
      <c r="M246" s="22"/>
      <c r="N246" s="30"/>
      <c r="O246" s="23"/>
      <c r="P246" s="24"/>
      <c r="Q246" s="25"/>
      <c r="R246" s="25"/>
    </row>
    <row r="247" spans="1:18">
      <c r="A247" s="46">
        <f t="shared" si="7"/>
        <v>6</v>
      </c>
      <c r="B247" s="47">
        <v>31</v>
      </c>
      <c r="C247" s="14"/>
      <c r="D247" s="14" t="str">
        <f t="shared" si="6"/>
        <v/>
      </c>
      <c r="E247" s="14"/>
      <c r="F247" s="30"/>
      <c r="G247" s="17"/>
      <c r="H247" s="18"/>
      <c r="I247" t="s">
        <v>424</v>
      </c>
      <c r="J247" s="38">
        <v>3</v>
      </c>
      <c r="K247" s="21">
        <v>1</v>
      </c>
      <c r="L247" s="14"/>
      <c r="M247" s="22"/>
      <c r="N247" s="30"/>
      <c r="O247" s="23"/>
      <c r="P247" s="24"/>
      <c r="Q247" s="25"/>
      <c r="R247" s="25"/>
    </row>
    <row r="248" spans="1:18">
      <c r="A248" s="46">
        <f t="shared" si="7"/>
        <v>6</v>
      </c>
      <c r="B248" s="47">
        <v>32</v>
      </c>
      <c r="C248" s="14">
        <v>17.99</v>
      </c>
      <c r="D248" s="14">
        <f t="shared" si="6"/>
        <v>158</v>
      </c>
      <c r="E248" s="36">
        <f>(C248+0.01)*D248*$X$2/100</f>
        <v>28440000</v>
      </c>
      <c r="F248" s="37">
        <f>SUM(E218:E248)</f>
        <v>102270000</v>
      </c>
      <c r="G248" s="17">
        <f>SUM(C218:C248)</f>
        <v>69.94</v>
      </c>
      <c r="H248" s="18"/>
      <c r="I248" s="14" t="s">
        <v>2</v>
      </c>
      <c r="J248" s="29">
        <v>9</v>
      </c>
      <c r="K248" s="21">
        <f>E248</f>
        <v>28440000</v>
      </c>
      <c r="L248" s="36">
        <f>SUMIF(I248:I253,"="&amp;"金币",K248:K253)</f>
        <v>32054490</v>
      </c>
      <c r="M248" s="22">
        <f>L248/$X$2</f>
        <v>32.05449</v>
      </c>
      <c r="N248" s="37">
        <f>SUM(L218:L248)</f>
        <v>117932790</v>
      </c>
      <c r="O248" s="23">
        <f>SUM(M218:M248)</f>
        <v>117.93279</v>
      </c>
      <c r="P248" s="24">
        <f>N248/F248</f>
        <v>1.15315136403637</v>
      </c>
      <c r="Q248" s="25"/>
      <c r="R248" s="25"/>
    </row>
    <row r="249" spans="1:18">
      <c r="A249" s="46">
        <f t="shared" si="7"/>
        <v>6</v>
      </c>
      <c r="B249" s="47">
        <v>33</v>
      </c>
      <c r="C249" s="14"/>
      <c r="D249" s="14" t="str">
        <f t="shared" si="6"/>
        <v/>
      </c>
      <c r="E249" s="14"/>
      <c r="F249" s="30"/>
      <c r="G249" s="17"/>
      <c r="H249" s="18"/>
      <c r="I249" s="19" t="s">
        <v>408</v>
      </c>
      <c r="J249" s="38">
        <v>3</v>
      </c>
      <c r="K249" s="21">
        <v>6</v>
      </c>
      <c r="L249" s="14"/>
      <c r="M249" s="22"/>
      <c r="N249" s="30"/>
      <c r="O249" s="23"/>
      <c r="P249" s="24"/>
      <c r="Q249" s="25"/>
      <c r="R249" s="25"/>
    </row>
    <row r="250" spans="1:18">
      <c r="A250" s="46">
        <f t="shared" si="7"/>
        <v>6</v>
      </c>
      <c r="B250" s="47">
        <v>34</v>
      </c>
      <c r="C250" s="14"/>
      <c r="D250" s="14" t="str">
        <f t="shared" si="6"/>
        <v/>
      </c>
      <c r="E250" s="14"/>
      <c r="F250" s="30"/>
      <c r="G250" s="17"/>
      <c r="H250" s="18">
        <v>0.18</v>
      </c>
      <c r="I250" s="19" t="s">
        <v>2</v>
      </c>
      <c r="J250" s="38">
        <v>17</v>
      </c>
      <c r="K250" s="21">
        <f>H250*$R$221</f>
        <v>3614490</v>
      </c>
      <c r="L250" s="14"/>
      <c r="M250" s="22"/>
      <c r="N250" s="30"/>
      <c r="O250" s="23"/>
      <c r="P250" s="24"/>
      <c r="Q250" s="25"/>
      <c r="R250" s="25"/>
    </row>
    <row r="251" spans="1:18">
      <c r="A251" s="46">
        <f t="shared" si="7"/>
        <v>6</v>
      </c>
      <c r="B251" s="47">
        <v>35</v>
      </c>
      <c r="C251" s="14"/>
      <c r="D251" s="14" t="str">
        <f t="shared" si="6"/>
        <v/>
      </c>
      <c r="E251" s="14"/>
      <c r="F251" s="30"/>
      <c r="G251" s="17"/>
      <c r="H251" s="18"/>
      <c r="I251" s="19" t="s">
        <v>463</v>
      </c>
      <c r="J251" s="38">
        <v>4</v>
      </c>
      <c r="K251" s="21">
        <v>1</v>
      </c>
      <c r="L251" s="14"/>
      <c r="M251" s="22"/>
      <c r="N251" s="30"/>
      <c r="O251" s="23"/>
      <c r="P251" s="24"/>
      <c r="Q251" s="25"/>
      <c r="R251" s="25"/>
    </row>
    <row r="252" spans="1:18">
      <c r="A252" s="46">
        <f t="shared" si="7"/>
        <v>6</v>
      </c>
      <c r="B252" s="47">
        <v>36</v>
      </c>
      <c r="C252" s="14"/>
      <c r="D252" s="14" t="str">
        <f t="shared" si="6"/>
        <v/>
      </c>
      <c r="E252" s="14"/>
      <c r="F252" s="30"/>
      <c r="G252" s="17"/>
      <c r="H252" s="18"/>
      <c r="I252" s="19" t="s">
        <v>453</v>
      </c>
      <c r="J252" s="38">
        <v>3</v>
      </c>
      <c r="K252" s="21">
        <v>30</v>
      </c>
      <c r="L252" s="14"/>
      <c r="M252" s="22"/>
      <c r="N252" s="30"/>
      <c r="O252" s="23"/>
      <c r="P252" s="24"/>
      <c r="Q252" s="25"/>
      <c r="R252" s="25"/>
    </row>
    <row r="253" spans="1:18">
      <c r="A253" s="46">
        <f t="shared" si="7"/>
        <v>6</v>
      </c>
      <c r="B253" s="47">
        <v>37</v>
      </c>
      <c r="C253" s="14"/>
      <c r="D253" s="14" t="str">
        <f t="shared" si="6"/>
        <v/>
      </c>
      <c r="E253" s="14"/>
      <c r="F253" s="30"/>
      <c r="G253" s="17"/>
      <c r="H253" s="18"/>
      <c r="I253" t="s">
        <v>426</v>
      </c>
      <c r="J253" s="38">
        <v>3</v>
      </c>
      <c r="K253" s="21">
        <v>1</v>
      </c>
      <c r="L253" s="14"/>
      <c r="M253" s="22"/>
      <c r="N253" s="30"/>
      <c r="O253" s="23"/>
      <c r="P253" s="24"/>
      <c r="Q253" s="25"/>
      <c r="R253" s="25"/>
    </row>
    <row r="254" spans="1:18">
      <c r="A254" s="46">
        <f t="shared" si="7"/>
        <v>6</v>
      </c>
      <c r="B254" s="47">
        <v>38</v>
      </c>
      <c r="C254" s="14">
        <v>19.99</v>
      </c>
      <c r="D254" s="14">
        <f t="shared" si="6"/>
        <v>158</v>
      </c>
      <c r="E254" s="36">
        <f>(C254+0.01)*D254*$X$2/100</f>
        <v>31600000</v>
      </c>
      <c r="F254" s="37">
        <f>SUM(E218:E254)</f>
        <v>133870000</v>
      </c>
      <c r="G254" s="17">
        <f>SUM(C218:C254)</f>
        <v>89.93</v>
      </c>
      <c r="H254" s="18"/>
      <c r="I254" s="14" t="s">
        <v>2</v>
      </c>
      <c r="J254" s="29">
        <v>9</v>
      </c>
      <c r="K254" s="21">
        <f>E254</f>
        <v>31600000</v>
      </c>
      <c r="L254" s="36">
        <f>SUMIF(I254:I259,"="&amp;"金币",K254:K259)</f>
        <v>36017710</v>
      </c>
      <c r="M254" s="22">
        <f>L254/$X$2</f>
        <v>36.01771</v>
      </c>
      <c r="N254" s="37">
        <f>SUM(L218:L254)</f>
        <v>153950500</v>
      </c>
      <c r="O254" s="23">
        <f>SUM(M218:M254)</f>
        <v>153.9505</v>
      </c>
      <c r="P254" s="24">
        <f>N254/F254</f>
        <v>1.15</v>
      </c>
      <c r="Q254" s="25"/>
      <c r="R254" s="25"/>
    </row>
    <row r="255" spans="1:18">
      <c r="A255" s="46">
        <f t="shared" si="7"/>
        <v>6</v>
      </c>
      <c r="B255" s="47">
        <v>39</v>
      </c>
      <c r="C255" s="14"/>
      <c r="D255" s="14" t="str">
        <f t="shared" si="6"/>
        <v/>
      </c>
      <c r="E255" s="14"/>
      <c r="F255" s="30"/>
      <c r="G255" s="17"/>
      <c r="H255" s="18"/>
      <c r="I255" s="19" t="s">
        <v>408</v>
      </c>
      <c r="J255" s="38">
        <v>3</v>
      </c>
      <c r="K255" s="21">
        <v>7</v>
      </c>
      <c r="L255" s="14"/>
      <c r="M255" s="22"/>
      <c r="N255" s="30"/>
      <c r="O255" s="23"/>
      <c r="P255" s="24"/>
      <c r="Q255" s="25"/>
      <c r="R255" s="25"/>
    </row>
    <row r="256" spans="1:18">
      <c r="A256" s="46">
        <f t="shared" si="7"/>
        <v>6</v>
      </c>
      <c r="B256" s="47">
        <v>40</v>
      </c>
      <c r="C256" s="14"/>
      <c r="D256" s="14" t="str">
        <f t="shared" si="6"/>
        <v/>
      </c>
      <c r="E256" s="14"/>
      <c r="F256" s="30"/>
      <c r="G256" s="17"/>
      <c r="H256" s="18">
        <v>0.22</v>
      </c>
      <c r="I256" s="19" t="s">
        <v>2</v>
      </c>
      <c r="J256" s="38">
        <v>17</v>
      </c>
      <c r="K256" s="21">
        <f>H256*$R$221</f>
        <v>4417710</v>
      </c>
      <c r="L256" s="14"/>
      <c r="M256" s="22"/>
      <c r="N256" s="30"/>
      <c r="O256" s="23"/>
      <c r="P256" s="24"/>
      <c r="Q256" s="25"/>
      <c r="R256" s="25"/>
    </row>
    <row r="257" spans="1:18">
      <c r="A257" s="46">
        <f t="shared" si="7"/>
        <v>6</v>
      </c>
      <c r="B257" s="47">
        <v>41</v>
      </c>
      <c r="C257" s="14"/>
      <c r="D257" s="14" t="str">
        <f t="shared" si="6"/>
        <v/>
      </c>
      <c r="E257" s="14"/>
      <c r="F257" s="30"/>
      <c r="G257" s="17"/>
      <c r="H257" s="18"/>
      <c r="I257" s="19" t="s">
        <v>473</v>
      </c>
      <c r="J257" s="38">
        <v>4</v>
      </c>
      <c r="K257" s="21">
        <v>1</v>
      </c>
      <c r="L257" s="14"/>
      <c r="M257" s="22"/>
      <c r="N257" s="30"/>
      <c r="O257" s="23"/>
      <c r="P257" s="24"/>
      <c r="Q257" s="25"/>
      <c r="R257" s="25"/>
    </row>
    <row r="258" spans="1:18">
      <c r="A258" s="46">
        <f t="shared" si="7"/>
        <v>6</v>
      </c>
      <c r="B258" s="47">
        <v>42</v>
      </c>
      <c r="C258" s="14"/>
      <c r="D258" s="14" t="str">
        <f t="shared" si="6"/>
        <v/>
      </c>
      <c r="E258" s="14"/>
      <c r="F258" s="30"/>
      <c r="G258" s="17"/>
      <c r="H258" s="18"/>
      <c r="I258" s="19" t="s">
        <v>453</v>
      </c>
      <c r="J258" s="38">
        <v>3</v>
      </c>
      <c r="K258" s="21">
        <v>35</v>
      </c>
      <c r="L258" s="14"/>
      <c r="M258" s="22"/>
      <c r="N258" s="30"/>
      <c r="O258" s="23"/>
      <c r="P258" s="24"/>
      <c r="Q258" s="25"/>
      <c r="R258" s="25"/>
    </row>
    <row r="259" spans="1:18">
      <c r="A259" s="46">
        <f t="shared" si="7"/>
        <v>6</v>
      </c>
      <c r="B259" s="47">
        <v>43</v>
      </c>
      <c r="C259" s="14"/>
      <c r="D259" s="14" t="str">
        <f t="shared" ref="D259:D322" si="8">IFERROR(VLOOKUP(ROUND(C259*100,0),T:U,2,FALSE),"")</f>
        <v/>
      </c>
      <c r="E259" s="14"/>
      <c r="F259" s="30"/>
      <c r="G259" s="17"/>
      <c r="H259" s="18"/>
      <c r="I259" t="s">
        <v>424</v>
      </c>
      <c r="J259" s="38">
        <v>3</v>
      </c>
      <c r="K259" s="21">
        <v>1</v>
      </c>
      <c r="L259" s="14"/>
      <c r="M259" s="22"/>
      <c r="N259" s="30"/>
      <c r="O259" s="23"/>
      <c r="P259" s="24"/>
      <c r="Q259" s="25"/>
      <c r="R259" s="25"/>
    </row>
    <row r="260" spans="1:18">
      <c r="A260" s="46">
        <f t="shared" si="7"/>
        <v>7</v>
      </c>
      <c r="B260" s="47">
        <v>1</v>
      </c>
      <c r="C260" s="14"/>
      <c r="D260" s="14" t="str">
        <f t="shared" si="8"/>
        <v/>
      </c>
      <c r="E260" s="14"/>
      <c r="F260" s="30"/>
      <c r="G260" s="17"/>
      <c r="H260" s="18"/>
      <c r="I260" s="14" t="s">
        <v>2</v>
      </c>
      <c r="J260" s="29">
        <v>1</v>
      </c>
      <c r="K260" s="21">
        <v>5000</v>
      </c>
      <c r="L260" s="14"/>
      <c r="M260" s="22"/>
      <c r="N260" s="30"/>
      <c r="O260" s="23"/>
      <c r="P260" s="24"/>
      <c r="Q260" s="25"/>
      <c r="R260" s="31">
        <f>SUM(C260:C302)</f>
        <v>89.93</v>
      </c>
    </row>
    <row r="261" spans="1:18">
      <c r="A261" s="46">
        <f t="shared" si="7"/>
        <v>7</v>
      </c>
      <c r="B261" s="47">
        <v>2</v>
      </c>
      <c r="C261" s="35">
        <v>5.99</v>
      </c>
      <c r="D261" s="14">
        <f t="shared" si="8"/>
        <v>119</v>
      </c>
      <c r="E261" s="36">
        <f>(C261+0.01)*D261*$X$2/100</f>
        <v>7140000</v>
      </c>
      <c r="F261" s="37">
        <f>SUM(E261)</f>
        <v>7140000</v>
      </c>
      <c r="G261" s="17">
        <f>SUM(C261)</f>
        <v>5.99</v>
      </c>
      <c r="H261" s="18"/>
      <c r="I261" s="14" t="s">
        <v>2</v>
      </c>
      <c r="J261" s="29">
        <v>9</v>
      </c>
      <c r="K261" s="21">
        <f>E261</f>
        <v>7140000</v>
      </c>
      <c r="L261" s="36">
        <f>SUMIF(I261:I266,"="&amp;"金币",K261:K266)</f>
        <v>8746440</v>
      </c>
      <c r="M261" s="22">
        <f>L261/$X$2</f>
        <v>8.74644</v>
      </c>
      <c r="N261" s="37">
        <f>SUM(L261)</f>
        <v>8746440</v>
      </c>
      <c r="O261" s="23">
        <f>SUM(M261)</f>
        <v>8.74644</v>
      </c>
      <c r="P261" s="24">
        <f>N261/F261</f>
        <v>1.22499159663866</v>
      </c>
      <c r="Q261" s="25"/>
      <c r="R261" s="26" t="s">
        <v>556</v>
      </c>
    </row>
    <row r="262" spans="1:18">
      <c r="A262" s="46">
        <f t="shared" si="7"/>
        <v>7</v>
      </c>
      <c r="B262" s="47">
        <v>3</v>
      </c>
      <c r="C262" s="14"/>
      <c r="D262" s="14" t="str">
        <f t="shared" si="8"/>
        <v/>
      </c>
      <c r="E262" s="14"/>
      <c r="F262" s="30"/>
      <c r="G262" s="17"/>
      <c r="H262" s="18"/>
      <c r="I262" s="19" t="s">
        <v>408</v>
      </c>
      <c r="J262" s="38">
        <v>3</v>
      </c>
      <c r="K262" s="21">
        <v>1</v>
      </c>
      <c r="L262" s="14"/>
      <c r="M262" s="22"/>
      <c r="N262" s="30"/>
      <c r="O262" s="23"/>
      <c r="P262" s="24"/>
      <c r="Q262" s="25"/>
      <c r="R262" s="39">
        <v>1.15</v>
      </c>
    </row>
    <row r="263" spans="1:18">
      <c r="A263" s="46">
        <f t="shared" si="7"/>
        <v>7</v>
      </c>
      <c r="B263" s="47">
        <v>4</v>
      </c>
      <c r="C263" s="14"/>
      <c r="D263" s="14" t="str">
        <f t="shared" si="8"/>
        <v/>
      </c>
      <c r="E263" s="14"/>
      <c r="F263" s="30"/>
      <c r="G263" s="17"/>
      <c r="H263" s="18">
        <v>0.08</v>
      </c>
      <c r="I263" s="19" t="s">
        <v>2</v>
      </c>
      <c r="J263" s="38">
        <v>17</v>
      </c>
      <c r="K263" s="21">
        <f>H263*$R$264</f>
        <v>1606440</v>
      </c>
      <c r="L263" s="14"/>
      <c r="M263" s="22"/>
      <c r="N263" s="30"/>
      <c r="O263" s="23"/>
      <c r="P263" s="24"/>
      <c r="Q263" s="25"/>
      <c r="R263" s="26" t="s">
        <v>557</v>
      </c>
    </row>
    <row r="264" spans="1:18">
      <c r="A264" s="46">
        <f t="shared" si="7"/>
        <v>7</v>
      </c>
      <c r="B264" s="47">
        <v>5</v>
      </c>
      <c r="C264" s="14"/>
      <c r="D264" s="14" t="str">
        <f t="shared" si="8"/>
        <v/>
      </c>
      <c r="E264" s="14"/>
      <c r="F264" s="30"/>
      <c r="G264" s="17"/>
      <c r="H264" s="18"/>
      <c r="I264" s="19" t="s">
        <v>457</v>
      </c>
      <c r="J264" s="38">
        <v>4</v>
      </c>
      <c r="K264" s="21">
        <v>1</v>
      </c>
      <c r="L264" s="14"/>
      <c r="M264" s="22"/>
      <c r="N264" s="30"/>
      <c r="O264" s="23"/>
      <c r="P264" s="24"/>
      <c r="Q264" s="25"/>
      <c r="R264" s="40">
        <f>SUM(E260:E302)*(R262-1)</f>
        <v>20080500</v>
      </c>
    </row>
    <row r="265" spans="1:18">
      <c r="A265" s="46">
        <f t="shared" si="7"/>
        <v>7</v>
      </c>
      <c r="B265" s="47">
        <v>6</v>
      </c>
      <c r="C265" s="14"/>
      <c r="D265" s="14" t="str">
        <f t="shared" si="8"/>
        <v/>
      </c>
      <c r="E265" s="14"/>
      <c r="F265" s="30"/>
      <c r="G265" s="17"/>
      <c r="H265" s="18"/>
      <c r="I265" s="19" t="s">
        <v>453</v>
      </c>
      <c r="J265" s="38">
        <v>3</v>
      </c>
      <c r="K265" s="21">
        <v>5</v>
      </c>
      <c r="L265" s="14"/>
      <c r="M265" s="22"/>
      <c r="N265" s="30"/>
      <c r="O265" s="23"/>
      <c r="P265" s="24"/>
      <c r="Q265" s="25"/>
      <c r="R265" s="26" t="s">
        <v>558</v>
      </c>
    </row>
    <row r="266" spans="1:18">
      <c r="A266" s="46">
        <f t="shared" si="7"/>
        <v>7</v>
      </c>
      <c r="B266" s="47">
        <v>7</v>
      </c>
      <c r="C266" s="14"/>
      <c r="D266" s="14" t="str">
        <f t="shared" si="8"/>
        <v/>
      </c>
      <c r="E266" s="14"/>
      <c r="F266" s="30"/>
      <c r="G266" s="17"/>
      <c r="H266" s="18"/>
      <c r="I266" t="s">
        <v>424</v>
      </c>
      <c r="J266" s="38">
        <v>3</v>
      </c>
      <c r="K266" s="21">
        <v>1</v>
      </c>
      <c r="L266" s="14"/>
      <c r="M266" s="22"/>
      <c r="N266" s="30"/>
      <c r="O266" s="23"/>
      <c r="P266" s="24"/>
      <c r="Q266" s="25"/>
      <c r="R266" s="26">
        <f>SUM(H260:H302)</f>
        <v>1</v>
      </c>
    </row>
    <row r="267" spans="1:18">
      <c r="A267" s="46">
        <f t="shared" si="7"/>
        <v>7</v>
      </c>
      <c r="B267" s="47">
        <v>8</v>
      </c>
      <c r="C267" s="14">
        <v>7.99</v>
      </c>
      <c r="D267" s="14">
        <f t="shared" si="8"/>
        <v>129</v>
      </c>
      <c r="E267" s="36">
        <f>(C267+0.01)*D267*$X$2/100</f>
        <v>10320000</v>
      </c>
      <c r="F267" s="37">
        <f>SUM(E261:E267)</f>
        <v>17460000</v>
      </c>
      <c r="G267" s="17">
        <f>SUM(C261:C267)</f>
        <v>13.98</v>
      </c>
      <c r="H267" s="18"/>
      <c r="I267" s="14" t="s">
        <v>2</v>
      </c>
      <c r="J267" s="29">
        <v>9</v>
      </c>
      <c r="K267" s="21">
        <f>E267</f>
        <v>10320000</v>
      </c>
      <c r="L267" s="36">
        <f>SUMIF(I267:I272,"="&amp;"金币",K267:K272)</f>
        <v>12328050</v>
      </c>
      <c r="M267" s="22">
        <f>L267/$X$2</f>
        <v>12.32805</v>
      </c>
      <c r="N267" s="37">
        <f>SUM(L261:L267)</f>
        <v>21074490</v>
      </c>
      <c r="O267" s="23">
        <f>SUM(M261:M267)</f>
        <v>21.07449</v>
      </c>
      <c r="P267" s="24">
        <f>N267/F267</f>
        <v>1.20701546391753</v>
      </c>
      <c r="Q267" s="25"/>
      <c r="R267" s="25"/>
    </row>
    <row r="268" spans="1:18">
      <c r="A268" s="46">
        <f t="shared" si="7"/>
        <v>7</v>
      </c>
      <c r="B268" s="47">
        <v>9</v>
      </c>
      <c r="C268" s="14"/>
      <c r="D268" s="14" t="str">
        <f t="shared" si="8"/>
        <v/>
      </c>
      <c r="E268" s="14"/>
      <c r="F268" s="30"/>
      <c r="G268" s="17"/>
      <c r="H268" s="18"/>
      <c r="I268" s="19" t="s">
        <v>408</v>
      </c>
      <c r="J268" s="38">
        <v>3</v>
      </c>
      <c r="K268" s="21">
        <v>2</v>
      </c>
      <c r="L268" s="14"/>
      <c r="M268" s="22"/>
      <c r="N268" s="30"/>
      <c r="O268" s="23"/>
      <c r="P268" s="24"/>
      <c r="Q268" s="25"/>
      <c r="R268" s="25"/>
    </row>
    <row r="269" spans="1:18">
      <c r="A269" s="46">
        <f t="shared" si="7"/>
        <v>7</v>
      </c>
      <c r="B269" s="47">
        <v>10</v>
      </c>
      <c r="C269" s="14"/>
      <c r="D269" s="14" t="str">
        <f t="shared" si="8"/>
        <v/>
      </c>
      <c r="E269" s="14"/>
      <c r="F269" s="30"/>
      <c r="G269" s="17"/>
      <c r="H269" s="18">
        <v>0.1</v>
      </c>
      <c r="I269" s="19" t="s">
        <v>2</v>
      </c>
      <c r="J269" s="38">
        <v>17</v>
      </c>
      <c r="K269" s="21">
        <f>H269*$R$264</f>
        <v>2008050</v>
      </c>
      <c r="L269" s="14"/>
      <c r="M269" s="22"/>
      <c r="N269" s="30"/>
      <c r="O269" s="23"/>
      <c r="P269" s="24"/>
      <c r="Q269" s="25"/>
      <c r="R269" s="25"/>
    </row>
    <row r="270" spans="1:18">
      <c r="A270" s="46">
        <f t="shared" si="7"/>
        <v>7</v>
      </c>
      <c r="B270" s="47">
        <v>11</v>
      </c>
      <c r="C270" s="14"/>
      <c r="D270" s="14" t="str">
        <f t="shared" si="8"/>
        <v/>
      </c>
      <c r="E270" s="14"/>
      <c r="F270" s="30"/>
      <c r="G270" s="17"/>
      <c r="H270" s="18"/>
      <c r="I270" s="19" t="s">
        <v>459</v>
      </c>
      <c r="J270" s="38">
        <v>4</v>
      </c>
      <c r="K270" s="21">
        <v>1</v>
      </c>
      <c r="L270" s="14"/>
      <c r="M270" s="22"/>
      <c r="N270" s="30"/>
      <c r="O270" s="23"/>
      <c r="P270" s="24"/>
      <c r="Q270" s="25"/>
      <c r="R270" s="25"/>
    </row>
    <row r="271" spans="1:18">
      <c r="A271" s="46">
        <f t="shared" si="7"/>
        <v>7</v>
      </c>
      <c r="B271" s="47">
        <v>12</v>
      </c>
      <c r="C271" s="14"/>
      <c r="D271" s="14" t="str">
        <f t="shared" si="8"/>
        <v/>
      </c>
      <c r="E271" s="14"/>
      <c r="F271" s="30"/>
      <c r="G271" s="17"/>
      <c r="H271" s="18"/>
      <c r="I271" s="19" t="s">
        <v>453</v>
      </c>
      <c r="J271" s="38">
        <v>3</v>
      </c>
      <c r="K271" s="21">
        <v>10</v>
      </c>
      <c r="L271" s="14"/>
      <c r="M271" s="22"/>
      <c r="N271" s="30"/>
      <c r="O271" s="23"/>
      <c r="P271" s="24"/>
      <c r="Q271" s="25"/>
      <c r="R271" s="25"/>
    </row>
    <row r="272" spans="1:18">
      <c r="A272" s="46">
        <f t="shared" si="7"/>
        <v>7</v>
      </c>
      <c r="B272" s="47">
        <v>13</v>
      </c>
      <c r="C272" s="14"/>
      <c r="D272" s="14" t="str">
        <f t="shared" si="8"/>
        <v/>
      </c>
      <c r="E272" s="14"/>
      <c r="F272" s="30"/>
      <c r="G272" s="17"/>
      <c r="H272" s="18"/>
      <c r="I272" t="s">
        <v>426</v>
      </c>
      <c r="J272" s="38">
        <v>3</v>
      </c>
      <c r="K272" s="21">
        <v>1</v>
      </c>
      <c r="L272" s="14"/>
      <c r="M272" s="22"/>
      <c r="N272" s="30"/>
      <c r="O272" s="23"/>
      <c r="P272" s="24"/>
      <c r="Q272" s="25"/>
      <c r="R272" s="25"/>
    </row>
    <row r="273" spans="1:18">
      <c r="A273" s="46">
        <f t="shared" si="7"/>
        <v>7</v>
      </c>
      <c r="B273" s="47">
        <v>14</v>
      </c>
      <c r="C273" s="14">
        <v>9.99</v>
      </c>
      <c r="D273" s="14">
        <f t="shared" si="8"/>
        <v>139</v>
      </c>
      <c r="E273" s="36">
        <f>(C273+0.01)*D273*$X$2/100</f>
        <v>13900000</v>
      </c>
      <c r="F273" s="37">
        <f>SUM(E261:E273)</f>
        <v>31360000</v>
      </c>
      <c r="G273" s="17">
        <f>SUM(C261:C273)</f>
        <v>23.97</v>
      </c>
      <c r="H273" s="18"/>
      <c r="I273" s="14" t="s">
        <v>2</v>
      </c>
      <c r="J273" s="29">
        <v>9</v>
      </c>
      <c r="K273" s="21">
        <f>E273</f>
        <v>13900000</v>
      </c>
      <c r="L273" s="36">
        <f>SUMIF(I273:I278,"="&amp;"金币",K273:K278)</f>
        <v>16309660</v>
      </c>
      <c r="M273" s="22">
        <f>L273/$X$2</f>
        <v>16.30966</v>
      </c>
      <c r="N273" s="37">
        <f>SUM(L261:L273)</f>
        <v>37384150</v>
      </c>
      <c r="O273" s="23">
        <f>SUM(M261:M273)</f>
        <v>37.38415</v>
      </c>
      <c r="P273" s="24">
        <f>N273/F273</f>
        <v>1.19209661989796</v>
      </c>
      <c r="Q273" s="25"/>
      <c r="R273" s="25"/>
    </row>
    <row r="274" spans="1:18">
      <c r="A274" s="46">
        <f t="shared" si="7"/>
        <v>7</v>
      </c>
      <c r="B274" s="47">
        <v>15</v>
      </c>
      <c r="C274" s="14"/>
      <c r="D274" s="14" t="str">
        <f t="shared" si="8"/>
        <v/>
      </c>
      <c r="E274" s="14"/>
      <c r="F274" s="30"/>
      <c r="G274" s="17"/>
      <c r="H274" s="18"/>
      <c r="I274" s="19" t="s">
        <v>408</v>
      </c>
      <c r="J274" s="38">
        <v>3</v>
      </c>
      <c r="K274" s="21">
        <v>3</v>
      </c>
      <c r="L274" s="14"/>
      <c r="M274" s="22"/>
      <c r="N274" s="30"/>
      <c r="O274" s="23"/>
      <c r="P274" s="24"/>
      <c r="Q274" s="25"/>
      <c r="R274" s="25"/>
    </row>
    <row r="275" spans="1:18">
      <c r="A275" s="46">
        <f t="shared" si="7"/>
        <v>7</v>
      </c>
      <c r="B275" s="47">
        <v>16</v>
      </c>
      <c r="C275" s="14"/>
      <c r="D275" s="14" t="str">
        <f t="shared" si="8"/>
        <v/>
      </c>
      <c r="E275" s="14"/>
      <c r="F275" s="30"/>
      <c r="G275" s="17"/>
      <c r="H275" s="18">
        <v>0.12</v>
      </c>
      <c r="I275" s="19" t="s">
        <v>2</v>
      </c>
      <c r="J275" s="38">
        <v>17</v>
      </c>
      <c r="K275" s="21">
        <f>H275*$R$264</f>
        <v>2409660</v>
      </c>
      <c r="L275" s="14"/>
      <c r="M275" s="22"/>
      <c r="N275" s="30"/>
      <c r="O275" s="23"/>
      <c r="P275" s="24"/>
      <c r="Q275" s="25"/>
      <c r="R275" s="25"/>
    </row>
    <row r="276" spans="1:18">
      <c r="A276" s="46">
        <f t="shared" si="7"/>
        <v>7</v>
      </c>
      <c r="B276" s="47">
        <v>17</v>
      </c>
      <c r="C276" s="14"/>
      <c r="D276" s="14" t="str">
        <f t="shared" si="8"/>
        <v/>
      </c>
      <c r="E276" s="14"/>
      <c r="F276" s="30"/>
      <c r="G276" s="17"/>
      <c r="H276" s="18"/>
      <c r="I276" s="19" t="s">
        <v>461</v>
      </c>
      <c r="J276" s="38">
        <v>4</v>
      </c>
      <c r="K276" s="21">
        <v>1</v>
      </c>
      <c r="L276" s="14"/>
      <c r="M276" s="22"/>
      <c r="N276" s="30"/>
      <c r="O276" s="23"/>
      <c r="P276" s="24"/>
      <c r="Q276" s="25"/>
      <c r="R276" s="25"/>
    </row>
    <row r="277" spans="1:18">
      <c r="A277" s="46">
        <f t="shared" si="7"/>
        <v>7</v>
      </c>
      <c r="B277" s="47">
        <v>18</v>
      </c>
      <c r="C277" s="14"/>
      <c r="D277" s="14" t="str">
        <f t="shared" si="8"/>
        <v/>
      </c>
      <c r="E277" s="14"/>
      <c r="F277" s="30"/>
      <c r="G277" s="17"/>
      <c r="H277" s="18"/>
      <c r="I277" s="19" t="s">
        <v>453</v>
      </c>
      <c r="J277" s="38">
        <v>3</v>
      </c>
      <c r="K277" s="21">
        <v>15</v>
      </c>
      <c r="L277" s="14"/>
      <c r="M277" s="22"/>
      <c r="N277" s="30"/>
      <c r="O277" s="23"/>
      <c r="P277" s="24"/>
      <c r="Q277" s="25"/>
      <c r="R277" s="25"/>
    </row>
    <row r="278" spans="1:18">
      <c r="A278" s="46">
        <f t="shared" si="7"/>
        <v>7</v>
      </c>
      <c r="B278" s="47">
        <v>19</v>
      </c>
      <c r="C278" s="14"/>
      <c r="D278" s="14" t="str">
        <f t="shared" si="8"/>
        <v/>
      </c>
      <c r="E278" s="14"/>
      <c r="F278" s="30"/>
      <c r="G278" s="17"/>
      <c r="H278" s="18"/>
      <c r="I278" t="s">
        <v>424</v>
      </c>
      <c r="J278" s="38">
        <v>3</v>
      </c>
      <c r="K278" s="21">
        <v>1</v>
      </c>
      <c r="L278" s="14"/>
      <c r="M278" s="22"/>
      <c r="N278" s="30"/>
      <c r="O278" s="23"/>
      <c r="P278" s="24"/>
      <c r="Q278" s="25"/>
      <c r="R278" s="25"/>
    </row>
    <row r="279" spans="1:18">
      <c r="A279" s="46">
        <f t="shared" si="7"/>
        <v>7</v>
      </c>
      <c r="B279" s="47">
        <v>20</v>
      </c>
      <c r="C279" s="14">
        <v>12.99</v>
      </c>
      <c r="D279" s="14">
        <f t="shared" si="8"/>
        <v>149</v>
      </c>
      <c r="E279" s="36">
        <f>(C279+0.01)*D279*$X$2/100</f>
        <v>19370000</v>
      </c>
      <c r="F279" s="37">
        <f>SUM(E261:E279)</f>
        <v>50730000</v>
      </c>
      <c r="G279" s="17">
        <f>SUM(C261:C279)</f>
        <v>36.96</v>
      </c>
      <c r="H279" s="18"/>
      <c r="I279" s="14" t="s">
        <v>2</v>
      </c>
      <c r="J279" s="29">
        <v>9</v>
      </c>
      <c r="K279" s="21">
        <f>E279</f>
        <v>19370000</v>
      </c>
      <c r="L279" s="36">
        <f>SUMIF(I279:I284,"="&amp;"金币",K279:K284)</f>
        <v>22181270</v>
      </c>
      <c r="M279" s="22">
        <f>L279/$X$2</f>
        <v>22.18127</v>
      </c>
      <c r="N279" s="37">
        <f>SUM(L261:L279)</f>
        <v>59565420</v>
      </c>
      <c r="O279" s="23">
        <f>SUM(M261:M279)</f>
        <v>59.56542</v>
      </c>
      <c r="P279" s="24">
        <f>N279/F279</f>
        <v>1.17416558249556</v>
      </c>
      <c r="Q279" s="25"/>
      <c r="R279" s="25"/>
    </row>
    <row r="280" spans="1:18">
      <c r="A280" s="46">
        <f t="shared" si="7"/>
        <v>7</v>
      </c>
      <c r="B280" s="47">
        <v>21</v>
      </c>
      <c r="C280" s="14"/>
      <c r="D280" s="14" t="str">
        <f t="shared" si="8"/>
        <v/>
      </c>
      <c r="E280" s="14"/>
      <c r="F280" s="30"/>
      <c r="G280" s="17"/>
      <c r="H280" s="18"/>
      <c r="I280" s="19" t="s">
        <v>408</v>
      </c>
      <c r="J280" s="38">
        <v>3</v>
      </c>
      <c r="K280" s="21">
        <v>4</v>
      </c>
      <c r="L280" s="14"/>
      <c r="M280" s="22"/>
      <c r="N280" s="30"/>
      <c r="O280" s="23"/>
      <c r="P280" s="24"/>
      <c r="Q280" s="25"/>
      <c r="R280" s="25"/>
    </row>
    <row r="281" spans="1:18">
      <c r="A281" s="46">
        <f t="shared" si="7"/>
        <v>7</v>
      </c>
      <c r="B281" s="47">
        <v>22</v>
      </c>
      <c r="C281" s="14"/>
      <c r="D281" s="14" t="str">
        <f t="shared" si="8"/>
        <v/>
      </c>
      <c r="E281" s="14"/>
      <c r="F281" s="30"/>
      <c r="G281" s="17"/>
      <c r="H281" s="18">
        <v>0.14</v>
      </c>
      <c r="I281" s="19" t="s">
        <v>2</v>
      </c>
      <c r="J281" s="38">
        <v>17</v>
      </c>
      <c r="K281" s="21">
        <f>H281*$R$264</f>
        <v>2811270</v>
      </c>
      <c r="L281" s="14"/>
      <c r="M281" s="22"/>
      <c r="N281" s="30"/>
      <c r="O281" s="23"/>
      <c r="P281" s="24"/>
      <c r="Q281" s="25"/>
      <c r="R281" s="25"/>
    </row>
    <row r="282" spans="1:18">
      <c r="A282" s="46">
        <f t="shared" si="7"/>
        <v>7</v>
      </c>
      <c r="B282" s="47">
        <v>23</v>
      </c>
      <c r="C282" s="14"/>
      <c r="D282" s="14" t="str">
        <f t="shared" si="8"/>
        <v/>
      </c>
      <c r="E282" s="14"/>
      <c r="F282" s="30"/>
      <c r="G282" s="17"/>
      <c r="H282" s="18"/>
      <c r="I282" s="19" t="s">
        <v>461</v>
      </c>
      <c r="J282" s="38">
        <v>4</v>
      </c>
      <c r="K282" s="21">
        <v>1</v>
      </c>
      <c r="L282" s="14"/>
      <c r="M282" s="22"/>
      <c r="N282" s="30"/>
      <c r="O282" s="23"/>
      <c r="P282" s="24"/>
      <c r="Q282" s="25"/>
      <c r="R282" s="25"/>
    </row>
    <row r="283" spans="1:18">
      <c r="A283" s="46">
        <f t="shared" si="7"/>
        <v>7</v>
      </c>
      <c r="B283" s="47">
        <v>24</v>
      </c>
      <c r="C283" s="14"/>
      <c r="D283" s="14" t="str">
        <f t="shared" si="8"/>
        <v/>
      </c>
      <c r="E283" s="14"/>
      <c r="F283" s="30"/>
      <c r="G283" s="17"/>
      <c r="H283" s="18"/>
      <c r="I283" s="19" t="s">
        <v>453</v>
      </c>
      <c r="J283" s="38">
        <v>3</v>
      </c>
      <c r="K283" s="21">
        <v>20</v>
      </c>
      <c r="L283" s="14"/>
      <c r="M283" s="22"/>
      <c r="N283" s="30"/>
      <c r="O283" s="23"/>
      <c r="P283" s="24"/>
      <c r="Q283" s="25"/>
      <c r="R283" s="25"/>
    </row>
    <row r="284" spans="1:18">
      <c r="A284" s="46">
        <f t="shared" si="7"/>
        <v>7</v>
      </c>
      <c r="B284" s="47">
        <v>25</v>
      </c>
      <c r="C284" s="14"/>
      <c r="D284" s="14" t="str">
        <f t="shared" si="8"/>
        <v/>
      </c>
      <c r="E284" s="14"/>
      <c r="F284" s="30"/>
      <c r="G284" s="17"/>
      <c r="H284" s="18"/>
      <c r="I284" t="s">
        <v>426</v>
      </c>
      <c r="J284" s="38">
        <v>3</v>
      </c>
      <c r="K284" s="21">
        <v>1</v>
      </c>
      <c r="L284" s="14"/>
      <c r="M284" s="22"/>
      <c r="N284" s="30"/>
      <c r="O284" s="23"/>
      <c r="P284" s="24"/>
      <c r="Q284" s="25"/>
      <c r="R284" s="25"/>
    </row>
    <row r="285" spans="1:18">
      <c r="A285" s="46">
        <f t="shared" si="7"/>
        <v>7</v>
      </c>
      <c r="B285" s="47">
        <v>26</v>
      </c>
      <c r="C285" s="14">
        <v>14.99</v>
      </c>
      <c r="D285" s="14">
        <f t="shared" si="8"/>
        <v>154</v>
      </c>
      <c r="E285" s="36">
        <f>(C285+0.01)*D285*$X$2/100</f>
        <v>23100000</v>
      </c>
      <c r="F285" s="37">
        <f>SUM(E261:E285)</f>
        <v>73830000</v>
      </c>
      <c r="G285" s="17">
        <f>SUM(C261:C285)</f>
        <v>51.95</v>
      </c>
      <c r="H285" s="18"/>
      <c r="I285" s="14" t="s">
        <v>2</v>
      </c>
      <c r="J285" s="29">
        <v>9</v>
      </c>
      <c r="K285" s="21">
        <f>E285</f>
        <v>23100000</v>
      </c>
      <c r="L285" s="36">
        <f>SUMIF(I285:I290,"="&amp;"金币",K285:K290)</f>
        <v>26312880</v>
      </c>
      <c r="M285" s="22">
        <f>L285/$X$2</f>
        <v>26.31288</v>
      </c>
      <c r="N285" s="37">
        <f>SUM(L261:L285)</f>
        <v>85878300</v>
      </c>
      <c r="O285" s="23">
        <f>SUM(M261:M285)</f>
        <v>85.8783</v>
      </c>
      <c r="P285" s="24">
        <f>N285/F285</f>
        <v>1.16318976026006</v>
      </c>
      <c r="Q285" s="25"/>
      <c r="R285" s="25"/>
    </row>
    <row r="286" spans="1:18">
      <c r="A286" s="46">
        <f t="shared" si="7"/>
        <v>7</v>
      </c>
      <c r="B286" s="47">
        <v>27</v>
      </c>
      <c r="C286" s="14"/>
      <c r="D286" s="14" t="str">
        <f t="shared" si="8"/>
        <v/>
      </c>
      <c r="E286" s="14"/>
      <c r="F286" s="30"/>
      <c r="G286" s="17"/>
      <c r="H286" s="18"/>
      <c r="I286" s="19" t="s">
        <v>408</v>
      </c>
      <c r="J286" s="38">
        <v>3</v>
      </c>
      <c r="K286" s="21">
        <v>5</v>
      </c>
      <c r="L286" s="14"/>
      <c r="M286" s="22"/>
      <c r="N286" s="30"/>
      <c r="O286" s="23"/>
      <c r="P286" s="24"/>
      <c r="Q286" s="25"/>
      <c r="R286" s="25"/>
    </row>
    <row r="287" spans="1:18">
      <c r="A287" s="46">
        <f t="shared" si="7"/>
        <v>7</v>
      </c>
      <c r="B287" s="47">
        <v>28</v>
      </c>
      <c r="C287" s="14"/>
      <c r="D287" s="14" t="str">
        <f t="shared" si="8"/>
        <v/>
      </c>
      <c r="E287" s="14"/>
      <c r="F287" s="30"/>
      <c r="G287" s="17"/>
      <c r="H287" s="18">
        <v>0.16</v>
      </c>
      <c r="I287" s="19" t="s">
        <v>2</v>
      </c>
      <c r="J287" s="38">
        <v>17</v>
      </c>
      <c r="K287" s="21">
        <f>H287*$R$264</f>
        <v>3212880</v>
      </c>
      <c r="L287" s="14"/>
      <c r="M287" s="22"/>
      <c r="N287" s="30"/>
      <c r="O287" s="23"/>
      <c r="P287" s="24"/>
      <c r="Q287" s="25"/>
      <c r="R287" s="25"/>
    </row>
    <row r="288" spans="1:18">
      <c r="A288" s="46">
        <f t="shared" si="7"/>
        <v>7</v>
      </c>
      <c r="B288" s="47">
        <v>29</v>
      </c>
      <c r="C288" s="14"/>
      <c r="D288" s="14" t="str">
        <f t="shared" si="8"/>
        <v/>
      </c>
      <c r="E288" s="14"/>
      <c r="F288" s="30"/>
      <c r="G288" s="17"/>
      <c r="H288" s="18"/>
      <c r="I288" s="19" t="s">
        <v>463</v>
      </c>
      <c r="J288" s="38">
        <v>4</v>
      </c>
      <c r="K288" s="21">
        <v>1</v>
      </c>
      <c r="L288" s="14"/>
      <c r="M288" s="22"/>
      <c r="N288" s="30"/>
      <c r="O288" s="23"/>
      <c r="P288" s="24"/>
      <c r="Q288" s="25"/>
      <c r="R288" s="25"/>
    </row>
    <row r="289" spans="1:18">
      <c r="A289" s="46">
        <f t="shared" si="7"/>
        <v>7</v>
      </c>
      <c r="B289" s="47">
        <v>30</v>
      </c>
      <c r="C289" s="14"/>
      <c r="D289" s="14" t="str">
        <f t="shared" si="8"/>
        <v/>
      </c>
      <c r="E289" s="14"/>
      <c r="F289" s="30"/>
      <c r="G289" s="17"/>
      <c r="H289" s="18"/>
      <c r="I289" s="19" t="s">
        <v>453</v>
      </c>
      <c r="J289" s="38">
        <v>3</v>
      </c>
      <c r="K289" s="21">
        <v>25</v>
      </c>
      <c r="L289" s="14"/>
      <c r="M289" s="22"/>
      <c r="N289" s="30"/>
      <c r="O289" s="23"/>
      <c r="P289" s="24"/>
      <c r="Q289" s="25"/>
      <c r="R289" s="25"/>
    </row>
    <row r="290" spans="1:18">
      <c r="A290" s="46">
        <f t="shared" si="7"/>
        <v>7</v>
      </c>
      <c r="B290" s="47">
        <v>31</v>
      </c>
      <c r="C290" s="14"/>
      <c r="D290" s="14" t="str">
        <f t="shared" si="8"/>
        <v/>
      </c>
      <c r="E290" s="14"/>
      <c r="F290" s="30"/>
      <c r="G290" s="17"/>
      <c r="H290" s="18"/>
      <c r="I290" t="s">
        <v>424</v>
      </c>
      <c r="J290" s="38">
        <v>3</v>
      </c>
      <c r="K290" s="21">
        <v>1</v>
      </c>
      <c r="L290" s="14"/>
      <c r="M290" s="22"/>
      <c r="N290" s="30"/>
      <c r="O290" s="23"/>
      <c r="P290" s="24"/>
      <c r="Q290" s="25"/>
      <c r="R290" s="25"/>
    </row>
    <row r="291" spans="1:18">
      <c r="A291" s="46">
        <f t="shared" si="7"/>
        <v>7</v>
      </c>
      <c r="B291" s="47">
        <v>32</v>
      </c>
      <c r="C291" s="14">
        <v>17.99</v>
      </c>
      <c r="D291" s="14">
        <f t="shared" si="8"/>
        <v>158</v>
      </c>
      <c r="E291" s="36">
        <f>(C291+0.01)*D291*$X$2/100</f>
        <v>28440000</v>
      </c>
      <c r="F291" s="37">
        <f>SUM(E261:E291)</f>
        <v>102270000</v>
      </c>
      <c r="G291" s="17">
        <f>SUM(C261:C291)</f>
        <v>69.94</v>
      </c>
      <c r="H291" s="18"/>
      <c r="I291" s="14" t="s">
        <v>2</v>
      </c>
      <c r="J291" s="29">
        <v>9</v>
      </c>
      <c r="K291" s="21">
        <f>E291</f>
        <v>28440000</v>
      </c>
      <c r="L291" s="36">
        <f>SUMIF(I291:I296,"="&amp;"金币",K291:K296)</f>
        <v>32054490</v>
      </c>
      <c r="M291" s="22">
        <f>L291/$X$2</f>
        <v>32.05449</v>
      </c>
      <c r="N291" s="37">
        <f>SUM(L261:L291)</f>
        <v>117932790</v>
      </c>
      <c r="O291" s="23">
        <f>SUM(M261:M291)</f>
        <v>117.93279</v>
      </c>
      <c r="P291" s="24">
        <f>N291/F291</f>
        <v>1.15315136403637</v>
      </c>
      <c r="Q291" s="25"/>
      <c r="R291" s="25"/>
    </row>
    <row r="292" spans="1:18">
      <c r="A292" s="46">
        <f t="shared" si="7"/>
        <v>7</v>
      </c>
      <c r="B292" s="47">
        <v>33</v>
      </c>
      <c r="C292" s="14"/>
      <c r="D292" s="14" t="str">
        <f t="shared" si="8"/>
        <v/>
      </c>
      <c r="E292" s="14"/>
      <c r="F292" s="30"/>
      <c r="G292" s="17"/>
      <c r="H292" s="18"/>
      <c r="I292" s="19" t="s">
        <v>408</v>
      </c>
      <c r="J292" s="38">
        <v>3</v>
      </c>
      <c r="K292" s="21">
        <v>6</v>
      </c>
      <c r="L292" s="14"/>
      <c r="M292" s="22"/>
      <c r="N292" s="30"/>
      <c r="O292" s="23"/>
      <c r="P292" s="24"/>
      <c r="Q292" s="25"/>
      <c r="R292" s="25"/>
    </row>
    <row r="293" spans="1:18">
      <c r="A293" s="46">
        <f t="shared" si="7"/>
        <v>7</v>
      </c>
      <c r="B293" s="47">
        <v>34</v>
      </c>
      <c r="C293" s="14"/>
      <c r="D293" s="14" t="str">
        <f t="shared" si="8"/>
        <v/>
      </c>
      <c r="E293" s="14"/>
      <c r="F293" s="30"/>
      <c r="G293" s="17"/>
      <c r="H293" s="18">
        <v>0.18</v>
      </c>
      <c r="I293" s="19" t="s">
        <v>2</v>
      </c>
      <c r="J293" s="38">
        <v>17</v>
      </c>
      <c r="K293" s="21">
        <f>H293*$R$264</f>
        <v>3614490</v>
      </c>
      <c r="L293" s="14"/>
      <c r="M293" s="22"/>
      <c r="N293" s="30"/>
      <c r="O293" s="23"/>
      <c r="P293" s="24"/>
      <c r="Q293" s="25"/>
      <c r="R293" s="25"/>
    </row>
    <row r="294" spans="1:18">
      <c r="A294" s="46">
        <f t="shared" si="7"/>
        <v>7</v>
      </c>
      <c r="B294" s="47">
        <v>35</v>
      </c>
      <c r="C294" s="14"/>
      <c r="D294" s="14" t="str">
        <f t="shared" si="8"/>
        <v/>
      </c>
      <c r="E294" s="14"/>
      <c r="F294" s="30"/>
      <c r="G294" s="17"/>
      <c r="H294" s="18"/>
      <c r="I294" s="19" t="s">
        <v>463</v>
      </c>
      <c r="J294" s="38">
        <v>4</v>
      </c>
      <c r="K294" s="21">
        <v>1</v>
      </c>
      <c r="L294" s="14"/>
      <c r="M294" s="22"/>
      <c r="N294" s="30"/>
      <c r="O294" s="23"/>
      <c r="P294" s="24"/>
      <c r="Q294" s="25"/>
      <c r="R294" s="25"/>
    </row>
    <row r="295" spans="1:18">
      <c r="A295" s="46">
        <f t="shared" si="7"/>
        <v>7</v>
      </c>
      <c r="B295" s="47">
        <v>36</v>
      </c>
      <c r="C295" s="14"/>
      <c r="D295" s="14" t="str">
        <f t="shared" si="8"/>
        <v/>
      </c>
      <c r="E295" s="14"/>
      <c r="F295" s="30"/>
      <c r="G295" s="17"/>
      <c r="H295" s="18"/>
      <c r="I295" s="19" t="s">
        <v>453</v>
      </c>
      <c r="J295" s="38">
        <v>3</v>
      </c>
      <c r="K295" s="21">
        <v>30</v>
      </c>
      <c r="L295" s="14"/>
      <c r="M295" s="22"/>
      <c r="N295" s="30"/>
      <c r="O295" s="23"/>
      <c r="P295" s="24"/>
      <c r="Q295" s="25"/>
      <c r="R295" s="25"/>
    </row>
    <row r="296" spans="1:18">
      <c r="A296" s="46">
        <f t="shared" si="7"/>
        <v>7</v>
      </c>
      <c r="B296" s="47">
        <v>37</v>
      </c>
      <c r="C296" s="14"/>
      <c r="D296" s="14" t="str">
        <f t="shared" si="8"/>
        <v/>
      </c>
      <c r="E296" s="14"/>
      <c r="F296" s="30"/>
      <c r="G296" s="17"/>
      <c r="H296" s="18"/>
      <c r="I296" t="s">
        <v>426</v>
      </c>
      <c r="J296" s="38">
        <v>3</v>
      </c>
      <c r="K296" s="21">
        <v>1</v>
      </c>
      <c r="L296" s="14"/>
      <c r="M296" s="22"/>
      <c r="N296" s="30"/>
      <c r="O296" s="23"/>
      <c r="P296" s="24"/>
      <c r="Q296" s="25"/>
      <c r="R296" s="25"/>
    </row>
    <row r="297" spans="1:18">
      <c r="A297" s="46">
        <f t="shared" si="7"/>
        <v>7</v>
      </c>
      <c r="B297" s="47">
        <v>38</v>
      </c>
      <c r="C297" s="14">
        <v>19.99</v>
      </c>
      <c r="D297" s="14">
        <f t="shared" si="8"/>
        <v>158</v>
      </c>
      <c r="E297" s="36">
        <f>(C297+0.01)*D297*$X$2/100</f>
        <v>31600000</v>
      </c>
      <c r="F297" s="37">
        <f>SUM(E261:E297)</f>
        <v>133870000</v>
      </c>
      <c r="G297" s="17">
        <f>SUM(C261:C297)</f>
        <v>89.93</v>
      </c>
      <c r="H297" s="18"/>
      <c r="I297" s="14" t="s">
        <v>2</v>
      </c>
      <c r="J297" s="29">
        <v>9</v>
      </c>
      <c r="K297" s="21">
        <f>E297</f>
        <v>31600000</v>
      </c>
      <c r="L297" s="36">
        <f>SUMIF(I297:I302,"="&amp;"金币",K297:K302)</f>
        <v>36017710</v>
      </c>
      <c r="M297" s="22">
        <f>L297/$X$2</f>
        <v>36.01771</v>
      </c>
      <c r="N297" s="37">
        <f>SUM(L261:L297)</f>
        <v>153950500</v>
      </c>
      <c r="O297" s="23">
        <f>SUM(M261:M297)</f>
        <v>153.9505</v>
      </c>
      <c r="P297" s="24">
        <f>N297/F297</f>
        <v>1.15</v>
      </c>
      <c r="Q297" s="25"/>
      <c r="R297" s="25"/>
    </row>
    <row r="298" spans="1:18">
      <c r="A298" s="46">
        <f t="shared" si="7"/>
        <v>7</v>
      </c>
      <c r="B298" s="47">
        <v>39</v>
      </c>
      <c r="C298" s="14"/>
      <c r="D298" s="14" t="str">
        <f t="shared" si="8"/>
        <v/>
      </c>
      <c r="E298" s="14"/>
      <c r="F298" s="30"/>
      <c r="G298" s="17"/>
      <c r="H298" s="18"/>
      <c r="I298" s="19" t="s">
        <v>408</v>
      </c>
      <c r="J298" s="38">
        <v>3</v>
      </c>
      <c r="K298" s="21">
        <v>7</v>
      </c>
      <c r="L298" s="14"/>
      <c r="M298" s="22"/>
      <c r="N298" s="30"/>
      <c r="O298" s="23"/>
      <c r="P298" s="24"/>
      <c r="Q298" s="25"/>
      <c r="R298" s="25"/>
    </row>
    <row r="299" spans="1:18">
      <c r="A299" s="46">
        <f t="shared" si="7"/>
        <v>7</v>
      </c>
      <c r="B299" s="47">
        <v>40</v>
      </c>
      <c r="C299" s="14"/>
      <c r="D299" s="14" t="str">
        <f t="shared" si="8"/>
        <v/>
      </c>
      <c r="E299" s="14"/>
      <c r="F299" s="30"/>
      <c r="G299" s="17"/>
      <c r="H299" s="18">
        <v>0.22</v>
      </c>
      <c r="I299" s="19" t="s">
        <v>2</v>
      </c>
      <c r="J299" s="38">
        <v>17</v>
      </c>
      <c r="K299" s="21">
        <f>H299*$R$264</f>
        <v>4417710</v>
      </c>
      <c r="L299" s="14"/>
      <c r="M299" s="22"/>
      <c r="N299" s="30"/>
      <c r="O299" s="23"/>
      <c r="P299" s="24"/>
      <c r="Q299" s="25"/>
      <c r="R299" s="25"/>
    </row>
    <row r="300" spans="1:18">
      <c r="A300" s="46">
        <f t="shared" si="7"/>
        <v>7</v>
      </c>
      <c r="B300" s="47">
        <v>41</v>
      </c>
      <c r="C300" s="14"/>
      <c r="D300" s="14" t="str">
        <f t="shared" si="8"/>
        <v/>
      </c>
      <c r="E300" s="14"/>
      <c r="F300" s="30"/>
      <c r="G300" s="17"/>
      <c r="H300" s="18"/>
      <c r="I300" s="19" t="s">
        <v>473</v>
      </c>
      <c r="J300" s="38">
        <v>4</v>
      </c>
      <c r="K300" s="21">
        <v>1</v>
      </c>
      <c r="L300" s="14"/>
      <c r="M300" s="22"/>
      <c r="N300" s="30"/>
      <c r="O300" s="23"/>
      <c r="P300" s="24"/>
      <c r="Q300" s="25"/>
      <c r="R300" s="25"/>
    </row>
    <row r="301" spans="1:18">
      <c r="A301" s="46">
        <f t="shared" ref="A301:A364" si="9">A258+1</f>
        <v>7</v>
      </c>
      <c r="B301" s="47">
        <v>42</v>
      </c>
      <c r="C301" s="14"/>
      <c r="D301" s="14" t="str">
        <f t="shared" si="8"/>
        <v/>
      </c>
      <c r="E301" s="14"/>
      <c r="F301" s="30"/>
      <c r="G301" s="17"/>
      <c r="H301" s="18"/>
      <c r="I301" s="19" t="s">
        <v>453</v>
      </c>
      <c r="J301" s="38">
        <v>3</v>
      </c>
      <c r="K301" s="21">
        <v>35</v>
      </c>
      <c r="L301" s="14"/>
      <c r="M301" s="22"/>
      <c r="N301" s="30"/>
      <c r="O301" s="23"/>
      <c r="P301" s="24"/>
      <c r="Q301" s="25"/>
      <c r="R301" s="25"/>
    </row>
    <row r="302" spans="1:18">
      <c r="A302" s="46">
        <f t="shared" si="9"/>
        <v>7</v>
      </c>
      <c r="B302" s="47">
        <v>43</v>
      </c>
      <c r="C302" s="14"/>
      <c r="D302" s="14" t="str">
        <f t="shared" si="8"/>
        <v/>
      </c>
      <c r="E302" s="14"/>
      <c r="F302" s="30"/>
      <c r="G302" s="17"/>
      <c r="H302" s="18"/>
      <c r="I302" t="s">
        <v>424</v>
      </c>
      <c r="J302" s="38">
        <v>3</v>
      </c>
      <c r="K302" s="21">
        <v>1</v>
      </c>
      <c r="L302" s="14"/>
      <c r="M302" s="22"/>
      <c r="N302" s="30"/>
      <c r="O302" s="23"/>
      <c r="P302" s="24"/>
      <c r="Q302" s="25"/>
      <c r="R302" s="25"/>
    </row>
    <row r="303" spans="1:18">
      <c r="A303" s="46">
        <f t="shared" si="9"/>
        <v>8</v>
      </c>
      <c r="B303" s="47">
        <v>1</v>
      </c>
      <c r="C303" s="14"/>
      <c r="D303" s="14" t="str">
        <f t="shared" si="8"/>
        <v/>
      </c>
      <c r="E303" s="14"/>
      <c r="F303" s="30"/>
      <c r="G303" s="17"/>
      <c r="H303" s="18"/>
      <c r="I303" s="14" t="s">
        <v>2</v>
      </c>
      <c r="J303" s="29">
        <v>1</v>
      </c>
      <c r="K303" s="21">
        <v>5000</v>
      </c>
      <c r="L303" s="14"/>
      <c r="M303" s="22"/>
      <c r="N303" s="30"/>
      <c r="O303" s="23"/>
      <c r="P303" s="24"/>
      <c r="Q303" s="25"/>
      <c r="R303" s="31">
        <f>SUM(C303:C345)</f>
        <v>89.93</v>
      </c>
    </row>
    <row r="304" spans="1:18">
      <c r="A304" s="46">
        <f t="shared" si="9"/>
        <v>8</v>
      </c>
      <c r="B304" s="47">
        <v>2</v>
      </c>
      <c r="C304" s="35">
        <v>5.99</v>
      </c>
      <c r="D304" s="14">
        <f t="shared" si="8"/>
        <v>119</v>
      </c>
      <c r="E304" s="36">
        <f>(C304+0.01)*D304*$X$2/100</f>
        <v>7140000</v>
      </c>
      <c r="F304" s="37">
        <f>SUM(E304)</f>
        <v>7140000</v>
      </c>
      <c r="G304" s="17">
        <f>SUM(C304)</f>
        <v>5.99</v>
      </c>
      <c r="H304" s="18"/>
      <c r="I304" s="14" t="s">
        <v>2</v>
      </c>
      <c r="J304" s="29">
        <v>9</v>
      </c>
      <c r="K304" s="21">
        <f>E304</f>
        <v>7140000</v>
      </c>
      <c r="L304" s="36">
        <f>SUMIF(I304:I309,"="&amp;"金币",K304:K309)</f>
        <v>8746440</v>
      </c>
      <c r="M304" s="22">
        <f>L304/$X$2</f>
        <v>8.74644</v>
      </c>
      <c r="N304" s="37">
        <f>SUM(L304)</f>
        <v>8746440</v>
      </c>
      <c r="O304" s="23">
        <f>SUM(M304)</f>
        <v>8.74644</v>
      </c>
      <c r="P304" s="24">
        <f>N304/F304</f>
        <v>1.22499159663866</v>
      </c>
      <c r="Q304" s="25"/>
      <c r="R304" s="26" t="s">
        <v>556</v>
      </c>
    </row>
    <row r="305" spans="1:18">
      <c r="A305" s="46">
        <f t="shared" si="9"/>
        <v>8</v>
      </c>
      <c r="B305" s="47">
        <v>3</v>
      </c>
      <c r="C305" s="14"/>
      <c r="D305" s="14" t="str">
        <f t="shared" si="8"/>
        <v/>
      </c>
      <c r="E305" s="14"/>
      <c r="F305" s="30"/>
      <c r="G305" s="17"/>
      <c r="H305" s="18"/>
      <c r="I305" s="19" t="s">
        <v>408</v>
      </c>
      <c r="J305" s="38">
        <v>3</v>
      </c>
      <c r="K305" s="21">
        <v>1</v>
      </c>
      <c r="L305" s="14"/>
      <c r="M305" s="22"/>
      <c r="N305" s="30"/>
      <c r="O305" s="23"/>
      <c r="P305" s="24"/>
      <c r="Q305" s="25"/>
      <c r="R305" s="39">
        <v>1.15</v>
      </c>
    </row>
    <row r="306" spans="1:18">
      <c r="A306" s="46">
        <f t="shared" si="9"/>
        <v>8</v>
      </c>
      <c r="B306" s="47">
        <v>4</v>
      </c>
      <c r="C306" s="14"/>
      <c r="D306" s="14" t="str">
        <f t="shared" si="8"/>
        <v/>
      </c>
      <c r="E306" s="14"/>
      <c r="F306" s="30"/>
      <c r="G306" s="17"/>
      <c r="H306" s="18">
        <v>0.08</v>
      </c>
      <c r="I306" s="19" t="s">
        <v>2</v>
      </c>
      <c r="J306" s="38">
        <v>17</v>
      </c>
      <c r="K306" s="21">
        <f>H306*$R$307</f>
        <v>1606440</v>
      </c>
      <c r="L306" s="14"/>
      <c r="M306" s="22"/>
      <c r="N306" s="30"/>
      <c r="O306" s="23"/>
      <c r="P306" s="24"/>
      <c r="Q306" s="25"/>
      <c r="R306" s="26" t="s">
        <v>557</v>
      </c>
    </row>
    <row r="307" spans="1:18">
      <c r="A307" s="46">
        <f t="shared" si="9"/>
        <v>8</v>
      </c>
      <c r="B307" s="47">
        <v>5</v>
      </c>
      <c r="C307" s="14"/>
      <c r="D307" s="14" t="str">
        <f t="shared" si="8"/>
        <v/>
      </c>
      <c r="E307" s="14"/>
      <c r="F307" s="30"/>
      <c r="G307" s="17"/>
      <c r="H307" s="18"/>
      <c r="I307" s="19" t="s">
        <v>457</v>
      </c>
      <c r="J307" s="38">
        <v>4</v>
      </c>
      <c r="K307" s="21">
        <v>1</v>
      </c>
      <c r="L307" s="14"/>
      <c r="M307" s="22"/>
      <c r="N307" s="30"/>
      <c r="O307" s="23"/>
      <c r="P307" s="24"/>
      <c r="Q307" s="25"/>
      <c r="R307" s="40">
        <f>SUM(E303:E345)*(R305-1)</f>
        <v>20080500</v>
      </c>
    </row>
    <row r="308" spans="1:18">
      <c r="A308" s="46">
        <f t="shared" si="9"/>
        <v>8</v>
      </c>
      <c r="B308" s="47">
        <v>6</v>
      </c>
      <c r="C308" s="14"/>
      <c r="D308" s="14" t="str">
        <f t="shared" si="8"/>
        <v/>
      </c>
      <c r="E308" s="14"/>
      <c r="F308" s="30"/>
      <c r="G308" s="17"/>
      <c r="H308" s="18"/>
      <c r="I308" s="19" t="s">
        <v>453</v>
      </c>
      <c r="J308" s="38">
        <v>3</v>
      </c>
      <c r="K308" s="21">
        <v>5</v>
      </c>
      <c r="L308" s="14"/>
      <c r="M308" s="22"/>
      <c r="N308" s="30"/>
      <c r="O308" s="23"/>
      <c r="P308" s="24"/>
      <c r="Q308" s="25"/>
      <c r="R308" s="26" t="s">
        <v>558</v>
      </c>
    </row>
    <row r="309" spans="1:18">
      <c r="A309" s="46">
        <f t="shared" si="9"/>
        <v>8</v>
      </c>
      <c r="B309" s="47">
        <v>7</v>
      </c>
      <c r="C309" s="14"/>
      <c r="D309" s="14" t="str">
        <f t="shared" si="8"/>
        <v/>
      </c>
      <c r="E309" s="14"/>
      <c r="F309" s="30"/>
      <c r="G309" s="17"/>
      <c r="H309" s="18"/>
      <c r="I309" t="s">
        <v>424</v>
      </c>
      <c r="J309" s="38">
        <v>3</v>
      </c>
      <c r="K309" s="21">
        <v>1</v>
      </c>
      <c r="L309" s="14"/>
      <c r="M309" s="22"/>
      <c r="N309" s="30"/>
      <c r="O309" s="23"/>
      <c r="P309" s="24"/>
      <c r="Q309" s="25"/>
      <c r="R309" s="26">
        <f>SUM(H303:H345)</f>
        <v>1</v>
      </c>
    </row>
    <row r="310" spans="1:18">
      <c r="A310" s="46">
        <f t="shared" si="9"/>
        <v>8</v>
      </c>
      <c r="B310" s="47">
        <v>8</v>
      </c>
      <c r="C310" s="14">
        <v>7.99</v>
      </c>
      <c r="D310" s="14">
        <f t="shared" si="8"/>
        <v>129</v>
      </c>
      <c r="E310" s="36">
        <f>(C310+0.01)*D310*$X$2/100</f>
        <v>10320000</v>
      </c>
      <c r="F310" s="37">
        <f>SUM(E304:E310)</f>
        <v>17460000</v>
      </c>
      <c r="G310" s="17">
        <f>SUM(C304:C310)</f>
        <v>13.98</v>
      </c>
      <c r="H310" s="18"/>
      <c r="I310" s="14" t="s">
        <v>2</v>
      </c>
      <c r="J310" s="29">
        <v>9</v>
      </c>
      <c r="K310" s="21">
        <f>E310</f>
        <v>10320000</v>
      </c>
      <c r="L310" s="36">
        <f>SUMIF(I310:I315,"="&amp;"金币",K310:K315)</f>
        <v>12328050</v>
      </c>
      <c r="M310" s="22">
        <f>L310/$X$2</f>
        <v>12.32805</v>
      </c>
      <c r="N310" s="37">
        <f>SUM(L304:L310)</f>
        <v>21074490</v>
      </c>
      <c r="O310" s="23">
        <f>SUM(M304:M310)</f>
        <v>21.07449</v>
      </c>
      <c r="P310" s="24">
        <f>N310/F310</f>
        <v>1.20701546391753</v>
      </c>
      <c r="Q310" s="25"/>
      <c r="R310" s="25"/>
    </row>
    <row r="311" spans="1:18">
      <c r="A311" s="46">
        <f t="shared" si="9"/>
        <v>8</v>
      </c>
      <c r="B311" s="47">
        <v>9</v>
      </c>
      <c r="C311" s="14"/>
      <c r="D311" s="14" t="str">
        <f t="shared" si="8"/>
        <v/>
      </c>
      <c r="E311" s="14"/>
      <c r="F311" s="30"/>
      <c r="G311" s="17"/>
      <c r="H311" s="18"/>
      <c r="I311" s="19" t="s">
        <v>408</v>
      </c>
      <c r="J311" s="38">
        <v>3</v>
      </c>
      <c r="K311" s="21">
        <v>2</v>
      </c>
      <c r="L311" s="14"/>
      <c r="M311" s="22"/>
      <c r="N311" s="30"/>
      <c r="O311" s="23"/>
      <c r="P311" s="24"/>
      <c r="Q311" s="25"/>
      <c r="R311" s="25"/>
    </row>
    <row r="312" spans="1:18">
      <c r="A312" s="46">
        <f t="shared" si="9"/>
        <v>8</v>
      </c>
      <c r="B312" s="47">
        <v>10</v>
      </c>
      <c r="C312" s="14"/>
      <c r="D312" s="14" t="str">
        <f t="shared" si="8"/>
        <v/>
      </c>
      <c r="E312" s="14"/>
      <c r="F312" s="30"/>
      <c r="G312" s="17"/>
      <c r="H312" s="18">
        <v>0.1</v>
      </c>
      <c r="I312" s="19" t="s">
        <v>2</v>
      </c>
      <c r="J312" s="38">
        <v>17</v>
      </c>
      <c r="K312" s="21">
        <f>H312*$R$307</f>
        <v>2008050</v>
      </c>
      <c r="L312" s="14"/>
      <c r="M312" s="22"/>
      <c r="N312" s="30"/>
      <c r="O312" s="23"/>
      <c r="P312" s="24"/>
      <c r="Q312" s="25"/>
      <c r="R312" s="25"/>
    </row>
    <row r="313" spans="1:18">
      <c r="A313" s="46">
        <f t="shared" si="9"/>
        <v>8</v>
      </c>
      <c r="B313" s="47">
        <v>11</v>
      </c>
      <c r="C313" s="14"/>
      <c r="D313" s="14" t="str">
        <f t="shared" si="8"/>
        <v/>
      </c>
      <c r="E313" s="14"/>
      <c r="F313" s="30"/>
      <c r="G313" s="17"/>
      <c r="H313" s="18"/>
      <c r="I313" s="19" t="s">
        <v>459</v>
      </c>
      <c r="J313" s="38">
        <v>4</v>
      </c>
      <c r="K313" s="21">
        <v>1</v>
      </c>
      <c r="L313" s="14"/>
      <c r="M313" s="22"/>
      <c r="N313" s="30"/>
      <c r="O313" s="23"/>
      <c r="P313" s="24"/>
      <c r="Q313" s="25"/>
      <c r="R313" s="25"/>
    </row>
    <row r="314" spans="1:18">
      <c r="A314" s="46">
        <f t="shared" si="9"/>
        <v>8</v>
      </c>
      <c r="B314" s="47">
        <v>12</v>
      </c>
      <c r="C314" s="14"/>
      <c r="D314" s="14" t="str">
        <f t="shared" si="8"/>
        <v/>
      </c>
      <c r="E314" s="14"/>
      <c r="F314" s="30"/>
      <c r="G314" s="17"/>
      <c r="H314" s="18"/>
      <c r="I314" s="19" t="s">
        <v>453</v>
      </c>
      <c r="J314" s="38">
        <v>3</v>
      </c>
      <c r="K314" s="21">
        <v>10</v>
      </c>
      <c r="L314" s="14"/>
      <c r="M314" s="22"/>
      <c r="N314" s="30"/>
      <c r="O314" s="23"/>
      <c r="P314" s="24"/>
      <c r="Q314" s="25"/>
      <c r="R314" s="25"/>
    </row>
    <row r="315" spans="1:18">
      <c r="A315" s="46">
        <f t="shared" si="9"/>
        <v>8</v>
      </c>
      <c r="B315" s="47">
        <v>13</v>
      </c>
      <c r="C315" s="14"/>
      <c r="D315" s="14" t="str">
        <f t="shared" si="8"/>
        <v/>
      </c>
      <c r="E315" s="14"/>
      <c r="F315" s="30"/>
      <c r="G315" s="17"/>
      <c r="H315" s="18"/>
      <c r="I315" t="s">
        <v>426</v>
      </c>
      <c r="J315" s="38">
        <v>3</v>
      </c>
      <c r="K315" s="21">
        <v>1</v>
      </c>
      <c r="L315" s="14"/>
      <c r="M315" s="22"/>
      <c r="N315" s="30"/>
      <c r="O315" s="23"/>
      <c r="P315" s="24"/>
      <c r="Q315" s="25"/>
      <c r="R315" s="25"/>
    </row>
    <row r="316" spans="1:18">
      <c r="A316" s="46">
        <f t="shared" si="9"/>
        <v>8</v>
      </c>
      <c r="B316" s="47">
        <v>14</v>
      </c>
      <c r="C316" s="14">
        <v>9.99</v>
      </c>
      <c r="D316" s="14">
        <f t="shared" si="8"/>
        <v>139</v>
      </c>
      <c r="E316" s="36">
        <f>(C316+0.01)*D316*$X$2/100</f>
        <v>13900000</v>
      </c>
      <c r="F316" s="37">
        <f>SUM(E304:E316)</f>
        <v>31360000</v>
      </c>
      <c r="G316" s="17">
        <f>SUM(C304:C316)</f>
        <v>23.97</v>
      </c>
      <c r="H316" s="18"/>
      <c r="I316" s="14" t="s">
        <v>2</v>
      </c>
      <c r="J316" s="29">
        <v>9</v>
      </c>
      <c r="K316" s="21">
        <f>E316</f>
        <v>13900000</v>
      </c>
      <c r="L316" s="36">
        <f>SUMIF(I316:I321,"="&amp;"金币",K316:K321)</f>
        <v>16309660</v>
      </c>
      <c r="M316" s="22">
        <f>L316/$X$2</f>
        <v>16.30966</v>
      </c>
      <c r="N316" s="37">
        <f>SUM(L304:L316)</f>
        <v>37384150</v>
      </c>
      <c r="O316" s="23">
        <f>SUM(M304:M316)</f>
        <v>37.38415</v>
      </c>
      <c r="P316" s="24">
        <f>N316/F316</f>
        <v>1.19209661989796</v>
      </c>
      <c r="Q316" s="25"/>
      <c r="R316" s="25"/>
    </row>
    <row r="317" spans="1:18">
      <c r="A317" s="46">
        <f t="shared" si="9"/>
        <v>8</v>
      </c>
      <c r="B317" s="47">
        <v>15</v>
      </c>
      <c r="C317" s="14"/>
      <c r="D317" s="14" t="str">
        <f t="shared" si="8"/>
        <v/>
      </c>
      <c r="E317" s="14"/>
      <c r="F317" s="30"/>
      <c r="G317" s="17"/>
      <c r="H317" s="18"/>
      <c r="I317" s="19" t="s">
        <v>408</v>
      </c>
      <c r="J317" s="38">
        <v>3</v>
      </c>
      <c r="K317" s="21">
        <v>3</v>
      </c>
      <c r="L317" s="14"/>
      <c r="M317" s="22"/>
      <c r="N317" s="30"/>
      <c r="O317" s="23"/>
      <c r="P317" s="24"/>
      <c r="Q317" s="25"/>
      <c r="R317" s="25"/>
    </row>
    <row r="318" spans="1:18">
      <c r="A318" s="46">
        <f t="shared" si="9"/>
        <v>8</v>
      </c>
      <c r="B318" s="47">
        <v>16</v>
      </c>
      <c r="C318" s="14"/>
      <c r="D318" s="14" t="str">
        <f t="shared" si="8"/>
        <v/>
      </c>
      <c r="E318" s="14"/>
      <c r="F318" s="30"/>
      <c r="G318" s="17"/>
      <c r="H318" s="18">
        <v>0.12</v>
      </c>
      <c r="I318" s="19" t="s">
        <v>2</v>
      </c>
      <c r="J318" s="38">
        <v>17</v>
      </c>
      <c r="K318" s="21">
        <f>H318*$R$307</f>
        <v>2409660</v>
      </c>
      <c r="L318" s="14"/>
      <c r="M318" s="22"/>
      <c r="N318" s="30"/>
      <c r="O318" s="23"/>
      <c r="P318" s="24"/>
      <c r="Q318" s="25"/>
      <c r="R318" s="25"/>
    </row>
    <row r="319" spans="1:18">
      <c r="A319" s="46">
        <f t="shared" si="9"/>
        <v>8</v>
      </c>
      <c r="B319" s="47">
        <v>17</v>
      </c>
      <c r="C319" s="14"/>
      <c r="D319" s="14" t="str">
        <f t="shared" si="8"/>
        <v/>
      </c>
      <c r="E319" s="14"/>
      <c r="F319" s="30"/>
      <c r="G319" s="17"/>
      <c r="H319" s="18"/>
      <c r="I319" s="19" t="s">
        <v>461</v>
      </c>
      <c r="J319" s="38">
        <v>4</v>
      </c>
      <c r="K319" s="21">
        <v>1</v>
      </c>
      <c r="L319" s="14"/>
      <c r="M319" s="22"/>
      <c r="N319" s="30"/>
      <c r="O319" s="23"/>
      <c r="P319" s="24"/>
      <c r="Q319" s="25"/>
      <c r="R319" s="25"/>
    </row>
    <row r="320" spans="1:18">
      <c r="A320" s="46">
        <f t="shared" si="9"/>
        <v>8</v>
      </c>
      <c r="B320" s="47">
        <v>18</v>
      </c>
      <c r="C320" s="14"/>
      <c r="D320" s="14" t="str">
        <f t="shared" si="8"/>
        <v/>
      </c>
      <c r="E320" s="14"/>
      <c r="F320" s="30"/>
      <c r="G320" s="17"/>
      <c r="H320" s="18"/>
      <c r="I320" s="19" t="s">
        <v>453</v>
      </c>
      <c r="J320" s="38">
        <v>3</v>
      </c>
      <c r="K320" s="21">
        <v>15</v>
      </c>
      <c r="L320" s="14"/>
      <c r="M320" s="22"/>
      <c r="N320" s="30"/>
      <c r="O320" s="23"/>
      <c r="P320" s="24"/>
      <c r="Q320" s="25"/>
      <c r="R320" s="25"/>
    </row>
    <row r="321" spans="1:18">
      <c r="A321" s="46">
        <f t="shared" si="9"/>
        <v>8</v>
      </c>
      <c r="B321" s="47">
        <v>19</v>
      </c>
      <c r="C321" s="14"/>
      <c r="D321" s="14" t="str">
        <f t="shared" si="8"/>
        <v/>
      </c>
      <c r="E321" s="14"/>
      <c r="F321" s="30"/>
      <c r="G321" s="17"/>
      <c r="H321" s="18"/>
      <c r="I321" t="s">
        <v>424</v>
      </c>
      <c r="J321" s="38">
        <v>3</v>
      </c>
      <c r="K321" s="21">
        <v>1</v>
      </c>
      <c r="L321" s="14"/>
      <c r="M321" s="22"/>
      <c r="N321" s="30"/>
      <c r="O321" s="23"/>
      <c r="P321" s="24"/>
      <c r="Q321" s="25"/>
      <c r="R321" s="25"/>
    </row>
    <row r="322" spans="1:18">
      <c r="A322" s="46">
        <f t="shared" si="9"/>
        <v>8</v>
      </c>
      <c r="B322" s="47">
        <v>20</v>
      </c>
      <c r="C322" s="14">
        <v>12.99</v>
      </c>
      <c r="D322" s="14">
        <f t="shared" si="8"/>
        <v>149</v>
      </c>
      <c r="E322" s="36">
        <f>(C322+0.01)*D322*$X$2/100</f>
        <v>19370000</v>
      </c>
      <c r="F322" s="37">
        <f>SUM(E304:E322)</f>
        <v>50730000</v>
      </c>
      <c r="G322" s="17">
        <f>SUM(C304:C322)</f>
        <v>36.96</v>
      </c>
      <c r="H322" s="18"/>
      <c r="I322" s="14" t="s">
        <v>2</v>
      </c>
      <c r="J322" s="29">
        <v>9</v>
      </c>
      <c r="K322" s="21">
        <f>E322</f>
        <v>19370000</v>
      </c>
      <c r="L322" s="36">
        <f>SUMIF(I322:I327,"="&amp;"金币",K322:K327)</f>
        <v>22181270</v>
      </c>
      <c r="M322" s="22">
        <f>L322/$X$2</f>
        <v>22.18127</v>
      </c>
      <c r="N322" s="37">
        <f>SUM(L304:L322)</f>
        <v>59565420</v>
      </c>
      <c r="O322" s="23">
        <f>SUM(M304:M322)</f>
        <v>59.56542</v>
      </c>
      <c r="P322" s="24">
        <f>N322/F322</f>
        <v>1.17416558249556</v>
      </c>
      <c r="Q322" s="25"/>
      <c r="R322" s="25"/>
    </row>
    <row r="323" spans="1:18">
      <c r="A323" s="46">
        <f t="shared" si="9"/>
        <v>8</v>
      </c>
      <c r="B323" s="47">
        <v>21</v>
      </c>
      <c r="C323" s="14"/>
      <c r="D323" s="14" t="str">
        <f t="shared" ref="D323:D386" si="10">IFERROR(VLOOKUP(ROUND(C323*100,0),T:U,2,FALSE),"")</f>
        <v/>
      </c>
      <c r="E323" s="14"/>
      <c r="F323" s="30"/>
      <c r="G323" s="17"/>
      <c r="H323" s="18"/>
      <c r="I323" s="19" t="s">
        <v>408</v>
      </c>
      <c r="J323" s="38">
        <v>3</v>
      </c>
      <c r="K323" s="21">
        <v>4</v>
      </c>
      <c r="L323" s="14"/>
      <c r="M323" s="22"/>
      <c r="N323" s="30"/>
      <c r="O323" s="23"/>
      <c r="P323" s="24"/>
      <c r="Q323" s="25"/>
      <c r="R323" s="25"/>
    </row>
    <row r="324" spans="1:18">
      <c r="A324" s="46">
        <f t="shared" si="9"/>
        <v>8</v>
      </c>
      <c r="B324" s="47">
        <v>22</v>
      </c>
      <c r="C324" s="14"/>
      <c r="D324" s="14" t="str">
        <f t="shared" si="10"/>
        <v/>
      </c>
      <c r="E324" s="14"/>
      <c r="F324" s="30"/>
      <c r="G324" s="17"/>
      <c r="H324" s="18">
        <v>0.14</v>
      </c>
      <c r="I324" s="19" t="s">
        <v>2</v>
      </c>
      <c r="J324" s="38">
        <v>17</v>
      </c>
      <c r="K324" s="21">
        <f>H324*$R$307</f>
        <v>2811270</v>
      </c>
      <c r="L324" s="14"/>
      <c r="M324" s="22"/>
      <c r="N324" s="30"/>
      <c r="O324" s="23"/>
      <c r="P324" s="24"/>
      <c r="Q324" s="25"/>
      <c r="R324" s="25"/>
    </row>
    <row r="325" spans="1:18">
      <c r="A325" s="46">
        <f t="shared" si="9"/>
        <v>8</v>
      </c>
      <c r="B325" s="47">
        <v>23</v>
      </c>
      <c r="C325" s="14"/>
      <c r="D325" s="14" t="str">
        <f t="shared" si="10"/>
        <v/>
      </c>
      <c r="E325" s="14"/>
      <c r="F325" s="30"/>
      <c r="G325" s="17"/>
      <c r="H325" s="18"/>
      <c r="I325" s="19" t="s">
        <v>461</v>
      </c>
      <c r="J325" s="38">
        <v>4</v>
      </c>
      <c r="K325" s="21">
        <v>1</v>
      </c>
      <c r="L325" s="14"/>
      <c r="M325" s="22"/>
      <c r="N325" s="30"/>
      <c r="O325" s="23"/>
      <c r="P325" s="24"/>
      <c r="Q325" s="25"/>
      <c r="R325" s="25"/>
    </row>
    <row r="326" spans="1:18">
      <c r="A326" s="46">
        <f t="shared" si="9"/>
        <v>8</v>
      </c>
      <c r="B326" s="47">
        <v>24</v>
      </c>
      <c r="C326" s="14"/>
      <c r="D326" s="14" t="str">
        <f t="shared" si="10"/>
        <v/>
      </c>
      <c r="E326" s="14"/>
      <c r="F326" s="30"/>
      <c r="G326" s="17"/>
      <c r="H326" s="18"/>
      <c r="I326" s="19" t="s">
        <v>453</v>
      </c>
      <c r="J326" s="38">
        <v>3</v>
      </c>
      <c r="K326" s="21">
        <v>20</v>
      </c>
      <c r="L326" s="14"/>
      <c r="M326" s="22"/>
      <c r="N326" s="30"/>
      <c r="O326" s="23"/>
      <c r="P326" s="24"/>
      <c r="Q326" s="25"/>
      <c r="R326" s="25"/>
    </row>
    <row r="327" spans="1:18">
      <c r="A327" s="46">
        <f t="shared" si="9"/>
        <v>8</v>
      </c>
      <c r="B327" s="47">
        <v>25</v>
      </c>
      <c r="C327" s="14"/>
      <c r="D327" s="14" t="str">
        <f t="shared" si="10"/>
        <v/>
      </c>
      <c r="E327" s="14"/>
      <c r="F327" s="30"/>
      <c r="G327" s="17"/>
      <c r="H327" s="18"/>
      <c r="I327" t="s">
        <v>426</v>
      </c>
      <c r="J327" s="38">
        <v>3</v>
      </c>
      <c r="K327" s="21">
        <v>1</v>
      </c>
      <c r="L327" s="14"/>
      <c r="M327" s="22"/>
      <c r="N327" s="30"/>
      <c r="O327" s="23"/>
      <c r="P327" s="24"/>
      <c r="Q327" s="25"/>
      <c r="R327" s="25"/>
    </row>
    <row r="328" spans="1:18">
      <c r="A328" s="46">
        <f t="shared" si="9"/>
        <v>8</v>
      </c>
      <c r="B328" s="47">
        <v>26</v>
      </c>
      <c r="C328" s="14">
        <v>14.99</v>
      </c>
      <c r="D328" s="14">
        <f t="shared" si="10"/>
        <v>154</v>
      </c>
      <c r="E328" s="36">
        <f>(C328+0.01)*D328*$X$2/100</f>
        <v>23100000</v>
      </c>
      <c r="F328" s="37">
        <f>SUM(E304:E328)</f>
        <v>73830000</v>
      </c>
      <c r="G328" s="17">
        <f>SUM(C304:C328)</f>
        <v>51.95</v>
      </c>
      <c r="H328" s="18"/>
      <c r="I328" s="14" t="s">
        <v>2</v>
      </c>
      <c r="J328" s="29">
        <v>9</v>
      </c>
      <c r="K328" s="21">
        <f>E328</f>
        <v>23100000</v>
      </c>
      <c r="L328" s="36">
        <f>SUMIF(I328:I333,"="&amp;"金币",K328:K333)</f>
        <v>26312880</v>
      </c>
      <c r="M328" s="22">
        <f>L328/$X$2</f>
        <v>26.31288</v>
      </c>
      <c r="N328" s="37">
        <f>SUM(L304:L328)</f>
        <v>85878300</v>
      </c>
      <c r="O328" s="23">
        <f>SUM(M304:M328)</f>
        <v>85.8783</v>
      </c>
      <c r="P328" s="24">
        <f>N328/F328</f>
        <v>1.16318976026006</v>
      </c>
      <c r="Q328" s="25"/>
      <c r="R328" s="25"/>
    </row>
    <row r="329" spans="1:18">
      <c r="A329" s="46">
        <f t="shared" si="9"/>
        <v>8</v>
      </c>
      <c r="B329" s="47">
        <v>27</v>
      </c>
      <c r="C329" s="14"/>
      <c r="D329" s="14" t="str">
        <f t="shared" si="10"/>
        <v/>
      </c>
      <c r="E329" s="14"/>
      <c r="F329" s="30"/>
      <c r="G329" s="17"/>
      <c r="H329" s="18"/>
      <c r="I329" s="19" t="s">
        <v>408</v>
      </c>
      <c r="J329" s="38">
        <v>3</v>
      </c>
      <c r="K329" s="21">
        <v>5</v>
      </c>
      <c r="L329" s="14"/>
      <c r="M329" s="22"/>
      <c r="N329" s="30"/>
      <c r="O329" s="23"/>
      <c r="P329" s="24"/>
      <c r="Q329" s="25"/>
      <c r="R329" s="25"/>
    </row>
    <row r="330" spans="1:18">
      <c r="A330" s="46">
        <f t="shared" si="9"/>
        <v>8</v>
      </c>
      <c r="B330" s="47">
        <v>28</v>
      </c>
      <c r="C330" s="14"/>
      <c r="D330" s="14" t="str">
        <f t="shared" si="10"/>
        <v/>
      </c>
      <c r="E330" s="14"/>
      <c r="F330" s="30"/>
      <c r="G330" s="17"/>
      <c r="H330" s="18">
        <v>0.16</v>
      </c>
      <c r="I330" s="19" t="s">
        <v>2</v>
      </c>
      <c r="J330" s="38">
        <v>17</v>
      </c>
      <c r="K330" s="21">
        <f>H330*$R$307</f>
        <v>3212880</v>
      </c>
      <c r="L330" s="14"/>
      <c r="M330" s="22"/>
      <c r="N330" s="30"/>
      <c r="O330" s="23"/>
      <c r="P330" s="24"/>
      <c r="Q330" s="25"/>
      <c r="R330" s="25"/>
    </row>
    <row r="331" spans="1:18">
      <c r="A331" s="46">
        <f t="shared" si="9"/>
        <v>8</v>
      </c>
      <c r="B331" s="47">
        <v>29</v>
      </c>
      <c r="C331" s="14"/>
      <c r="D331" s="14" t="str">
        <f t="shared" si="10"/>
        <v/>
      </c>
      <c r="E331" s="14"/>
      <c r="F331" s="30"/>
      <c r="G331" s="17"/>
      <c r="H331" s="18"/>
      <c r="I331" s="19" t="s">
        <v>463</v>
      </c>
      <c r="J331" s="38">
        <v>4</v>
      </c>
      <c r="K331" s="21">
        <v>1</v>
      </c>
      <c r="L331" s="14"/>
      <c r="M331" s="22"/>
      <c r="N331" s="30"/>
      <c r="O331" s="23"/>
      <c r="P331" s="24"/>
      <c r="Q331" s="25"/>
      <c r="R331" s="25"/>
    </row>
    <row r="332" spans="1:18">
      <c r="A332" s="46">
        <f t="shared" si="9"/>
        <v>8</v>
      </c>
      <c r="B332" s="47">
        <v>30</v>
      </c>
      <c r="C332" s="14"/>
      <c r="D332" s="14" t="str">
        <f t="shared" si="10"/>
        <v/>
      </c>
      <c r="E332" s="14"/>
      <c r="F332" s="30"/>
      <c r="G332" s="17"/>
      <c r="H332" s="18"/>
      <c r="I332" s="19" t="s">
        <v>453</v>
      </c>
      <c r="J332" s="38">
        <v>3</v>
      </c>
      <c r="K332" s="21">
        <v>25</v>
      </c>
      <c r="L332" s="14"/>
      <c r="M332" s="22"/>
      <c r="N332" s="30"/>
      <c r="O332" s="23"/>
      <c r="P332" s="24"/>
      <c r="Q332" s="25"/>
      <c r="R332" s="25"/>
    </row>
    <row r="333" spans="1:18">
      <c r="A333" s="46">
        <f t="shared" si="9"/>
        <v>8</v>
      </c>
      <c r="B333" s="47">
        <v>31</v>
      </c>
      <c r="C333" s="14"/>
      <c r="D333" s="14" t="str">
        <f t="shared" si="10"/>
        <v/>
      </c>
      <c r="E333" s="14"/>
      <c r="F333" s="30"/>
      <c r="G333" s="17"/>
      <c r="H333" s="18"/>
      <c r="I333" t="s">
        <v>424</v>
      </c>
      <c r="J333" s="38">
        <v>3</v>
      </c>
      <c r="K333" s="21">
        <v>1</v>
      </c>
      <c r="L333" s="14"/>
      <c r="M333" s="22"/>
      <c r="N333" s="30"/>
      <c r="O333" s="23"/>
      <c r="P333" s="24"/>
      <c r="Q333" s="25"/>
      <c r="R333" s="25"/>
    </row>
    <row r="334" spans="1:18">
      <c r="A334" s="46">
        <f t="shared" si="9"/>
        <v>8</v>
      </c>
      <c r="B334" s="47">
        <v>32</v>
      </c>
      <c r="C334" s="14">
        <v>17.99</v>
      </c>
      <c r="D334" s="14">
        <f t="shared" si="10"/>
        <v>158</v>
      </c>
      <c r="E334" s="36">
        <f>(C334+0.01)*D334*$X$2/100</f>
        <v>28440000</v>
      </c>
      <c r="F334" s="37">
        <f>SUM(E304:E334)</f>
        <v>102270000</v>
      </c>
      <c r="G334" s="17">
        <f>SUM(C304:C334)</f>
        <v>69.94</v>
      </c>
      <c r="H334" s="18"/>
      <c r="I334" s="14" t="s">
        <v>2</v>
      </c>
      <c r="J334" s="29">
        <v>9</v>
      </c>
      <c r="K334" s="21">
        <f>E334</f>
        <v>28440000</v>
      </c>
      <c r="L334" s="36">
        <f>SUMIF(I334:I339,"="&amp;"金币",K334:K339)</f>
        <v>32054490</v>
      </c>
      <c r="M334" s="22">
        <f>L334/$X$2</f>
        <v>32.05449</v>
      </c>
      <c r="N334" s="37">
        <f>SUM(L304:L334)</f>
        <v>117932790</v>
      </c>
      <c r="O334" s="23">
        <f>SUM(M304:M334)</f>
        <v>117.93279</v>
      </c>
      <c r="P334" s="24">
        <f>N334/F334</f>
        <v>1.15315136403637</v>
      </c>
      <c r="Q334" s="25"/>
      <c r="R334" s="25"/>
    </row>
    <row r="335" spans="1:18">
      <c r="A335" s="46">
        <f t="shared" si="9"/>
        <v>8</v>
      </c>
      <c r="B335" s="47">
        <v>33</v>
      </c>
      <c r="C335" s="14"/>
      <c r="D335" s="14" t="str">
        <f t="shared" si="10"/>
        <v/>
      </c>
      <c r="E335" s="14"/>
      <c r="F335" s="30"/>
      <c r="G335" s="17"/>
      <c r="H335" s="18"/>
      <c r="I335" s="19" t="s">
        <v>408</v>
      </c>
      <c r="J335" s="38">
        <v>3</v>
      </c>
      <c r="K335" s="21">
        <v>6</v>
      </c>
      <c r="L335" s="14"/>
      <c r="M335" s="22"/>
      <c r="N335" s="30"/>
      <c r="O335" s="23"/>
      <c r="P335" s="24"/>
      <c r="Q335" s="25"/>
      <c r="R335" s="25"/>
    </row>
    <row r="336" spans="1:18">
      <c r="A336" s="46">
        <f t="shared" si="9"/>
        <v>8</v>
      </c>
      <c r="B336" s="47">
        <v>34</v>
      </c>
      <c r="C336" s="14"/>
      <c r="D336" s="14" t="str">
        <f t="shared" si="10"/>
        <v/>
      </c>
      <c r="E336" s="14"/>
      <c r="F336" s="30"/>
      <c r="G336" s="17"/>
      <c r="H336" s="18">
        <v>0.18</v>
      </c>
      <c r="I336" s="19" t="s">
        <v>2</v>
      </c>
      <c r="J336" s="38">
        <v>17</v>
      </c>
      <c r="K336" s="21">
        <f>H336*$R$307</f>
        <v>3614490</v>
      </c>
      <c r="L336" s="14"/>
      <c r="M336" s="22"/>
      <c r="N336" s="30"/>
      <c r="O336" s="23"/>
      <c r="P336" s="24"/>
      <c r="Q336" s="25"/>
      <c r="R336" s="25"/>
    </row>
    <row r="337" spans="1:18">
      <c r="A337" s="46">
        <f t="shared" si="9"/>
        <v>8</v>
      </c>
      <c r="B337" s="47">
        <v>35</v>
      </c>
      <c r="C337" s="14"/>
      <c r="D337" s="14" t="str">
        <f t="shared" si="10"/>
        <v/>
      </c>
      <c r="E337" s="14"/>
      <c r="F337" s="30"/>
      <c r="G337" s="17"/>
      <c r="H337" s="18"/>
      <c r="I337" s="19" t="s">
        <v>463</v>
      </c>
      <c r="J337" s="38">
        <v>4</v>
      </c>
      <c r="K337" s="21">
        <v>1</v>
      </c>
      <c r="L337" s="14"/>
      <c r="M337" s="22"/>
      <c r="N337" s="30"/>
      <c r="O337" s="23"/>
      <c r="P337" s="24"/>
      <c r="Q337" s="25"/>
      <c r="R337" s="25"/>
    </row>
    <row r="338" spans="1:18">
      <c r="A338" s="46">
        <f t="shared" si="9"/>
        <v>8</v>
      </c>
      <c r="B338" s="47">
        <v>36</v>
      </c>
      <c r="C338" s="14"/>
      <c r="D338" s="14" t="str">
        <f t="shared" si="10"/>
        <v/>
      </c>
      <c r="E338" s="14"/>
      <c r="F338" s="30"/>
      <c r="G338" s="17"/>
      <c r="H338" s="18"/>
      <c r="I338" s="19" t="s">
        <v>453</v>
      </c>
      <c r="J338" s="38">
        <v>3</v>
      </c>
      <c r="K338" s="21">
        <v>30</v>
      </c>
      <c r="L338" s="14"/>
      <c r="M338" s="22"/>
      <c r="N338" s="30"/>
      <c r="O338" s="23"/>
      <c r="P338" s="24"/>
      <c r="Q338" s="25"/>
      <c r="R338" s="25"/>
    </row>
    <row r="339" spans="1:18">
      <c r="A339" s="46">
        <f t="shared" si="9"/>
        <v>8</v>
      </c>
      <c r="B339" s="47">
        <v>37</v>
      </c>
      <c r="C339" s="14"/>
      <c r="D339" s="14" t="str">
        <f t="shared" si="10"/>
        <v/>
      </c>
      <c r="E339" s="14"/>
      <c r="F339" s="30"/>
      <c r="G339" s="17"/>
      <c r="H339" s="18"/>
      <c r="I339" t="s">
        <v>426</v>
      </c>
      <c r="J339" s="38">
        <v>3</v>
      </c>
      <c r="K339" s="21">
        <v>1</v>
      </c>
      <c r="L339" s="14"/>
      <c r="M339" s="22"/>
      <c r="N339" s="30"/>
      <c r="O339" s="23"/>
      <c r="P339" s="24"/>
      <c r="Q339" s="25"/>
      <c r="R339" s="25"/>
    </row>
    <row r="340" spans="1:18">
      <c r="A340" s="46">
        <f t="shared" si="9"/>
        <v>8</v>
      </c>
      <c r="B340" s="47">
        <v>38</v>
      </c>
      <c r="C340" s="14">
        <v>19.99</v>
      </c>
      <c r="D340" s="14">
        <f t="shared" si="10"/>
        <v>158</v>
      </c>
      <c r="E340" s="36">
        <f>(C340+0.01)*D340*$X$2/100</f>
        <v>31600000</v>
      </c>
      <c r="F340" s="37">
        <f>SUM(E304:E340)</f>
        <v>133870000</v>
      </c>
      <c r="G340" s="17">
        <f>SUM(C304:C340)</f>
        <v>89.93</v>
      </c>
      <c r="H340" s="18"/>
      <c r="I340" s="14" t="s">
        <v>2</v>
      </c>
      <c r="J340" s="29">
        <v>9</v>
      </c>
      <c r="K340" s="21">
        <f>E340</f>
        <v>31600000</v>
      </c>
      <c r="L340" s="36">
        <f>SUMIF(I340:I345,"="&amp;"金币",K340:K345)</f>
        <v>36017710</v>
      </c>
      <c r="M340" s="22">
        <f>L340/$X$2</f>
        <v>36.01771</v>
      </c>
      <c r="N340" s="37">
        <f>SUM(L304:L340)</f>
        <v>153950500</v>
      </c>
      <c r="O340" s="23">
        <f>SUM(M304:M340)</f>
        <v>153.9505</v>
      </c>
      <c r="P340" s="24">
        <f>N340/F340</f>
        <v>1.15</v>
      </c>
      <c r="Q340" s="25"/>
      <c r="R340" s="25"/>
    </row>
    <row r="341" spans="1:18">
      <c r="A341" s="46">
        <f t="shared" si="9"/>
        <v>8</v>
      </c>
      <c r="B341" s="47">
        <v>39</v>
      </c>
      <c r="C341" s="14"/>
      <c r="D341" s="14" t="str">
        <f t="shared" si="10"/>
        <v/>
      </c>
      <c r="E341" s="14"/>
      <c r="F341" s="30"/>
      <c r="G341" s="17"/>
      <c r="H341" s="18"/>
      <c r="I341" s="19" t="s">
        <v>408</v>
      </c>
      <c r="J341" s="38">
        <v>3</v>
      </c>
      <c r="K341" s="21">
        <v>7</v>
      </c>
      <c r="L341" s="14"/>
      <c r="M341" s="22"/>
      <c r="N341" s="30"/>
      <c r="O341" s="23"/>
      <c r="P341" s="24"/>
      <c r="Q341" s="25"/>
      <c r="R341" s="25"/>
    </row>
    <row r="342" spans="1:18">
      <c r="A342" s="46">
        <f t="shared" si="9"/>
        <v>8</v>
      </c>
      <c r="B342" s="47">
        <v>40</v>
      </c>
      <c r="C342" s="14"/>
      <c r="D342" s="14" t="str">
        <f t="shared" si="10"/>
        <v/>
      </c>
      <c r="E342" s="14"/>
      <c r="F342" s="30"/>
      <c r="G342" s="17"/>
      <c r="H342" s="18">
        <v>0.22</v>
      </c>
      <c r="I342" s="19" t="s">
        <v>2</v>
      </c>
      <c r="J342" s="38">
        <v>17</v>
      </c>
      <c r="K342" s="21">
        <f>H342*$R$307</f>
        <v>4417710</v>
      </c>
      <c r="L342" s="14"/>
      <c r="M342" s="22"/>
      <c r="N342" s="30"/>
      <c r="O342" s="23"/>
      <c r="P342" s="24"/>
      <c r="Q342" s="25"/>
      <c r="R342" s="25"/>
    </row>
    <row r="343" spans="1:18">
      <c r="A343" s="46">
        <f t="shared" si="9"/>
        <v>8</v>
      </c>
      <c r="B343" s="47">
        <v>41</v>
      </c>
      <c r="C343" s="14"/>
      <c r="D343" s="14" t="str">
        <f t="shared" si="10"/>
        <v/>
      </c>
      <c r="E343" s="14"/>
      <c r="F343" s="30"/>
      <c r="G343" s="17"/>
      <c r="H343" s="18"/>
      <c r="I343" s="19" t="s">
        <v>473</v>
      </c>
      <c r="J343" s="38">
        <v>4</v>
      </c>
      <c r="K343" s="21">
        <v>1</v>
      </c>
      <c r="L343" s="14"/>
      <c r="M343" s="22"/>
      <c r="N343" s="30"/>
      <c r="O343" s="23"/>
      <c r="P343" s="24"/>
      <c r="Q343" s="25"/>
      <c r="R343" s="25"/>
    </row>
    <row r="344" spans="1:18">
      <c r="A344" s="46">
        <f t="shared" si="9"/>
        <v>8</v>
      </c>
      <c r="B344" s="47">
        <v>42</v>
      </c>
      <c r="C344" s="14"/>
      <c r="D344" s="14" t="str">
        <f t="shared" si="10"/>
        <v/>
      </c>
      <c r="E344" s="14"/>
      <c r="F344" s="30"/>
      <c r="G344" s="17"/>
      <c r="H344" s="18"/>
      <c r="I344" s="19" t="s">
        <v>453</v>
      </c>
      <c r="J344" s="38">
        <v>3</v>
      </c>
      <c r="K344" s="21">
        <v>35</v>
      </c>
      <c r="L344" s="14"/>
      <c r="M344" s="22"/>
      <c r="N344" s="30"/>
      <c r="O344" s="23"/>
      <c r="P344" s="24"/>
      <c r="Q344" s="25"/>
      <c r="R344" s="25"/>
    </row>
    <row r="345" spans="1:18">
      <c r="A345" s="46">
        <f t="shared" si="9"/>
        <v>8</v>
      </c>
      <c r="B345" s="47">
        <v>43</v>
      </c>
      <c r="C345" s="14"/>
      <c r="D345" s="14" t="str">
        <f t="shared" si="10"/>
        <v/>
      </c>
      <c r="E345" s="14"/>
      <c r="F345" s="30"/>
      <c r="G345" s="17"/>
      <c r="H345" s="18"/>
      <c r="I345" t="s">
        <v>424</v>
      </c>
      <c r="J345" s="38">
        <v>3</v>
      </c>
      <c r="K345" s="21">
        <v>1</v>
      </c>
      <c r="L345" s="14"/>
      <c r="M345" s="22"/>
      <c r="N345" s="30"/>
      <c r="O345" s="23"/>
      <c r="P345" s="24"/>
      <c r="Q345" s="25"/>
      <c r="R345" s="25"/>
    </row>
    <row r="346" spans="1:18">
      <c r="A346" s="46">
        <f t="shared" si="9"/>
        <v>9</v>
      </c>
      <c r="B346" s="47">
        <v>1</v>
      </c>
      <c r="C346" s="14"/>
      <c r="D346" s="14" t="str">
        <f t="shared" si="10"/>
        <v/>
      </c>
      <c r="E346" s="14"/>
      <c r="F346" s="30"/>
      <c r="G346" s="17"/>
      <c r="H346" s="18"/>
      <c r="I346" s="14" t="s">
        <v>2</v>
      </c>
      <c r="J346" s="29">
        <v>1</v>
      </c>
      <c r="K346" s="21">
        <v>5000</v>
      </c>
      <c r="L346" s="14"/>
      <c r="M346" s="22"/>
      <c r="N346" s="30"/>
      <c r="O346" s="23"/>
      <c r="P346" s="24"/>
      <c r="Q346" s="25"/>
      <c r="R346" s="31">
        <f>SUM(C346:C388)</f>
        <v>89.93</v>
      </c>
    </row>
    <row r="347" spans="1:18">
      <c r="A347" s="46">
        <f t="shared" si="9"/>
        <v>9</v>
      </c>
      <c r="B347" s="47">
        <v>2</v>
      </c>
      <c r="C347" s="35">
        <v>5.99</v>
      </c>
      <c r="D347" s="14">
        <f t="shared" si="10"/>
        <v>119</v>
      </c>
      <c r="E347" s="36">
        <f>(C347+0.01)*D347*$X$2/100</f>
        <v>7140000</v>
      </c>
      <c r="F347" s="37">
        <f>SUM(E347)</f>
        <v>7140000</v>
      </c>
      <c r="G347" s="17">
        <f>SUM(C347)</f>
        <v>5.99</v>
      </c>
      <c r="H347" s="18"/>
      <c r="I347" s="14" t="s">
        <v>2</v>
      </c>
      <c r="J347" s="29">
        <v>9</v>
      </c>
      <c r="K347" s="21">
        <f>E347</f>
        <v>7140000</v>
      </c>
      <c r="L347" s="36">
        <f>SUMIF(I347:I352,"="&amp;"金币",K347:K352)</f>
        <v>8746440</v>
      </c>
      <c r="M347" s="22">
        <f>L347/$X$2</f>
        <v>8.74644</v>
      </c>
      <c r="N347" s="37">
        <f>SUM(L347)</f>
        <v>8746440</v>
      </c>
      <c r="O347" s="23">
        <f>SUM(M347)</f>
        <v>8.74644</v>
      </c>
      <c r="P347" s="24">
        <f>N347/F347</f>
        <v>1.22499159663866</v>
      </c>
      <c r="Q347" s="25"/>
      <c r="R347" s="26" t="s">
        <v>556</v>
      </c>
    </row>
    <row r="348" spans="1:18">
      <c r="A348" s="46">
        <f t="shared" si="9"/>
        <v>9</v>
      </c>
      <c r="B348" s="47">
        <v>3</v>
      </c>
      <c r="C348" s="14"/>
      <c r="D348" s="14" t="str">
        <f t="shared" si="10"/>
        <v/>
      </c>
      <c r="E348" s="14"/>
      <c r="F348" s="30"/>
      <c r="G348" s="17"/>
      <c r="H348" s="18"/>
      <c r="I348" s="19" t="s">
        <v>408</v>
      </c>
      <c r="J348" s="38">
        <v>3</v>
      </c>
      <c r="K348" s="21">
        <v>1</v>
      </c>
      <c r="L348" s="14"/>
      <c r="M348" s="22"/>
      <c r="N348" s="30"/>
      <c r="O348" s="23"/>
      <c r="P348" s="24"/>
      <c r="Q348" s="25"/>
      <c r="R348" s="39">
        <v>1.15</v>
      </c>
    </row>
    <row r="349" spans="1:18">
      <c r="A349" s="46">
        <f t="shared" si="9"/>
        <v>9</v>
      </c>
      <c r="B349" s="47">
        <v>4</v>
      </c>
      <c r="C349" s="14"/>
      <c r="D349" s="14" t="str">
        <f t="shared" si="10"/>
        <v/>
      </c>
      <c r="E349" s="14"/>
      <c r="F349" s="30"/>
      <c r="G349" s="17"/>
      <c r="H349" s="18">
        <v>0.08</v>
      </c>
      <c r="I349" s="19" t="s">
        <v>2</v>
      </c>
      <c r="J349" s="38">
        <v>17</v>
      </c>
      <c r="K349" s="21">
        <f>H349*$R$350</f>
        <v>1606440</v>
      </c>
      <c r="L349" s="14"/>
      <c r="M349" s="22"/>
      <c r="N349" s="30"/>
      <c r="O349" s="23"/>
      <c r="P349" s="24"/>
      <c r="Q349" s="25"/>
      <c r="R349" s="26" t="s">
        <v>557</v>
      </c>
    </row>
    <row r="350" spans="1:18">
      <c r="A350" s="46">
        <f t="shared" si="9"/>
        <v>9</v>
      </c>
      <c r="B350" s="47">
        <v>5</v>
      </c>
      <c r="C350" s="14"/>
      <c r="D350" s="14" t="str">
        <f t="shared" si="10"/>
        <v/>
      </c>
      <c r="E350" s="14"/>
      <c r="F350" s="30"/>
      <c r="G350" s="17"/>
      <c r="H350" s="18"/>
      <c r="I350" s="19" t="s">
        <v>457</v>
      </c>
      <c r="J350" s="38">
        <v>4</v>
      </c>
      <c r="K350" s="21">
        <v>1</v>
      </c>
      <c r="L350" s="14"/>
      <c r="M350" s="22"/>
      <c r="N350" s="30"/>
      <c r="O350" s="23"/>
      <c r="P350" s="24"/>
      <c r="Q350" s="25"/>
      <c r="R350" s="40">
        <f>SUM(E346:E388)*(R348-1)</f>
        <v>20080500</v>
      </c>
    </row>
    <row r="351" spans="1:18">
      <c r="A351" s="46">
        <f t="shared" si="9"/>
        <v>9</v>
      </c>
      <c r="B351" s="47">
        <v>6</v>
      </c>
      <c r="C351" s="14"/>
      <c r="D351" s="14" t="str">
        <f t="shared" si="10"/>
        <v/>
      </c>
      <c r="E351" s="14"/>
      <c r="F351" s="30"/>
      <c r="G351" s="17"/>
      <c r="H351" s="18"/>
      <c r="I351" s="19" t="s">
        <v>453</v>
      </c>
      <c r="J351" s="38">
        <v>3</v>
      </c>
      <c r="K351" s="21">
        <v>5</v>
      </c>
      <c r="L351" s="14"/>
      <c r="M351" s="22"/>
      <c r="N351" s="30"/>
      <c r="O351" s="23"/>
      <c r="P351" s="24"/>
      <c r="Q351" s="25"/>
      <c r="R351" s="26" t="s">
        <v>558</v>
      </c>
    </row>
    <row r="352" spans="1:18">
      <c r="A352" s="46">
        <f t="shared" si="9"/>
        <v>9</v>
      </c>
      <c r="B352" s="47">
        <v>7</v>
      </c>
      <c r="C352" s="14"/>
      <c r="D352" s="14" t="str">
        <f t="shared" si="10"/>
        <v/>
      </c>
      <c r="E352" s="14"/>
      <c r="F352" s="30"/>
      <c r="G352" s="17"/>
      <c r="H352" s="18"/>
      <c r="I352" t="s">
        <v>424</v>
      </c>
      <c r="J352" s="38">
        <v>3</v>
      </c>
      <c r="K352" s="21">
        <v>1</v>
      </c>
      <c r="L352" s="14"/>
      <c r="M352" s="22"/>
      <c r="N352" s="30"/>
      <c r="O352" s="23"/>
      <c r="P352" s="24"/>
      <c r="Q352" s="25"/>
      <c r="R352" s="26">
        <f>SUM(H346:H388)</f>
        <v>1</v>
      </c>
    </row>
    <row r="353" spans="1:18">
      <c r="A353" s="46">
        <f t="shared" si="9"/>
        <v>9</v>
      </c>
      <c r="B353" s="47">
        <v>8</v>
      </c>
      <c r="C353" s="14">
        <v>7.99</v>
      </c>
      <c r="D353" s="14">
        <f t="shared" si="10"/>
        <v>129</v>
      </c>
      <c r="E353" s="36">
        <f>(C353+0.01)*D353*$X$2/100</f>
        <v>10320000</v>
      </c>
      <c r="F353" s="37">
        <f>SUM(E347:E353)</f>
        <v>17460000</v>
      </c>
      <c r="G353" s="17">
        <f>SUM(C347:C353)</f>
        <v>13.98</v>
      </c>
      <c r="H353" s="18"/>
      <c r="I353" s="14" t="s">
        <v>2</v>
      </c>
      <c r="J353" s="29">
        <v>9</v>
      </c>
      <c r="K353" s="21">
        <f>E353</f>
        <v>10320000</v>
      </c>
      <c r="L353" s="36">
        <f>SUMIF(I353:I358,"="&amp;"金币",K353:K358)</f>
        <v>12328050</v>
      </c>
      <c r="M353" s="22">
        <f>L353/$X$2</f>
        <v>12.32805</v>
      </c>
      <c r="N353" s="37">
        <f>SUM(L347:L353)</f>
        <v>21074490</v>
      </c>
      <c r="O353" s="23">
        <f>SUM(M347:M353)</f>
        <v>21.07449</v>
      </c>
      <c r="P353" s="24">
        <f>N353/F353</f>
        <v>1.20701546391753</v>
      </c>
      <c r="Q353" s="25"/>
      <c r="R353" s="25"/>
    </row>
    <row r="354" spans="1:18">
      <c r="A354" s="46">
        <f t="shared" si="9"/>
        <v>9</v>
      </c>
      <c r="B354" s="47">
        <v>9</v>
      </c>
      <c r="C354" s="14"/>
      <c r="D354" s="14" t="str">
        <f t="shared" si="10"/>
        <v/>
      </c>
      <c r="E354" s="14"/>
      <c r="F354" s="30"/>
      <c r="G354" s="17"/>
      <c r="H354" s="18"/>
      <c r="I354" s="19" t="s">
        <v>408</v>
      </c>
      <c r="J354" s="38">
        <v>3</v>
      </c>
      <c r="K354" s="21">
        <v>2</v>
      </c>
      <c r="L354" s="14"/>
      <c r="M354" s="22"/>
      <c r="N354" s="30"/>
      <c r="O354" s="23"/>
      <c r="P354" s="24"/>
      <c r="Q354" s="25"/>
      <c r="R354" s="25"/>
    </row>
    <row r="355" spans="1:18">
      <c r="A355" s="46">
        <f t="shared" si="9"/>
        <v>9</v>
      </c>
      <c r="B355" s="47">
        <v>10</v>
      </c>
      <c r="C355" s="14"/>
      <c r="D355" s="14" t="str">
        <f t="shared" si="10"/>
        <v/>
      </c>
      <c r="E355" s="14"/>
      <c r="F355" s="30"/>
      <c r="G355" s="17"/>
      <c r="H355" s="18">
        <v>0.1</v>
      </c>
      <c r="I355" s="19" t="s">
        <v>2</v>
      </c>
      <c r="J355" s="38">
        <v>17</v>
      </c>
      <c r="K355" s="21">
        <f>H355*$R$350</f>
        <v>2008050</v>
      </c>
      <c r="L355" s="14"/>
      <c r="M355" s="22"/>
      <c r="N355" s="30"/>
      <c r="O355" s="23"/>
      <c r="P355" s="24"/>
      <c r="Q355" s="25"/>
      <c r="R355" s="25"/>
    </row>
    <row r="356" spans="1:18">
      <c r="A356" s="46">
        <f t="shared" si="9"/>
        <v>9</v>
      </c>
      <c r="B356" s="47">
        <v>11</v>
      </c>
      <c r="C356" s="14"/>
      <c r="D356" s="14" t="str">
        <f t="shared" si="10"/>
        <v/>
      </c>
      <c r="E356" s="14"/>
      <c r="F356" s="30"/>
      <c r="G356" s="17"/>
      <c r="H356" s="18"/>
      <c r="I356" s="19" t="s">
        <v>459</v>
      </c>
      <c r="J356" s="38">
        <v>4</v>
      </c>
      <c r="K356" s="21">
        <v>1</v>
      </c>
      <c r="L356" s="14"/>
      <c r="M356" s="22"/>
      <c r="N356" s="30"/>
      <c r="O356" s="23"/>
      <c r="P356" s="24"/>
      <c r="Q356" s="25"/>
      <c r="R356" s="25"/>
    </row>
    <row r="357" spans="1:18">
      <c r="A357" s="46">
        <f t="shared" si="9"/>
        <v>9</v>
      </c>
      <c r="B357" s="47">
        <v>12</v>
      </c>
      <c r="C357" s="14"/>
      <c r="D357" s="14" t="str">
        <f t="shared" si="10"/>
        <v/>
      </c>
      <c r="E357" s="14"/>
      <c r="F357" s="30"/>
      <c r="G357" s="17"/>
      <c r="H357" s="18"/>
      <c r="I357" s="19" t="s">
        <v>453</v>
      </c>
      <c r="J357" s="38">
        <v>3</v>
      </c>
      <c r="K357" s="21">
        <v>10</v>
      </c>
      <c r="L357" s="14"/>
      <c r="M357" s="22"/>
      <c r="N357" s="30"/>
      <c r="O357" s="23"/>
      <c r="P357" s="24"/>
      <c r="Q357" s="25"/>
      <c r="R357" s="25"/>
    </row>
    <row r="358" spans="1:18">
      <c r="A358" s="46">
        <f t="shared" si="9"/>
        <v>9</v>
      </c>
      <c r="B358" s="47">
        <v>13</v>
      </c>
      <c r="C358" s="14"/>
      <c r="D358" s="14" t="str">
        <f t="shared" si="10"/>
        <v/>
      </c>
      <c r="E358" s="14"/>
      <c r="F358" s="30"/>
      <c r="G358" s="17"/>
      <c r="H358" s="18"/>
      <c r="I358" t="s">
        <v>426</v>
      </c>
      <c r="J358" s="38">
        <v>3</v>
      </c>
      <c r="K358" s="21">
        <v>1</v>
      </c>
      <c r="L358" s="14"/>
      <c r="M358" s="22"/>
      <c r="N358" s="30"/>
      <c r="O358" s="23"/>
      <c r="P358" s="24"/>
      <c r="Q358" s="25"/>
      <c r="R358" s="25"/>
    </row>
    <row r="359" spans="1:18">
      <c r="A359" s="46">
        <f t="shared" si="9"/>
        <v>9</v>
      </c>
      <c r="B359" s="47">
        <v>14</v>
      </c>
      <c r="C359" s="14">
        <v>9.99</v>
      </c>
      <c r="D359" s="14">
        <f t="shared" si="10"/>
        <v>139</v>
      </c>
      <c r="E359" s="36">
        <f>(C359+0.01)*D359*$X$2/100</f>
        <v>13900000</v>
      </c>
      <c r="F359" s="37">
        <f>SUM(E347:E359)</f>
        <v>31360000</v>
      </c>
      <c r="G359" s="17">
        <f>SUM(C347:C359)</f>
        <v>23.97</v>
      </c>
      <c r="H359" s="18"/>
      <c r="I359" s="14" t="s">
        <v>2</v>
      </c>
      <c r="J359" s="29">
        <v>9</v>
      </c>
      <c r="K359" s="21">
        <f>E359</f>
        <v>13900000</v>
      </c>
      <c r="L359" s="36">
        <f>SUMIF(I359:I364,"="&amp;"金币",K359:K364)</f>
        <v>16309660</v>
      </c>
      <c r="M359" s="22">
        <f>L359/$X$2</f>
        <v>16.30966</v>
      </c>
      <c r="N359" s="37">
        <f>SUM(L347:L359)</f>
        <v>37384150</v>
      </c>
      <c r="O359" s="23">
        <f>SUM(M347:M359)</f>
        <v>37.38415</v>
      </c>
      <c r="P359" s="24">
        <f>N359/F359</f>
        <v>1.19209661989796</v>
      </c>
      <c r="Q359" s="25"/>
      <c r="R359" s="25"/>
    </row>
    <row r="360" spans="1:18">
      <c r="A360" s="46">
        <f t="shared" si="9"/>
        <v>9</v>
      </c>
      <c r="B360" s="47">
        <v>15</v>
      </c>
      <c r="C360" s="14"/>
      <c r="D360" s="14" t="str">
        <f t="shared" si="10"/>
        <v/>
      </c>
      <c r="E360" s="14"/>
      <c r="F360" s="30"/>
      <c r="G360" s="17"/>
      <c r="H360" s="18"/>
      <c r="I360" s="19" t="s">
        <v>408</v>
      </c>
      <c r="J360" s="38">
        <v>3</v>
      </c>
      <c r="K360" s="21">
        <v>3</v>
      </c>
      <c r="L360" s="14"/>
      <c r="M360" s="22"/>
      <c r="N360" s="30"/>
      <c r="O360" s="23"/>
      <c r="P360" s="24"/>
      <c r="Q360" s="25"/>
      <c r="R360" s="25"/>
    </row>
    <row r="361" spans="1:18">
      <c r="A361" s="46">
        <f t="shared" si="9"/>
        <v>9</v>
      </c>
      <c r="B361" s="47">
        <v>16</v>
      </c>
      <c r="C361" s="14"/>
      <c r="D361" s="14" t="str">
        <f t="shared" si="10"/>
        <v/>
      </c>
      <c r="E361" s="14"/>
      <c r="F361" s="30"/>
      <c r="G361" s="17"/>
      <c r="H361" s="18">
        <v>0.12</v>
      </c>
      <c r="I361" s="19" t="s">
        <v>2</v>
      </c>
      <c r="J361" s="38">
        <v>17</v>
      </c>
      <c r="K361" s="21">
        <f>H361*$R$350</f>
        <v>2409660</v>
      </c>
      <c r="L361" s="14"/>
      <c r="M361" s="22"/>
      <c r="N361" s="30"/>
      <c r="O361" s="23"/>
      <c r="P361" s="24"/>
      <c r="Q361" s="25"/>
      <c r="R361" s="25"/>
    </row>
    <row r="362" spans="1:18">
      <c r="A362" s="46">
        <f t="shared" si="9"/>
        <v>9</v>
      </c>
      <c r="B362" s="47">
        <v>17</v>
      </c>
      <c r="C362" s="14"/>
      <c r="D362" s="14" t="str">
        <f t="shared" si="10"/>
        <v/>
      </c>
      <c r="E362" s="14"/>
      <c r="F362" s="30"/>
      <c r="G362" s="17"/>
      <c r="H362" s="18"/>
      <c r="I362" s="19" t="s">
        <v>461</v>
      </c>
      <c r="J362" s="38">
        <v>4</v>
      </c>
      <c r="K362" s="21">
        <v>1</v>
      </c>
      <c r="L362" s="14"/>
      <c r="M362" s="22"/>
      <c r="N362" s="30"/>
      <c r="O362" s="23"/>
      <c r="P362" s="24"/>
      <c r="Q362" s="25"/>
      <c r="R362" s="25"/>
    </row>
    <row r="363" spans="1:18">
      <c r="A363" s="46">
        <f t="shared" si="9"/>
        <v>9</v>
      </c>
      <c r="B363" s="47">
        <v>18</v>
      </c>
      <c r="C363" s="14"/>
      <c r="D363" s="14" t="str">
        <f t="shared" si="10"/>
        <v/>
      </c>
      <c r="E363" s="14"/>
      <c r="F363" s="30"/>
      <c r="G363" s="17"/>
      <c r="H363" s="18"/>
      <c r="I363" s="19" t="s">
        <v>453</v>
      </c>
      <c r="J363" s="38">
        <v>3</v>
      </c>
      <c r="K363" s="21">
        <v>15</v>
      </c>
      <c r="L363" s="14"/>
      <c r="M363" s="22"/>
      <c r="N363" s="30"/>
      <c r="O363" s="23"/>
      <c r="P363" s="24"/>
      <c r="Q363" s="25"/>
      <c r="R363" s="25"/>
    </row>
    <row r="364" spans="1:18">
      <c r="A364" s="46">
        <f t="shared" si="9"/>
        <v>9</v>
      </c>
      <c r="B364" s="47">
        <v>19</v>
      </c>
      <c r="C364" s="14"/>
      <c r="D364" s="14" t="str">
        <f t="shared" si="10"/>
        <v/>
      </c>
      <c r="E364" s="14"/>
      <c r="F364" s="30"/>
      <c r="G364" s="17"/>
      <c r="H364" s="18"/>
      <c r="I364" t="s">
        <v>424</v>
      </c>
      <c r="J364" s="38">
        <v>3</v>
      </c>
      <c r="K364" s="21">
        <v>1</v>
      </c>
      <c r="L364" s="14"/>
      <c r="M364" s="22"/>
      <c r="N364" s="30"/>
      <c r="O364" s="23"/>
      <c r="P364" s="24"/>
      <c r="Q364" s="25"/>
      <c r="R364" s="25"/>
    </row>
    <row r="365" spans="1:18">
      <c r="A365" s="46">
        <f t="shared" ref="A365:A428" si="11">A322+1</f>
        <v>9</v>
      </c>
      <c r="B365" s="47">
        <v>20</v>
      </c>
      <c r="C365" s="14">
        <v>12.99</v>
      </c>
      <c r="D365" s="14">
        <f t="shared" si="10"/>
        <v>149</v>
      </c>
      <c r="E365" s="36">
        <f>(C365+0.01)*D365*$X$2/100</f>
        <v>19370000</v>
      </c>
      <c r="F365" s="37">
        <f>SUM(E347:E365)</f>
        <v>50730000</v>
      </c>
      <c r="G365" s="17">
        <f>SUM(C347:C365)</f>
        <v>36.96</v>
      </c>
      <c r="H365" s="18"/>
      <c r="I365" s="14" t="s">
        <v>2</v>
      </c>
      <c r="J365" s="29">
        <v>9</v>
      </c>
      <c r="K365" s="21">
        <f>E365</f>
        <v>19370000</v>
      </c>
      <c r="L365" s="36">
        <f>SUMIF(I365:I370,"="&amp;"金币",K365:K370)</f>
        <v>22181270</v>
      </c>
      <c r="M365" s="22">
        <f>L365/$X$2</f>
        <v>22.18127</v>
      </c>
      <c r="N365" s="37">
        <f>SUM(L347:L365)</f>
        <v>59565420</v>
      </c>
      <c r="O365" s="23">
        <f>SUM(M347:M365)</f>
        <v>59.56542</v>
      </c>
      <c r="P365" s="24">
        <f>N365/F365</f>
        <v>1.17416558249556</v>
      </c>
      <c r="Q365" s="25"/>
      <c r="R365" s="25"/>
    </row>
    <row r="366" spans="1:18">
      <c r="A366" s="46">
        <f t="shared" si="11"/>
        <v>9</v>
      </c>
      <c r="B366" s="47">
        <v>21</v>
      </c>
      <c r="C366" s="14"/>
      <c r="D366" s="14" t="str">
        <f t="shared" si="10"/>
        <v/>
      </c>
      <c r="E366" s="14"/>
      <c r="F366" s="30"/>
      <c r="G366" s="17"/>
      <c r="H366" s="18"/>
      <c r="I366" s="19" t="s">
        <v>408</v>
      </c>
      <c r="J366" s="38">
        <v>3</v>
      </c>
      <c r="K366" s="21">
        <v>4</v>
      </c>
      <c r="L366" s="14"/>
      <c r="M366" s="22"/>
      <c r="N366" s="30"/>
      <c r="O366" s="23"/>
      <c r="P366" s="24"/>
      <c r="Q366" s="25"/>
      <c r="R366" s="25"/>
    </row>
    <row r="367" spans="1:18">
      <c r="A367" s="46">
        <f t="shared" si="11"/>
        <v>9</v>
      </c>
      <c r="B367" s="47">
        <v>22</v>
      </c>
      <c r="C367" s="14"/>
      <c r="D367" s="14" t="str">
        <f t="shared" si="10"/>
        <v/>
      </c>
      <c r="E367" s="14"/>
      <c r="F367" s="30"/>
      <c r="G367" s="17"/>
      <c r="H367" s="18">
        <v>0.14</v>
      </c>
      <c r="I367" s="19" t="s">
        <v>2</v>
      </c>
      <c r="J367" s="38">
        <v>17</v>
      </c>
      <c r="K367" s="21">
        <f>H367*$R$350</f>
        <v>2811270</v>
      </c>
      <c r="L367" s="14"/>
      <c r="M367" s="22"/>
      <c r="N367" s="30"/>
      <c r="O367" s="23"/>
      <c r="P367" s="24"/>
      <c r="Q367" s="25"/>
      <c r="R367" s="25"/>
    </row>
    <row r="368" spans="1:18">
      <c r="A368" s="46">
        <f t="shared" si="11"/>
        <v>9</v>
      </c>
      <c r="B368" s="47">
        <v>23</v>
      </c>
      <c r="C368" s="14"/>
      <c r="D368" s="14" t="str">
        <f t="shared" si="10"/>
        <v/>
      </c>
      <c r="E368" s="14"/>
      <c r="F368" s="30"/>
      <c r="G368" s="17"/>
      <c r="H368" s="18"/>
      <c r="I368" s="19" t="s">
        <v>461</v>
      </c>
      <c r="J368" s="38">
        <v>4</v>
      </c>
      <c r="K368" s="21">
        <v>1</v>
      </c>
      <c r="L368" s="14"/>
      <c r="M368" s="22"/>
      <c r="N368" s="30"/>
      <c r="O368" s="23"/>
      <c r="P368" s="24"/>
      <c r="Q368" s="25"/>
      <c r="R368" s="25"/>
    </row>
    <row r="369" spans="1:18">
      <c r="A369" s="46">
        <f t="shared" si="11"/>
        <v>9</v>
      </c>
      <c r="B369" s="47">
        <v>24</v>
      </c>
      <c r="C369" s="14"/>
      <c r="D369" s="14" t="str">
        <f t="shared" si="10"/>
        <v/>
      </c>
      <c r="E369" s="14"/>
      <c r="F369" s="30"/>
      <c r="G369" s="17"/>
      <c r="H369" s="18"/>
      <c r="I369" s="19" t="s">
        <v>453</v>
      </c>
      <c r="J369" s="38">
        <v>3</v>
      </c>
      <c r="K369" s="21">
        <v>20</v>
      </c>
      <c r="L369" s="14"/>
      <c r="M369" s="22"/>
      <c r="N369" s="30"/>
      <c r="O369" s="23"/>
      <c r="P369" s="24"/>
      <c r="Q369" s="25"/>
      <c r="R369" s="25"/>
    </row>
    <row r="370" spans="1:18">
      <c r="A370" s="46">
        <f t="shared" si="11"/>
        <v>9</v>
      </c>
      <c r="B370" s="47">
        <v>25</v>
      </c>
      <c r="C370" s="14"/>
      <c r="D370" s="14" t="str">
        <f t="shared" si="10"/>
        <v/>
      </c>
      <c r="E370" s="14"/>
      <c r="F370" s="30"/>
      <c r="G370" s="17"/>
      <c r="H370" s="18"/>
      <c r="I370" t="s">
        <v>426</v>
      </c>
      <c r="J370" s="38">
        <v>3</v>
      </c>
      <c r="K370" s="21">
        <v>1</v>
      </c>
      <c r="L370" s="14"/>
      <c r="M370" s="22"/>
      <c r="N370" s="30"/>
      <c r="O370" s="23"/>
      <c r="P370" s="24"/>
      <c r="Q370" s="25"/>
      <c r="R370" s="25"/>
    </row>
    <row r="371" spans="1:18">
      <c r="A371" s="46">
        <f t="shared" si="11"/>
        <v>9</v>
      </c>
      <c r="B371" s="47">
        <v>26</v>
      </c>
      <c r="C371" s="14">
        <v>14.99</v>
      </c>
      <c r="D371" s="14">
        <f t="shared" si="10"/>
        <v>154</v>
      </c>
      <c r="E371" s="36">
        <f>(C371+0.01)*D371*$X$2/100</f>
        <v>23100000</v>
      </c>
      <c r="F371" s="37">
        <f>SUM(E347:E371)</f>
        <v>73830000</v>
      </c>
      <c r="G371" s="17">
        <f>SUM(C347:C371)</f>
        <v>51.95</v>
      </c>
      <c r="H371" s="18"/>
      <c r="I371" s="14" t="s">
        <v>2</v>
      </c>
      <c r="J371" s="29">
        <v>9</v>
      </c>
      <c r="K371" s="21">
        <f>E371</f>
        <v>23100000</v>
      </c>
      <c r="L371" s="36">
        <f>SUMIF(I371:I376,"="&amp;"金币",K371:K376)</f>
        <v>26312880</v>
      </c>
      <c r="M371" s="22">
        <f>L371/$X$2</f>
        <v>26.31288</v>
      </c>
      <c r="N371" s="37">
        <f>SUM(L347:L371)</f>
        <v>85878300</v>
      </c>
      <c r="O371" s="23">
        <f>SUM(M347:M371)</f>
        <v>85.8783</v>
      </c>
      <c r="P371" s="24">
        <f>N371/F371</f>
        <v>1.16318976026006</v>
      </c>
      <c r="Q371" s="25"/>
      <c r="R371" s="25"/>
    </row>
    <row r="372" spans="1:18">
      <c r="A372" s="46">
        <f t="shared" si="11"/>
        <v>9</v>
      </c>
      <c r="B372" s="47">
        <v>27</v>
      </c>
      <c r="C372" s="14"/>
      <c r="D372" s="14" t="str">
        <f t="shared" si="10"/>
        <v/>
      </c>
      <c r="E372" s="14"/>
      <c r="F372" s="30"/>
      <c r="G372" s="17"/>
      <c r="H372" s="18"/>
      <c r="I372" s="19" t="s">
        <v>408</v>
      </c>
      <c r="J372" s="38">
        <v>3</v>
      </c>
      <c r="K372" s="21">
        <v>5</v>
      </c>
      <c r="L372" s="14"/>
      <c r="M372" s="22"/>
      <c r="N372" s="30"/>
      <c r="O372" s="23"/>
      <c r="P372" s="24"/>
      <c r="Q372" s="25"/>
      <c r="R372" s="25"/>
    </row>
    <row r="373" spans="1:18">
      <c r="A373" s="46">
        <f t="shared" si="11"/>
        <v>9</v>
      </c>
      <c r="B373" s="47">
        <v>28</v>
      </c>
      <c r="C373" s="14"/>
      <c r="D373" s="14" t="str">
        <f t="shared" si="10"/>
        <v/>
      </c>
      <c r="E373" s="14"/>
      <c r="F373" s="30"/>
      <c r="G373" s="17"/>
      <c r="H373" s="18">
        <v>0.16</v>
      </c>
      <c r="I373" s="19" t="s">
        <v>2</v>
      </c>
      <c r="J373" s="38">
        <v>17</v>
      </c>
      <c r="K373" s="21">
        <f>H373*$R$350</f>
        <v>3212880</v>
      </c>
      <c r="L373" s="14"/>
      <c r="M373" s="22"/>
      <c r="N373" s="30"/>
      <c r="O373" s="23"/>
      <c r="P373" s="24"/>
      <c r="Q373" s="25"/>
      <c r="R373" s="25"/>
    </row>
    <row r="374" spans="1:18">
      <c r="A374" s="46">
        <f t="shared" si="11"/>
        <v>9</v>
      </c>
      <c r="B374" s="47">
        <v>29</v>
      </c>
      <c r="C374" s="14"/>
      <c r="D374" s="14" t="str">
        <f t="shared" si="10"/>
        <v/>
      </c>
      <c r="E374" s="14"/>
      <c r="F374" s="30"/>
      <c r="G374" s="17"/>
      <c r="H374" s="18"/>
      <c r="I374" s="19" t="s">
        <v>463</v>
      </c>
      <c r="J374" s="38">
        <v>4</v>
      </c>
      <c r="K374" s="21">
        <v>1</v>
      </c>
      <c r="L374" s="14"/>
      <c r="M374" s="22"/>
      <c r="N374" s="30"/>
      <c r="O374" s="23"/>
      <c r="P374" s="24"/>
      <c r="Q374" s="25"/>
      <c r="R374" s="25"/>
    </row>
    <row r="375" spans="1:18">
      <c r="A375" s="46">
        <f t="shared" si="11"/>
        <v>9</v>
      </c>
      <c r="B375" s="47">
        <v>30</v>
      </c>
      <c r="C375" s="14"/>
      <c r="D375" s="14" t="str">
        <f t="shared" si="10"/>
        <v/>
      </c>
      <c r="E375" s="14"/>
      <c r="F375" s="30"/>
      <c r="G375" s="17"/>
      <c r="H375" s="18"/>
      <c r="I375" s="19" t="s">
        <v>453</v>
      </c>
      <c r="J375" s="38">
        <v>3</v>
      </c>
      <c r="K375" s="21">
        <v>25</v>
      </c>
      <c r="L375" s="14"/>
      <c r="M375" s="22"/>
      <c r="N375" s="30"/>
      <c r="O375" s="23"/>
      <c r="P375" s="24"/>
      <c r="Q375" s="25"/>
      <c r="R375" s="25"/>
    </row>
    <row r="376" spans="1:18">
      <c r="A376" s="46">
        <f t="shared" si="11"/>
        <v>9</v>
      </c>
      <c r="B376" s="47">
        <v>31</v>
      </c>
      <c r="C376" s="14"/>
      <c r="D376" s="14" t="str">
        <f t="shared" si="10"/>
        <v/>
      </c>
      <c r="E376" s="14"/>
      <c r="F376" s="30"/>
      <c r="G376" s="17"/>
      <c r="H376" s="18"/>
      <c r="I376" t="s">
        <v>424</v>
      </c>
      <c r="J376" s="38">
        <v>3</v>
      </c>
      <c r="K376" s="21">
        <v>1</v>
      </c>
      <c r="L376" s="14"/>
      <c r="M376" s="22"/>
      <c r="N376" s="30"/>
      <c r="O376" s="23"/>
      <c r="P376" s="24"/>
      <c r="Q376" s="25"/>
      <c r="R376" s="25"/>
    </row>
    <row r="377" spans="1:18">
      <c r="A377" s="46">
        <f t="shared" si="11"/>
        <v>9</v>
      </c>
      <c r="B377" s="47">
        <v>32</v>
      </c>
      <c r="C377" s="14">
        <v>17.99</v>
      </c>
      <c r="D377" s="14">
        <f t="shared" si="10"/>
        <v>158</v>
      </c>
      <c r="E377" s="36">
        <f>(C377+0.01)*D377*$X$2/100</f>
        <v>28440000</v>
      </c>
      <c r="F377" s="37">
        <f>SUM(E347:E377)</f>
        <v>102270000</v>
      </c>
      <c r="G377" s="17">
        <f>SUM(C347:C377)</f>
        <v>69.94</v>
      </c>
      <c r="H377" s="18"/>
      <c r="I377" s="14" t="s">
        <v>2</v>
      </c>
      <c r="J377" s="29">
        <v>9</v>
      </c>
      <c r="K377" s="21">
        <f>E377</f>
        <v>28440000</v>
      </c>
      <c r="L377" s="36">
        <f>SUMIF(I377:I382,"="&amp;"金币",K377:K382)</f>
        <v>32054490</v>
      </c>
      <c r="M377" s="22">
        <f>L377/$X$2</f>
        <v>32.05449</v>
      </c>
      <c r="N377" s="37">
        <f>SUM(L347:L377)</f>
        <v>117932790</v>
      </c>
      <c r="O377" s="23">
        <f>SUM(M347:M377)</f>
        <v>117.93279</v>
      </c>
      <c r="P377" s="24">
        <f>N377/F377</f>
        <v>1.15315136403637</v>
      </c>
      <c r="Q377" s="25"/>
      <c r="R377" s="25"/>
    </row>
    <row r="378" spans="1:18">
      <c r="A378" s="46">
        <f t="shared" si="11"/>
        <v>9</v>
      </c>
      <c r="B378" s="47">
        <v>33</v>
      </c>
      <c r="C378" s="14"/>
      <c r="D378" s="14" t="str">
        <f t="shared" si="10"/>
        <v/>
      </c>
      <c r="E378" s="14"/>
      <c r="F378" s="30"/>
      <c r="G378" s="17"/>
      <c r="H378" s="18"/>
      <c r="I378" s="19" t="s">
        <v>408</v>
      </c>
      <c r="J378" s="38">
        <v>3</v>
      </c>
      <c r="K378" s="21">
        <v>6</v>
      </c>
      <c r="L378" s="14"/>
      <c r="M378" s="22"/>
      <c r="N378" s="30"/>
      <c r="O378" s="23"/>
      <c r="P378" s="24"/>
      <c r="Q378" s="25"/>
      <c r="R378" s="25"/>
    </row>
    <row r="379" spans="1:18">
      <c r="A379" s="46">
        <f t="shared" si="11"/>
        <v>9</v>
      </c>
      <c r="B379" s="47">
        <v>34</v>
      </c>
      <c r="C379" s="14"/>
      <c r="D379" s="14" t="str">
        <f t="shared" si="10"/>
        <v/>
      </c>
      <c r="E379" s="14"/>
      <c r="F379" s="30"/>
      <c r="G379" s="17"/>
      <c r="H379" s="18">
        <v>0.18</v>
      </c>
      <c r="I379" s="19" t="s">
        <v>2</v>
      </c>
      <c r="J379" s="38">
        <v>17</v>
      </c>
      <c r="K379" s="21">
        <f>H379*$R$350</f>
        <v>3614490</v>
      </c>
      <c r="L379" s="14"/>
      <c r="M379" s="22"/>
      <c r="N379" s="30"/>
      <c r="O379" s="23"/>
      <c r="P379" s="24"/>
      <c r="Q379" s="25"/>
      <c r="R379" s="25"/>
    </row>
    <row r="380" spans="1:18">
      <c r="A380" s="46">
        <f t="shared" si="11"/>
        <v>9</v>
      </c>
      <c r="B380" s="47">
        <v>35</v>
      </c>
      <c r="C380" s="14"/>
      <c r="D380" s="14" t="str">
        <f t="shared" si="10"/>
        <v/>
      </c>
      <c r="E380" s="14"/>
      <c r="F380" s="30"/>
      <c r="G380" s="17"/>
      <c r="H380" s="18"/>
      <c r="I380" s="19" t="s">
        <v>463</v>
      </c>
      <c r="J380" s="38">
        <v>4</v>
      </c>
      <c r="K380" s="21">
        <v>1</v>
      </c>
      <c r="L380" s="14"/>
      <c r="M380" s="22"/>
      <c r="N380" s="30"/>
      <c r="O380" s="23"/>
      <c r="P380" s="24"/>
      <c r="Q380" s="25"/>
      <c r="R380" s="25"/>
    </row>
    <row r="381" spans="1:18">
      <c r="A381" s="46">
        <f t="shared" si="11"/>
        <v>9</v>
      </c>
      <c r="B381" s="47">
        <v>36</v>
      </c>
      <c r="C381" s="14"/>
      <c r="D381" s="14" t="str">
        <f t="shared" si="10"/>
        <v/>
      </c>
      <c r="E381" s="14"/>
      <c r="F381" s="30"/>
      <c r="G381" s="17"/>
      <c r="H381" s="18"/>
      <c r="I381" s="19" t="s">
        <v>453</v>
      </c>
      <c r="J381" s="38">
        <v>3</v>
      </c>
      <c r="K381" s="21">
        <v>30</v>
      </c>
      <c r="L381" s="14"/>
      <c r="M381" s="22"/>
      <c r="N381" s="30"/>
      <c r="O381" s="23"/>
      <c r="P381" s="24"/>
      <c r="Q381" s="25"/>
      <c r="R381" s="25"/>
    </row>
    <row r="382" spans="1:18">
      <c r="A382" s="46">
        <f t="shared" si="11"/>
        <v>9</v>
      </c>
      <c r="B382" s="47">
        <v>37</v>
      </c>
      <c r="C382" s="14"/>
      <c r="D382" s="14" t="str">
        <f t="shared" si="10"/>
        <v/>
      </c>
      <c r="E382" s="14"/>
      <c r="F382" s="30"/>
      <c r="G382" s="17"/>
      <c r="H382" s="18"/>
      <c r="I382" t="s">
        <v>426</v>
      </c>
      <c r="J382" s="38">
        <v>3</v>
      </c>
      <c r="K382" s="21">
        <v>1</v>
      </c>
      <c r="L382" s="14"/>
      <c r="M382" s="22"/>
      <c r="N382" s="30"/>
      <c r="O382" s="23"/>
      <c r="P382" s="24"/>
      <c r="Q382" s="25"/>
      <c r="R382" s="25"/>
    </row>
    <row r="383" spans="1:18">
      <c r="A383" s="46">
        <f t="shared" si="11"/>
        <v>9</v>
      </c>
      <c r="B383" s="47">
        <v>38</v>
      </c>
      <c r="C383" s="14">
        <v>19.99</v>
      </c>
      <c r="D383" s="14">
        <f t="shared" si="10"/>
        <v>158</v>
      </c>
      <c r="E383" s="36">
        <f>(C383+0.01)*D383*$X$2/100</f>
        <v>31600000</v>
      </c>
      <c r="F383" s="37">
        <f>SUM(E347:E383)</f>
        <v>133870000</v>
      </c>
      <c r="G383" s="17">
        <f>SUM(C347:C383)</f>
        <v>89.93</v>
      </c>
      <c r="H383" s="18"/>
      <c r="I383" s="14" t="s">
        <v>2</v>
      </c>
      <c r="J383" s="29">
        <v>9</v>
      </c>
      <c r="K383" s="21">
        <f>E383</f>
        <v>31600000</v>
      </c>
      <c r="L383" s="36">
        <f>SUMIF(I383:I388,"="&amp;"金币",K383:K388)</f>
        <v>36017710</v>
      </c>
      <c r="M383" s="22">
        <f>L383/$X$2</f>
        <v>36.01771</v>
      </c>
      <c r="N383" s="37">
        <f>SUM(L347:L383)</f>
        <v>153950500</v>
      </c>
      <c r="O383" s="23">
        <f>SUM(M347:M383)</f>
        <v>153.9505</v>
      </c>
      <c r="P383" s="24">
        <f>N383/F383</f>
        <v>1.15</v>
      </c>
      <c r="Q383" s="25"/>
      <c r="R383" s="25"/>
    </row>
    <row r="384" spans="1:18">
      <c r="A384" s="46">
        <f t="shared" si="11"/>
        <v>9</v>
      </c>
      <c r="B384" s="47">
        <v>39</v>
      </c>
      <c r="C384" s="14"/>
      <c r="D384" s="14" t="str">
        <f t="shared" si="10"/>
        <v/>
      </c>
      <c r="E384" s="14"/>
      <c r="F384" s="30"/>
      <c r="G384" s="17"/>
      <c r="H384" s="18"/>
      <c r="I384" s="19" t="s">
        <v>408</v>
      </c>
      <c r="J384" s="38">
        <v>3</v>
      </c>
      <c r="K384" s="21">
        <v>7</v>
      </c>
      <c r="L384" s="14"/>
      <c r="M384" s="22"/>
      <c r="N384" s="30"/>
      <c r="O384" s="23"/>
      <c r="P384" s="24"/>
      <c r="Q384" s="25"/>
      <c r="R384" s="25"/>
    </row>
    <row r="385" spans="1:18">
      <c r="A385" s="46">
        <f t="shared" si="11"/>
        <v>9</v>
      </c>
      <c r="B385" s="47">
        <v>40</v>
      </c>
      <c r="C385" s="14"/>
      <c r="D385" s="14" t="str">
        <f t="shared" si="10"/>
        <v/>
      </c>
      <c r="E385" s="14"/>
      <c r="F385" s="30"/>
      <c r="G385" s="17"/>
      <c r="H385" s="18">
        <v>0.22</v>
      </c>
      <c r="I385" s="19" t="s">
        <v>2</v>
      </c>
      <c r="J385" s="38">
        <v>17</v>
      </c>
      <c r="K385" s="21">
        <f>H385*$R$350</f>
        <v>4417710</v>
      </c>
      <c r="L385" s="14"/>
      <c r="M385" s="22"/>
      <c r="N385" s="30"/>
      <c r="O385" s="23"/>
      <c r="P385" s="24"/>
      <c r="Q385" s="25"/>
      <c r="R385" s="25"/>
    </row>
    <row r="386" spans="1:18">
      <c r="A386" s="46">
        <f t="shared" si="11"/>
        <v>9</v>
      </c>
      <c r="B386" s="47">
        <v>41</v>
      </c>
      <c r="C386" s="14"/>
      <c r="D386" s="14" t="str">
        <f t="shared" si="10"/>
        <v/>
      </c>
      <c r="E386" s="14"/>
      <c r="F386" s="30"/>
      <c r="G386" s="17"/>
      <c r="H386" s="18"/>
      <c r="I386" s="19" t="s">
        <v>473</v>
      </c>
      <c r="J386" s="38">
        <v>4</v>
      </c>
      <c r="K386" s="21">
        <v>1</v>
      </c>
      <c r="L386" s="14"/>
      <c r="M386" s="22"/>
      <c r="N386" s="30"/>
      <c r="O386" s="23"/>
      <c r="P386" s="24"/>
      <c r="Q386" s="25"/>
      <c r="R386" s="25"/>
    </row>
    <row r="387" spans="1:18">
      <c r="A387" s="46">
        <f t="shared" si="11"/>
        <v>9</v>
      </c>
      <c r="B387" s="47">
        <v>42</v>
      </c>
      <c r="C387" s="14"/>
      <c r="D387" s="14" t="str">
        <f t="shared" ref="D387:D450" si="12">IFERROR(VLOOKUP(ROUND(C387*100,0),T:U,2,FALSE),"")</f>
        <v/>
      </c>
      <c r="E387" s="14"/>
      <c r="F387" s="30"/>
      <c r="G387" s="17"/>
      <c r="H387" s="18"/>
      <c r="I387" s="19" t="s">
        <v>453</v>
      </c>
      <c r="J387" s="38">
        <v>3</v>
      </c>
      <c r="K387" s="21">
        <v>35</v>
      </c>
      <c r="L387" s="14"/>
      <c r="M387" s="22"/>
      <c r="N387" s="30"/>
      <c r="O387" s="23"/>
      <c r="P387" s="24"/>
      <c r="Q387" s="25"/>
      <c r="R387" s="25"/>
    </row>
    <row r="388" spans="1:18">
      <c r="A388" s="46">
        <f t="shared" si="11"/>
        <v>9</v>
      </c>
      <c r="B388" s="47">
        <v>43</v>
      </c>
      <c r="C388" s="14"/>
      <c r="D388" s="14" t="str">
        <f t="shared" si="12"/>
        <v/>
      </c>
      <c r="E388" s="14"/>
      <c r="F388" s="30"/>
      <c r="G388" s="17"/>
      <c r="H388" s="18"/>
      <c r="I388" t="s">
        <v>424</v>
      </c>
      <c r="J388" s="38">
        <v>3</v>
      </c>
      <c r="K388" s="21">
        <v>1</v>
      </c>
      <c r="L388" s="14"/>
      <c r="M388" s="22"/>
      <c r="N388" s="30"/>
      <c r="O388" s="23"/>
      <c r="P388" s="24"/>
      <c r="Q388" s="25"/>
      <c r="R388" s="25"/>
    </row>
    <row r="389" spans="1:18">
      <c r="A389" s="46">
        <f t="shared" si="11"/>
        <v>10</v>
      </c>
      <c r="B389" s="47">
        <v>1</v>
      </c>
      <c r="C389" s="14"/>
      <c r="D389" s="14" t="str">
        <f t="shared" si="12"/>
        <v/>
      </c>
      <c r="E389" s="14"/>
      <c r="F389" s="30"/>
      <c r="G389" s="17"/>
      <c r="H389" s="18"/>
      <c r="I389" s="14" t="s">
        <v>2</v>
      </c>
      <c r="J389" s="29">
        <v>1</v>
      </c>
      <c r="K389" s="21">
        <v>5000</v>
      </c>
      <c r="L389" s="14"/>
      <c r="M389" s="22"/>
      <c r="N389" s="30"/>
      <c r="O389" s="23"/>
      <c r="P389" s="24"/>
      <c r="Q389" s="25"/>
      <c r="R389" s="31">
        <f>SUM(C389:C431)</f>
        <v>89.93</v>
      </c>
    </row>
    <row r="390" spans="1:18">
      <c r="A390" s="46">
        <f t="shared" si="11"/>
        <v>10</v>
      </c>
      <c r="B390" s="47">
        <v>2</v>
      </c>
      <c r="C390" s="35">
        <v>5.99</v>
      </c>
      <c r="D390" s="14">
        <f t="shared" si="12"/>
        <v>119</v>
      </c>
      <c r="E390" s="36">
        <f>(C390+0.01)*D390*$X$2/100</f>
        <v>7140000</v>
      </c>
      <c r="F390" s="37">
        <f>SUM(E390)</f>
        <v>7140000</v>
      </c>
      <c r="G390" s="17">
        <f>SUM(C390)</f>
        <v>5.99</v>
      </c>
      <c r="H390" s="18"/>
      <c r="I390" s="14" t="s">
        <v>2</v>
      </c>
      <c r="J390" s="29">
        <v>9</v>
      </c>
      <c r="K390" s="21">
        <f>E390</f>
        <v>7140000</v>
      </c>
      <c r="L390" s="36">
        <f>SUMIF(I390:I395,"="&amp;"金币",K390:K395)</f>
        <v>8746440</v>
      </c>
      <c r="M390" s="22">
        <f>L390/$X$2</f>
        <v>8.74644</v>
      </c>
      <c r="N390" s="37">
        <f>SUM(L390)</f>
        <v>8746440</v>
      </c>
      <c r="O390" s="23">
        <f>SUM(M390)</f>
        <v>8.74644</v>
      </c>
      <c r="P390" s="24">
        <f>N390/F390</f>
        <v>1.22499159663866</v>
      </c>
      <c r="Q390" s="25"/>
      <c r="R390" s="26" t="s">
        <v>556</v>
      </c>
    </row>
    <row r="391" spans="1:18">
      <c r="A391" s="46">
        <f t="shared" si="11"/>
        <v>10</v>
      </c>
      <c r="B391" s="47">
        <v>3</v>
      </c>
      <c r="C391" s="14"/>
      <c r="D391" s="14" t="str">
        <f t="shared" si="12"/>
        <v/>
      </c>
      <c r="E391" s="14"/>
      <c r="F391" s="30"/>
      <c r="G391" s="17"/>
      <c r="H391" s="18"/>
      <c r="I391" s="19" t="s">
        <v>408</v>
      </c>
      <c r="J391" s="38">
        <v>3</v>
      </c>
      <c r="K391" s="21">
        <v>1</v>
      </c>
      <c r="L391" s="14"/>
      <c r="M391" s="22"/>
      <c r="N391" s="30"/>
      <c r="O391" s="23"/>
      <c r="P391" s="24"/>
      <c r="Q391" s="25"/>
      <c r="R391" s="39">
        <v>1.15</v>
      </c>
    </row>
    <row r="392" spans="1:18">
      <c r="A392" s="46">
        <f t="shared" si="11"/>
        <v>10</v>
      </c>
      <c r="B392" s="47">
        <v>4</v>
      </c>
      <c r="C392" s="14"/>
      <c r="D392" s="14" t="str">
        <f t="shared" si="12"/>
        <v/>
      </c>
      <c r="E392" s="14"/>
      <c r="F392" s="30"/>
      <c r="G392" s="17"/>
      <c r="H392" s="18">
        <v>0.08</v>
      </c>
      <c r="I392" s="19" t="s">
        <v>2</v>
      </c>
      <c r="J392" s="38">
        <v>17</v>
      </c>
      <c r="K392" s="21">
        <f>H392*$R$393</f>
        <v>1606440</v>
      </c>
      <c r="L392" s="14"/>
      <c r="M392" s="22"/>
      <c r="N392" s="30"/>
      <c r="O392" s="23"/>
      <c r="P392" s="24"/>
      <c r="Q392" s="25"/>
      <c r="R392" s="26" t="s">
        <v>557</v>
      </c>
    </row>
    <row r="393" spans="1:18">
      <c r="A393" s="46">
        <f t="shared" si="11"/>
        <v>10</v>
      </c>
      <c r="B393" s="47">
        <v>5</v>
      </c>
      <c r="C393" s="14"/>
      <c r="D393" s="14" t="str">
        <f t="shared" si="12"/>
        <v/>
      </c>
      <c r="E393" s="14"/>
      <c r="F393" s="30"/>
      <c r="G393" s="17"/>
      <c r="H393" s="18"/>
      <c r="I393" s="19" t="s">
        <v>457</v>
      </c>
      <c r="J393" s="38">
        <v>4</v>
      </c>
      <c r="K393" s="21">
        <v>1</v>
      </c>
      <c r="L393" s="14"/>
      <c r="M393" s="22"/>
      <c r="N393" s="30"/>
      <c r="O393" s="23"/>
      <c r="P393" s="24"/>
      <c r="Q393" s="25"/>
      <c r="R393" s="40">
        <f>SUM(E389:E431)*(R391-1)</f>
        <v>20080500</v>
      </c>
    </row>
    <row r="394" spans="1:18">
      <c r="A394" s="46">
        <f t="shared" si="11"/>
        <v>10</v>
      </c>
      <c r="B394" s="47">
        <v>6</v>
      </c>
      <c r="C394" s="14"/>
      <c r="D394" s="14" t="str">
        <f t="shared" si="12"/>
        <v/>
      </c>
      <c r="E394" s="14"/>
      <c r="F394" s="30"/>
      <c r="G394" s="17"/>
      <c r="H394" s="18"/>
      <c r="I394" s="19" t="s">
        <v>453</v>
      </c>
      <c r="J394" s="38">
        <v>3</v>
      </c>
      <c r="K394" s="21">
        <v>5</v>
      </c>
      <c r="L394" s="14"/>
      <c r="M394" s="22"/>
      <c r="N394" s="30"/>
      <c r="O394" s="23"/>
      <c r="P394" s="24"/>
      <c r="Q394" s="25"/>
      <c r="R394" s="26" t="s">
        <v>558</v>
      </c>
    </row>
    <row r="395" spans="1:18">
      <c r="A395" s="46">
        <f t="shared" si="11"/>
        <v>10</v>
      </c>
      <c r="B395" s="47">
        <v>7</v>
      </c>
      <c r="C395" s="14"/>
      <c r="D395" s="14" t="str">
        <f t="shared" si="12"/>
        <v/>
      </c>
      <c r="E395" s="14"/>
      <c r="F395" s="30"/>
      <c r="G395" s="17"/>
      <c r="H395" s="18"/>
      <c r="I395" t="s">
        <v>424</v>
      </c>
      <c r="J395" s="38">
        <v>3</v>
      </c>
      <c r="K395" s="21">
        <v>1</v>
      </c>
      <c r="L395" s="14"/>
      <c r="M395" s="22"/>
      <c r="N395" s="30"/>
      <c r="O395" s="23"/>
      <c r="P395" s="24"/>
      <c r="Q395" s="25"/>
      <c r="R395" s="26">
        <f>SUM(H389:H431)</f>
        <v>1</v>
      </c>
    </row>
    <row r="396" spans="1:18">
      <c r="A396" s="46">
        <f t="shared" si="11"/>
        <v>10</v>
      </c>
      <c r="B396" s="47">
        <v>8</v>
      </c>
      <c r="C396" s="14">
        <v>7.99</v>
      </c>
      <c r="D396" s="14">
        <f t="shared" si="12"/>
        <v>129</v>
      </c>
      <c r="E396" s="36">
        <f>(C396+0.01)*D396*$X$2/100</f>
        <v>10320000</v>
      </c>
      <c r="F396" s="37">
        <f>SUM(E390:E396)</f>
        <v>17460000</v>
      </c>
      <c r="G396" s="17">
        <f>SUM(C390:C396)</f>
        <v>13.98</v>
      </c>
      <c r="H396" s="18"/>
      <c r="I396" s="14" t="s">
        <v>2</v>
      </c>
      <c r="J396" s="29">
        <v>9</v>
      </c>
      <c r="K396" s="21">
        <f>E396</f>
        <v>10320000</v>
      </c>
      <c r="L396" s="36">
        <f>SUMIF(I396:I401,"="&amp;"金币",K396:K401)</f>
        <v>12328050</v>
      </c>
      <c r="M396" s="22">
        <f>L396/$X$2</f>
        <v>12.32805</v>
      </c>
      <c r="N396" s="37">
        <f>SUM(L390:L396)</f>
        <v>21074490</v>
      </c>
      <c r="O396" s="23">
        <f>SUM(M390:M396)</f>
        <v>21.07449</v>
      </c>
      <c r="P396" s="24">
        <f>N396/F396</f>
        <v>1.20701546391753</v>
      </c>
      <c r="Q396" s="25"/>
      <c r="R396" s="25"/>
    </row>
    <row r="397" spans="1:18">
      <c r="A397" s="46">
        <f t="shared" si="11"/>
        <v>10</v>
      </c>
      <c r="B397" s="47">
        <v>9</v>
      </c>
      <c r="C397" s="14"/>
      <c r="D397" s="14" t="str">
        <f t="shared" si="12"/>
        <v/>
      </c>
      <c r="E397" s="14"/>
      <c r="F397" s="30"/>
      <c r="G397" s="17"/>
      <c r="H397" s="18"/>
      <c r="I397" s="19" t="s">
        <v>408</v>
      </c>
      <c r="J397" s="38">
        <v>3</v>
      </c>
      <c r="K397" s="21">
        <v>2</v>
      </c>
      <c r="L397" s="14"/>
      <c r="M397" s="22"/>
      <c r="N397" s="30"/>
      <c r="O397" s="23"/>
      <c r="P397" s="24"/>
      <c r="Q397" s="25"/>
      <c r="R397" s="25"/>
    </row>
    <row r="398" spans="1:18">
      <c r="A398" s="46">
        <f t="shared" si="11"/>
        <v>10</v>
      </c>
      <c r="B398" s="47">
        <v>10</v>
      </c>
      <c r="C398" s="14"/>
      <c r="D398" s="14" t="str">
        <f t="shared" si="12"/>
        <v/>
      </c>
      <c r="E398" s="14"/>
      <c r="F398" s="30"/>
      <c r="G398" s="17"/>
      <c r="H398" s="18">
        <v>0.1</v>
      </c>
      <c r="I398" s="19" t="s">
        <v>2</v>
      </c>
      <c r="J398" s="38">
        <v>17</v>
      </c>
      <c r="K398" s="21">
        <f>H398*$R$393</f>
        <v>2008050</v>
      </c>
      <c r="L398" s="14"/>
      <c r="M398" s="22"/>
      <c r="N398" s="30"/>
      <c r="O398" s="23"/>
      <c r="P398" s="24"/>
      <c r="Q398" s="25"/>
      <c r="R398" s="25"/>
    </row>
    <row r="399" spans="1:18">
      <c r="A399" s="46">
        <f t="shared" si="11"/>
        <v>10</v>
      </c>
      <c r="B399" s="47">
        <v>11</v>
      </c>
      <c r="C399" s="14"/>
      <c r="D399" s="14" t="str">
        <f t="shared" si="12"/>
        <v/>
      </c>
      <c r="E399" s="14"/>
      <c r="F399" s="30"/>
      <c r="G399" s="17"/>
      <c r="H399" s="18"/>
      <c r="I399" s="19" t="s">
        <v>459</v>
      </c>
      <c r="J399" s="38">
        <v>4</v>
      </c>
      <c r="K399" s="21">
        <v>1</v>
      </c>
      <c r="L399" s="14"/>
      <c r="M399" s="22"/>
      <c r="N399" s="30"/>
      <c r="O399" s="23"/>
      <c r="P399" s="24"/>
      <c r="Q399" s="25"/>
      <c r="R399" s="25"/>
    </row>
    <row r="400" spans="1:18">
      <c r="A400" s="46">
        <f t="shared" si="11"/>
        <v>10</v>
      </c>
      <c r="B400" s="47">
        <v>12</v>
      </c>
      <c r="C400" s="14"/>
      <c r="D400" s="14" t="str">
        <f t="shared" si="12"/>
        <v/>
      </c>
      <c r="E400" s="14"/>
      <c r="F400" s="30"/>
      <c r="G400" s="17"/>
      <c r="H400" s="18"/>
      <c r="I400" s="19" t="s">
        <v>453</v>
      </c>
      <c r="J400" s="38">
        <v>3</v>
      </c>
      <c r="K400" s="21">
        <v>10</v>
      </c>
      <c r="L400" s="14"/>
      <c r="M400" s="22"/>
      <c r="N400" s="30"/>
      <c r="O400" s="23"/>
      <c r="P400" s="24"/>
      <c r="Q400" s="25"/>
      <c r="R400" s="25"/>
    </row>
    <row r="401" spans="1:18">
      <c r="A401" s="46">
        <f t="shared" si="11"/>
        <v>10</v>
      </c>
      <c r="B401" s="47">
        <v>13</v>
      </c>
      <c r="C401" s="14"/>
      <c r="D401" s="14" t="str">
        <f t="shared" si="12"/>
        <v/>
      </c>
      <c r="E401" s="14"/>
      <c r="F401" s="30"/>
      <c r="G401" s="17"/>
      <c r="H401" s="18"/>
      <c r="I401" t="s">
        <v>426</v>
      </c>
      <c r="J401" s="38">
        <v>3</v>
      </c>
      <c r="K401" s="21">
        <v>1</v>
      </c>
      <c r="L401" s="14"/>
      <c r="M401" s="22"/>
      <c r="N401" s="30"/>
      <c r="O401" s="23"/>
      <c r="P401" s="24"/>
      <c r="Q401" s="25"/>
      <c r="R401" s="25"/>
    </row>
    <row r="402" spans="1:18">
      <c r="A402" s="46">
        <f t="shared" si="11"/>
        <v>10</v>
      </c>
      <c r="B402" s="47">
        <v>14</v>
      </c>
      <c r="C402" s="14">
        <v>9.99</v>
      </c>
      <c r="D402" s="14">
        <f t="shared" si="12"/>
        <v>139</v>
      </c>
      <c r="E402" s="36">
        <f>(C402+0.01)*D402*$X$2/100</f>
        <v>13900000</v>
      </c>
      <c r="F402" s="37">
        <f>SUM(E390:E402)</f>
        <v>31360000</v>
      </c>
      <c r="G402" s="17">
        <f>SUM(C390:C402)</f>
        <v>23.97</v>
      </c>
      <c r="H402" s="18"/>
      <c r="I402" s="14" t="s">
        <v>2</v>
      </c>
      <c r="J402" s="29">
        <v>9</v>
      </c>
      <c r="K402" s="21">
        <f>E402</f>
        <v>13900000</v>
      </c>
      <c r="L402" s="36">
        <f>SUMIF(I402:I407,"="&amp;"金币",K402:K407)</f>
        <v>16309660</v>
      </c>
      <c r="M402" s="22">
        <f>L402/$X$2</f>
        <v>16.30966</v>
      </c>
      <c r="N402" s="37">
        <f>SUM(L390:L402)</f>
        <v>37384150</v>
      </c>
      <c r="O402" s="23">
        <f>SUM(M390:M402)</f>
        <v>37.38415</v>
      </c>
      <c r="P402" s="24">
        <f>N402/F402</f>
        <v>1.19209661989796</v>
      </c>
      <c r="Q402" s="25"/>
      <c r="R402" s="25"/>
    </row>
    <row r="403" spans="1:18">
      <c r="A403" s="46">
        <f t="shared" si="11"/>
        <v>10</v>
      </c>
      <c r="B403" s="47">
        <v>15</v>
      </c>
      <c r="C403" s="14"/>
      <c r="D403" s="14" t="str">
        <f t="shared" si="12"/>
        <v/>
      </c>
      <c r="E403" s="14"/>
      <c r="F403" s="30"/>
      <c r="G403" s="17"/>
      <c r="H403" s="18"/>
      <c r="I403" s="19" t="s">
        <v>408</v>
      </c>
      <c r="J403" s="38">
        <v>3</v>
      </c>
      <c r="K403" s="21">
        <v>3</v>
      </c>
      <c r="L403" s="14"/>
      <c r="M403" s="22"/>
      <c r="N403" s="30"/>
      <c r="O403" s="23"/>
      <c r="P403" s="24"/>
      <c r="Q403" s="25"/>
      <c r="R403" s="25"/>
    </row>
    <row r="404" spans="1:18">
      <c r="A404" s="46">
        <f t="shared" si="11"/>
        <v>10</v>
      </c>
      <c r="B404" s="47">
        <v>16</v>
      </c>
      <c r="C404" s="14"/>
      <c r="D404" s="14" t="str">
        <f t="shared" si="12"/>
        <v/>
      </c>
      <c r="E404" s="14"/>
      <c r="F404" s="30"/>
      <c r="G404" s="17"/>
      <c r="H404" s="18">
        <v>0.12</v>
      </c>
      <c r="I404" s="19" t="s">
        <v>2</v>
      </c>
      <c r="J404" s="38">
        <v>17</v>
      </c>
      <c r="K404" s="21">
        <f>H404*$R$393</f>
        <v>2409660</v>
      </c>
      <c r="L404" s="14"/>
      <c r="M404" s="22"/>
      <c r="N404" s="30"/>
      <c r="O404" s="23"/>
      <c r="P404" s="24"/>
      <c r="Q404" s="25"/>
      <c r="R404" s="25"/>
    </row>
    <row r="405" spans="1:18">
      <c r="A405" s="46">
        <f t="shared" si="11"/>
        <v>10</v>
      </c>
      <c r="B405" s="47">
        <v>17</v>
      </c>
      <c r="C405" s="14"/>
      <c r="D405" s="14" t="str">
        <f t="shared" si="12"/>
        <v/>
      </c>
      <c r="E405" s="14"/>
      <c r="F405" s="30"/>
      <c r="G405" s="17"/>
      <c r="H405" s="18"/>
      <c r="I405" s="19" t="s">
        <v>461</v>
      </c>
      <c r="J405" s="38">
        <v>4</v>
      </c>
      <c r="K405" s="21">
        <v>1</v>
      </c>
      <c r="L405" s="14"/>
      <c r="M405" s="22"/>
      <c r="N405" s="30"/>
      <c r="O405" s="23"/>
      <c r="P405" s="24"/>
      <c r="Q405" s="25"/>
      <c r="R405" s="25"/>
    </row>
    <row r="406" spans="1:18">
      <c r="A406" s="46">
        <f t="shared" si="11"/>
        <v>10</v>
      </c>
      <c r="B406" s="47">
        <v>18</v>
      </c>
      <c r="C406" s="14"/>
      <c r="D406" s="14" t="str">
        <f t="shared" si="12"/>
        <v/>
      </c>
      <c r="E406" s="14"/>
      <c r="F406" s="30"/>
      <c r="G406" s="17"/>
      <c r="H406" s="18"/>
      <c r="I406" s="19" t="s">
        <v>453</v>
      </c>
      <c r="J406" s="38">
        <v>3</v>
      </c>
      <c r="K406" s="21">
        <v>15</v>
      </c>
      <c r="L406" s="14"/>
      <c r="M406" s="22"/>
      <c r="N406" s="30"/>
      <c r="O406" s="23"/>
      <c r="P406" s="24"/>
      <c r="Q406" s="25"/>
      <c r="R406" s="25"/>
    </row>
    <row r="407" spans="1:18">
      <c r="A407" s="46">
        <f t="shared" si="11"/>
        <v>10</v>
      </c>
      <c r="B407" s="47">
        <v>19</v>
      </c>
      <c r="C407" s="14"/>
      <c r="D407" s="14" t="str">
        <f t="shared" si="12"/>
        <v/>
      </c>
      <c r="E407" s="14"/>
      <c r="F407" s="30"/>
      <c r="G407" s="17"/>
      <c r="H407" s="18"/>
      <c r="I407" t="s">
        <v>424</v>
      </c>
      <c r="J407" s="38">
        <v>3</v>
      </c>
      <c r="K407" s="21">
        <v>1</v>
      </c>
      <c r="L407" s="14"/>
      <c r="M407" s="22"/>
      <c r="N407" s="30"/>
      <c r="O407" s="23"/>
      <c r="P407" s="24"/>
      <c r="Q407" s="25"/>
      <c r="R407" s="25"/>
    </row>
    <row r="408" spans="1:18">
      <c r="A408" s="46">
        <f t="shared" si="11"/>
        <v>10</v>
      </c>
      <c r="B408" s="47">
        <v>20</v>
      </c>
      <c r="C408" s="14">
        <v>12.99</v>
      </c>
      <c r="D408" s="14">
        <f t="shared" si="12"/>
        <v>149</v>
      </c>
      <c r="E408" s="36">
        <f>(C408+0.01)*D408*$X$2/100</f>
        <v>19370000</v>
      </c>
      <c r="F408" s="37">
        <f>SUM(E390:E408)</f>
        <v>50730000</v>
      </c>
      <c r="G408" s="17">
        <f>SUM(C390:C408)</f>
        <v>36.96</v>
      </c>
      <c r="H408" s="18"/>
      <c r="I408" s="14" t="s">
        <v>2</v>
      </c>
      <c r="J408" s="29">
        <v>9</v>
      </c>
      <c r="K408" s="21">
        <f>E408</f>
        <v>19370000</v>
      </c>
      <c r="L408" s="36">
        <f>SUMIF(I408:I413,"="&amp;"金币",K408:K413)</f>
        <v>22181270</v>
      </c>
      <c r="M408" s="22">
        <f>L408/$X$2</f>
        <v>22.18127</v>
      </c>
      <c r="N408" s="37">
        <f>SUM(L390:L408)</f>
        <v>59565420</v>
      </c>
      <c r="O408" s="23">
        <f>SUM(M390:M408)</f>
        <v>59.56542</v>
      </c>
      <c r="P408" s="24">
        <f>N408/F408</f>
        <v>1.17416558249556</v>
      </c>
      <c r="Q408" s="25"/>
      <c r="R408" s="25"/>
    </row>
    <row r="409" spans="1:18">
      <c r="A409" s="46">
        <f t="shared" si="11"/>
        <v>10</v>
      </c>
      <c r="B409" s="47">
        <v>21</v>
      </c>
      <c r="C409" s="14"/>
      <c r="D409" s="14" t="str">
        <f t="shared" si="12"/>
        <v/>
      </c>
      <c r="E409" s="14"/>
      <c r="F409" s="30"/>
      <c r="G409" s="17"/>
      <c r="H409" s="18"/>
      <c r="I409" s="19" t="s">
        <v>408</v>
      </c>
      <c r="J409" s="38">
        <v>3</v>
      </c>
      <c r="K409" s="21">
        <v>4</v>
      </c>
      <c r="L409" s="14"/>
      <c r="M409" s="22"/>
      <c r="N409" s="30"/>
      <c r="O409" s="23"/>
      <c r="P409" s="24"/>
      <c r="Q409" s="25"/>
      <c r="R409" s="25"/>
    </row>
    <row r="410" spans="1:18">
      <c r="A410" s="46">
        <f t="shared" si="11"/>
        <v>10</v>
      </c>
      <c r="B410" s="47">
        <v>22</v>
      </c>
      <c r="C410" s="14"/>
      <c r="D410" s="14" t="str">
        <f t="shared" si="12"/>
        <v/>
      </c>
      <c r="E410" s="14"/>
      <c r="F410" s="30"/>
      <c r="G410" s="17"/>
      <c r="H410" s="18">
        <v>0.14</v>
      </c>
      <c r="I410" s="19" t="s">
        <v>2</v>
      </c>
      <c r="J410" s="38">
        <v>17</v>
      </c>
      <c r="K410" s="21">
        <f>H410*$R$393</f>
        <v>2811270</v>
      </c>
      <c r="L410" s="14"/>
      <c r="M410" s="22"/>
      <c r="N410" s="30"/>
      <c r="O410" s="23"/>
      <c r="P410" s="24"/>
      <c r="Q410" s="25"/>
      <c r="R410" s="25"/>
    </row>
    <row r="411" spans="1:18">
      <c r="A411" s="46">
        <f t="shared" si="11"/>
        <v>10</v>
      </c>
      <c r="B411" s="47">
        <v>23</v>
      </c>
      <c r="C411" s="14"/>
      <c r="D411" s="14" t="str">
        <f t="shared" si="12"/>
        <v/>
      </c>
      <c r="E411" s="14"/>
      <c r="F411" s="30"/>
      <c r="G411" s="17"/>
      <c r="H411" s="18"/>
      <c r="I411" s="19" t="s">
        <v>461</v>
      </c>
      <c r="J411" s="38">
        <v>4</v>
      </c>
      <c r="K411" s="21">
        <v>1</v>
      </c>
      <c r="L411" s="14"/>
      <c r="M411" s="22"/>
      <c r="N411" s="30"/>
      <c r="O411" s="23"/>
      <c r="P411" s="24"/>
      <c r="Q411" s="25"/>
      <c r="R411" s="25"/>
    </row>
    <row r="412" spans="1:18">
      <c r="A412" s="46">
        <f t="shared" si="11"/>
        <v>10</v>
      </c>
      <c r="B412" s="47">
        <v>24</v>
      </c>
      <c r="C412" s="14"/>
      <c r="D412" s="14" t="str">
        <f t="shared" si="12"/>
        <v/>
      </c>
      <c r="E412" s="14"/>
      <c r="F412" s="30"/>
      <c r="G412" s="17"/>
      <c r="H412" s="18"/>
      <c r="I412" s="19" t="s">
        <v>453</v>
      </c>
      <c r="J412" s="38">
        <v>3</v>
      </c>
      <c r="K412" s="21">
        <v>20</v>
      </c>
      <c r="L412" s="14"/>
      <c r="M412" s="22"/>
      <c r="N412" s="30"/>
      <c r="O412" s="23"/>
      <c r="P412" s="24"/>
      <c r="Q412" s="25"/>
      <c r="R412" s="25"/>
    </row>
    <row r="413" spans="1:18">
      <c r="A413" s="46">
        <f t="shared" si="11"/>
        <v>10</v>
      </c>
      <c r="B413" s="47">
        <v>25</v>
      </c>
      <c r="C413" s="14"/>
      <c r="D413" s="14" t="str">
        <f t="shared" si="12"/>
        <v/>
      </c>
      <c r="E413" s="14"/>
      <c r="F413" s="30"/>
      <c r="G413" s="17"/>
      <c r="H413" s="18"/>
      <c r="I413" t="s">
        <v>426</v>
      </c>
      <c r="J413" s="38">
        <v>3</v>
      </c>
      <c r="K413" s="21">
        <v>1</v>
      </c>
      <c r="L413" s="14"/>
      <c r="M413" s="22"/>
      <c r="N413" s="30"/>
      <c r="O413" s="23"/>
      <c r="P413" s="24"/>
      <c r="Q413" s="25"/>
      <c r="R413" s="25"/>
    </row>
    <row r="414" spans="1:18">
      <c r="A414" s="46">
        <f t="shared" si="11"/>
        <v>10</v>
      </c>
      <c r="B414" s="47">
        <v>26</v>
      </c>
      <c r="C414" s="14">
        <v>14.99</v>
      </c>
      <c r="D414" s="14">
        <f t="shared" si="12"/>
        <v>154</v>
      </c>
      <c r="E414" s="36">
        <f>(C414+0.01)*D414*$X$2/100</f>
        <v>23100000</v>
      </c>
      <c r="F414" s="37">
        <f>SUM(E390:E414)</f>
        <v>73830000</v>
      </c>
      <c r="G414" s="17">
        <f>SUM(C390:C414)</f>
        <v>51.95</v>
      </c>
      <c r="H414" s="18"/>
      <c r="I414" s="14" t="s">
        <v>2</v>
      </c>
      <c r="J414" s="29">
        <v>9</v>
      </c>
      <c r="K414" s="21">
        <f>E414</f>
        <v>23100000</v>
      </c>
      <c r="L414" s="36">
        <f>SUMIF(I414:I419,"="&amp;"金币",K414:K419)</f>
        <v>26312880</v>
      </c>
      <c r="M414" s="22">
        <f>L414/$X$2</f>
        <v>26.31288</v>
      </c>
      <c r="N414" s="37">
        <f>SUM(L390:L414)</f>
        <v>85878300</v>
      </c>
      <c r="O414" s="23">
        <f>SUM(M390:M414)</f>
        <v>85.8783</v>
      </c>
      <c r="P414" s="24">
        <f>N414/F414</f>
        <v>1.16318976026006</v>
      </c>
      <c r="Q414" s="25"/>
      <c r="R414" s="25"/>
    </row>
    <row r="415" spans="1:18">
      <c r="A415" s="46">
        <f t="shared" si="11"/>
        <v>10</v>
      </c>
      <c r="B415" s="47">
        <v>27</v>
      </c>
      <c r="C415" s="14"/>
      <c r="D415" s="14" t="str">
        <f t="shared" si="12"/>
        <v/>
      </c>
      <c r="E415" s="14"/>
      <c r="F415" s="30"/>
      <c r="G415" s="17"/>
      <c r="H415" s="18"/>
      <c r="I415" s="19" t="s">
        <v>408</v>
      </c>
      <c r="J415" s="38">
        <v>3</v>
      </c>
      <c r="K415" s="21">
        <v>5</v>
      </c>
      <c r="L415" s="14"/>
      <c r="M415" s="22"/>
      <c r="N415" s="30"/>
      <c r="O415" s="23"/>
      <c r="P415" s="24"/>
      <c r="Q415" s="25"/>
      <c r="R415" s="25"/>
    </row>
    <row r="416" spans="1:18">
      <c r="A416" s="46">
        <f t="shared" si="11"/>
        <v>10</v>
      </c>
      <c r="B416" s="47">
        <v>28</v>
      </c>
      <c r="C416" s="14"/>
      <c r="D416" s="14" t="str">
        <f t="shared" si="12"/>
        <v/>
      </c>
      <c r="E416" s="14"/>
      <c r="F416" s="30"/>
      <c r="G416" s="17"/>
      <c r="H416" s="18">
        <v>0.16</v>
      </c>
      <c r="I416" s="19" t="s">
        <v>2</v>
      </c>
      <c r="J416" s="38">
        <v>17</v>
      </c>
      <c r="K416" s="21">
        <f>H416*$R$393</f>
        <v>3212880</v>
      </c>
      <c r="L416" s="14"/>
      <c r="M416" s="22"/>
      <c r="N416" s="30"/>
      <c r="O416" s="23"/>
      <c r="P416" s="24"/>
      <c r="Q416" s="25"/>
      <c r="R416" s="25"/>
    </row>
    <row r="417" spans="1:18">
      <c r="A417" s="46">
        <f t="shared" si="11"/>
        <v>10</v>
      </c>
      <c r="B417" s="47">
        <v>29</v>
      </c>
      <c r="C417" s="14"/>
      <c r="D417" s="14" t="str">
        <f t="shared" si="12"/>
        <v/>
      </c>
      <c r="E417" s="14"/>
      <c r="F417" s="30"/>
      <c r="G417" s="17"/>
      <c r="H417" s="18"/>
      <c r="I417" s="19" t="s">
        <v>463</v>
      </c>
      <c r="J417" s="38">
        <v>4</v>
      </c>
      <c r="K417" s="21">
        <v>1</v>
      </c>
      <c r="L417" s="14"/>
      <c r="M417" s="22"/>
      <c r="N417" s="30"/>
      <c r="O417" s="23"/>
      <c r="P417" s="24"/>
      <c r="Q417" s="25"/>
      <c r="R417" s="25"/>
    </row>
    <row r="418" spans="1:18">
      <c r="A418" s="46">
        <f t="shared" si="11"/>
        <v>10</v>
      </c>
      <c r="B418" s="47">
        <v>30</v>
      </c>
      <c r="C418" s="14"/>
      <c r="D418" s="14" t="str">
        <f t="shared" si="12"/>
        <v/>
      </c>
      <c r="E418" s="14"/>
      <c r="F418" s="30"/>
      <c r="G418" s="17"/>
      <c r="H418" s="18"/>
      <c r="I418" s="19" t="s">
        <v>453</v>
      </c>
      <c r="J418" s="38">
        <v>3</v>
      </c>
      <c r="K418" s="21">
        <v>25</v>
      </c>
      <c r="L418" s="14"/>
      <c r="M418" s="22"/>
      <c r="N418" s="30"/>
      <c r="O418" s="23"/>
      <c r="P418" s="24"/>
      <c r="Q418" s="25"/>
      <c r="R418" s="25"/>
    </row>
    <row r="419" spans="1:18">
      <c r="A419" s="46">
        <f t="shared" si="11"/>
        <v>10</v>
      </c>
      <c r="B419" s="47">
        <v>31</v>
      </c>
      <c r="C419" s="14"/>
      <c r="D419" s="14" t="str">
        <f t="shared" si="12"/>
        <v/>
      </c>
      <c r="E419" s="14"/>
      <c r="F419" s="30"/>
      <c r="G419" s="17"/>
      <c r="H419" s="18"/>
      <c r="I419" t="s">
        <v>424</v>
      </c>
      <c r="J419" s="38">
        <v>3</v>
      </c>
      <c r="K419" s="21">
        <v>1</v>
      </c>
      <c r="L419" s="14"/>
      <c r="M419" s="22"/>
      <c r="N419" s="30"/>
      <c r="O419" s="23"/>
      <c r="P419" s="24"/>
      <c r="Q419" s="25"/>
      <c r="R419" s="25"/>
    </row>
    <row r="420" spans="1:18">
      <c r="A420" s="46">
        <f t="shared" si="11"/>
        <v>10</v>
      </c>
      <c r="B420" s="47">
        <v>32</v>
      </c>
      <c r="C420" s="14">
        <v>17.99</v>
      </c>
      <c r="D420" s="14">
        <f t="shared" si="12"/>
        <v>158</v>
      </c>
      <c r="E420" s="36">
        <f>(C420+0.01)*D420*$X$2/100</f>
        <v>28440000</v>
      </c>
      <c r="F420" s="37">
        <f>SUM(E390:E420)</f>
        <v>102270000</v>
      </c>
      <c r="G420" s="17">
        <f>SUM(C390:C420)</f>
        <v>69.94</v>
      </c>
      <c r="H420" s="18"/>
      <c r="I420" s="14" t="s">
        <v>2</v>
      </c>
      <c r="J420" s="29">
        <v>9</v>
      </c>
      <c r="K420" s="21">
        <f>E420</f>
        <v>28440000</v>
      </c>
      <c r="L420" s="36">
        <f>SUMIF(I420:I425,"="&amp;"金币",K420:K425)</f>
        <v>32054490</v>
      </c>
      <c r="M420" s="22">
        <f>L420/$X$2</f>
        <v>32.05449</v>
      </c>
      <c r="N420" s="37">
        <f>SUM(L390:L420)</f>
        <v>117932790</v>
      </c>
      <c r="O420" s="23">
        <f>SUM(M390:M420)</f>
        <v>117.93279</v>
      </c>
      <c r="P420" s="24">
        <f>N420/F420</f>
        <v>1.15315136403637</v>
      </c>
      <c r="Q420" s="25"/>
      <c r="R420" s="25"/>
    </row>
    <row r="421" spans="1:18">
      <c r="A421" s="46">
        <f t="shared" si="11"/>
        <v>10</v>
      </c>
      <c r="B421" s="47">
        <v>33</v>
      </c>
      <c r="C421" s="14"/>
      <c r="D421" s="14" t="str">
        <f t="shared" si="12"/>
        <v/>
      </c>
      <c r="E421" s="14"/>
      <c r="F421" s="30"/>
      <c r="G421" s="17"/>
      <c r="H421" s="18"/>
      <c r="I421" s="19" t="s">
        <v>408</v>
      </c>
      <c r="J421" s="38">
        <v>3</v>
      </c>
      <c r="K421" s="21">
        <v>6</v>
      </c>
      <c r="L421" s="14"/>
      <c r="M421" s="22"/>
      <c r="N421" s="30"/>
      <c r="O421" s="23"/>
      <c r="P421" s="24"/>
      <c r="Q421" s="25"/>
      <c r="R421" s="25"/>
    </row>
    <row r="422" spans="1:18">
      <c r="A422" s="46">
        <f t="shared" si="11"/>
        <v>10</v>
      </c>
      <c r="B422" s="47">
        <v>34</v>
      </c>
      <c r="C422" s="14"/>
      <c r="D422" s="14" t="str">
        <f t="shared" si="12"/>
        <v/>
      </c>
      <c r="E422" s="14"/>
      <c r="F422" s="30"/>
      <c r="G422" s="17"/>
      <c r="H422" s="18">
        <v>0.18</v>
      </c>
      <c r="I422" s="19" t="s">
        <v>2</v>
      </c>
      <c r="J422" s="38">
        <v>17</v>
      </c>
      <c r="K422" s="21">
        <f>H422*$R$393</f>
        <v>3614490</v>
      </c>
      <c r="L422" s="14"/>
      <c r="M422" s="22"/>
      <c r="N422" s="30"/>
      <c r="O422" s="23"/>
      <c r="P422" s="24"/>
      <c r="Q422" s="25"/>
      <c r="R422" s="25"/>
    </row>
    <row r="423" spans="1:18">
      <c r="A423" s="46">
        <f t="shared" si="11"/>
        <v>10</v>
      </c>
      <c r="B423" s="47">
        <v>35</v>
      </c>
      <c r="C423" s="14"/>
      <c r="D423" s="14" t="str">
        <f t="shared" si="12"/>
        <v/>
      </c>
      <c r="E423" s="14"/>
      <c r="F423" s="30"/>
      <c r="G423" s="17"/>
      <c r="H423" s="18"/>
      <c r="I423" s="19" t="s">
        <v>463</v>
      </c>
      <c r="J423" s="38">
        <v>4</v>
      </c>
      <c r="K423" s="21">
        <v>1</v>
      </c>
      <c r="L423" s="14"/>
      <c r="M423" s="22"/>
      <c r="N423" s="30"/>
      <c r="O423" s="23"/>
      <c r="P423" s="24"/>
      <c r="Q423" s="25"/>
      <c r="R423" s="25"/>
    </row>
    <row r="424" spans="1:18">
      <c r="A424" s="46">
        <f t="shared" si="11"/>
        <v>10</v>
      </c>
      <c r="B424" s="47">
        <v>36</v>
      </c>
      <c r="C424" s="14"/>
      <c r="D424" s="14" t="str">
        <f t="shared" si="12"/>
        <v/>
      </c>
      <c r="E424" s="14"/>
      <c r="F424" s="30"/>
      <c r="G424" s="17"/>
      <c r="H424" s="18"/>
      <c r="I424" s="19" t="s">
        <v>453</v>
      </c>
      <c r="J424" s="38">
        <v>3</v>
      </c>
      <c r="K424" s="21">
        <v>30</v>
      </c>
      <c r="L424" s="14"/>
      <c r="M424" s="22"/>
      <c r="N424" s="30"/>
      <c r="O424" s="23"/>
      <c r="P424" s="24"/>
      <c r="Q424" s="25"/>
      <c r="R424" s="25"/>
    </row>
    <row r="425" spans="1:18">
      <c r="A425" s="46">
        <f t="shared" si="11"/>
        <v>10</v>
      </c>
      <c r="B425" s="47">
        <v>37</v>
      </c>
      <c r="C425" s="14"/>
      <c r="D425" s="14" t="str">
        <f t="shared" si="12"/>
        <v/>
      </c>
      <c r="E425" s="14"/>
      <c r="F425" s="30"/>
      <c r="G425" s="17"/>
      <c r="H425" s="18"/>
      <c r="I425" t="s">
        <v>426</v>
      </c>
      <c r="J425" s="38">
        <v>3</v>
      </c>
      <c r="K425" s="21">
        <v>1</v>
      </c>
      <c r="L425" s="14"/>
      <c r="M425" s="22"/>
      <c r="N425" s="30"/>
      <c r="O425" s="23"/>
      <c r="P425" s="24"/>
      <c r="Q425" s="25"/>
      <c r="R425" s="25"/>
    </row>
    <row r="426" spans="1:18">
      <c r="A426" s="46">
        <f t="shared" si="11"/>
        <v>10</v>
      </c>
      <c r="B426" s="47">
        <v>38</v>
      </c>
      <c r="C426" s="14">
        <v>19.99</v>
      </c>
      <c r="D426" s="14">
        <f t="shared" si="12"/>
        <v>158</v>
      </c>
      <c r="E426" s="36">
        <f>(C426+0.01)*D426*$X$2/100</f>
        <v>31600000</v>
      </c>
      <c r="F426" s="37">
        <f>SUM(E390:E426)</f>
        <v>133870000</v>
      </c>
      <c r="G426" s="17">
        <f>SUM(C390:C426)</f>
        <v>89.93</v>
      </c>
      <c r="H426" s="18"/>
      <c r="I426" s="14" t="s">
        <v>2</v>
      </c>
      <c r="J426" s="29">
        <v>9</v>
      </c>
      <c r="K426" s="21">
        <f>E426</f>
        <v>31600000</v>
      </c>
      <c r="L426" s="36">
        <f>SUMIF(I426:I431,"="&amp;"金币",K426:K431)</f>
        <v>36017710</v>
      </c>
      <c r="M426" s="22">
        <f>L426/$X$2</f>
        <v>36.01771</v>
      </c>
      <c r="N426" s="37">
        <f>SUM(L390:L426)</f>
        <v>153950500</v>
      </c>
      <c r="O426" s="23">
        <f>SUM(M390:M426)</f>
        <v>153.9505</v>
      </c>
      <c r="P426" s="24">
        <f>N426/F426</f>
        <v>1.15</v>
      </c>
      <c r="Q426" s="25"/>
      <c r="R426" s="25"/>
    </row>
    <row r="427" spans="1:18">
      <c r="A427" s="46">
        <f t="shared" si="11"/>
        <v>10</v>
      </c>
      <c r="B427" s="47">
        <v>39</v>
      </c>
      <c r="C427" s="14"/>
      <c r="D427" s="14" t="str">
        <f t="shared" si="12"/>
        <v/>
      </c>
      <c r="E427" s="14"/>
      <c r="F427" s="30"/>
      <c r="G427" s="17"/>
      <c r="H427" s="18"/>
      <c r="I427" s="19" t="s">
        <v>408</v>
      </c>
      <c r="J427" s="38">
        <v>3</v>
      </c>
      <c r="K427" s="21">
        <v>7</v>
      </c>
      <c r="L427" s="14"/>
      <c r="M427" s="22"/>
      <c r="N427" s="30"/>
      <c r="O427" s="23"/>
      <c r="P427" s="24"/>
      <c r="Q427" s="25"/>
      <c r="R427" s="25"/>
    </row>
    <row r="428" spans="1:18">
      <c r="A428" s="46">
        <f t="shared" si="11"/>
        <v>10</v>
      </c>
      <c r="B428" s="47">
        <v>40</v>
      </c>
      <c r="C428" s="14"/>
      <c r="D428" s="14" t="str">
        <f t="shared" si="12"/>
        <v/>
      </c>
      <c r="E428" s="14"/>
      <c r="F428" s="30"/>
      <c r="G428" s="17"/>
      <c r="H428" s="18">
        <v>0.22</v>
      </c>
      <c r="I428" s="19" t="s">
        <v>2</v>
      </c>
      <c r="J428" s="38">
        <v>17</v>
      </c>
      <c r="K428" s="21">
        <f>H428*$R$393</f>
        <v>4417710</v>
      </c>
      <c r="L428" s="14"/>
      <c r="M428" s="22"/>
      <c r="N428" s="30"/>
      <c r="O428" s="23"/>
      <c r="P428" s="24"/>
      <c r="Q428" s="25"/>
      <c r="R428" s="25"/>
    </row>
    <row r="429" spans="1:18">
      <c r="A429" s="46">
        <f t="shared" ref="A429:A474" si="13">A386+1</f>
        <v>10</v>
      </c>
      <c r="B429" s="47">
        <v>41</v>
      </c>
      <c r="C429" s="14"/>
      <c r="D429" s="14" t="str">
        <f t="shared" si="12"/>
        <v/>
      </c>
      <c r="E429" s="14"/>
      <c r="F429" s="30"/>
      <c r="G429" s="17"/>
      <c r="H429" s="18"/>
      <c r="I429" s="19" t="s">
        <v>473</v>
      </c>
      <c r="J429" s="38">
        <v>4</v>
      </c>
      <c r="K429" s="21">
        <v>1</v>
      </c>
      <c r="L429" s="14"/>
      <c r="M429" s="22"/>
      <c r="N429" s="30"/>
      <c r="O429" s="23"/>
      <c r="P429" s="24"/>
      <c r="Q429" s="25"/>
      <c r="R429" s="25"/>
    </row>
    <row r="430" spans="1:18">
      <c r="A430" s="46">
        <f t="shared" si="13"/>
        <v>10</v>
      </c>
      <c r="B430" s="47">
        <v>42</v>
      </c>
      <c r="C430" s="14"/>
      <c r="D430" s="14" t="str">
        <f t="shared" si="12"/>
        <v/>
      </c>
      <c r="E430" s="14"/>
      <c r="F430" s="30"/>
      <c r="G430" s="17"/>
      <c r="H430" s="18"/>
      <c r="I430" s="19" t="s">
        <v>453</v>
      </c>
      <c r="J430" s="38">
        <v>3</v>
      </c>
      <c r="K430" s="21">
        <v>35</v>
      </c>
      <c r="L430" s="14"/>
      <c r="M430" s="22"/>
      <c r="N430" s="30"/>
      <c r="O430" s="23"/>
      <c r="P430" s="24"/>
      <c r="Q430" s="25"/>
      <c r="R430" s="25"/>
    </row>
    <row r="431" spans="1:18">
      <c r="A431" s="46">
        <f t="shared" si="13"/>
        <v>10</v>
      </c>
      <c r="B431" s="47">
        <v>43</v>
      </c>
      <c r="C431" s="14"/>
      <c r="D431" s="14" t="str">
        <f t="shared" si="12"/>
        <v/>
      </c>
      <c r="E431" s="14"/>
      <c r="F431" s="30"/>
      <c r="G431" s="17"/>
      <c r="H431" s="18"/>
      <c r="I431" t="s">
        <v>424</v>
      </c>
      <c r="J431" s="38">
        <v>3</v>
      </c>
      <c r="K431" s="21">
        <v>1</v>
      </c>
      <c r="L431" s="14"/>
      <c r="M431" s="22"/>
      <c r="N431" s="30"/>
      <c r="O431" s="23"/>
      <c r="P431" s="24"/>
      <c r="Q431" s="25"/>
      <c r="R431" s="25"/>
    </row>
    <row r="432" spans="1:18">
      <c r="A432" s="46">
        <f t="shared" si="13"/>
        <v>11</v>
      </c>
      <c r="B432" s="47">
        <v>1</v>
      </c>
      <c r="C432" s="14"/>
      <c r="D432" s="14" t="str">
        <f t="shared" si="12"/>
        <v/>
      </c>
      <c r="E432" s="14"/>
      <c r="F432" s="30"/>
      <c r="G432" s="17"/>
      <c r="H432" s="18"/>
      <c r="I432" s="14" t="s">
        <v>2</v>
      </c>
      <c r="J432" s="29">
        <v>1</v>
      </c>
      <c r="K432" s="21">
        <v>5000</v>
      </c>
      <c r="L432" s="14"/>
      <c r="M432" s="22"/>
      <c r="N432" s="30"/>
      <c r="O432" s="23"/>
      <c r="P432" s="24"/>
      <c r="Q432" s="25"/>
      <c r="R432" s="31">
        <f>SUM(C432:C474)</f>
        <v>89.93</v>
      </c>
    </row>
    <row r="433" spans="1:18">
      <c r="A433" s="46">
        <f t="shared" si="13"/>
        <v>11</v>
      </c>
      <c r="B433" s="47">
        <v>2</v>
      </c>
      <c r="C433" s="35">
        <v>5.99</v>
      </c>
      <c r="D433" s="14">
        <f t="shared" si="12"/>
        <v>119</v>
      </c>
      <c r="E433" s="36">
        <f>(C433+0.01)*D433*$X$2/100</f>
        <v>7140000</v>
      </c>
      <c r="F433" s="37">
        <f>SUM(E433)</f>
        <v>7140000</v>
      </c>
      <c r="G433" s="17">
        <f>SUM(C433)</f>
        <v>5.99</v>
      </c>
      <c r="H433" s="18"/>
      <c r="I433" s="14" t="s">
        <v>2</v>
      </c>
      <c r="J433" s="29">
        <v>9</v>
      </c>
      <c r="K433" s="21">
        <f>E433</f>
        <v>7140000</v>
      </c>
      <c r="L433" s="36">
        <f>SUMIF(I433:I438,"="&amp;"金币",K433:K438)</f>
        <v>8746440</v>
      </c>
      <c r="M433" s="22">
        <f>L433/$X$2</f>
        <v>8.74644</v>
      </c>
      <c r="N433" s="37">
        <f>SUM(L433)</f>
        <v>8746440</v>
      </c>
      <c r="O433" s="23">
        <f>SUM(M433)</f>
        <v>8.74644</v>
      </c>
      <c r="P433" s="24">
        <f>N433/F433</f>
        <v>1.22499159663866</v>
      </c>
      <c r="Q433" s="25"/>
      <c r="R433" s="26" t="s">
        <v>556</v>
      </c>
    </row>
    <row r="434" spans="1:18">
      <c r="A434" s="46">
        <f t="shared" si="13"/>
        <v>11</v>
      </c>
      <c r="B434" s="47">
        <v>3</v>
      </c>
      <c r="C434" s="14"/>
      <c r="D434" s="14" t="str">
        <f t="shared" si="12"/>
        <v/>
      </c>
      <c r="E434" s="14"/>
      <c r="F434" s="30"/>
      <c r="G434" s="17"/>
      <c r="H434" s="18"/>
      <c r="I434" s="19" t="s">
        <v>408</v>
      </c>
      <c r="J434" s="38">
        <v>3</v>
      </c>
      <c r="K434" s="21">
        <v>1</v>
      </c>
      <c r="L434" s="14"/>
      <c r="M434" s="22"/>
      <c r="N434" s="30"/>
      <c r="O434" s="23"/>
      <c r="P434" s="24"/>
      <c r="Q434" s="25"/>
      <c r="R434" s="39">
        <v>1.15</v>
      </c>
    </row>
    <row r="435" spans="1:18">
      <c r="A435" s="46">
        <f t="shared" si="13"/>
        <v>11</v>
      </c>
      <c r="B435" s="47">
        <v>4</v>
      </c>
      <c r="C435" s="14"/>
      <c r="D435" s="14" t="str">
        <f t="shared" si="12"/>
        <v/>
      </c>
      <c r="E435" s="14"/>
      <c r="F435" s="30"/>
      <c r="G435" s="17"/>
      <c r="H435" s="18">
        <v>0.08</v>
      </c>
      <c r="I435" s="19" t="s">
        <v>2</v>
      </c>
      <c r="J435" s="38">
        <v>17</v>
      </c>
      <c r="K435" s="21">
        <f>H435*$R$436</f>
        <v>1606440</v>
      </c>
      <c r="L435" s="14"/>
      <c r="M435" s="22"/>
      <c r="N435" s="30"/>
      <c r="O435" s="23"/>
      <c r="P435" s="24"/>
      <c r="Q435" s="25"/>
      <c r="R435" s="26" t="s">
        <v>557</v>
      </c>
    </row>
    <row r="436" spans="1:18">
      <c r="A436" s="46">
        <f t="shared" si="13"/>
        <v>11</v>
      </c>
      <c r="B436" s="47">
        <v>5</v>
      </c>
      <c r="C436" s="14"/>
      <c r="D436" s="14" t="str">
        <f t="shared" si="12"/>
        <v/>
      </c>
      <c r="E436" s="14"/>
      <c r="F436" s="30"/>
      <c r="G436" s="17"/>
      <c r="H436" s="18"/>
      <c r="I436" s="19" t="s">
        <v>457</v>
      </c>
      <c r="J436" s="38">
        <v>4</v>
      </c>
      <c r="K436" s="21">
        <v>1</v>
      </c>
      <c r="L436" s="14"/>
      <c r="M436" s="22"/>
      <c r="N436" s="30"/>
      <c r="O436" s="23"/>
      <c r="P436" s="24"/>
      <c r="Q436" s="25"/>
      <c r="R436" s="40">
        <f>SUM(E432:E474)*(R434-1)</f>
        <v>20080500</v>
      </c>
    </row>
    <row r="437" spans="1:18">
      <c r="A437" s="46">
        <f t="shared" si="13"/>
        <v>11</v>
      </c>
      <c r="B437" s="47">
        <v>6</v>
      </c>
      <c r="C437" s="14"/>
      <c r="D437" s="14" t="str">
        <f t="shared" si="12"/>
        <v/>
      </c>
      <c r="E437" s="14"/>
      <c r="F437" s="30"/>
      <c r="G437" s="17"/>
      <c r="H437" s="18"/>
      <c r="I437" s="19" t="s">
        <v>453</v>
      </c>
      <c r="J437" s="38">
        <v>3</v>
      </c>
      <c r="K437" s="21">
        <v>5</v>
      </c>
      <c r="L437" s="14"/>
      <c r="M437" s="22"/>
      <c r="N437" s="30"/>
      <c r="O437" s="23"/>
      <c r="P437" s="24"/>
      <c r="Q437" s="25"/>
      <c r="R437" s="26" t="s">
        <v>558</v>
      </c>
    </row>
    <row r="438" spans="1:18">
      <c r="A438" s="46">
        <f t="shared" si="13"/>
        <v>11</v>
      </c>
      <c r="B438" s="47">
        <v>7</v>
      </c>
      <c r="C438" s="14"/>
      <c r="D438" s="14" t="str">
        <f t="shared" si="12"/>
        <v/>
      </c>
      <c r="E438" s="14"/>
      <c r="F438" s="30"/>
      <c r="G438" s="17"/>
      <c r="H438" s="18"/>
      <c r="I438" t="s">
        <v>424</v>
      </c>
      <c r="J438" s="38">
        <v>3</v>
      </c>
      <c r="K438" s="21">
        <v>1</v>
      </c>
      <c r="L438" s="14"/>
      <c r="M438" s="22"/>
      <c r="N438" s="30"/>
      <c r="O438" s="23"/>
      <c r="P438" s="24"/>
      <c r="Q438" s="25"/>
      <c r="R438" s="26">
        <f>SUM(H432:H474)</f>
        <v>1</v>
      </c>
    </row>
    <row r="439" spans="1:18">
      <c r="A439" s="46">
        <f t="shared" si="13"/>
        <v>11</v>
      </c>
      <c r="B439" s="47">
        <v>8</v>
      </c>
      <c r="C439" s="14">
        <v>7.99</v>
      </c>
      <c r="D439" s="14">
        <f t="shared" si="12"/>
        <v>129</v>
      </c>
      <c r="E439" s="36">
        <f>(C439+0.01)*D439*$X$2/100</f>
        <v>10320000</v>
      </c>
      <c r="F439" s="37">
        <f>SUM(E433:E439)</f>
        <v>17460000</v>
      </c>
      <c r="G439" s="17">
        <f>SUM(C433:C439)</f>
        <v>13.98</v>
      </c>
      <c r="H439" s="18"/>
      <c r="I439" s="14" t="s">
        <v>2</v>
      </c>
      <c r="J439" s="29">
        <v>9</v>
      </c>
      <c r="K439" s="21">
        <f>E439</f>
        <v>10320000</v>
      </c>
      <c r="L439" s="36">
        <f>SUMIF(I439:I444,"="&amp;"金币",K439:K444)</f>
        <v>12328050</v>
      </c>
      <c r="M439" s="22">
        <f>L439/$X$2</f>
        <v>12.32805</v>
      </c>
      <c r="N439" s="37">
        <f>SUM(L433:L439)</f>
        <v>21074490</v>
      </c>
      <c r="O439" s="23">
        <f>SUM(M433:M439)</f>
        <v>21.07449</v>
      </c>
      <c r="P439" s="24">
        <f>N439/F439</f>
        <v>1.20701546391753</v>
      </c>
      <c r="Q439" s="25"/>
      <c r="R439" s="25"/>
    </row>
    <row r="440" spans="1:18">
      <c r="A440" s="46">
        <f t="shared" si="13"/>
        <v>11</v>
      </c>
      <c r="B440" s="47">
        <v>9</v>
      </c>
      <c r="C440" s="14"/>
      <c r="D440" s="14" t="str">
        <f t="shared" si="12"/>
        <v/>
      </c>
      <c r="E440" s="14"/>
      <c r="F440" s="30"/>
      <c r="G440" s="17"/>
      <c r="H440" s="18"/>
      <c r="I440" s="19" t="s">
        <v>408</v>
      </c>
      <c r="J440" s="38">
        <v>3</v>
      </c>
      <c r="K440" s="21">
        <v>2</v>
      </c>
      <c r="L440" s="14"/>
      <c r="M440" s="22"/>
      <c r="N440" s="30"/>
      <c r="O440" s="23"/>
      <c r="P440" s="24"/>
      <c r="Q440" s="25"/>
      <c r="R440" s="25"/>
    </row>
    <row r="441" spans="1:18">
      <c r="A441" s="46">
        <f t="shared" si="13"/>
        <v>11</v>
      </c>
      <c r="B441" s="47">
        <v>10</v>
      </c>
      <c r="C441" s="14"/>
      <c r="D441" s="14" t="str">
        <f t="shared" si="12"/>
        <v/>
      </c>
      <c r="E441" s="14"/>
      <c r="F441" s="30"/>
      <c r="G441" s="17"/>
      <c r="H441" s="18">
        <v>0.1</v>
      </c>
      <c r="I441" s="19" t="s">
        <v>2</v>
      </c>
      <c r="J441" s="38">
        <v>17</v>
      </c>
      <c r="K441" s="21">
        <f>H441*$R$436</f>
        <v>2008050</v>
      </c>
      <c r="L441" s="14"/>
      <c r="M441" s="22"/>
      <c r="N441" s="30"/>
      <c r="O441" s="23"/>
      <c r="P441" s="24"/>
      <c r="Q441" s="25"/>
      <c r="R441" s="25"/>
    </row>
    <row r="442" spans="1:18">
      <c r="A442" s="46">
        <f t="shared" si="13"/>
        <v>11</v>
      </c>
      <c r="B442" s="47">
        <v>11</v>
      </c>
      <c r="C442" s="14"/>
      <c r="D442" s="14" t="str">
        <f t="shared" si="12"/>
        <v/>
      </c>
      <c r="E442" s="14"/>
      <c r="F442" s="30"/>
      <c r="G442" s="17"/>
      <c r="H442" s="18"/>
      <c r="I442" s="19" t="s">
        <v>459</v>
      </c>
      <c r="J442" s="38">
        <v>4</v>
      </c>
      <c r="K442" s="21">
        <v>1</v>
      </c>
      <c r="L442" s="14"/>
      <c r="M442" s="22"/>
      <c r="N442" s="30"/>
      <c r="O442" s="23"/>
      <c r="P442" s="24"/>
      <c r="Q442" s="25"/>
      <c r="R442" s="25"/>
    </row>
    <row r="443" spans="1:18">
      <c r="A443" s="46">
        <f t="shared" si="13"/>
        <v>11</v>
      </c>
      <c r="B443" s="47">
        <v>12</v>
      </c>
      <c r="C443" s="14"/>
      <c r="D443" s="14" t="str">
        <f t="shared" si="12"/>
        <v/>
      </c>
      <c r="E443" s="14"/>
      <c r="F443" s="30"/>
      <c r="G443" s="17"/>
      <c r="H443" s="18"/>
      <c r="I443" s="19" t="s">
        <v>453</v>
      </c>
      <c r="J443" s="38">
        <v>3</v>
      </c>
      <c r="K443" s="21">
        <v>10</v>
      </c>
      <c r="L443" s="14"/>
      <c r="M443" s="22"/>
      <c r="N443" s="30"/>
      <c r="O443" s="23"/>
      <c r="P443" s="24"/>
      <c r="Q443" s="25"/>
      <c r="R443" s="25"/>
    </row>
    <row r="444" spans="1:18">
      <c r="A444" s="46">
        <f t="shared" si="13"/>
        <v>11</v>
      </c>
      <c r="B444" s="47">
        <v>13</v>
      </c>
      <c r="C444" s="14"/>
      <c r="D444" s="14" t="str">
        <f t="shared" si="12"/>
        <v/>
      </c>
      <c r="E444" s="14"/>
      <c r="F444" s="30"/>
      <c r="G444" s="17"/>
      <c r="H444" s="18"/>
      <c r="I444" t="s">
        <v>426</v>
      </c>
      <c r="J444" s="38">
        <v>3</v>
      </c>
      <c r="K444" s="21">
        <v>1</v>
      </c>
      <c r="L444" s="14"/>
      <c r="M444" s="22"/>
      <c r="N444" s="30"/>
      <c r="O444" s="23"/>
      <c r="P444" s="24"/>
      <c r="Q444" s="25"/>
      <c r="R444" s="25"/>
    </row>
    <row r="445" spans="1:18">
      <c r="A445" s="46">
        <f t="shared" si="13"/>
        <v>11</v>
      </c>
      <c r="B445" s="47">
        <v>14</v>
      </c>
      <c r="C445" s="14">
        <v>9.99</v>
      </c>
      <c r="D445" s="14">
        <f t="shared" si="12"/>
        <v>139</v>
      </c>
      <c r="E445" s="36">
        <f>(C445+0.01)*D445*$X$2/100</f>
        <v>13900000</v>
      </c>
      <c r="F445" s="37">
        <f>SUM(E433:E445)</f>
        <v>31360000</v>
      </c>
      <c r="G445" s="17">
        <f>SUM(C433:C445)</f>
        <v>23.97</v>
      </c>
      <c r="H445" s="18"/>
      <c r="I445" s="14" t="s">
        <v>2</v>
      </c>
      <c r="J445" s="29">
        <v>9</v>
      </c>
      <c r="K445" s="21">
        <f>E445</f>
        <v>13900000</v>
      </c>
      <c r="L445" s="36">
        <f>SUMIF(I445:I450,"="&amp;"金币",K445:K450)</f>
        <v>16309660</v>
      </c>
      <c r="M445" s="22">
        <f>L445/$X$2</f>
        <v>16.30966</v>
      </c>
      <c r="N445" s="37">
        <f>SUM(L433:L445)</f>
        <v>37384150</v>
      </c>
      <c r="O445" s="23">
        <f>SUM(M433:M445)</f>
        <v>37.38415</v>
      </c>
      <c r="P445" s="24">
        <f>N445/F445</f>
        <v>1.19209661989796</v>
      </c>
      <c r="Q445" s="25"/>
      <c r="R445" s="25"/>
    </row>
    <row r="446" spans="1:18">
      <c r="A446" s="46">
        <f t="shared" si="13"/>
        <v>11</v>
      </c>
      <c r="B446" s="47">
        <v>15</v>
      </c>
      <c r="C446" s="14"/>
      <c r="D446" s="14" t="str">
        <f t="shared" si="12"/>
        <v/>
      </c>
      <c r="E446" s="14"/>
      <c r="F446" s="30"/>
      <c r="G446" s="17"/>
      <c r="H446" s="18"/>
      <c r="I446" s="19" t="s">
        <v>408</v>
      </c>
      <c r="J446" s="38">
        <v>3</v>
      </c>
      <c r="K446" s="21">
        <v>3</v>
      </c>
      <c r="L446" s="14"/>
      <c r="M446" s="22"/>
      <c r="N446" s="30"/>
      <c r="O446" s="23"/>
      <c r="P446" s="24"/>
      <c r="Q446" s="25"/>
      <c r="R446" s="25"/>
    </row>
    <row r="447" spans="1:18">
      <c r="A447" s="46">
        <f t="shared" si="13"/>
        <v>11</v>
      </c>
      <c r="B447" s="47">
        <v>16</v>
      </c>
      <c r="C447" s="14"/>
      <c r="D447" s="14" t="str">
        <f t="shared" si="12"/>
        <v/>
      </c>
      <c r="E447" s="14"/>
      <c r="F447" s="30"/>
      <c r="G447" s="17"/>
      <c r="H447" s="18">
        <v>0.12</v>
      </c>
      <c r="I447" s="19" t="s">
        <v>2</v>
      </c>
      <c r="J447" s="38">
        <v>17</v>
      </c>
      <c r="K447" s="21">
        <f>H447*$R$436</f>
        <v>2409660</v>
      </c>
      <c r="L447" s="14"/>
      <c r="M447" s="22"/>
      <c r="N447" s="30"/>
      <c r="O447" s="23"/>
      <c r="P447" s="24"/>
      <c r="Q447" s="25"/>
      <c r="R447" s="25"/>
    </row>
    <row r="448" spans="1:18">
      <c r="A448" s="46">
        <f t="shared" si="13"/>
        <v>11</v>
      </c>
      <c r="B448" s="47">
        <v>17</v>
      </c>
      <c r="C448" s="14"/>
      <c r="D448" s="14" t="str">
        <f t="shared" si="12"/>
        <v/>
      </c>
      <c r="E448" s="14"/>
      <c r="F448" s="30"/>
      <c r="G448" s="17"/>
      <c r="H448" s="18"/>
      <c r="I448" s="19" t="s">
        <v>461</v>
      </c>
      <c r="J448" s="38">
        <v>4</v>
      </c>
      <c r="K448" s="21">
        <v>1</v>
      </c>
      <c r="L448" s="14"/>
      <c r="M448" s="22"/>
      <c r="N448" s="30"/>
      <c r="O448" s="23"/>
      <c r="P448" s="24"/>
      <c r="Q448" s="25"/>
      <c r="R448" s="25"/>
    </row>
    <row r="449" spans="1:18">
      <c r="A449" s="46">
        <f t="shared" si="13"/>
        <v>11</v>
      </c>
      <c r="B449" s="47">
        <v>18</v>
      </c>
      <c r="C449" s="14"/>
      <c r="D449" s="14" t="str">
        <f t="shared" si="12"/>
        <v/>
      </c>
      <c r="E449" s="14"/>
      <c r="F449" s="30"/>
      <c r="G449" s="17"/>
      <c r="H449" s="18"/>
      <c r="I449" s="19" t="s">
        <v>453</v>
      </c>
      <c r="J449" s="38">
        <v>3</v>
      </c>
      <c r="K449" s="21">
        <v>15</v>
      </c>
      <c r="L449" s="14"/>
      <c r="M449" s="22"/>
      <c r="N449" s="30"/>
      <c r="O449" s="23"/>
      <c r="P449" s="24"/>
      <c r="Q449" s="25"/>
      <c r="R449" s="25"/>
    </row>
    <row r="450" spans="1:18">
      <c r="A450" s="46">
        <f t="shared" si="13"/>
        <v>11</v>
      </c>
      <c r="B450" s="47">
        <v>19</v>
      </c>
      <c r="C450" s="14"/>
      <c r="D450" s="14" t="str">
        <f t="shared" si="12"/>
        <v/>
      </c>
      <c r="E450" s="14"/>
      <c r="F450" s="30"/>
      <c r="G450" s="17"/>
      <c r="H450" s="18"/>
      <c r="I450" t="s">
        <v>424</v>
      </c>
      <c r="J450" s="38">
        <v>3</v>
      </c>
      <c r="K450" s="21">
        <v>1</v>
      </c>
      <c r="L450" s="14"/>
      <c r="M450" s="22"/>
      <c r="N450" s="30"/>
      <c r="O450" s="23"/>
      <c r="P450" s="24"/>
      <c r="Q450" s="25"/>
      <c r="R450" s="25"/>
    </row>
    <row r="451" spans="1:18">
      <c r="A451" s="46">
        <f t="shared" si="13"/>
        <v>11</v>
      </c>
      <c r="B451" s="47">
        <v>20</v>
      </c>
      <c r="C451" s="14">
        <v>12.99</v>
      </c>
      <c r="D451" s="14">
        <f t="shared" ref="D451:D474" si="14">IFERROR(VLOOKUP(ROUND(C451*100,0),T:U,2,FALSE),"")</f>
        <v>149</v>
      </c>
      <c r="E451" s="36">
        <f>(C451+0.01)*D451*$X$2/100</f>
        <v>19370000</v>
      </c>
      <c r="F451" s="37">
        <f>SUM(E433:E451)</f>
        <v>50730000</v>
      </c>
      <c r="G451" s="17">
        <f>SUM(C433:C451)</f>
        <v>36.96</v>
      </c>
      <c r="H451" s="18"/>
      <c r="I451" s="14" t="s">
        <v>2</v>
      </c>
      <c r="J451" s="29">
        <v>9</v>
      </c>
      <c r="K451" s="21">
        <f>E451</f>
        <v>19370000</v>
      </c>
      <c r="L451" s="36">
        <f>SUMIF(I451:I456,"="&amp;"金币",K451:K456)</f>
        <v>22181270</v>
      </c>
      <c r="M451" s="22">
        <f>L451/$X$2</f>
        <v>22.18127</v>
      </c>
      <c r="N451" s="37">
        <f>SUM(L433:L451)</f>
        <v>59565420</v>
      </c>
      <c r="O451" s="23">
        <f>SUM(M433:M451)</f>
        <v>59.56542</v>
      </c>
      <c r="P451" s="24">
        <f>N451/F451</f>
        <v>1.17416558249556</v>
      </c>
      <c r="Q451" s="25"/>
      <c r="R451" s="25"/>
    </row>
    <row r="452" spans="1:18">
      <c r="A452" s="46">
        <f t="shared" si="13"/>
        <v>11</v>
      </c>
      <c r="B452" s="47">
        <v>21</v>
      </c>
      <c r="C452" s="14"/>
      <c r="D452" s="14" t="str">
        <f t="shared" si="14"/>
        <v/>
      </c>
      <c r="E452" s="14"/>
      <c r="F452" s="30"/>
      <c r="G452" s="17"/>
      <c r="H452" s="18"/>
      <c r="I452" s="19" t="s">
        <v>408</v>
      </c>
      <c r="J452" s="38">
        <v>3</v>
      </c>
      <c r="K452" s="21">
        <v>4</v>
      </c>
      <c r="L452" s="14"/>
      <c r="M452" s="22"/>
      <c r="N452" s="30"/>
      <c r="O452" s="23"/>
      <c r="P452" s="24"/>
      <c r="Q452" s="25"/>
      <c r="R452" s="25"/>
    </row>
    <row r="453" spans="1:18">
      <c r="A453" s="46">
        <f t="shared" si="13"/>
        <v>11</v>
      </c>
      <c r="B453" s="47">
        <v>22</v>
      </c>
      <c r="C453" s="14"/>
      <c r="D453" s="14" t="str">
        <f t="shared" si="14"/>
        <v/>
      </c>
      <c r="E453" s="14"/>
      <c r="F453" s="30"/>
      <c r="G453" s="17"/>
      <c r="H453" s="18">
        <v>0.14</v>
      </c>
      <c r="I453" s="19" t="s">
        <v>2</v>
      </c>
      <c r="J453" s="38">
        <v>17</v>
      </c>
      <c r="K453" s="21">
        <f>H453*$R$436</f>
        <v>2811270</v>
      </c>
      <c r="L453" s="14"/>
      <c r="M453" s="22"/>
      <c r="N453" s="30"/>
      <c r="O453" s="23"/>
      <c r="P453" s="24"/>
      <c r="Q453" s="25"/>
      <c r="R453" s="25"/>
    </row>
    <row r="454" spans="1:18">
      <c r="A454" s="46">
        <f t="shared" si="13"/>
        <v>11</v>
      </c>
      <c r="B454" s="47">
        <v>23</v>
      </c>
      <c r="C454" s="14"/>
      <c r="D454" s="14" t="str">
        <f t="shared" si="14"/>
        <v/>
      </c>
      <c r="E454" s="14"/>
      <c r="F454" s="30"/>
      <c r="G454" s="17"/>
      <c r="H454" s="18"/>
      <c r="I454" s="19" t="s">
        <v>461</v>
      </c>
      <c r="J454" s="38">
        <v>4</v>
      </c>
      <c r="K454" s="21">
        <v>1</v>
      </c>
      <c r="L454" s="14"/>
      <c r="M454" s="22"/>
      <c r="N454" s="30"/>
      <c r="O454" s="23"/>
      <c r="P454" s="24"/>
      <c r="Q454" s="25"/>
      <c r="R454" s="25"/>
    </row>
    <row r="455" spans="1:18">
      <c r="A455" s="46">
        <f t="shared" si="13"/>
        <v>11</v>
      </c>
      <c r="B455" s="47">
        <v>24</v>
      </c>
      <c r="C455" s="14"/>
      <c r="D455" s="14" t="str">
        <f t="shared" si="14"/>
        <v/>
      </c>
      <c r="E455" s="14"/>
      <c r="F455" s="30"/>
      <c r="G455" s="17"/>
      <c r="H455" s="18"/>
      <c r="I455" s="19" t="s">
        <v>453</v>
      </c>
      <c r="J455" s="38">
        <v>3</v>
      </c>
      <c r="K455" s="21">
        <v>20</v>
      </c>
      <c r="L455" s="14"/>
      <c r="M455" s="22"/>
      <c r="N455" s="30"/>
      <c r="O455" s="23"/>
      <c r="P455" s="24"/>
      <c r="Q455" s="25"/>
      <c r="R455" s="25"/>
    </row>
    <row r="456" spans="1:18">
      <c r="A456" s="46">
        <f t="shared" si="13"/>
        <v>11</v>
      </c>
      <c r="B456" s="47">
        <v>25</v>
      </c>
      <c r="C456" s="14"/>
      <c r="D456" s="14" t="str">
        <f t="shared" si="14"/>
        <v/>
      </c>
      <c r="E456" s="14"/>
      <c r="F456" s="30"/>
      <c r="G456" s="17"/>
      <c r="H456" s="18"/>
      <c r="I456" t="s">
        <v>426</v>
      </c>
      <c r="J456" s="38">
        <v>3</v>
      </c>
      <c r="K456" s="21">
        <v>1</v>
      </c>
      <c r="L456" s="14"/>
      <c r="M456" s="22"/>
      <c r="N456" s="30"/>
      <c r="O456" s="23"/>
      <c r="P456" s="24"/>
      <c r="Q456" s="25"/>
      <c r="R456" s="25"/>
    </row>
    <row r="457" spans="1:18">
      <c r="A457" s="46">
        <f t="shared" si="13"/>
        <v>11</v>
      </c>
      <c r="B457" s="47">
        <v>26</v>
      </c>
      <c r="C457" s="14">
        <v>14.99</v>
      </c>
      <c r="D457" s="14">
        <f t="shared" si="14"/>
        <v>154</v>
      </c>
      <c r="E457" s="36">
        <f>(C457+0.01)*D457*$X$2/100</f>
        <v>23100000</v>
      </c>
      <c r="F457" s="37">
        <f>SUM(E433:E457)</f>
        <v>73830000</v>
      </c>
      <c r="G457" s="17">
        <f>SUM(C433:C457)</f>
        <v>51.95</v>
      </c>
      <c r="H457" s="18"/>
      <c r="I457" s="14" t="s">
        <v>2</v>
      </c>
      <c r="J457" s="29">
        <v>9</v>
      </c>
      <c r="K457" s="21">
        <f>E457</f>
        <v>23100000</v>
      </c>
      <c r="L457" s="36">
        <f>SUMIF(I457:I462,"="&amp;"金币",K457:K462)</f>
        <v>26312880</v>
      </c>
      <c r="M457" s="22">
        <f>L457/$X$2</f>
        <v>26.31288</v>
      </c>
      <c r="N457" s="37">
        <f>SUM(L433:L457)</f>
        <v>85878300</v>
      </c>
      <c r="O457" s="23">
        <f>SUM(M433:M457)</f>
        <v>85.8783</v>
      </c>
      <c r="P457" s="24">
        <f>N457/F457</f>
        <v>1.16318976026006</v>
      </c>
      <c r="Q457" s="25"/>
      <c r="R457" s="25"/>
    </row>
    <row r="458" spans="1:18">
      <c r="A458" s="46">
        <f t="shared" si="13"/>
        <v>11</v>
      </c>
      <c r="B458" s="47">
        <v>27</v>
      </c>
      <c r="C458" s="14"/>
      <c r="D458" s="14" t="str">
        <f t="shared" si="14"/>
        <v/>
      </c>
      <c r="E458" s="14"/>
      <c r="F458" s="30"/>
      <c r="G458" s="17"/>
      <c r="H458" s="18"/>
      <c r="I458" s="19" t="s">
        <v>408</v>
      </c>
      <c r="J458" s="38">
        <v>3</v>
      </c>
      <c r="K458" s="21">
        <v>5</v>
      </c>
      <c r="L458" s="14"/>
      <c r="M458" s="22"/>
      <c r="N458" s="30"/>
      <c r="O458" s="23"/>
      <c r="P458" s="24"/>
      <c r="Q458" s="25"/>
      <c r="R458" s="25"/>
    </row>
    <row r="459" spans="1:18">
      <c r="A459" s="46">
        <f t="shared" si="13"/>
        <v>11</v>
      </c>
      <c r="B459" s="47">
        <v>28</v>
      </c>
      <c r="C459" s="14"/>
      <c r="D459" s="14" t="str">
        <f t="shared" si="14"/>
        <v/>
      </c>
      <c r="E459" s="14"/>
      <c r="F459" s="30"/>
      <c r="G459" s="17"/>
      <c r="H459" s="18">
        <v>0.16</v>
      </c>
      <c r="I459" s="19" t="s">
        <v>2</v>
      </c>
      <c r="J459" s="38">
        <v>17</v>
      </c>
      <c r="K459" s="21">
        <f>H459*$R$436</f>
        <v>3212880</v>
      </c>
      <c r="L459" s="14"/>
      <c r="M459" s="22"/>
      <c r="N459" s="30"/>
      <c r="O459" s="23"/>
      <c r="P459" s="24"/>
      <c r="Q459" s="25"/>
      <c r="R459" s="25"/>
    </row>
    <row r="460" spans="1:18">
      <c r="A460" s="46">
        <f t="shared" si="13"/>
        <v>11</v>
      </c>
      <c r="B460" s="47">
        <v>29</v>
      </c>
      <c r="C460" s="14"/>
      <c r="D460" s="14" t="str">
        <f t="shared" si="14"/>
        <v/>
      </c>
      <c r="E460" s="14"/>
      <c r="F460" s="30"/>
      <c r="G460" s="17"/>
      <c r="H460" s="18"/>
      <c r="I460" s="19" t="s">
        <v>463</v>
      </c>
      <c r="J460" s="38">
        <v>4</v>
      </c>
      <c r="K460" s="21">
        <v>1</v>
      </c>
      <c r="L460" s="14"/>
      <c r="M460" s="22"/>
      <c r="N460" s="30"/>
      <c r="O460" s="23"/>
      <c r="P460" s="24"/>
      <c r="Q460" s="25"/>
      <c r="R460" s="25"/>
    </row>
    <row r="461" spans="1:18">
      <c r="A461" s="46">
        <f t="shared" si="13"/>
        <v>11</v>
      </c>
      <c r="B461" s="47">
        <v>30</v>
      </c>
      <c r="C461" s="14"/>
      <c r="D461" s="14" t="str">
        <f t="shared" si="14"/>
        <v/>
      </c>
      <c r="E461" s="14"/>
      <c r="F461" s="30"/>
      <c r="G461" s="17"/>
      <c r="H461" s="18"/>
      <c r="I461" s="19" t="s">
        <v>453</v>
      </c>
      <c r="J461" s="38">
        <v>3</v>
      </c>
      <c r="K461" s="21">
        <v>25</v>
      </c>
      <c r="L461" s="14"/>
      <c r="M461" s="22"/>
      <c r="N461" s="30"/>
      <c r="O461" s="23"/>
      <c r="P461" s="24"/>
      <c r="Q461" s="25"/>
      <c r="R461" s="25"/>
    </row>
    <row r="462" spans="1:18">
      <c r="A462" s="46">
        <f t="shared" si="13"/>
        <v>11</v>
      </c>
      <c r="B462" s="47">
        <v>31</v>
      </c>
      <c r="C462" s="14"/>
      <c r="D462" s="14" t="str">
        <f t="shared" si="14"/>
        <v/>
      </c>
      <c r="E462" s="14"/>
      <c r="F462" s="30"/>
      <c r="G462" s="17"/>
      <c r="H462" s="18"/>
      <c r="I462" t="s">
        <v>424</v>
      </c>
      <c r="J462" s="38">
        <v>3</v>
      </c>
      <c r="K462" s="21">
        <v>1</v>
      </c>
      <c r="L462" s="14"/>
      <c r="M462" s="22"/>
      <c r="N462" s="30"/>
      <c r="O462" s="23"/>
      <c r="P462" s="24"/>
      <c r="Q462" s="25"/>
      <c r="R462" s="25"/>
    </row>
    <row r="463" spans="1:18">
      <c r="A463" s="46">
        <f t="shared" si="13"/>
        <v>11</v>
      </c>
      <c r="B463" s="47">
        <v>32</v>
      </c>
      <c r="C463" s="14">
        <v>17.99</v>
      </c>
      <c r="D463" s="14">
        <f t="shared" si="14"/>
        <v>158</v>
      </c>
      <c r="E463" s="36">
        <f>(C463+0.01)*D463*$X$2/100</f>
        <v>28440000</v>
      </c>
      <c r="F463" s="37">
        <f>SUM(E433:E463)</f>
        <v>102270000</v>
      </c>
      <c r="G463" s="17">
        <f>SUM(C433:C463)</f>
        <v>69.94</v>
      </c>
      <c r="H463" s="18"/>
      <c r="I463" s="14" t="s">
        <v>2</v>
      </c>
      <c r="J463" s="29">
        <v>9</v>
      </c>
      <c r="K463" s="21">
        <f>E463</f>
        <v>28440000</v>
      </c>
      <c r="L463" s="36">
        <f>SUMIF(I463:I468,"="&amp;"金币",K463:K468)</f>
        <v>32054490</v>
      </c>
      <c r="M463" s="22">
        <f>L463/$X$2</f>
        <v>32.05449</v>
      </c>
      <c r="N463" s="37">
        <f>SUM(L433:L463)</f>
        <v>117932790</v>
      </c>
      <c r="O463" s="23">
        <f>SUM(M433:M463)</f>
        <v>117.93279</v>
      </c>
      <c r="P463" s="24">
        <f>N463/F463</f>
        <v>1.15315136403637</v>
      </c>
      <c r="Q463" s="25"/>
      <c r="R463" s="25"/>
    </row>
    <row r="464" spans="1:18">
      <c r="A464" s="46">
        <f t="shared" si="13"/>
        <v>11</v>
      </c>
      <c r="B464" s="47">
        <v>33</v>
      </c>
      <c r="C464" s="14"/>
      <c r="D464" s="14" t="str">
        <f t="shared" si="14"/>
        <v/>
      </c>
      <c r="E464" s="14"/>
      <c r="F464" s="30"/>
      <c r="G464" s="17"/>
      <c r="H464" s="18"/>
      <c r="I464" s="19" t="s">
        <v>408</v>
      </c>
      <c r="J464" s="38">
        <v>3</v>
      </c>
      <c r="K464" s="21">
        <v>6</v>
      </c>
      <c r="L464" s="14"/>
      <c r="M464" s="22"/>
      <c r="N464" s="30"/>
      <c r="O464" s="23"/>
      <c r="P464" s="24"/>
      <c r="Q464" s="25"/>
      <c r="R464" s="25"/>
    </row>
    <row r="465" spans="1:18">
      <c r="A465" s="46">
        <f t="shared" si="13"/>
        <v>11</v>
      </c>
      <c r="B465" s="47">
        <v>34</v>
      </c>
      <c r="C465" s="14"/>
      <c r="D465" s="14" t="str">
        <f t="shared" si="14"/>
        <v/>
      </c>
      <c r="E465" s="14"/>
      <c r="F465" s="30"/>
      <c r="G465" s="17"/>
      <c r="H465" s="18">
        <v>0.18</v>
      </c>
      <c r="I465" s="19" t="s">
        <v>2</v>
      </c>
      <c r="J465" s="38">
        <v>17</v>
      </c>
      <c r="K465" s="21">
        <f>H465*$R$436</f>
        <v>3614490</v>
      </c>
      <c r="L465" s="14"/>
      <c r="M465" s="22"/>
      <c r="N465" s="30"/>
      <c r="O465" s="23"/>
      <c r="P465" s="24"/>
      <c r="Q465" s="25"/>
      <c r="R465" s="25"/>
    </row>
    <row r="466" spans="1:18">
      <c r="A466" s="46">
        <f t="shared" si="13"/>
        <v>11</v>
      </c>
      <c r="B466" s="47">
        <v>35</v>
      </c>
      <c r="C466" s="14"/>
      <c r="D466" s="14" t="str">
        <f t="shared" si="14"/>
        <v/>
      </c>
      <c r="E466" s="14"/>
      <c r="F466" s="30"/>
      <c r="G466" s="17"/>
      <c r="H466" s="18"/>
      <c r="I466" s="19" t="s">
        <v>463</v>
      </c>
      <c r="J466" s="38">
        <v>4</v>
      </c>
      <c r="K466" s="21">
        <v>1</v>
      </c>
      <c r="L466" s="14"/>
      <c r="M466" s="22"/>
      <c r="N466" s="30"/>
      <c r="O466" s="23"/>
      <c r="P466" s="24"/>
      <c r="Q466" s="25"/>
      <c r="R466" s="25"/>
    </row>
    <row r="467" spans="1:18">
      <c r="A467" s="46">
        <f t="shared" si="13"/>
        <v>11</v>
      </c>
      <c r="B467" s="47">
        <v>36</v>
      </c>
      <c r="C467" s="14"/>
      <c r="D467" s="14" t="str">
        <f t="shared" si="14"/>
        <v/>
      </c>
      <c r="E467" s="14"/>
      <c r="F467" s="30"/>
      <c r="G467" s="17"/>
      <c r="H467" s="18"/>
      <c r="I467" s="19" t="s">
        <v>453</v>
      </c>
      <c r="J467" s="38">
        <v>3</v>
      </c>
      <c r="K467" s="21">
        <v>30</v>
      </c>
      <c r="L467" s="14"/>
      <c r="M467" s="22"/>
      <c r="N467" s="30"/>
      <c r="O467" s="23"/>
      <c r="P467" s="24"/>
      <c r="Q467" s="25"/>
      <c r="R467" s="25"/>
    </row>
    <row r="468" spans="1:18">
      <c r="A468" s="46">
        <f t="shared" si="13"/>
        <v>11</v>
      </c>
      <c r="B468" s="47">
        <v>37</v>
      </c>
      <c r="C468" s="14"/>
      <c r="D468" s="14" t="str">
        <f t="shared" si="14"/>
        <v/>
      </c>
      <c r="E468" s="14"/>
      <c r="F468" s="30"/>
      <c r="G468" s="17"/>
      <c r="H468" s="18"/>
      <c r="I468" t="s">
        <v>426</v>
      </c>
      <c r="J468" s="38">
        <v>3</v>
      </c>
      <c r="K468" s="21">
        <v>1</v>
      </c>
      <c r="L468" s="14"/>
      <c r="M468" s="22"/>
      <c r="N468" s="30"/>
      <c r="O468" s="23"/>
      <c r="P468" s="24"/>
      <c r="Q468" s="25"/>
      <c r="R468" s="25"/>
    </row>
    <row r="469" spans="1:18">
      <c r="A469" s="46">
        <f t="shared" si="13"/>
        <v>11</v>
      </c>
      <c r="B469" s="47">
        <v>38</v>
      </c>
      <c r="C469" s="14">
        <v>19.99</v>
      </c>
      <c r="D469" s="14">
        <f t="shared" si="14"/>
        <v>158</v>
      </c>
      <c r="E469" s="36">
        <f>(C469+0.01)*D469*$X$2/100</f>
        <v>31600000</v>
      </c>
      <c r="F469" s="37">
        <f>SUM(E433:E469)</f>
        <v>133870000</v>
      </c>
      <c r="G469" s="17">
        <f>SUM(C433:C469)</f>
        <v>89.93</v>
      </c>
      <c r="H469" s="18"/>
      <c r="I469" s="14" t="s">
        <v>2</v>
      </c>
      <c r="J469" s="29">
        <v>9</v>
      </c>
      <c r="K469" s="21">
        <f>E469</f>
        <v>31600000</v>
      </c>
      <c r="L469" s="36">
        <f>SUMIF(I469:I474,"="&amp;"金币",K469:K474)</f>
        <v>36017710</v>
      </c>
      <c r="M469" s="22">
        <f>L469/$X$2</f>
        <v>36.01771</v>
      </c>
      <c r="N469" s="37">
        <f>SUM(L433:L469)</f>
        <v>153950500</v>
      </c>
      <c r="O469" s="23">
        <f>SUM(M433:M469)</f>
        <v>153.9505</v>
      </c>
      <c r="P469" s="24">
        <f>N469/F469</f>
        <v>1.15</v>
      </c>
      <c r="Q469" s="25"/>
      <c r="R469" s="25"/>
    </row>
    <row r="470" spans="1:18">
      <c r="A470" s="46">
        <f t="shared" si="13"/>
        <v>11</v>
      </c>
      <c r="B470" s="47">
        <v>39</v>
      </c>
      <c r="C470" s="14"/>
      <c r="D470" s="14" t="str">
        <f t="shared" si="14"/>
        <v/>
      </c>
      <c r="E470" s="14"/>
      <c r="F470" s="30"/>
      <c r="G470" s="17"/>
      <c r="H470" s="18"/>
      <c r="I470" s="19" t="s">
        <v>408</v>
      </c>
      <c r="J470" s="38">
        <v>3</v>
      </c>
      <c r="K470" s="21">
        <v>7</v>
      </c>
      <c r="L470" s="14"/>
      <c r="M470" s="22"/>
      <c r="N470" s="30"/>
      <c r="O470" s="23"/>
      <c r="P470" s="24"/>
      <c r="Q470" s="25"/>
      <c r="R470" s="25"/>
    </row>
    <row r="471" spans="1:18">
      <c r="A471" s="46">
        <f t="shared" si="13"/>
        <v>11</v>
      </c>
      <c r="B471" s="47">
        <v>40</v>
      </c>
      <c r="C471" s="14"/>
      <c r="D471" s="14" t="str">
        <f t="shared" si="14"/>
        <v/>
      </c>
      <c r="E471" s="14"/>
      <c r="F471" s="30"/>
      <c r="G471" s="17"/>
      <c r="H471" s="18">
        <v>0.22</v>
      </c>
      <c r="I471" s="19" t="s">
        <v>2</v>
      </c>
      <c r="J471" s="38">
        <v>17</v>
      </c>
      <c r="K471" s="21">
        <f>H471*$R$436</f>
        <v>4417710</v>
      </c>
      <c r="L471" s="14"/>
      <c r="M471" s="22"/>
      <c r="N471" s="30"/>
      <c r="O471" s="23"/>
      <c r="P471" s="24"/>
      <c r="Q471" s="25"/>
      <c r="R471" s="25"/>
    </row>
    <row r="472" spans="1:18">
      <c r="A472" s="46">
        <f t="shared" si="13"/>
        <v>11</v>
      </c>
      <c r="B472" s="47">
        <v>41</v>
      </c>
      <c r="C472" s="14"/>
      <c r="D472" s="14" t="str">
        <f t="shared" si="14"/>
        <v/>
      </c>
      <c r="E472" s="14"/>
      <c r="F472" s="30"/>
      <c r="G472" s="17"/>
      <c r="H472" s="18"/>
      <c r="I472" s="19" t="s">
        <v>473</v>
      </c>
      <c r="J472" s="38">
        <v>4</v>
      </c>
      <c r="K472" s="21">
        <v>1</v>
      </c>
      <c r="L472" s="14"/>
      <c r="M472" s="22"/>
      <c r="N472" s="30"/>
      <c r="O472" s="23"/>
      <c r="P472" s="24"/>
      <c r="Q472" s="25"/>
      <c r="R472" s="25"/>
    </row>
    <row r="473" spans="1:18">
      <c r="A473" s="46">
        <f t="shared" si="13"/>
        <v>11</v>
      </c>
      <c r="B473" s="47">
        <v>42</v>
      </c>
      <c r="C473" s="14"/>
      <c r="D473" s="14" t="str">
        <f t="shared" si="14"/>
        <v/>
      </c>
      <c r="E473" s="14"/>
      <c r="F473" s="30"/>
      <c r="G473" s="17"/>
      <c r="H473" s="18"/>
      <c r="I473" s="19" t="s">
        <v>453</v>
      </c>
      <c r="J473" s="38">
        <v>3</v>
      </c>
      <c r="K473" s="21">
        <v>35</v>
      </c>
      <c r="L473" s="14"/>
      <c r="M473" s="22"/>
      <c r="N473" s="30"/>
      <c r="O473" s="23"/>
      <c r="P473" s="24"/>
      <c r="Q473" s="25"/>
      <c r="R473" s="25"/>
    </row>
    <row r="474" spans="1:18">
      <c r="A474" s="46">
        <f t="shared" si="13"/>
        <v>11</v>
      </c>
      <c r="B474" s="47">
        <v>43</v>
      </c>
      <c r="C474" s="14"/>
      <c r="D474" s="14" t="str">
        <f t="shared" si="14"/>
        <v/>
      </c>
      <c r="E474" s="14"/>
      <c r="F474" s="30"/>
      <c r="G474" s="17"/>
      <c r="H474" s="18"/>
      <c r="I474" t="s">
        <v>424</v>
      </c>
      <c r="J474" s="38">
        <v>3</v>
      </c>
      <c r="K474" s="21">
        <v>1</v>
      </c>
      <c r="L474" s="14"/>
      <c r="M474" s="22"/>
      <c r="N474" s="30"/>
      <c r="O474" s="23"/>
      <c r="P474" s="24"/>
      <c r="Q474" s="25"/>
      <c r="R474" s="2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8"/>
  <sheetViews>
    <sheetView workbookViewId="0">
      <selection activeCell="A1" sqref="A1"/>
    </sheetView>
  </sheetViews>
  <sheetFormatPr defaultColWidth="9" defaultRowHeight="13.5"/>
  <cols>
    <col min="1" max="1" width="5.375" style="1" customWidth="1"/>
    <col min="2" max="2" width="5.75833333333333" style="1" customWidth="1"/>
    <col min="3" max="3" width="7.875" style="1" customWidth="1"/>
    <col min="4" max="4" width="11.125" style="1" customWidth="1"/>
    <col min="5" max="5" width="11.125" style="2" customWidth="1"/>
    <col min="6" max="6" width="7.875" style="3" customWidth="1"/>
    <col min="7" max="7" width="10.125" style="4" customWidth="1"/>
    <col min="8" max="8" width="11.2583333333333" style="5" customWidth="1"/>
    <col min="9" max="9" width="14.5166666666667" style="6" customWidth="1"/>
    <col min="10" max="10" width="13.125" style="7" customWidth="1"/>
    <col min="11" max="11" width="11.125" style="1" customWidth="1"/>
    <col min="12" max="12" width="7.875" style="8" customWidth="1"/>
    <col min="13" max="13" width="11.125" style="9" customWidth="1"/>
    <col min="14" max="14" width="7.875" style="10" customWidth="1"/>
    <col min="15" max="15" width="7.69166666666667" style="11" customWidth="1"/>
    <col min="16" max="16" width="3.475" style="12" customWidth="1"/>
    <col min="17" max="17" width="12.125" style="12" customWidth="1"/>
    <col min="18" max="18" width="3.58333333333333" customWidth="1"/>
    <col min="23" max="23" width="10.375" customWidth="1"/>
  </cols>
  <sheetData>
    <row r="1" ht="84" spans="1:23">
      <c r="A1" s="13" t="s">
        <v>536</v>
      </c>
      <c r="B1" s="14"/>
      <c r="C1" s="14" t="s">
        <v>537</v>
      </c>
      <c r="D1" s="15" t="s">
        <v>538</v>
      </c>
      <c r="E1" s="16" t="s">
        <v>539</v>
      </c>
      <c r="F1" s="17" t="s">
        <v>540</v>
      </c>
      <c r="G1" s="18" t="s">
        <v>541</v>
      </c>
      <c r="H1" s="19" t="s">
        <v>542</v>
      </c>
      <c r="I1" s="20" t="s">
        <v>543</v>
      </c>
      <c r="J1" s="21" t="s">
        <v>544</v>
      </c>
      <c r="K1" s="14" t="s">
        <v>545</v>
      </c>
      <c r="L1" s="22" t="s">
        <v>546</v>
      </c>
      <c r="M1" s="16" t="s">
        <v>539</v>
      </c>
      <c r="N1" s="23" t="s">
        <v>540</v>
      </c>
      <c r="O1" s="24" t="s">
        <v>551</v>
      </c>
      <c r="P1" s="25"/>
      <c r="Q1" s="26" t="s">
        <v>552</v>
      </c>
      <c r="R1" s="27"/>
      <c r="S1" s="15" t="s">
        <v>0</v>
      </c>
      <c r="T1" s="15" t="s">
        <v>532</v>
      </c>
      <c r="V1" s="28" t="s">
        <v>533</v>
      </c>
      <c r="W1" s="28" t="s">
        <v>534</v>
      </c>
    </row>
    <row r="2" spans="1:23">
      <c r="A2" s="13">
        <v>1</v>
      </c>
      <c r="B2" s="14"/>
      <c r="C2" s="14" t="str">
        <f t="shared" ref="C2:C44" si="0">IFERROR(VLOOKUP(ROUND(B2*100,0),S:T,2,FALSE),"")</f>
        <v/>
      </c>
      <c r="D2" s="14"/>
      <c r="E2" s="16"/>
      <c r="F2" s="17"/>
      <c r="G2" s="18"/>
      <c r="H2" s="14" t="s">
        <v>2</v>
      </c>
      <c r="I2" s="29">
        <v>1</v>
      </c>
      <c r="J2" s="21">
        <v>5000</v>
      </c>
      <c r="K2" s="14"/>
      <c r="L2" s="22"/>
      <c r="M2" s="30"/>
      <c r="N2" s="23"/>
      <c r="O2" s="24"/>
      <c r="P2" s="25"/>
      <c r="Q2" s="31">
        <f>SUM(B:B)</f>
        <v>153.93</v>
      </c>
      <c r="R2" s="27"/>
      <c r="S2" s="15">
        <v>99</v>
      </c>
      <c r="T2" s="15">
        <v>100</v>
      </c>
      <c r="V2" s="32">
        <v>0</v>
      </c>
      <c r="W2" s="33">
        <v>1000000</v>
      </c>
    </row>
    <row r="3" spans="1:23">
      <c r="A3" s="34">
        <v>2</v>
      </c>
      <c r="B3" s="35">
        <v>2.99</v>
      </c>
      <c r="C3" s="14">
        <f t="shared" si="0"/>
        <v>109</v>
      </c>
      <c r="D3" s="36">
        <f>(B3+0.01)*C3*$W$2/100</f>
        <v>3270000</v>
      </c>
      <c r="E3" s="37">
        <f>SUM($D$1:D3)</f>
        <v>3270000</v>
      </c>
      <c r="F3" s="17">
        <v>2.99</v>
      </c>
      <c r="G3" s="18"/>
      <c r="H3" s="14" t="s">
        <v>2</v>
      </c>
      <c r="I3" s="29">
        <v>9</v>
      </c>
      <c r="J3" s="21">
        <f>D3</f>
        <v>3270000</v>
      </c>
      <c r="K3" s="36">
        <f>SUMIF(H3:H8,"="&amp;"金币",J3:J8)</f>
        <v>4040280</v>
      </c>
      <c r="L3" s="22">
        <f>K3/$W$2</f>
        <v>4.04028</v>
      </c>
      <c r="M3" s="37">
        <f>SUM($K$1:K3)</f>
        <v>4040280</v>
      </c>
      <c r="N3" s="23">
        <f>SUM($K$1:K3)/$W$2</f>
        <v>4.04028</v>
      </c>
      <c r="O3" s="24">
        <f>SUM($K$1:K3)/SUM($D$1:D3)</f>
        <v>1.23555963302752</v>
      </c>
      <c r="P3" s="25"/>
      <c r="Q3" s="26" t="s">
        <v>556</v>
      </c>
      <c r="R3" s="27"/>
      <c r="S3" s="15">
        <v>199</v>
      </c>
      <c r="T3" s="15">
        <v>100</v>
      </c>
      <c r="V3" s="32">
        <v>1</v>
      </c>
      <c r="W3" s="33">
        <v>1250000</v>
      </c>
    </row>
    <row r="4" spans="1:23">
      <c r="A4" s="13">
        <v>3</v>
      </c>
      <c r="B4" s="14"/>
      <c r="C4" s="14" t="str">
        <f t="shared" si="0"/>
        <v/>
      </c>
      <c r="D4" s="14"/>
      <c r="E4" s="16"/>
      <c r="F4" s="17"/>
      <c r="G4" s="18"/>
      <c r="H4" s="19" t="s">
        <v>408</v>
      </c>
      <c r="I4" s="38">
        <v>3</v>
      </c>
      <c r="J4" s="21">
        <v>1</v>
      </c>
      <c r="K4" s="14"/>
      <c r="L4" s="22"/>
      <c r="M4" s="30"/>
      <c r="N4" s="23"/>
      <c r="O4" s="24"/>
      <c r="P4" s="25"/>
      <c r="Q4" s="39">
        <v>1.15</v>
      </c>
      <c r="R4" s="27"/>
      <c r="S4" s="15">
        <v>299</v>
      </c>
      <c r="T4" s="15">
        <v>109</v>
      </c>
      <c r="V4" s="32">
        <v>2</v>
      </c>
      <c r="W4" s="33">
        <v>1500000</v>
      </c>
    </row>
    <row r="5" spans="1:23">
      <c r="A5" s="13">
        <v>4</v>
      </c>
      <c r="B5" s="14"/>
      <c r="C5" s="14" t="str">
        <f t="shared" si="0"/>
        <v/>
      </c>
      <c r="D5" s="14"/>
      <c r="E5" s="16"/>
      <c r="F5" s="17"/>
      <c r="G5" s="18">
        <v>0.02</v>
      </c>
      <c r="H5" s="19" t="s">
        <v>2</v>
      </c>
      <c r="I5" s="38">
        <v>17</v>
      </c>
      <c r="J5" s="21">
        <f>G5*$Q$6</f>
        <v>770280</v>
      </c>
      <c r="K5" s="14"/>
      <c r="L5" s="22"/>
      <c r="M5" s="30"/>
      <c r="N5" s="23"/>
      <c r="O5" s="24"/>
      <c r="P5" s="25"/>
      <c r="Q5" s="26" t="s">
        <v>557</v>
      </c>
      <c r="R5" s="27"/>
      <c r="S5" s="15">
        <v>399</v>
      </c>
      <c r="T5" s="15">
        <v>114</v>
      </c>
      <c r="V5" s="32">
        <v>3</v>
      </c>
      <c r="W5" s="33">
        <v>1750000</v>
      </c>
    </row>
    <row r="6" spans="1:23">
      <c r="A6" s="13">
        <v>5</v>
      </c>
      <c r="B6" s="14"/>
      <c r="C6" s="14" t="str">
        <f t="shared" si="0"/>
        <v/>
      </c>
      <c r="D6" s="14"/>
      <c r="E6" s="16"/>
      <c r="F6" s="17"/>
      <c r="G6" s="18"/>
      <c r="H6" s="19" t="s">
        <v>457</v>
      </c>
      <c r="I6" s="38">
        <v>4</v>
      </c>
      <c r="J6" s="21">
        <v>1</v>
      </c>
      <c r="K6" s="14"/>
      <c r="L6" s="22"/>
      <c r="M6" s="30"/>
      <c r="N6" s="23"/>
      <c r="O6" s="24"/>
      <c r="P6" s="25"/>
      <c r="Q6" s="40">
        <f>SUM(D:D)*(Q4-1)</f>
        <v>38514000</v>
      </c>
      <c r="R6" s="27"/>
      <c r="S6" s="15">
        <v>499</v>
      </c>
      <c r="T6" s="15">
        <v>119</v>
      </c>
      <c r="V6" s="32">
        <v>4</v>
      </c>
      <c r="W6" s="33">
        <v>2000000</v>
      </c>
    </row>
    <row r="7" spans="1:23">
      <c r="A7" s="13">
        <v>6</v>
      </c>
      <c r="B7" s="14"/>
      <c r="C7" s="14" t="str">
        <f t="shared" si="0"/>
        <v/>
      </c>
      <c r="D7" s="14"/>
      <c r="E7" s="16"/>
      <c r="F7" s="17"/>
      <c r="G7" s="18"/>
      <c r="H7" s="19" t="s">
        <v>453</v>
      </c>
      <c r="I7" s="38">
        <v>3</v>
      </c>
      <c r="J7" s="21">
        <v>5</v>
      </c>
      <c r="K7" s="14"/>
      <c r="L7" s="22"/>
      <c r="M7" s="30"/>
      <c r="N7" s="23"/>
      <c r="O7" s="24"/>
      <c r="P7" s="25"/>
      <c r="Q7" s="26" t="s">
        <v>558</v>
      </c>
      <c r="R7" s="27"/>
      <c r="S7" s="15">
        <v>599</v>
      </c>
      <c r="T7" s="15">
        <v>119</v>
      </c>
      <c r="V7" s="32">
        <v>5</v>
      </c>
      <c r="W7" s="33">
        <v>2250000</v>
      </c>
    </row>
    <row r="8" spans="1:23">
      <c r="A8" s="13">
        <v>7</v>
      </c>
      <c r="B8" s="14"/>
      <c r="C8" s="14" t="str">
        <f t="shared" si="0"/>
        <v/>
      </c>
      <c r="D8" s="14"/>
      <c r="E8" s="16"/>
      <c r="F8" s="17"/>
      <c r="G8" s="18"/>
      <c r="H8" s="19" t="s">
        <v>410</v>
      </c>
      <c r="I8" s="38">
        <v>3</v>
      </c>
      <c r="J8" s="21">
        <v>1</v>
      </c>
      <c r="K8" s="14"/>
      <c r="L8" s="22"/>
      <c r="M8" s="30"/>
      <c r="N8" s="23"/>
      <c r="O8" s="24"/>
      <c r="P8" s="25"/>
      <c r="Q8" s="26">
        <f>SUM(G:G)</f>
        <v>1</v>
      </c>
      <c r="R8" s="27"/>
      <c r="S8" s="15">
        <v>699</v>
      </c>
      <c r="T8" s="15">
        <v>124</v>
      </c>
      <c r="V8" s="32">
        <v>6</v>
      </c>
      <c r="W8" s="33">
        <v>2500000</v>
      </c>
    </row>
    <row r="9" spans="1:23">
      <c r="A9" s="34">
        <v>8</v>
      </c>
      <c r="B9" s="14">
        <v>5.99</v>
      </c>
      <c r="C9" s="14">
        <f t="shared" si="0"/>
        <v>119</v>
      </c>
      <c r="D9" s="36">
        <f>(B9+0.01)*C9*$W$2/100</f>
        <v>7140000</v>
      </c>
      <c r="E9" s="37">
        <f>SUM($D$1:D9)</f>
        <v>10410000</v>
      </c>
      <c r="F9" s="17">
        <v>8.99</v>
      </c>
      <c r="G9" s="18"/>
      <c r="H9" s="14" t="s">
        <v>2</v>
      </c>
      <c r="I9" s="29">
        <v>9</v>
      </c>
      <c r="J9" s="21">
        <f>D9</f>
        <v>7140000</v>
      </c>
      <c r="K9" s="36">
        <f>SUMIF(H9:H14,"="&amp;"金币",J9:J14)</f>
        <v>8680560</v>
      </c>
      <c r="L9" s="22">
        <f>K9/$W$2</f>
        <v>8.68056</v>
      </c>
      <c r="M9" s="37">
        <f>SUM($K$1:K9)</f>
        <v>12720840</v>
      </c>
      <c r="N9" s="23">
        <f>SUM($K$1:K9)/$W$2</f>
        <v>12.72084</v>
      </c>
      <c r="O9" s="24">
        <f>SUM($K$1:K9)/SUM($D$1:D9)</f>
        <v>1.22198270893372</v>
      </c>
      <c r="P9" s="25"/>
      <c r="Q9" s="25"/>
      <c r="R9" s="27"/>
      <c r="S9" s="15">
        <v>799</v>
      </c>
      <c r="T9" s="15">
        <v>129</v>
      </c>
      <c r="V9" s="32">
        <v>7</v>
      </c>
      <c r="W9" s="33">
        <v>2500000</v>
      </c>
    </row>
    <row r="10" spans="1:23">
      <c r="A10" s="13">
        <v>9</v>
      </c>
      <c r="B10" s="14"/>
      <c r="C10" s="14" t="str">
        <f t="shared" si="0"/>
        <v/>
      </c>
      <c r="D10" s="14"/>
      <c r="E10" s="16"/>
      <c r="F10" s="17"/>
      <c r="G10" s="18"/>
      <c r="H10" s="19" t="s">
        <v>408</v>
      </c>
      <c r="I10" s="38">
        <v>3</v>
      </c>
      <c r="J10" s="21">
        <v>2</v>
      </c>
      <c r="K10" s="14"/>
      <c r="L10" s="22"/>
      <c r="M10" s="30"/>
      <c r="N10" s="23"/>
      <c r="O10" s="24"/>
      <c r="P10" s="25"/>
      <c r="Q10" s="25"/>
      <c r="R10" s="27"/>
      <c r="S10" s="15">
        <v>899</v>
      </c>
      <c r="T10" s="15">
        <v>134</v>
      </c>
      <c r="V10" s="32">
        <v>8</v>
      </c>
      <c r="W10" s="33">
        <v>2500000</v>
      </c>
    </row>
    <row r="11" spans="1:23">
      <c r="A11" s="13">
        <v>10</v>
      </c>
      <c r="B11" s="14"/>
      <c r="C11" s="14" t="str">
        <f t="shared" si="0"/>
        <v/>
      </c>
      <c r="D11" s="14"/>
      <c r="E11" s="16"/>
      <c r="F11" s="17"/>
      <c r="G11" s="18">
        <v>0.04</v>
      </c>
      <c r="H11" s="19" t="s">
        <v>2</v>
      </c>
      <c r="I11" s="38">
        <v>17</v>
      </c>
      <c r="J11" s="21">
        <f>G11*$Q$6</f>
        <v>1540560</v>
      </c>
      <c r="K11" s="14"/>
      <c r="L11" s="22"/>
      <c r="M11" s="30"/>
      <c r="N11" s="23"/>
      <c r="O11" s="24"/>
      <c r="P11" s="25"/>
      <c r="Q11" s="25"/>
      <c r="R11" s="27"/>
      <c r="S11" s="15">
        <v>999</v>
      </c>
      <c r="T11" s="15">
        <v>139</v>
      </c>
      <c r="V11" s="32">
        <v>9</v>
      </c>
      <c r="W11" s="33">
        <v>2500000</v>
      </c>
    </row>
    <row r="12" spans="1:23">
      <c r="A12" s="13">
        <v>11</v>
      </c>
      <c r="B12" s="14"/>
      <c r="C12" s="14" t="str">
        <f t="shared" si="0"/>
        <v/>
      </c>
      <c r="D12" s="14"/>
      <c r="E12" s="16"/>
      <c r="F12" s="17"/>
      <c r="G12" s="18"/>
      <c r="H12" s="19" t="s">
        <v>459</v>
      </c>
      <c r="I12" s="38">
        <v>4</v>
      </c>
      <c r="J12" s="21">
        <v>1</v>
      </c>
      <c r="K12" s="14"/>
      <c r="L12" s="22"/>
      <c r="M12" s="30"/>
      <c r="N12" s="23"/>
      <c r="O12" s="24"/>
      <c r="P12" s="25"/>
      <c r="Q12" s="25"/>
      <c r="R12" s="27"/>
      <c r="S12" s="15">
        <v>1099</v>
      </c>
      <c r="T12" s="15">
        <v>142</v>
      </c>
      <c r="V12" s="32">
        <v>10</v>
      </c>
      <c r="W12" s="33">
        <v>2500000</v>
      </c>
    </row>
    <row r="13" spans="1:23">
      <c r="A13" s="13">
        <v>12</v>
      </c>
      <c r="B13" s="14"/>
      <c r="C13" s="14" t="str">
        <f t="shared" si="0"/>
        <v/>
      </c>
      <c r="D13" s="14"/>
      <c r="E13" s="16"/>
      <c r="F13" s="17"/>
      <c r="G13" s="18"/>
      <c r="H13" s="19" t="s">
        <v>453</v>
      </c>
      <c r="I13" s="38">
        <v>3</v>
      </c>
      <c r="J13" s="21">
        <v>10</v>
      </c>
      <c r="K13" s="14"/>
      <c r="L13" s="22"/>
      <c r="M13" s="30"/>
      <c r="N13" s="23"/>
      <c r="O13" s="24"/>
      <c r="P13" s="25"/>
      <c r="Q13" s="25"/>
      <c r="R13" s="27"/>
      <c r="S13" s="15">
        <v>1199</v>
      </c>
      <c r="T13" s="15">
        <v>146</v>
      </c>
      <c r="V13" s="32">
        <v>11</v>
      </c>
      <c r="W13" s="33">
        <v>2500000</v>
      </c>
    </row>
    <row r="14" spans="1:23">
      <c r="A14" s="13">
        <v>13</v>
      </c>
      <c r="B14" s="14"/>
      <c r="C14" s="14" t="str">
        <f t="shared" si="0"/>
        <v/>
      </c>
      <c r="D14" s="14"/>
      <c r="E14" s="16"/>
      <c r="F14" s="17"/>
      <c r="G14" s="18"/>
      <c r="H14" s="19" t="s">
        <v>412</v>
      </c>
      <c r="I14" s="38">
        <v>3</v>
      </c>
      <c r="J14" s="21">
        <v>1</v>
      </c>
      <c r="K14" s="14"/>
      <c r="L14" s="22"/>
      <c r="M14" s="30"/>
      <c r="N14" s="23"/>
      <c r="O14" s="24"/>
      <c r="P14" s="25"/>
      <c r="Q14" s="25"/>
      <c r="R14" s="27"/>
      <c r="S14" s="15">
        <v>1299</v>
      </c>
      <c r="T14" s="15">
        <v>149</v>
      </c>
      <c r="V14" s="32">
        <v>12</v>
      </c>
      <c r="W14" s="33">
        <v>2500000</v>
      </c>
    </row>
    <row r="15" spans="1:23">
      <c r="A15" s="34">
        <v>14</v>
      </c>
      <c r="B15" s="14">
        <v>9.99</v>
      </c>
      <c r="C15" s="14">
        <f t="shared" si="0"/>
        <v>139</v>
      </c>
      <c r="D15" s="36">
        <f>(B15+0.01)*C15*$W$2/100</f>
        <v>13900000</v>
      </c>
      <c r="E15" s="37">
        <f>SUM($D$1:D15)</f>
        <v>24310000</v>
      </c>
      <c r="F15" s="17">
        <v>19.99</v>
      </c>
      <c r="G15" s="18"/>
      <c r="H15" s="14" t="s">
        <v>2</v>
      </c>
      <c r="I15" s="29">
        <v>9</v>
      </c>
      <c r="J15" s="21">
        <f>D15</f>
        <v>13900000</v>
      </c>
      <c r="K15" s="36">
        <f>SUMIF(H15:H20,"="&amp;"金币",J15:J20)</f>
        <v>16210840</v>
      </c>
      <c r="L15" s="22">
        <f>K15/$W$2</f>
        <v>16.21084</v>
      </c>
      <c r="M15" s="37">
        <f>SUM($K$1:K15)</f>
        <v>28931680</v>
      </c>
      <c r="N15" s="23">
        <f>SUM($K$1:K15)/$W$2</f>
        <v>28.93168</v>
      </c>
      <c r="O15" s="24">
        <f>SUM($K$1:K15)/SUM($D$1:D15)</f>
        <v>1.190114356232</v>
      </c>
      <c r="P15" s="25"/>
      <c r="Q15" s="25"/>
      <c r="R15" s="27"/>
      <c r="S15" s="15">
        <v>1399</v>
      </c>
      <c r="T15" s="15">
        <v>151</v>
      </c>
      <c r="V15" s="32">
        <v>13</v>
      </c>
      <c r="W15" s="33">
        <v>2500000</v>
      </c>
    </row>
    <row r="16" spans="1:23">
      <c r="A16" s="13">
        <v>15</v>
      </c>
      <c r="B16" s="14"/>
      <c r="C16" s="14" t="str">
        <f t="shared" si="0"/>
        <v/>
      </c>
      <c r="D16" s="14"/>
      <c r="E16" s="16"/>
      <c r="F16" s="17"/>
      <c r="G16" s="18"/>
      <c r="H16" s="19" t="s">
        <v>408</v>
      </c>
      <c r="I16" s="38">
        <v>3</v>
      </c>
      <c r="J16" s="21">
        <v>3</v>
      </c>
      <c r="K16" s="14"/>
      <c r="L16" s="22"/>
      <c r="M16" s="30"/>
      <c r="N16" s="23"/>
      <c r="O16" s="24"/>
      <c r="P16" s="25"/>
      <c r="Q16" s="25"/>
      <c r="R16" s="27"/>
      <c r="S16" s="15">
        <v>1499</v>
      </c>
      <c r="T16" s="15">
        <v>154</v>
      </c>
      <c r="V16" s="32">
        <v>14</v>
      </c>
      <c r="W16" s="33">
        <v>2500000</v>
      </c>
    </row>
    <row r="17" spans="1:23">
      <c r="A17" s="13">
        <v>16</v>
      </c>
      <c r="B17" s="14"/>
      <c r="C17" s="14" t="str">
        <f t="shared" si="0"/>
        <v/>
      </c>
      <c r="D17" s="14"/>
      <c r="E17" s="16"/>
      <c r="F17" s="17"/>
      <c r="G17" s="18">
        <v>0.06</v>
      </c>
      <c r="H17" s="19" t="s">
        <v>2</v>
      </c>
      <c r="I17" s="38">
        <v>17</v>
      </c>
      <c r="J17" s="21">
        <f>G17*$Q$6</f>
        <v>2310840</v>
      </c>
      <c r="K17" s="14"/>
      <c r="L17" s="22"/>
      <c r="M17" s="30"/>
      <c r="N17" s="23"/>
      <c r="O17" s="24"/>
      <c r="P17" s="25"/>
      <c r="Q17" s="25"/>
      <c r="R17" s="27"/>
      <c r="S17" s="15">
        <v>1799</v>
      </c>
      <c r="T17" s="15">
        <v>158</v>
      </c>
      <c r="V17" s="32">
        <v>15</v>
      </c>
      <c r="W17" s="33">
        <v>2500000</v>
      </c>
    </row>
    <row r="18" spans="1:23">
      <c r="A18" s="13">
        <v>17</v>
      </c>
      <c r="B18" s="14"/>
      <c r="C18" s="14" t="str">
        <f t="shared" si="0"/>
        <v/>
      </c>
      <c r="D18" s="14"/>
      <c r="E18" s="16"/>
      <c r="F18" s="17"/>
      <c r="G18" s="18"/>
      <c r="H18" s="19" t="s">
        <v>461</v>
      </c>
      <c r="I18" s="38">
        <v>4</v>
      </c>
      <c r="J18" s="21">
        <v>1</v>
      </c>
      <c r="K18" s="14"/>
      <c r="L18" s="22"/>
      <c r="M18" s="30"/>
      <c r="N18" s="23"/>
      <c r="O18" s="24"/>
      <c r="P18" s="25"/>
      <c r="Q18" s="25"/>
      <c r="R18" s="27"/>
      <c r="S18" s="15">
        <v>1999</v>
      </c>
      <c r="T18" s="15">
        <v>158</v>
      </c>
      <c r="V18" s="41"/>
      <c r="W18" s="41"/>
    </row>
    <row r="19" spans="1:23">
      <c r="A19" s="13">
        <v>18</v>
      </c>
      <c r="B19" s="14"/>
      <c r="C19" s="14" t="str">
        <f t="shared" si="0"/>
        <v/>
      </c>
      <c r="D19" s="14"/>
      <c r="E19" s="16"/>
      <c r="F19" s="17"/>
      <c r="G19" s="18"/>
      <c r="H19" s="19" t="s">
        <v>453</v>
      </c>
      <c r="I19" s="38">
        <v>3</v>
      </c>
      <c r="J19" s="21">
        <v>15</v>
      </c>
      <c r="K19" s="14"/>
      <c r="L19" s="22"/>
      <c r="M19" s="30"/>
      <c r="N19" s="23"/>
      <c r="O19" s="24"/>
      <c r="P19" s="25"/>
      <c r="Q19" s="25"/>
      <c r="R19" s="27"/>
      <c r="S19" s="15">
        <v>2499</v>
      </c>
      <c r="T19" s="15">
        <v>163</v>
      </c>
      <c r="V19" s="42"/>
      <c r="W19" s="42"/>
    </row>
    <row r="20" spans="1:23">
      <c r="A20" s="13">
        <v>19</v>
      </c>
      <c r="B20" s="14"/>
      <c r="C20" s="14" t="str">
        <f t="shared" si="0"/>
        <v/>
      </c>
      <c r="D20" s="14"/>
      <c r="E20" s="16"/>
      <c r="F20" s="17"/>
      <c r="G20" s="18"/>
      <c r="H20" s="19" t="s">
        <v>414</v>
      </c>
      <c r="I20" s="38">
        <v>3</v>
      </c>
      <c r="J20" s="21">
        <v>1</v>
      </c>
      <c r="K20" s="14"/>
      <c r="L20" s="22"/>
      <c r="M20" s="30"/>
      <c r="N20" s="23"/>
      <c r="O20" s="24"/>
      <c r="P20" s="25"/>
      <c r="Q20" s="25"/>
      <c r="R20" s="27"/>
      <c r="S20" s="15">
        <v>2999</v>
      </c>
      <c r="T20" s="15">
        <v>163</v>
      </c>
      <c r="V20" s="42"/>
      <c r="W20" s="42"/>
    </row>
    <row r="21" spans="1:23">
      <c r="A21" s="34">
        <v>20</v>
      </c>
      <c r="B21" s="14">
        <v>14.99</v>
      </c>
      <c r="C21" s="14">
        <f t="shared" si="0"/>
        <v>154</v>
      </c>
      <c r="D21" s="36">
        <f>(B21+0.01)*C21*$W$2/100</f>
        <v>23100000</v>
      </c>
      <c r="E21" s="37">
        <f>SUM($D$1:D21)</f>
        <v>47410000</v>
      </c>
      <c r="F21" s="17">
        <v>34.99</v>
      </c>
      <c r="G21" s="18"/>
      <c r="H21" s="14" t="s">
        <v>2</v>
      </c>
      <c r="I21" s="29">
        <v>9</v>
      </c>
      <c r="J21" s="21">
        <f>D21</f>
        <v>23100000</v>
      </c>
      <c r="K21" s="36">
        <f>SUMIF(H21:H26,"="&amp;"金币",J21:J26)</f>
        <v>26951400</v>
      </c>
      <c r="L21" s="22">
        <f>K21/$W$2</f>
        <v>26.9514</v>
      </c>
      <c r="M21" s="37">
        <f>SUM($K$1:K21)</f>
        <v>55883080</v>
      </c>
      <c r="N21" s="23">
        <f>SUM($K$1:K21)/$W$2</f>
        <v>55.88308</v>
      </c>
      <c r="O21" s="24">
        <f>SUM($K$1:K21)/SUM($D$1:D21)</f>
        <v>1.1787192575406</v>
      </c>
      <c r="P21" s="25"/>
      <c r="Q21" s="25"/>
      <c r="R21" s="27"/>
      <c r="S21" s="15">
        <v>3499</v>
      </c>
      <c r="T21" s="15">
        <v>168</v>
      </c>
      <c r="V21" s="42"/>
      <c r="W21" s="42"/>
    </row>
    <row r="22" spans="1:23">
      <c r="A22" s="13">
        <v>21</v>
      </c>
      <c r="B22" s="14"/>
      <c r="C22" s="14" t="str">
        <f t="shared" si="0"/>
        <v/>
      </c>
      <c r="D22" s="14"/>
      <c r="E22" s="16"/>
      <c r="F22" s="17"/>
      <c r="G22" s="18"/>
      <c r="H22" s="19" t="s">
        <v>408</v>
      </c>
      <c r="I22" s="38">
        <v>3</v>
      </c>
      <c r="J22" s="21">
        <v>4</v>
      </c>
      <c r="K22" s="14"/>
      <c r="L22" s="22"/>
      <c r="M22" s="30"/>
      <c r="N22" s="23"/>
      <c r="O22" s="24"/>
      <c r="P22" s="25"/>
      <c r="Q22" s="25"/>
      <c r="R22" s="27"/>
      <c r="S22" s="15">
        <v>3999</v>
      </c>
      <c r="T22" s="15">
        <v>173</v>
      </c>
      <c r="V22" s="42"/>
      <c r="W22" s="42"/>
    </row>
    <row r="23" spans="1:23">
      <c r="A23" s="13">
        <v>22</v>
      </c>
      <c r="B23" s="14"/>
      <c r="C23" s="14" t="str">
        <f t="shared" si="0"/>
        <v/>
      </c>
      <c r="D23" s="14"/>
      <c r="E23" s="16"/>
      <c r="F23" s="17"/>
      <c r="G23" s="18">
        <v>0.1</v>
      </c>
      <c r="H23" s="19" t="s">
        <v>2</v>
      </c>
      <c r="I23" s="38">
        <v>17</v>
      </c>
      <c r="J23" s="21">
        <f>G23*$Q$6</f>
        <v>3851400</v>
      </c>
      <c r="K23" s="14"/>
      <c r="L23" s="22"/>
      <c r="M23" s="30"/>
      <c r="N23" s="23"/>
      <c r="O23" s="24"/>
      <c r="P23" s="25"/>
      <c r="Q23" s="25"/>
      <c r="R23" s="27"/>
      <c r="S23" s="15">
        <v>4499</v>
      </c>
      <c r="T23" s="15">
        <v>178</v>
      </c>
      <c r="V23" s="42"/>
      <c r="W23" s="42"/>
    </row>
    <row r="24" spans="1:23">
      <c r="A24" s="13">
        <v>23</v>
      </c>
      <c r="B24" s="14"/>
      <c r="C24" s="14" t="str">
        <f t="shared" si="0"/>
        <v/>
      </c>
      <c r="D24" s="14"/>
      <c r="E24" s="16"/>
      <c r="F24" s="17"/>
      <c r="G24" s="18"/>
      <c r="H24" s="19" t="s">
        <v>461</v>
      </c>
      <c r="I24" s="38">
        <v>4</v>
      </c>
      <c r="J24" s="21">
        <v>1</v>
      </c>
      <c r="K24" s="14"/>
      <c r="L24" s="22"/>
      <c r="M24" s="30"/>
      <c r="N24" s="23"/>
      <c r="O24" s="24"/>
      <c r="P24" s="25"/>
      <c r="Q24" s="25"/>
      <c r="R24" s="27"/>
      <c r="S24" s="15">
        <v>4999</v>
      </c>
      <c r="T24" s="15">
        <v>178</v>
      </c>
      <c r="V24" s="42"/>
      <c r="W24" s="42"/>
    </row>
    <row r="25" spans="1:23">
      <c r="A25" s="13">
        <v>24</v>
      </c>
      <c r="B25" s="14"/>
      <c r="C25" s="14" t="str">
        <f t="shared" si="0"/>
        <v/>
      </c>
      <c r="D25" s="14"/>
      <c r="E25" s="16"/>
      <c r="F25" s="17"/>
      <c r="G25" s="18"/>
      <c r="H25" s="19" t="s">
        <v>453</v>
      </c>
      <c r="I25" s="38">
        <v>3</v>
      </c>
      <c r="J25" s="21">
        <v>20</v>
      </c>
      <c r="K25" s="14"/>
      <c r="L25" s="22"/>
      <c r="M25" s="30"/>
      <c r="N25" s="23"/>
      <c r="O25" s="24"/>
      <c r="P25" s="25"/>
      <c r="Q25" s="25"/>
      <c r="R25" s="27"/>
      <c r="S25" s="15">
        <v>5499</v>
      </c>
      <c r="T25" s="15">
        <v>178</v>
      </c>
      <c r="V25" s="42"/>
      <c r="W25" s="42"/>
    </row>
    <row r="26" spans="1:23">
      <c r="A26" s="13">
        <v>25</v>
      </c>
      <c r="B26" s="14"/>
      <c r="C26" s="14" t="str">
        <f t="shared" si="0"/>
        <v/>
      </c>
      <c r="D26" s="14"/>
      <c r="E26" s="16"/>
      <c r="F26" s="17"/>
      <c r="G26" s="18"/>
      <c r="H26" s="19" t="s">
        <v>416</v>
      </c>
      <c r="I26" s="38">
        <v>3</v>
      </c>
      <c r="J26" s="21">
        <v>1</v>
      </c>
      <c r="K26" s="14"/>
      <c r="L26" s="22"/>
      <c r="M26" s="30"/>
      <c r="N26" s="23"/>
      <c r="O26" s="24"/>
      <c r="P26" s="25"/>
      <c r="Q26" s="25"/>
      <c r="R26" s="27"/>
      <c r="S26" s="15">
        <v>5999</v>
      </c>
      <c r="T26" s="15">
        <v>183</v>
      </c>
      <c r="V26" s="42"/>
      <c r="W26" s="42"/>
    </row>
    <row r="27" spans="1:23">
      <c r="A27" s="34">
        <v>26</v>
      </c>
      <c r="B27" s="14">
        <v>24.99</v>
      </c>
      <c r="C27" s="14">
        <f t="shared" si="0"/>
        <v>163</v>
      </c>
      <c r="D27" s="36">
        <f>(B27+0.01)*C27*$W$2/100</f>
        <v>40750000</v>
      </c>
      <c r="E27" s="37">
        <f>SUM($D$1:D27)</f>
        <v>88160000</v>
      </c>
      <c r="F27" s="17">
        <v>59.99</v>
      </c>
      <c r="G27" s="18"/>
      <c r="H27" s="14" t="s">
        <v>2</v>
      </c>
      <c r="I27" s="29">
        <v>9</v>
      </c>
      <c r="J27" s="21">
        <f>D27</f>
        <v>40750000</v>
      </c>
      <c r="K27" s="36">
        <f>SUMIF(H27:H32,"="&amp;"金币",J27:J32)</f>
        <v>46527100</v>
      </c>
      <c r="L27" s="22">
        <f>K27/$W$2</f>
        <v>46.5271</v>
      </c>
      <c r="M27" s="37">
        <f>SUM($K$1:K27)</f>
        <v>102410180</v>
      </c>
      <c r="N27" s="23">
        <f>K27/$W$2</f>
        <v>46.5271</v>
      </c>
      <c r="O27" s="24">
        <f>SUM($K$1:K27)/SUM($D$1:D27)</f>
        <v>1.16163997277677</v>
      </c>
      <c r="P27" s="25"/>
      <c r="Q27" s="25"/>
      <c r="R27" s="27"/>
      <c r="S27" s="15">
        <v>6999</v>
      </c>
      <c r="T27" s="15">
        <v>183</v>
      </c>
      <c r="V27" s="42"/>
      <c r="W27" s="42"/>
    </row>
    <row r="28" spans="1:23">
      <c r="A28" s="13">
        <v>27</v>
      </c>
      <c r="B28" s="14"/>
      <c r="C28" s="14" t="str">
        <f t="shared" si="0"/>
        <v/>
      </c>
      <c r="D28" s="14"/>
      <c r="E28" s="16"/>
      <c r="F28" s="17"/>
      <c r="G28" s="18"/>
      <c r="H28" s="19" t="s">
        <v>408</v>
      </c>
      <c r="I28" s="38">
        <v>3</v>
      </c>
      <c r="J28" s="21">
        <v>5</v>
      </c>
      <c r="K28" s="14"/>
      <c r="L28" s="22"/>
      <c r="M28" s="30"/>
      <c r="N28" s="23"/>
      <c r="O28" s="24"/>
      <c r="P28" s="25"/>
      <c r="Q28" s="25"/>
      <c r="R28" s="27"/>
      <c r="S28" s="15">
        <v>7499</v>
      </c>
      <c r="T28" s="15">
        <v>188</v>
      </c>
      <c r="V28" s="42"/>
      <c r="W28" s="42"/>
    </row>
    <row r="29" spans="1:23">
      <c r="A29" s="13">
        <v>28</v>
      </c>
      <c r="B29" s="14"/>
      <c r="C29" s="14" t="str">
        <f t="shared" si="0"/>
        <v/>
      </c>
      <c r="D29" s="14"/>
      <c r="E29" s="16"/>
      <c r="F29" s="17"/>
      <c r="G29" s="18">
        <v>0.15</v>
      </c>
      <c r="H29" s="19" t="s">
        <v>2</v>
      </c>
      <c r="I29" s="38">
        <v>17</v>
      </c>
      <c r="J29" s="21">
        <f>G29*$Q$6</f>
        <v>5777100</v>
      </c>
      <c r="K29" s="14"/>
      <c r="L29" s="22"/>
      <c r="M29" s="30"/>
      <c r="N29" s="23"/>
      <c r="O29" s="24"/>
      <c r="P29" s="25"/>
      <c r="Q29" s="25"/>
      <c r="R29" s="27"/>
      <c r="S29" s="15">
        <v>7999</v>
      </c>
      <c r="T29" s="15">
        <v>188</v>
      </c>
      <c r="V29" s="42"/>
      <c r="W29" s="42"/>
    </row>
    <row r="30" spans="1:23">
      <c r="A30" s="13">
        <v>29</v>
      </c>
      <c r="B30" s="14"/>
      <c r="C30" s="14" t="str">
        <f t="shared" si="0"/>
        <v/>
      </c>
      <c r="D30" s="14"/>
      <c r="E30" s="16"/>
      <c r="F30" s="17"/>
      <c r="G30" s="18"/>
      <c r="H30" s="19" t="s">
        <v>463</v>
      </c>
      <c r="I30" s="38">
        <v>4</v>
      </c>
      <c r="J30" s="21">
        <v>1</v>
      </c>
      <c r="K30" s="14"/>
      <c r="L30" s="22"/>
      <c r="M30" s="30"/>
      <c r="N30" s="23"/>
      <c r="O30" s="24"/>
      <c r="P30" s="25"/>
      <c r="Q30" s="25"/>
      <c r="R30" s="27"/>
      <c r="S30" s="15">
        <v>8999</v>
      </c>
      <c r="T30" s="15">
        <v>193</v>
      </c>
      <c r="V30" s="42"/>
      <c r="W30" s="42"/>
    </row>
    <row r="31" spans="1:23">
      <c r="A31" s="13">
        <v>30</v>
      </c>
      <c r="B31" s="14"/>
      <c r="C31" s="14" t="str">
        <f t="shared" si="0"/>
        <v/>
      </c>
      <c r="D31" s="14"/>
      <c r="E31" s="16"/>
      <c r="F31" s="17"/>
      <c r="G31" s="18"/>
      <c r="H31" s="19" t="s">
        <v>453</v>
      </c>
      <c r="I31" s="38">
        <v>3</v>
      </c>
      <c r="J31" s="21">
        <v>25</v>
      </c>
      <c r="K31" s="14"/>
      <c r="L31" s="22"/>
      <c r="M31" s="30"/>
      <c r="N31" s="23"/>
      <c r="O31" s="24"/>
      <c r="P31" s="25"/>
      <c r="Q31" s="25"/>
      <c r="R31" s="27"/>
      <c r="S31" s="15">
        <v>9999</v>
      </c>
      <c r="T31" s="15">
        <v>200</v>
      </c>
      <c r="V31" s="42"/>
      <c r="W31" s="42"/>
    </row>
    <row r="32" spans="1:23">
      <c r="A32" s="13">
        <v>31</v>
      </c>
      <c r="B32" s="14"/>
      <c r="C32" s="14" t="str">
        <f t="shared" si="0"/>
        <v/>
      </c>
      <c r="D32" s="14"/>
      <c r="E32" s="16"/>
      <c r="F32" s="17"/>
      <c r="G32" s="18"/>
      <c r="H32" s="19" t="s">
        <v>418</v>
      </c>
      <c r="I32" s="38">
        <v>3</v>
      </c>
      <c r="J32" s="21">
        <v>1</v>
      </c>
      <c r="K32" s="14"/>
      <c r="L32" s="22"/>
      <c r="M32" s="30"/>
      <c r="N32" s="23"/>
      <c r="O32" s="24"/>
      <c r="P32" s="25"/>
      <c r="Q32" s="25"/>
      <c r="R32" s="43"/>
      <c r="V32" s="42"/>
      <c r="W32" s="42"/>
    </row>
    <row r="33" spans="1:23">
      <c r="A33" s="34">
        <v>32</v>
      </c>
      <c r="B33" s="14">
        <v>34.99</v>
      </c>
      <c r="C33" s="14">
        <f t="shared" si="0"/>
        <v>168</v>
      </c>
      <c r="D33" s="36">
        <f>(B33+0.01)*C33*$W$2/100</f>
        <v>58800000</v>
      </c>
      <c r="E33" s="37">
        <f>SUM($D$1:D33)</f>
        <v>146960000</v>
      </c>
      <c r="F33" s="17">
        <v>99.99</v>
      </c>
      <c r="G33" s="18"/>
      <c r="H33" s="14" t="s">
        <v>2</v>
      </c>
      <c r="I33" s="29">
        <v>9</v>
      </c>
      <c r="J33" s="21">
        <f>D33</f>
        <v>58800000</v>
      </c>
      <c r="K33" s="36">
        <f>SUMIF(H33:H38,"="&amp;"金币",J33:J38)</f>
        <v>68428500</v>
      </c>
      <c r="L33" s="22">
        <f>K33/$W$2</f>
        <v>68.4285</v>
      </c>
      <c r="M33" s="37">
        <f>SUM($K$1:K33)</f>
        <v>170838680</v>
      </c>
      <c r="N33" s="23">
        <f>K33/$W$2</f>
        <v>68.4285</v>
      </c>
      <c r="O33" s="24">
        <f>SUM($K$1:K33)/SUM($D$1:D33)</f>
        <v>1.1624842133914</v>
      </c>
      <c r="P33" s="25"/>
      <c r="Q33" s="25"/>
      <c r="R33" s="43"/>
      <c r="V33" s="42"/>
      <c r="W33" s="42"/>
    </row>
    <row r="34" spans="1:23">
      <c r="A34" s="13">
        <v>33</v>
      </c>
      <c r="B34" s="14"/>
      <c r="C34" s="14" t="str">
        <f t="shared" si="0"/>
        <v/>
      </c>
      <c r="D34" s="14"/>
      <c r="E34" s="16"/>
      <c r="F34" s="17"/>
      <c r="G34" s="18"/>
      <c r="H34" s="19" t="s">
        <v>408</v>
      </c>
      <c r="I34" s="38">
        <v>3</v>
      </c>
      <c r="J34" s="21">
        <v>6</v>
      </c>
      <c r="K34" s="14"/>
      <c r="L34" s="22"/>
      <c r="M34" s="30"/>
      <c r="N34" s="23"/>
      <c r="O34" s="24"/>
      <c r="P34" s="25"/>
      <c r="Q34" s="25"/>
      <c r="R34" s="43"/>
      <c r="V34" s="42"/>
      <c r="W34" s="42"/>
    </row>
    <row r="35" spans="1:23">
      <c r="A35" s="13">
        <v>34</v>
      </c>
      <c r="B35" s="14"/>
      <c r="C35" s="14" t="str">
        <f t="shared" si="0"/>
        <v/>
      </c>
      <c r="D35" s="14"/>
      <c r="E35" s="16"/>
      <c r="F35" s="17"/>
      <c r="G35" s="18">
        <v>0.25</v>
      </c>
      <c r="H35" s="19" t="s">
        <v>2</v>
      </c>
      <c r="I35" s="38">
        <v>17</v>
      </c>
      <c r="J35" s="21">
        <f>G35*$Q$6</f>
        <v>9628499.99999999</v>
      </c>
      <c r="K35" s="14"/>
      <c r="L35" s="22"/>
      <c r="M35" s="30"/>
      <c r="N35" s="23"/>
      <c r="O35" s="24"/>
      <c r="P35" s="25"/>
      <c r="Q35" s="25"/>
      <c r="R35" s="43"/>
      <c r="V35" s="42"/>
      <c r="W35" s="42"/>
    </row>
    <row r="36" spans="1:23">
      <c r="A36" s="13">
        <v>35</v>
      </c>
      <c r="B36" s="14"/>
      <c r="C36" s="14" t="str">
        <f t="shared" si="0"/>
        <v/>
      </c>
      <c r="D36" s="14"/>
      <c r="E36" s="16"/>
      <c r="F36" s="17"/>
      <c r="G36" s="18"/>
      <c r="H36" s="19" t="s">
        <v>463</v>
      </c>
      <c r="I36" s="38">
        <v>4</v>
      </c>
      <c r="J36" s="21">
        <v>1</v>
      </c>
      <c r="K36" s="14"/>
      <c r="L36" s="22"/>
      <c r="M36" s="30"/>
      <c r="N36" s="23"/>
      <c r="O36" s="24"/>
      <c r="P36" s="25"/>
      <c r="Q36" s="25"/>
      <c r="R36" s="43"/>
      <c r="V36" s="42"/>
      <c r="W36" s="42"/>
    </row>
    <row r="37" spans="1:23">
      <c r="A37" s="13">
        <v>36</v>
      </c>
      <c r="B37" s="14"/>
      <c r="C37" s="14" t="str">
        <f t="shared" si="0"/>
        <v/>
      </c>
      <c r="D37" s="14"/>
      <c r="E37" s="16"/>
      <c r="F37" s="17"/>
      <c r="G37" s="18"/>
      <c r="H37" s="19" t="s">
        <v>453</v>
      </c>
      <c r="I37" s="38">
        <v>3</v>
      </c>
      <c r="J37" s="21">
        <v>30</v>
      </c>
      <c r="K37" s="14"/>
      <c r="L37" s="22"/>
      <c r="M37" s="30"/>
      <c r="N37" s="23"/>
      <c r="O37" s="24"/>
      <c r="P37" s="25"/>
      <c r="Q37" s="25"/>
      <c r="R37" s="43"/>
      <c r="V37" s="42"/>
      <c r="W37" s="42"/>
    </row>
    <row r="38" spans="1:23">
      <c r="A38" s="13">
        <v>37</v>
      </c>
      <c r="B38" s="14"/>
      <c r="C38" s="14" t="str">
        <f t="shared" si="0"/>
        <v/>
      </c>
      <c r="D38" s="14"/>
      <c r="E38" s="16"/>
      <c r="F38" s="17"/>
      <c r="G38" s="18"/>
      <c r="H38" s="19" t="s">
        <v>420</v>
      </c>
      <c r="I38" s="38">
        <v>3</v>
      </c>
      <c r="J38" s="21">
        <v>1</v>
      </c>
      <c r="K38" s="14"/>
      <c r="L38" s="22"/>
      <c r="M38" s="30"/>
      <c r="N38" s="23"/>
      <c r="O38" s="24"/>
      <c r="P38" s="25"/>
      <c r="Q38" s="25"/>
      <c r="R38" s="43"/>
      <c r="V38" s="42"/>
      <c r="W38" s="42"/>
    </row>
    <row r="39" spans="1:23">
      <c r="A39" s="34">
        <v>38</v>
      </c>
      <c r="B39" s="14">
        <v>59.99</v>
      </c>
      <c r="C39" s="14">
        <f t="shared" si="0"/>
        <v>183</v>
      </c>
      <c r="D39" s="36">
        <f>(B39+0.01)*C39*$W$2/100</f>
        <v>109800000</v>
      </c>
      <c r="E39" s="37">
        <f>SUM($D$1:D39)</f>
        <v>256760000</v>
      </c>
      <c r="F39" s="17">
        <v>159.99</v>
      </c>
      <c r="G39" s="18"/>
      <c r="H39" s="14" t="s">
        <v>2</v>
      </c>
      <c r="I39" s="29">
        <v>9</v>
      </c>
      <c r="J39" s="21">
        <f>D39</f>
        <v>109800000</v>
      </c>
      <c r="K39" s="36">
        <f>SUMIF(H39:H44,"="&amp;"金币",J39:J44)</f>
        <v>124435320</v>
      </c>
      <c r="L39" s="22">
        <f>K39/$W$2</f>
        <v>124.43532</v>
      </c>
      <c r="M39" s="37">
        <f>SUM($K$1:K39)</f>
        <v>295274000</v>
      </c>
      <c r="N39" s="23">
        <f>K39/$W$2</f>
        <v>124.43532</v>
      </c>
      <c r="O39" s="24">
        <f>SUM($K$1:K39)/SUM($D$1:D39)</f>
        <v>1.15</v>
      </c>
      <c r="P39" s="25"/>
      <c r="Q39" s="25"/>
      <c r="R39" s="43"/>
      <c r="V39" s="42"/>
      <c r="W39" s="42"/>
    </row>
    <row r="40" spans="1:23">
      <c r="A40" s="13">
        <v>39</v>
      </c>
      <c r="B40" s="14"/>
      <c r="C40" s="14" t="str">
        <f t="shared" si="0"/>
        <v/>
      </c>
      <c r="D40" s="14"/>
      <c r="E40" s="16"/>
      <c r="F40" s="17"/>
      <c r="G40" s="18"/>
      <c r="H40" s="19" t="s">
        <v>408</v>
      </c>
      <c r="I40" s="38">
        <v>3</v>
      </c>
      <c r="J40" s="21">
        <v>7</v>
      </c>
      <c r="K40" s="14"/>
      <c r="L40" s="22"/>
      <c r="M40" s="30"/>
      <c r="N40" s="23"/>
      <c r="O40" s="24"/>
      <c r="P40" s="25"/>
      <c r="Q40" s="25"/>
      <c r="R40" s="43"/>
      <c r="V40" s="42"/>
      <c r="W40" s="42"/>
    </row>
    <row r="41" spans="1:23">
      <c r="A41" s="13">
        <v>40</v>
      </c>
      <c r="B41" s="14"/>
      <c r="C41" s="14" t="str">
        <f t="shared" si="0"/>
        <v/>
      </c>
      <c r="D41" s="14"/>
      <c r="E41" s="16"/>
      <c r="F41" s="17"/>
      <c r="G41" s="18">
        <v>0.38</v>
      </c>
      <c r="H41" s="19" t="s">
        <v>2</v>
      </c>
      <c r="I41" s="38">
        <v>17</v>
      </c>
      <c r="J41" s="21">
        <f>G41*$Q$6</f>
        <v>14635320</v>
      </c>
      <c r="K41" s="14"/>
      <c r="L41" s="22"/>
      <c r="M41" s="30"/>
      <c r="N41" s="23"/>
      <c r="O41" s="24"/>
      <c r="P41" s="25"/>
      <c r="Q41" s="25"/>
      <c r="R41" s="43"/>
      <c r="V41" s="42"/>
      <c r="W41" s="42"/>
    </row>
    <row r="42" spans="1:23">
      <c r="A42" s="13">
        <v>41</v>
      </c>
      <c r="B42" s="14"/>
      <c r="C42" s="14" t="str">
        <f t="shared" si="0"/>
        <v/>
      </c>
      <c r="D42" s="14"/>
      <c r="E42" s="16"/>
      <c r="F42" s="17"/>
      <c r="G42" s="18"/>
      <c r="H42" s="19" t="s">
        <v>473</v>
      </c>
      <c r="I42" s="38">
        <v>4</v>
      </c>
      <c r="J42" s="21">
        <v>1</v>
      </c>
      <c r="K42" s="14"/>
      <c r="L42" s="22"/>
      <c r="M42" s="30"/>
      <c r="N42" s="23"/>
      <c r="O42" s="24"/>
      <c r="P42" s="25"/>
      <c r="Q42" s="25"/>
      <c r="R42" s="43"/>
      <c r="V42" s="42"/>
      <c r="W42" s="42"/>
    </row>
    <row r="43" spans="1:23">
      <c r="A43" s="13">
        <v>42</v>
      </c>
      <c r="B43" s="14"/>
      <c r="C43" s="14" t="str">
        <f t="shared" si="0"/>
        <v/>
      </c>
      <c r="D43" s="14"/>
      <c r="E43" s="16"/>
      <c r="F43" s="17"/>
      <c r="G43" s="18"/>
      <c r="H43" s="19" t="s">
        <v>453</v>
      </c>
      <c r="I43" s="38">
        <v>3</v>
      </c>
      <c r="J43" s="21">
        <v>35</v>
      </c>
      <c r="K43" s="14"/>
      <c r="L43" s="22"/>
      <c r="M43" s="30"/>
      <c r="N43" s="23"/>
      <c r="O43" s="24"/>
      <c r="P43" s="25"/>
      <c r="Q43" s="25"/>
      <c r="R43" s="43"/>
      <c r="V43" s="42"/>
      <c r="W43" s="42"/>
    </row>
    <row r="44" spans="1:23">
      <c r="A44" s="13">
        <v>43</v>
      </c>
      <c r="B44" s="14"/>
      <c r="C44" s="14" t="str">
        <f t="shared" si="0"/>
        <v/>
      </c>
      <c r="D44" s="14"/>
      <c r="E44" s="16"/>
      <c r="F44" s="17"/>
      <c r="G44" s="18"/>
      <c r="H44" s="19" t="s">
        <v>422</v>
      </c>
      <c r="I44" s="38">
        <v>3</v>
      </c>
      <c r="J44" s="21">
        <v>1</v>
      </c>
      <c r="K44" s="14"/>
      <c r="L44" s="22"/>
      <c r="M44" s="30"/>
      <c r="N44" s="23"/>
      <c r="O44" s="24"/>
      <c r="P44" s="25"/>
      <c r="Q44" s="25"/>
      <c r="R44" s="43"/>
      <c r="V44" s="42"/>
      <c r="W44" s="42"/>
    </row>
    <row r="45" spans="1:23">
      <c r="V45" s="42"/>
      <c r="W45" s="42"/>
    </row>
    <row r="46" spans="1:23">
      <c r="V46" s="42"/>
      <c r="W46" s="42"/>
    </row>
    <row r="47" spans="1:23">
      <c r="V47" s="42"/>
      <c r="W47" s="42"/>
    </row>
    <row r="48" spans="1:23">
      <c r="V48" s="42"/>
      <c r="W48" s="42"/>
    </row>
    <row r="49" spans="22:23">
      <c r="V49" s="42"/>
      <c r="W49" s="42"/>
    </row>
    <row r="50" spans="22:23">
      <c r="V50" s="42"/>
      <c r="W50" s="42"/>
    </row>
    <row r="51" spans="22:23">
      <c r="V51" s="42"/>
      <c r="W51" s="42"/>
    </row>
    <row r="52" spans="22:23">
      <c r="V52" s="42"/>
      <c r="W52" s="42"/>
    </row>
    <row r="53" spans="22:23">
      <c r="V53" s="42"/>
      <c r="W53" s="42"/>
    </row>
    <row r="54" spans="22:23">
      <c r="V54" s="42"/>
      <c r="W54" s="42"/>
    </row>
    <row r="55" spans="22:23">
      <c r="V55" s="42"/>
      <c r="W55" s="42"/>
    </row>
    <row r="56" spans="22:23">
      <c r="V56" s="42"/>
      <c r="W56" s="42"/>
    </row>
    <row r="57" spans="22:23">
      <c r="V57" s="42"/>
      <c r="W57" s="42"/>
    </row>
    <row r="58" spans="22:23">
      <c r="V58" s="42"/>
      <c r="W58" s="42"/>
    </row>
    <row r="59" spans="22:23">
      <c r="V59" s="42"/>
      <c r="W59" s="42"/>
    </row>
    <row r="60" spans="22:23">
      <c r="V60" s="42"/>
      <c r="W60" s="42"/>
    </row>
    <row r="61" spans="22:23">
      <c r="V61" s="42"/>
      <c r="W61" s="42"/>
    </row>
    <row r="62" spans="22:23">
      <c r="V62" s="42"/>
      <c r="W62" s="42"/>
    </row>
    <row r="63" spans="22:23">
      <c r="V63" s="42"/>
      <c r="W63" s="42"/>
    </row>
    <row r="64" spans="22:23">
      <c r="V64" s="42"/>
      <c r="W64" s="42"/>
    </row>
    <row r="65" spans="22:23">
      <c r="V65" s="42"/>
      <c r="W65" s="42"/>
    </row>
    <row r="66" spans="22:23">
      <c r="V66" s="42"/>
      <c r="W66" s="42"/>
    </row>
    <row r="67" spans="22:23">
      <c r="V67" s="42"/>
      <c r="W67" s="42"/>
    </row>
    <row r="68" spans="22:23">
      <c r="V68" s="42"/>
      <c r="W68" s="42"/>
    </row>
    <row r="69" spans="22:23">
      <c r="V69" s="42"/>
      <c r="W69" s="42"/>
    </row>
    <row r="70" spans="22:23">
      <c r="V70" s="42"/>
      <c r="W70" s="42"/>
    </row>
    <row r="71" spans="22:23">
      <c r="V71" s="42"/>
      <c r="W71" s="42"/>
    </row>
    <row r="72" spans="22:23">
      <c r="V72" s="42"/>
      <c r="W72" s="42"/>
    </row>
    <row r="73" spans="22:23">
      <c r="V73" s="42"/>
      <c r="W73" s="42"/>
    </row>
    <row r="74" spans="22:23">
      <c r="V74" s="42"/>
      <c r="W74" s="42"/>
    </row>
    <row r="75" spans="22:23">
      <c r="V75" s="42"/>
      <c r="W75" s="42"/>
    </row>
    <row r="76" spans="22:23">
      <c r="V76" s="42"/>
      <c r="W76" s="42"/>
    </row>
    <row r="77" spans="22:23">
      <c r="V77" s="42"/>
      <c r="W77" s="42"/>
    </row>
    <row r="78" spans="22:23">
      <c r="V78" s="42"/>
      <c r="W78" s="42"/>
    </row>
    <row r="79" spans="22:23">
      <c r="V79" s="42"/>
      <c r="W79" s="42"/>
    </row>
    <row r="80" spans="22:23">
      <c r="V80" s="42"/>
      <c r="W80" s="42"/>
    </row>
    <row r="81" spans="22:23">
      <c r="V81" s="42"/>
      <c r="W81" s="42"/>
    </row>
    <row r="82" spans="22:23">
      <c r="V82" s="42"/>
      <c r="W82" s="42"/>
    </row>
    <row r="83" spans="22:23">
      <c r="V83" s="42"/>
      <c r="W83" s="42"/>
    </row>
    <row r="84" spans="22:23">
      <c r="V84" s="42"/>
      <c r="W84" s="42"/>
    </row>
    <row r="85" spans="22:23">
      <c r="V85" s="42"/>
      <c r="W85" s="42"/>
    </row>
    <row r="86" spans="22:23">
      <c r="V86" s="42"/>
      <c r="W86" s="42"/>
    </row>
    <row r="87" spans="22:23">
      <c r="V87" s="42"/>
      <c r="W87" s="42"/>
    </row>
    <row r="88" spans="22:23">
      <c r="V88" s="42"/>
      <c r="W88" s="42"/>
    </row>
    <row r="89" spans="22:23">
      <c r="V89" s="42"/>
      <c r="W89" s="42"/>
    </row>
    <row r="90" spans="22:23">
      <c r="V90" s="42"/>
      <c r="W90" s="42"/>
    </row>
    <row r="91" spans="22:23">
      <c r="V91" s="42"/>
      <c r="W91" s="42"/>
    </row>
    <row r="92" spans="22:23">
      <c r="V92" s="42"/>
      <c r="W92" s="42"/>
    </row>
    <row r="93" spans="22:23">
      <c r="V93" s="42"/>
      <c r="W93" s="42"/>
    </row>
    <row r="94" spans="22:23">
      <c r="V94" s="42"/>
      <c r="W94" s="42"/>
    </row>
    <row r="95" spans="22:23">
      <c r="V95" s="42"/>
      <c r="W95" s="42"/>
    </row>
    <row r="96" spans="22:23">
      <c r="V96" s="42"/>
      <c r="W96" s="42"/>
    </row>
    <row r="97" spans="22:23">
      <c r="V97" s="42"/>
      <c r="W97" s="42"/>
    </row>
    <row r="98" spans="22:23">
      <c r="V98" s="42"/>
      <c r="W98" s="42"/>
    </row>
    <row r="99" spans="22:23">
      <c r="V99" s="42"/>
      <c r="W99" s="42"/>
    </row>
    <row r="100" spans="22:23">
      <c r="V100" s="42"/>
      <c r="W100" s="42"/>
    </row>
    <row r="101" spans="22:23">
      <c r="V101" s="42"/>
      <c r="W101" s="42"/>
    </row>
    <row r="102" spans="22:23">
      <c r="V102" s="42"/>
      <c r="W102" s="42"/>
    </row>
    <row r="103" spans="22:23">
      <c r="V103" s="42"/>
      <c r="W103" s="42"/>
    </row>
    <row r="104" spans="22:23">
      <c r="V104" s="42"/>
      <c r="W104" s="42"/>
    </row>
    <row r="105" spans="22:23">
      <c r="V105" s="42"/>
      <c r="W105" s="42"/>
    </row>
    <row r="106" spans="22:23">
      <c r="V106" s="42"/>
      <c r="W106" s="42"/>
    </row>
    <row r="107" spans="22:23">
      <c r="V107" s="42"/>
      <c r="W107" s="42"/>
    </row>
    <row r="108" spans="22:23">
      <c r="V108" s="42"/>
      <c r="W108" s="42"/>
    </row>
    <row r="109" spans="22:23">
      <c r="V109" s="42"/>
      <c r="W109" s="42"/>
    </row>
    <row r="110" spans="22:23">
      <c r="V110" s="42"/>
      <c r="W110" s="42"/>
    </row>
    <row r="111" spans="22:23">
      <c r="V111" s="42"/>
      <c r="W111" s="42"/>
    </row>
    <row r="112" spans="22:23">
      <c r="V112" s="42"/>
      <c r="W112" s="42"/>
    </row>
    <row r="113" spans="22:23">
      <c r="V113" s="42"/>
      <c r="W113" s="42"/>
    </row>
    <row r="114" spans="22:23">
      <c r="V114" s="42"/>
      <c r="W114" s="42"/>
    </row>
    <row r="115" spans="22:23">
      <c r="V115" s="42"/>
      <c r="W115" s="42"/>
    </row>
    <row r="116" spans="22:23">
      <c r="V116" s="42"/>
      <c r="W116" s="42"/>
    </row>
    <row r="117" spans="22:23">
      <c r="V117" s="42"/>
      <c r="W117" s="42"/>
    </row>
    <row r="118" spans="22:23">
      <c r="V118" s="42"/>
      <c r="W118" s="42"/>
    </row>
    <row r="119" spans="22:23">
      <c r="V119" s="42"/>
      <c r="W119" s="42"/>
    </row>
    <row r="120" spans="22:23">
      <c r="V120" s="42"/>
      <c r="W120" s="42"/>
    </row>
    <row r="121" spans="22:23">
      <c r="V121" s="42"/>
      <c r="W121" s="42"/>
    </row>
    <row r="122" spans="22:23">
      <c r="V122" s="42"/>
      <c r="W122" s="42"/>
    </row>
    <row r="123" spans="22:23">
      <c r="V123" s="42"/>
      <c r="W123" s="42"/>
    </row>
    <row r="124" spans="22:23">
      <c r="V124" s="42"/>
      <c r="W124" s="42"/>
    </row>
    <row r="125" spans="22:23">
      <c r="V125" s="42"/>
      <c r="W125" s="42"/>
    </row>
    <row r="126" spans="22:23">
      <c r="V126" s="42"/>
      <c r="W126" s="42"/>
    </row>
    <row r="127" spans="22:23">
      <c r="V127" s="42"/>
      <c r="W127" s="42"/>
    </row>
    <row r="128" spans="22:23">
      <c r="V128" s="42"/>
      <c r="W128" s="42"/>
    </row>
    <row r="129" spans="22:23">
      <c r="V129" s="42"/>
      <c r="W129" s="42"/>
    </row>
    <row r="130" spans="22:23">
      <c r="V130" s="42"/>
      <c r="W130" s="42"/>
    </row>
    <row r="131" spans="22:23">
      <c r="V131" s="42"/>
      <c r="W131" s="42"/>
    </row>
    <row r="132" spans="22:23">
      <c r="V132" s="42"/>
      <c r="W132" s="42"/>
    </row>
    <row r="133" spans="22:23">
      <c r="V133" s="42"/>
      <c r="W133" s="42"/>
    </row>
    <row r="134" spans="22:23">
      <c r="V134" s="42"/>
      <c r="W134" s="42"/>
    </row>
    <row r="135" spans="22:23">
      <c r="V135" s="42"/>
      <c r="W135" s="42"/>
    </row>
    <row r="136" spans="22:23">
      <c r="V136" s="42"/>
      <c r="W136" s="42"/>
    </row>
    <row r="137" spans="22:23">
      <c r="V137" s="42"/>
      <c r="W137" s="42"/>
    </row>
    <row r="138" spans="22:23">
      <c r="V138" s="42"/>
      <c r="W138" s="42"/>
    </row>
    <row r="139" spans="22:23">
      <c r="V139" s="42"/>
      <c r="W139" s="42"/>
    </row>
    <row r="140" spans="22:23">
      <c r="V140" s="42"/>
      <c r="W140" s="42"/>
    </row>
    <row r="141" spans="22:23">
      <c r="V141" s="42"/>
      <c r="W141" s="42"/>
    </row>
    <row r="142" spans="22:23">
      <c r="V142" s="42"/>
      <c r="W142" s="42"/>
    </row>
    <row r="143" spans="22:23">
      <c r="V143" s="42"/>
      <c r="W143" s="42"/>
    </row>
    <row r="144" spans="22:23">
      <c r="V144" s="42"/>
      <c r="W144" s="42"/>
    </row>
    <row r="145" spans="22:23">
      <c r="V145" s="42"/>
      <c r="W145" s="42"/>
    </row>
    <row r="146" spans="22:23">
      <c r="V146" s="42"/>
      <c r="W146" s="42"/>
    </row>
    <row r="147" spans="22:23">
      <c r="V147" s="42"/>
      <c r="W147" s="42"/>
    </row>
    <row r="148" spans="22:23">
      <c r="V148" s="42"/>
      <c r="W148" s="42"/>
    </row>
    <row r="149" spans="22:23">
      <c r="V149" s="42"/>
      <c r="W149" s="42"/>
    </row>
    <row r="150" spans="22:23">
      <c r="V150" s="42"/>
      <c r="W150" s="42"/>
    </row>
    <row r="151" spans="22:23">
      <c r="V151" s="42"/>
      <c r="W151" s="42"/>
    </row>
    <row r="152" spans="22:23">
      <c r="V152" s="42"/>
      <c r="W152" s="42"/>
    </row>
    <row r="153" spans="22:23">
      <c r="V153" s="42"/>
      <c r="W153" s="42"/>
    </row>
    <row r="154" spans="22:23">
      <c r="V154" s="42"/>
      <c r="W154" s="42"/>
    </row>
    <row r="155" spans="22:23">
      <c r="V155" s="42"/>
      <c r="W155" s="42"/>
    </row>
    <row r="156" spans="22:23">
      <c r="V156" s="42"/>
      <c r="W156" s="42"/>
    </row>
    <row r="157" spans="22:23">
      <c r="V157" s="42"/>
      <c r="W157" s="42"/>
    </row>
    <row r="158" spans="22:23">
      <c r="V158" s="42"/>
      <c r="W158" s="42"/>
    </row>
    <row r="159" spans="22:23">
      <c r="V159" s="42"/>
      <c r="W159" s="42"/>
    </row>
    <row r="160" spans="22:23">
      <c r="V160" s="42"/>
      <c r="W160" s="42"/>
    </row>
    <row r="161" spans="22:23">
      <c r="V161" s="42"/>
      <c r="W161" s="42"/>
    </row>
    <row r="162" spans="22:23">
      <c r="V162" s="42"/>
      <c r="W162" s="42"/>
    </row>
    <row r="163" spans="22:23">
      <c r="V163" s="42"/>
      <c r="W163" s="42"/>
    </row>
    <row r="164" spans="22:23">
      <c r="V164" s="42"/>
      <c r="W164" s="42"/>
    </row>
    <row r="165" spans="22:23">
      <c r="V165" s="42"/>
      <c r="W165" s="42"/>
    </row>
    <row r="166" spans="22:23">
      <c r="V166" s="42"/>
      <c r="W166" s="42"/>
    </row>
    <row r="167" spans="22:23">
      <c r="V167" s="42"/>
      <c r="W167" s="42"/>
    </row>
    <row r="168" spans="22:23">
      <c r="V168" s="42"/>
      <c r="W168" s="42"/>
    </row>
    <row r="169" spans="22:23">
      <c r="V169" s="42"/>
      <c r="W169" s="42"/>
    </row>
    <row r="170" spans="22:23">
      <c r="V170" s="42"/>
      <c r="W170" s="42"/>
    </row>
    <row r="171" spans="22:23">
      <c r="V171" s="42"/>
      <c r="W171" s="42"/>
    </row>
    <row r="172" spans="22:23">
      <c r="V172" s="42"/>
      <c r="W172" s="42"/>
    </row>
    <row r="173" spans="22:23">
      <c r="V173" s="42"/>
      <c r="W173" s="42"/>
    </row>
    <row r="174" spans="22:23">
      <c r="V174" s="42"/>
      <c r="W174" s="42"/>
    </row>
    <row r="175" spans="22:23">
      <c r="V175" s="42"/>
      <c r="W175" s="42"/>
    </row>
    <row r="176" spans="22:23">
      <c r="V176" s="42"/>
      <c r="W176" s="42"/>
    </row>
    <row r="177" spans="22:23">
      <c r="V177" s="42"/>
      <c r="W177" s="42"/>
    </row>
    <row r="178" spans="22:23">
      <c r="V178" s="42"/>
      <c r="W178" s="42"/>
    </row>
    <row r="179" spans="22:23">
      <c r="V179" s="42"/>
      <c r="W179" s="42"/>
    </row>
    <row r="180" spans="22:23">
      <c r="V180" s="42"/>
      <c r="W180" s="42"/>
    </row>
    <row r="181" spans="22:23">
      <c r="V181" s="42"/>
      <c r="W181" s="42"/>
    </row>
    <row r="182" spans="22:23">
      <c r="V182" s="42"/>
      <c r="W182" s="42"/>
    </row>
    <row r="183" spans="22:23">
      <c r="V183" s="42"/>
      <c r="W183" s="42"/>
    </row>
    <row r="184" spans="22:23">
      <c r="V184" s="42"/>
      <c r="W184" s="42"/>
    </row>
    <row r="185" spans="22:23">
      <c r="V185" s="42"/>
      <c r="W185" s="42"/>
    </row>
    <row r="186" spans="22:23">
      <c r="V186" s="42"/>
      <c r="W186" s="42"/>
    </row>
    <row r="187" spans="22:23">
      <c r="V187" s="42"/>
      <c r="W187" s="42"/>
    </row>
    <row r="188" spans="22:23">
      <c r="V188" s="42"/>
      <c r="W188" s="42"/>
    </row>
    <row r="189" spans="22:23">
      <c r="V189" s="42"/>
      <c r="W189" s="42"/>
    </row>
    <row r="190" spans="22:23">
      <c r="V190" s="42"/>
      <c r="W190" s="42"/>
    </row>
    <row r="191" spans="22:23">
      <c r="V191" s="42"/>
      <c r="W191" s="42"/>
    </row>
    <row r="192" spans="22:23">
      <c r="V192" s="42"/>
      <c r="W192" s="42"/>
    </row>
    <row r="193" spans="22:23">
      <c r="V193" s="42"/>
      <c r="W193" s="42"/>
    </row>
    <row r="194" spans="22:23">
      <c r="V194" s="42"/>
      <c r="W194" s="42"/>
    </row>
    <row r="195" spans="22:23">
      <c r="V195" s="42"/>
      <c r="W195" s="42"/>
    </row>
    <row r="196" spans="22:23">
      <c r="V196" s="42"/>
      <c r="W196" s="42"/>
    </row>
    <row r="197" spans="22:23">
      <c r="V197" s="42"/>
      <c r="W197" s="42"/>
    </row>
    <row r="198" spans="22:23">
      <c r="V198" s="42"/>
      <c r="W198" s="4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frenzy进度</vt:lpstr>
      <vt:lpstr>TreasureHuntReward</vt:lpstr>
      <vt:lpstr>TreasureHuntLevel</vt:lpstr>
      <vt:lpstr>道具</vt:lpstr>
      <vt:lpstr>转换</vt:lpstr>
      <vt:lpstr>体验表-备份</vt:lpstr>
      <vt:lpstr>体验表-带进度条</vt:lpstr>
      <vt:lpstr>体验表-12.11</vt:lpstr>
      <vt:lpstr>体验表-原始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zhaoyuwan</dc:creator>
  <cp:lastModifiedBy>企业用户_244823163</cp:lastModifiedBy>
  <dcterms:created xsi:type="dcterms:W3CDTF">2023-07-15T11:03:00Z</dcterms:created>
  <dcterms:modified xsi:type="dcterms:W3CDTF">2026-01-04T08:33:51Z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322B915D51C248C2AB3714DF51A07328_12</vt:lpwstr>
  </property>
  <property fmtid="{D5CDD505-2E9C-101B-9397-08002B2CF9AE}" pid="4" name="CalculationRule">
    <vt:i4>0</vt:i4>
  </property>
</Properties>
</file>