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OnePlusSixGift" sheetId="1" r:id="rId1"/>
    <sheet name="frenzy" sheetId="2" state="hidden" r:id="rId2"/>
    <sheet name="数值体验表" sheetId="3" r:id="rId3"/>
    <sheet name="道具id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<sst xmlns="http://schemas.openxmlformats.org/spreadsheetml/2006/main" count="259" uniqueCount="196">
  <si>
    <t>Id</t>
  </si>
  <si>
    <t>Group</t>
  </si>
  <si>
    <t>Type</t>
  </si>
  <si>
    <t>ItemIDgp</t>
  </si>
  <si>
    <t>ItemIDiap</t>
  </si>
  <si>
    <t>Money</t>
  </si>
  <si>
    <t>Sort</t>
  </si>
  <si>
    <t>rewardType_3_0</t>
  </si>
  <si>
    <t>rewardId_3_0</t>
  </si>
  <si>
    <t>rewardNum_3_0</t>
  </si>
  <si>
    <t>rewardType_3_1</t>
  </si>
  <si>
    <t>rewardId_3_1</t>
  </si>
  <si>
    <t>rewardNum_3_1</t>
  </si>
  <si>
    <t>rewardType_3_2</t>
  </si>
  <si>
    <t>rewardId_3_2</t>
  </si>
  <si>
    <t>rewardNum_3_2</t>
  </si>
  <si>
    <t>int_key</t>
  </si>
  <si>
    <t>int</t>
  </si>
  <si>
    <t>string</t>
  </si>
  <si>
    <t>s</t>
  </si>
  <si>
    <t>唯一索引</t>
  </si>
  <si>
    <t>分组定价</t>
  </si>
  <si>
    <t>1.free
2.购买项</t>
  </si>
  <si>
    <t>谷歌订单号</t>
  </si>
  <si>
    <t>苹果订单号</t>
  </si>
  <si>
    <t>价格
(以PayDiamond为准)</t>
  </si>
  <si>
    <t>排序</t>
  </si>
  <si>
    <t>奖励类型
1金币
2钻石
3道具
4卡包
9美金(查表)
17美金金币</t>
  </si>
  <si>
    <t>奖励物品ID1
1金币
2钻石
3物品id</t>
  </si>
  <si>
    <t>奖励数量1</t>
  </si>
  <si>
    <t>价格</t>
  </si>
  <si>
    <t>id</t>
  </si>
  <si>
    <t>类型</t>
  </si>
  <si>
    <t>数量</t>
  </si>
  <si>
    <t>等价美金</t>
  </si>
  <si>
    <t>单位金币</t>
  </si>
  <si>
    <t>单位钻石</t>
  </si>
  <si>
    <t>商店折扣</t>
  </si>
  <si>
    <t>金币</t>
  </si>
  <si>
    <t>折扣</t>
  </si>
  <si>
    <t>免费金币奖励buff</t>
  </si>
  <si>
    <t>相对折扣</t>
  </si>
  <si>
    <t>钻石</t>
  </si>
  <si>
    <t>道具</t>
  </si>
  <si>
    <t>免费金币加速buff</t>
  </si>
  <si>
    <t>定价</t>
  </si>
  <si>
    <t>档位膨胀</t>
  </si>
  <si>
    <t>美金膨胀</t>
  </si>
  <si>
    <t>档位</t>
  </si>
  <si>
    <t>膨胀</t>
  </si>
  <si>
    <t>name</t>
  </si>
  <si>
    <t>_comm</t>
  </si>
  <si>
    <t>itemID</t>
  </si>
  <si>
    <t>价值</t>
  </si>
  <si>
    <t>string_lan</t>
  </si>
  <si>
    <t>uint_key</t>
  </si>
  <si>
    <t>cs</t>
  </si>
  <si>
    <t>skip</t>
  </si>
  <si>
    <t>//名字</t>
  </si>
  <si>
    <t>//注释</t>
  </si>
  <si>
    <t>//物品的ID</t>
  </si>
  <si>
    <t>cake</t>
  </si>
  <si>
    <t>蛋糕</t>
  </si>
  <si>
    <t>heart</t>
  </si>
  <si>
    <t>心</t>
  </si>
  <si>
    <t>Roadster</t>
  </si>
  <si>
    <t>跑车</t>
  </si>
  <si>
    <t>Houseboat</t>
  </si>
  <si>
    <t>游艇</t>
  </si>
  <si>
    <t>Castle</t>
  </si>
  <si>
    <t>城堡</t>
  </si>
  <si>
    <t>Necklace</t>
  </si>
  <si>
    <t>项链</t>
  </si>
  <si>
    <t>Flower</t>
  </si>
  <si>
    <t>玫瑰</t>
  </si>
  <si>
    <t>bombs</t>
  </si>
  <si>
    <t>炸弹</t>
  </si>
  <si>
    <t>like</t>
  </si>
  <si>
    <t>赞</t>
  </si>
  <si>
    <t>Punch</t>
  </si>
  <si>
    <t>击拳</t>
  </si>
  <si>
    <t>Bucket</t>
  </si>
  <si>
    <t>水桶</t>
  </si>
  <si>
    <t>Juicy 3</t>
  </si>
  <si>
    <t>果汁3</t>
  </si>
  <si>
    <t>Clap</t>
  </si>
  <si>
    <t>鼓掌</t>
  </si>
  <si>
    <t>Ring</t>
  </si>
  <si>
    <t>戒指</t>
  </si>
  <si>
    <t>Poo</t>
  </si>
  <si>
    <t>便便</t>
  </si>
  <si>
    <t>Fish</t>
  </si>
  <si>
    <t>鱼</t>
  </si>
  <si>
    <t>Turtle</t>
  </si>
  <si>
    <t>乌龟</t>
  </si>
  <si>
    <t>Kiss</t>
  </si>
  <si>
    <t>吻</t>
  </si>
  <si>
    <t>head</t>
  </si>
  <si>
    <t>帽子</t>
  </si>
  <si>
    <t>donkey</t>
  </si>
  <si>
    <t>驴</t>
  </si>
  <si>
    <t>snake</t>
  </si>
  <si>
    <t>蛇</t>
  </si>
  <si>
    <t>chocolate</t>
  </si>
  <si>
    <t>巧克力</t>
  </si>
  <si>
    <t>Dolls</t>
  </si>
  <si>
    <t>玩偶</t>
  </si>
  <si>
    <t>hot dog</t>
  </si>
  <si>
    <t>热狗</t>
  </si>
  <si>
    <t>Juicy 1</t>
  </si>
  <si>
    <t>果汁1</t>
  </si>
  <si>
    <t>Juicy 2</t>
  </si>
  <si>
    <t>果汁2</t>
  </si>
  <si>
    <t>Coffee</t>
  </si>
  <si>
    <t>咖啡</t>
  </si>
  <si>
    <t>Beer</t>
  </si>
  <si>
    <t>啤酒</t>
  </si>
  <si>
    <t>Snail</t>
  </si>
  <si>
    <t>蜗牛</t>
  </si>
  <si>
    <t>egg</t>
  </si>
  <si>
    <t>鸡蛋</t>
  </si>
  <si>
    <t>tea</t>
  </si>
  <si>
    <t>红茶</t>
  </si>
  <si>
    <t>Halloween candy</t>
  </si>
  <si>
    <t>万圣节-糖果</t>
  </si>
  <si>
    <t>Halloween pumpkin</t>
  </si>
  <si>
    <t>万圣节-南瓜</t>
  </si>
  <si>
    <t xml:space="preserve"> Spades Shark </t>
  </si>
  <si>
    <t>黑桃鲨</t>
  </si>
  <si>
    <t>Big Winner</t>
  </si>
  <si>
    <t>大赢家</t>
  </si>
  <si>
    <t>Money Magnet</t>
  </si>
  <si>
    <t>金钱磁铁</t>
  </si>
  <si>
    <t xml:space="preserve">Spades Ace </t>
  </si>
  <si>
    <t>黑桃 A</t>
  </si>
  <si>
    <t>Nil Ninja</t>
  </si>
  <si>
    <t>零点忍者</t>
  </si>
  <si>
    <t>Risk Taker</t>
  </si>
  <si>
    <t>冒险家</t>
  </si>
  <si>
    <t>Remaining Card</t>
  </si>
  <si>
    <t>记牌器3分钟</t>
  </si>
  <si>
    <t>记牌器1个</t>
  </si>
  <si>
    <t>FunEmoji-Heart</t>
  </si>
  <si>
    <t>心-表情道具</t>
  </si>
  <si>
    <t>FunEmoji-Turtle</t>
  </si>
  <si>
    <t>乌龟-表情道具</t>
  </si>
  <si>
    <t>FunEmoji-Like</t>
  </si>
  <si>
    <t>赞-表情道具</t>
  </si>
  <si>
    <t>FunEmoji-Poo</t>
  </si>
  <si>
    <t>便便-表情道具</t>
  </si>
  <si>
    <t>FunEmoji-Flower</t>
  </si>
  <si>
    <t>花-表情道具</t>
  </si>
  <si>
    <t>FunEmoji-Candy</t>
  </si>
  <si>
    <t>糖果-表情道具</t>
  </si>
  <si>
    <t>FunEmoji-Pumpkin</t>
  </si>
  <si>
    <t>南瓜-表情道具</t>
  </si>
  <si>
    <t>Revive Ticket</t>
  </si>
  <si>
    <t>大奖赛复活券</t>
  </si>
  <si>
    <t>Register Ticket</t>
  </si>
  <si>
    <t>大奖赛报名券</t>
  </si>
  <si>
    <t>RaffleTicket</t>
  </si>
  <si>
    <t>pass抽奖券</t>
  </si>
  <si>
    <t>League xp +10%</t>
  </si>
  <si>
    <t>联赛经验加成</t>
  </si>
  <si>
    <t>League xp +30%</t>
  </si>
  <si>
    <t>League xp +40%</t>
  </si>
  <si>
    <t>League xp +50%</t>
  </si>
  <si>
    <t>SlotTicket</t>
  </si>
  <si>
    <t>老虎机抽奖券</t>
  </si>
  <si>
    <t>1 Star Pack</t>
  </si>
  <si>
    <t>卡包1星</t>
  </si>
  <si>
    <t>2 Stars Pack</t>
  </si>
  <si>
    <t>卡包2星</t>
  </si>
  <si>
    <t>3 Stars Pack</t>
  </si>
  <si>
    <t>卡包3星</t>
  </si>
  <si>
    <t>4 Stars Pack</t>
  </si>
  <si>
    <t>卡包4星</t>
  </si>
  <si>
    <t>5 Stars Pack</t>
  </si>
  <si>
    <t>卡包5星</t>
  </si>
  <si>
    <t>Ordinary Joker</t>
  </si>
  <si>
    <t>Joker Card1</t>
  </si>
  <si>
    <t>Gold Joker</t>
  </si>
  <si>
    <t>Joker Card2</t>
  </si>
  <si>
    <t>Fun Joker</t>
  </si>
  <si>
    <t>Joker Card3</t>
  </si>
  <si>
    <t>Super Joker</t>
  </si>
  <si>
    <t>Joker Card4</t>
  </si>
  <si>
    <t>6 Stars Pack</t>
  </si>
  <si>
    <t>卡包fun卡</t>
  </si>
  <si>
    <t>1星卡包</t>
  </si>
  <si>
    <t>2星卡包</t>
  </si>
  <si>
    <t>3星卡包</t>
  </si>
  <si>
    <t>4星卡包</t>
  </si>
  <si>
    <t>5星卡包</t>
  </si>
  <si>
    <t>美金</t>
  </si>
  <si>
    <t>凿子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</si>
</sst>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_ "/>
    <numFmt numFmtId="179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8" borderId="4">
      <alignment vertical="center"/>
    </xf>
    <xf numFmtId="0" fontId="10" fillId="9" borderId="5">
      <alignment vertical="center"/>
    </xf>
    <xf numFmtId="0" fontId="11" fillId="9" borderId="4">
      <alignment vertical="center"/>
    </xf>
    <xf numFmtId="0" fontId="12" fillId="1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 wrapText="1"/>
    </xf>
    <xf numFmtId="177" fontId="0" fillId="0" borderId="0" xfId="0" applyNumberFormat="1" applyFill="1" applyAlignment="1">
      <alignment vertical="center"/>
    </xf>
    <xf numFmtId="9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9" fontId="0" fillId="0" borderId="0" xfId="3">
      <alignment vertical="center"/>
    </xf>
    <xf numFmtId="0" fontId="0" fillId="3" borderId="0" xfId="0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9" fontId="0" fillId="4" borderId="0" xfId="0" applyNumberFormat="1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 wrapText="1"/>
    </xf>
    <xf numFmtId="179" fontId="0" fillId="4" borderId="0" xfId="0" applyNumberFormat="1" applyFont="1" applyFill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79375</xdr:rowOff>
    </xdr:from>
    <xdr:to>
      <xdr:col>14</xdr:col>
      <xdr:colOff>457835</xdr:colOff>
      <xdr:row>33</xdr:row>
      <xdr:rowOff>78740</xdr:rowOff>
    </xdr:to>
    <xdr:pic>
      <xdr:nvPicPr>
        <xdr:cNvPr id="2" name="图片 1" descr="screenshot-20251224-0959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9375"/>
          <a:ext cx="10058400" cy="565721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33</xdr:row>
      <xdr:rowOff>123825</xdr:rowOff>
    </xdr:from>
    <xdr:to>
      <xdr:col>6</xdr:col>
      <xdr:colOff>476250</xdr:colOff>
      <xdr:row>47</xdr:row>
      <xdr:rowOff>90805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5781675"/>
          <a:ext cx="4495800" cy="236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85725</xdr:colOff>
      <xdr:row>33</xdr:row>
      <xdr:rowOff>95250</xdr:rowOff>
    </xdr:from>
    <xdr:to>
      <xdr:col>9</xdr:col>
      <xdr:colOff>409575</xdr:colOff>
      <xdr:row>49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86325" y="5753100"/>
          <a:ext cx="1695450" cy="2809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K14" sqref="K14"/>
    </sheetView>
  </sheetViews>
  <sheetFormatPr defaultColWidth="9" defaultRowHeight="13.5"/>
  <cols>
    <col min="6" max="6" width="11.875" customWidth="1"/>
  </cols>
  <sheetData>
    <row r="1" spans="1:16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3" t="s">
        <v>5</v>
      </c>
      <c r="G1" s="13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6" t="s">
        <v>12</v>
      </c>
      <c r="N1" s="15" t="s">
        <v>13</v>
      </c>
      <c r="O1" s="15" t="s">
        <v>14</v>
      </c>
      <c r="P1" s="15" t="s">
        <v>15</v>
      </c>
    </row>
    <row r="2" spans="1:16">
      <c r="A2" s="13" t="s">
        <v>16</v>
      </c>
      <c r="B2" s="3" t="s">
        <v>17</v>
      </c>
      <c r="C2" s="3" t="s">
        <v>17</v>
      </c>
      <c r="D2" s="3" t="s">
        <v>18</v>
      </c>
      <c r="E2" s="3" t="s">
        <v>18</v>
      </c>
      <c r="F2" s="3" t="s">
        <v>17</v>
      </c>
      <c r="G2" s="13" t="s">
        <v>17</v>
      </c>
      <c r="H2" s="17" t="s">
        <v>17</v>
      </c>
      <c r="I2" s="17" t="s">
        <v>17</v>
      </c>
      <c r="J2" s="18" t="s">
        <v>17</v>
      </c>
      <c r="K2" s="19" t="s">
        <v>17</v>
      </c>
      <c r="L2" s="19" t="s">
        <v>17</v>
      </c>
      <c r="M2" s="19" t="s">
        <v>17</v>
      </c>
      <c r="N2" s="17" t="s">
        <v>17</v>
      </c>
      <c r="O2" s="17" t="s">
        <v>17</v>
      </c>
      <c r="P2" s="17" t="s">
        <v>17</v>
      </c>
    </row>
    <row r="3" spans="1:16">
      <c r="A3" s="20" t="s">
        <v>19</v>
      </c>
      <c r="B3" s="3" t="s">
        <v>19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17" t="s">
        <v>19</v>
      </c>
      <c r="I3" s="17" t="s">
        <v>19</v>
      </c>
      <c r="J3" s="18" t="s">
        <v>19</v>
      </c>
      <c r="K3" s="19" t="s">
        <v>19</v>
      </c>
      <c r="L3" s="19" t="s">
        <v>19</v>
      </c>
      <c r="M3" s="19" t="s">
        <v>19</v>
      </c>
      <c r="N3" s="17" t="s">
        <v>19</v>
      </c>
      <c r="O3" s="17" t="s">
        <v>19</v>
      </c>
      <c r="P3" s="17" t="s">
        <v>19</v>
      </c>
    </row>
    <row r="4" ht="121.5" spans="1:16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21" t="s">
        <v>27</v>
      </c>
      <c r="I4" s="21" t="s">
        <v>28</v>
      </c>
      <c r="J4" s="22" t="s">
        <v>29</v>
      </c>
      <c r="K4" s="23" t="s">
        <v>27</v>
      </c>
      <c r="L4" s="23" t="s">
        <v>28</v>
      </c>
      <c r="M4" s="23" t="s">
        <v>29</v>
      </c>
      <c r="N4" s="21" t="s">
        <v>27</v>
      </c>
      <c r="O4" s="21" t="s">
        <v>28</v>
      </c>
      <c r="P4" s="21" t="s">
        <v>29</v>
      </c>
    </row>
    <row r="5" spans="1:16">
      <c r="A5" s="24">
        <v>1001</v>
      </c>
      <c r="B5" s="24">
        <v>1</v>
      </c>
      <c r="C5" s="24">
        <v>2</v>
      </c>
      <c r="D5" s="24"/>
      <c r="E5" s="24"/>
      <c r="F5" s="24">
        <v>999</v>
      </c>
      <c r="G5" s="24">
        <v>1</v>
      </c>
      <c r="H5" s="25">
        <v>17</v>
      </c>
      <c r="I5" s="25">
        <v>1</v>
      </c>
      <c r="J5" s="25">
        <v>900</v>
      </c>
      <c r="K5" s="25">
        <v>4</v>
      </c>
      <c r="L5" s="25">
        <v>100004</v>
      </c>
      <c r="M5" s="25">
        <v>1</v>
      </c>
      <c r="N5" s="25">
        <v>3</v>
      </c>
      <c r="O5" s="25">
        <v>160001</v>
      </c>
      <c r="P5" s="25">
        <v>3</v>
      </c>
    </row>
    <row r="6" spans="1:16">
      <c r="A6" s="24">
        <v>1002</v>
      </c>
      <c r="B6" s="24">
        <v>1</v>
      </c>
      <c r="C6" s="24">
        <v>1</v>
      </c>
      <c r="D6" s="24"/>
      <c r="E6" s="24"/>
      <c r="F6" s="24"/>
      <c r="G6" s="24">
        <v>2</v>
      </c>
      <c r="H6" s="25">
        <v>3</v>
      </c>
      <c r="I6" s="25">
        <v>170001</v>
      </c>
      <c r="J6" s="25">
        <v>1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</row>
    <row r="7" spans="1:16">
      <c r="A7" s="24">
        <v>1003</v>
      </c>
      <c r="B7" s="24">
        <v>1</v>
      </c>
      <c r="C7" s="24">
        <v>1</v>
      </c>
      <c r="D7" s="24"/>
      <c r="E7" s="24"/>
      <c r="F7" s="24"/>
      <c r="G7" s="24">
        <v>3</v>
      </c>
      <c r="H7" s="25">
        <v>3</v>
      </c>
      <c r="I7" s="25">
        <v>192001</v>
      </c>
      <c r="J7" s="25">
        <v>20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</row>
    <row r="8" spans="1:16">
      <c r="A8" s="24">
        <v>1004</v>
      </c>
      <c r="B8" s="24">
        <v>1</v>
      </c>
      <c r="C8" s="24">
        <v>1</v>
      </c>
      <c r="D8" s="24"/>
      <c r="E8" s="24"/>
      <c r="F8" s="24"/>
      <c r="G8" s="24">
        <v>4</v>
      </c>
      <c r="H8" s="25">
        <v>3</v>
      </c>
      <c r="I8" s="25">
        <v>160001</v>
      </c>
      <c r="J8" s="25">
        <v>10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</row>
    <row r="9" spans="1:16">
      <c r="A9" s="24">
        <v>1005</v>
      </c>
      <c r="B9" s="24">
        <v>1</v>
      </c>
      <c r="C9" s="24">
        <v>1</v>
      </c>
      <c r="D9" s="24"/>
      <c r="E9" s="24"/>
      <c r="F9" s="24"/>
      <c r="G9" s="24">
        <v>5</v>
      </c>
      <c r="H9" s="25">
        <v>3</v>
      </c>
      <c r="I9" s="25">
        <v>100003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</row>
    <row r="10" spans="1:16">
      <c r="A10" s="24">
        <v>1006</v>
      </c>
      <c r="B10" s="24">
        <v>1</v>
      </c>
      <c r="C10" s="24">
        <v>1</v>
      </c>
      <c r="D10" s="24"/>
      <c r="E10" s="24"/>
      <c r="F10" s="24"/>
      <c r="G10" s="24">
        <v>6</v>
      </c>
      <c r="H10" s="25">
        <v>17</v>
      </c>
      <c r="I10" s="25">
        <v>1</v>
      </c>
      <c r="J10" s="25">
        <v>450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</row>
    <row r="11" spans="1:16">
      <c r="A11" s="24">
        <v>1007</v>
      </c>
      <c r="B11" s="24">
        <v>1</v>
      </c>
      <c r="C11" s="24">
        <v>1</v>
      </c>
      <c r="D11" s="24"/>
      <c r="E11" s="24"/>
      <c r="F11" s="24"/>
      <c r="G11" s="24">
        <v>7</v>
      </c>
      <c r="H11" s="25">
        <v>4</v>
      </c>
      <c r="I11" s="25">
        <v>100005</v>
      </c>
      <c r="J11" s="25">
        <v>1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</row>
    <row r="12" s="12" customFormat="1" spans="1:16">
      <c r="A12" s="12">
        <v>1008</v>
      </c>
      <c r="B12" s="12">
        <v>2</v>
      </c>
      <c r="C12" s="12">
        <v>2</v>
      </c>
      <c r="D12" s="12"/>
      <c r="E12" s="12"/>
      <c r="F12" s="12">
        <v>1999</v>
      </c>
      <c r="G12" s="12">
        <v>1</v>
      </c>
      <c r="H12" s="26">
        <v>17</v>
      </c>
      <c r="I12" s="26">
        <v>1</v>
      </c>
      <c r="J12" s="26">
        <v>2100</v>
      </c>
      <c r="K12" s="26">
        <v>4</v>
      </c>
      <c r="L12" s="26">
        <v>100004</v>
      </c>
      <c r="M12" s="26">
        <v>3</v>
      </c>
      <c r="N12" s="26">
        <v>3</v>
      </c>
      <c r="O12" s="26">
        <v>160001</v>
      </c>
      <c r="P12" s="26">
        <v>15</v>
      </c>
    </row>
    <row r="13" s="12" customFormat="1" spans="1:16">
      <c r="A13" s="12">
        <v>1009</v>
      </c>
      <c r="B13" s="12">
        <v>2</v>
      </c>
      <c r="C13" s="12">
        <v>1</v>
      </c>
      <c r="D13" s="12"/>
      <c r="E13" s="12"/>
      <c r="F13" s="12"/>
      <c r="G13" s="12">
        <v>2</v>
      </c>
      <c r="H13" s="26">
        <v>3</v>
      </c>
      <c r="I13" s="26">
        <v>170001</v>
      </c>
      <c r="J13" s="26">
        <v>10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</row>
    <row r="14" s="12" customFormat="1" spans="1:16">
      <c r="A14" s="12">
        <v>1010</v>
      </c>
      <c r="B14" s="12">
        <v>2</v>
      </c>
      <c r="C14" s="12">
        <v>1</v>
      </c>
      <c r="D14" s="12"/>
      <c r="E14" s="12"/>
      <c r="F14" s="12"/>
      <c r="G14" s="12">
        <v>3</v>
      </c>
      <c r="H14" s="26">
        <v>3</v>
      </c>
      <c r="I14" s="26">
        <v>192001</v>
      </c>
      <c r="J14" s="26">
        <v>100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</row>
    <row r="15" s="12" customFormat="1" spans="1:16">
      <c r="A15" s="12">
        <v>1011</v>
      </c>
      <c r="B15" s="12">
        <v>2</v>
      </c>
      <c r="C15" s="12">
        <v>1</v>
      </c>
      <c r="D15" s="12"/>
      <c r="E15" s="12"/>
      <c r="F15" s="12"/>
      <c r="G15" s="12">
        <v>4</v>
      </c>
      <c r="H15" s="26">
        <v>3</v>
      </c>
      <c r="I15" s="26">
        <v>160001</v>
      </c>
      <c r="J15" s="26">
        <v>15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</row>
    <row r="16" s="12" customFormat="1" spans="1:16">
      <c r="A16" s="12">
        <v>1012</v>
      </c>
      <c r="B16" s="12">
        <v>2</v>
      </c>
      <c r="C16" s="12">
        <v>1</v>
      </c>
      <c r="D16" s="12"/>
      <c r="E16" s="12"/>
      <c r="F16" s="12"/>
      <c r="G16" s="12">
        <v>5</v>
      </c>
      <c r="H16" s="26">
        <v>3</v>
      </c>
      <c r="I16" s="26">
        <v>100003</v>
      </c>
      <c r="J16" s="26">
        <v>4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</row>
    <row r="17" s="12" customFormat="1" spans="1:16">
      <c r="A17" s="12">
        <v>1013</v>
      </c>
      <c r="B17" s="12">
        <v>2</v>
      </c>
      <c r="C17" s="12">
        <v>1</v>
      </c>
      <c r="D17" s="12"/>
      <c r="E17" s="12"/>
      <c r="F17" s="12"/>
      <c r="G17" s="12">
        <v>6</v>
      </c>
      <c r="H17" s="26">
        <v>17</v>
      </c>
      <c r="I17" s="26">
        <v>1</v>
      </c>
      <c r="J17" s="26">
        <v>1100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</row>
    <row r="18" s="12" customFormat="1" spans="1:16">
      <c r="A18" s="12">
        <v>1014</v>
      </c>
      <c r="B18" s="12">
        <v>2</v>
      </c>
      <c r="C18" s="12">
        <v>1</v>
      </c>
      <c r="D18" s="12"/>
      <c r="E18" s="12"/>
      <c r="F18" s="12"/>
      <c r="G18" s="12">
        <v>7</v>
      </c>
      <c r="H18" s="26">
        <v>4</v>
      </c>
      <c r="I18" s="26">
        <v>100005</v>
      </c>
      <c r="J18" s="26">
        <v>2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</row>
  </sheetData>
  <conditionalFormatting sqref="L7">
    <cfRule type="duplicateValues" dxfId="0" priority="26"/>
    <cfRule type="duplicateValues" dxfId="1" priority="25"/>
  </conditionalFormatting>
  <conditionalFormatting sqref="I9">
    <cfRule type="duplicateValues" dxfId="1" priority="16"/>
  </conditionalFormatting>
  <conditionalFormatting sqref="I10">
    <cfRule type="duplicateValues" dxfId="1" priority="14"/>
  </conditionalFormatting>
  <conditionalFormatting sqref="L10">
    <cfRule type="duplicateValues" dxfId="0" priority="24"/>
    <cfRule type="duplicateValues" dxfId="1" priority="23"/>
  </conditionalFormatting>
  <conditionalFormatting sqref="I11">
    <cfRule type="duplicateValues" dxfId="1" priority="15"/>
  </conditionalFormatting>
  <conditionalFormatting sqref="L11">
    <cfRule type="duplicateValues" dxfId="0" priority="22"/>
    <cfRule type="duplicateValues" dxfId="1" priority="21"/>
  </conditionalFormatting>
  <conditionalFormatting sqref="L14">
    <cfRule type="duplicateValues" dxfId="0" priority="12"/>
    <cfRule type="duplicateValues" dxfId="1" priority="11"/>
  </conditionalFormatting>
  <conditionalFormatting sqref="I16">
    <cfRule type="duplicateValues" dxfId="1" priority="3"/>
  </conditionalFormatting>
  <conditionalFormatting sqref="I17">
    <cfRule type="duplicateValues" dxfId="1" priority="1"/>
  </conditionalFormatting>
  <conditionalFormatting sqref="L17">
    <cfRule type="duplicateValues" dxfId="0" priority="10"/>
    <cfRule type="duplicateValues" dxfId="1" priority="9"/>
  </conditionalFormatting>
  <conditionalFormatting sqref="I18">
    <cfRule type="duplicateValues" dxfId="1" priority="2"/>
  </conditionalFormatting>
  <conditionalFormatting sqref="L18">
    <cfRule type="duplicateValues" dxfId="0" priority="8"/>
    <cfRule type="duplicateValues" dxfId="1" priority="7"/>
  </conditionalFormatting>
  <conditionalFormatting sqref="D5:D11">
    <cfRule type="duplicateValues" dxfId="0" priority="17"/>
  </conditionalFormatting>
  <conditionalFormatting sqref="D12:D18">
    <cfRule type="duplicateValues" dxfId="0" priority="4"/>
  </conditionalFormatting>
  <conditionalFormatting sqref="E5:E11">
    <cfRule type="duplicateValues" dxfId="0" priority="18"/>
  </conditionalFormatting>
  <conditionalFormatting sqref="E12:E18">
    <cfRule type="duplicateValues" dxfId="0" priority="5"/>
  </conditionalFormatting>
  <conditionalFormatting sqref="I6:I8">
    <cfRule type="duplicateValues" dxfId="1" priority="19"/>
  </conditionalFormatting>
  <conditionalFormatting sqref="I13:I15">
    <cfRule type="duplicateValues" dxfId="1" priority="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1:AA8"/>
  <sheetViews>
    <sheetView workbookViewId="0">
      <selection activeCell="A1" sqref="A1"/>
    </sheetView>
  </sheetViews>
  <sheetFormatPr defaultColWidth="9" defaultRowHeight="13.5" outlineLevelRow="7"/>
  <cols>
    <col min="18" max="18" width="12.625"/>
    <col min="21" max="22" width="16"/>
    <col min="23" max="23" width="16" style="9"/>
    <col min="25" max="25" width="13.7583333333333"/>
  </cols>
  <sheetData>
    <row r="1" spans="17:27">
      <c r="Q1" t="s">
        <v>30</v>
      </c>
      <c r="R1">
        <v>14.98</v>
      </c>
      <c r="T1" t="s">
        <v>31</v>
      </c>
      <c r="U1" t="s">
        <v>32</v>
      </c>
      <c r="V1" t="s">
        <v>33</v>
      </c>
      <c r="W1" s="9" t="s">
        <v>34</v>
      </c>
      <c r="Y1" t="s">
        <v>35</v>
      </c>
      <c r="Z1" t="s">
        <v>36</v>
      </c>
      <c r="AA1" t="s">
        <v>37</v>
      </c>
    </row>
    <row r="2" spans="17:27">
      <c r="Q2" t="s">
        <v>34</v>
      </c>
      <c r="R2" s="9">
        <f>SUM(W:W)</f>
        <v>54.1764705882353</v>
      </c>
      <c r="T2">
        <v>1</v>
      </c>
      <c r="U2" t="s">
        <v>38</v>
      </c>
      <c r="V2" s="10">
        <v>7200000000</v>
      </c>
      <c r="W2" s="9">
        <f>V2/$Y$2</f>
        <v>21.7194570135747</v>
      </c>
      <c r="Y2" s="10">
        <v>331500000</v>
      </c>
      <c r="Z2">
        <v>100</v>
      </c>
      <c r="AA2" s="8">
        <v>3.3</v>
      </c>
    </row>
    <row r="3" spans="17:27">
      <c r="Q3" t="s">
        <v>39</v>
      </c>
      <c r="R3" s="11">
        <f>R2/R1</f>
        <v>3.61658682164454</v>
      </c>
      <c r="T3">
        <v>2</v>
      </c>
      <c r="U3" t="s">
        <v>40</v>
      </c>
      <c r="V3" s="10">
        <v>1500000000</v>
      </c>
      <c r="W3" s="9">
        <f>V3/$Y$2</f>
        <v>4.52488687782805</v>
      </c>
    </row>
    <row r="4" spans="17:27">
      <c r="Q4" t="s">
        <v>41</v>
      </c>
      <c r="R4" s="8">
        <f>R3/AA2</f>
        <v>1.09593540049835</v>
      </c>
      <c r="T4">
        <v>3</v>
      </c>
      <c r="U4" t="s">
        <v>42</v>
      </c>
      <c r="V4">
        <v>500</v>
      </c>
      <c r="W4" s="9">
        <f>V4/Z2</f>
        <v>5</v>
      </c>
    </row>
    <row r="5" spans="17:27">
      <c r="T5">
        <v>4</v>
      </c>
      <c r="U5" t="s">
        <v>43</v>
      </c>
      <c r="V5">
        <v>1</v>
      </c>
      <c r="W5" s="9">
        <f>1500000*100*0.05*V5/Y2</f>
        <v>0.0226244343891403</v>
      </c>
    </row>
    <row r="6" spans="17:27">
      <c r="T6">
        <v>5</v>
      </c>
      <c r="U6" t="s">
        <v>44</v>
      </c>
      <c r="V6">
        <v>3</v>
      </c>
      <c r="W6" s="9">
        <f>1*V6</f>
        <v>3</v>
      </c>
    </row>
    <row r="7" spans="17:27">
      <c r="T7">
        <v>6</v>
      </c>
      <c r="U7" t="s">
        <v>38</v>
      </c>
      <c r="V7" s="10">
        <v>3600000000</v>
      </c>
      <c r="W7" s="9">
        <f>V7/$Y$2</f>
        <v>10.8597285067873</v>
      </c>
    </row>
    <row r="8" spans="17:27">
      <c r="T8">
        <v>7</v>
      </c>
      <c r="U8" t="s">
        <v>43</v>
      </c>
      <c r="V8">
        <v>2</v>
      </c>
      <c r="W8" s="9">
        <f>300000000*100*0.05*V8/Y2</f>
        <v>9.04977375565611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tabSelected="1" workbookViewId="0">
      <selection activeCell="O14" sqref="O14"/>
    </sheetView>
  </sheetViews>
  <sheetFormatPr defaultColWidth="9" defaultRowHeight="13.5"/>
  <cols>
    <col min="3" max="3" width="11.125" style="3" customWidth="1"/>
    <col min="4" max="4" width="16" style="3"/>
    <col min="5" max="5" width="12.625" style="4"/>
    <col min="6" max="11" width="9" style="3"/>
    <col min="12" max="12" width="8.875" customWidth="1"/>
    <col min="13" max="14" width="8.9" customWidth="1"/>
    <col min="16" max="16" width="10.125" customWidth="1"/>
  </cols>
  <sheetData>
    <row r="1" ht="50" customHeight="1" spans="1:20">
      <c r="A1" s="5" t="s">
        <v>21</v>
      </c>
      <c r="B1" t="s">
        <v>31</v>
      </c>
      <c r="C1" s="5" t="s">
        <v>27</v>
      </c>
      <c r="D1" s="5" t="s">
        <v>28</v>
      </c>
      <c r="E1" s="6" t="s">
        <v>29</v>
      </c>
      <c r="F1" s="5" t="s">
        <v>27</v>
      </c>
      <c r="G1" s="5" t="s">
        <v>28</v>
      </c>
      <c r="H1" s="5" t="s">
        <v>29</v>
      </c>
      <c r="I1" s="5" t="s">
        <v>27</v>
      </c>
      <c r="J1" s="5" t="s">
        <v>28</v>
      </c>
      <c r="K1" s="5" t="s">
        <v>29</v>
      </c>
      <c r="L1" s="7" t="s">
        <v>34</v>
      </c>
      <c r="M1" t="s">
        <v>45</v>
      </c>
      <c r="N1" t="s">
        <v>46</v>
      </c>
      <c r="O1" t="s">
        <v>39</v>
      </c>
      <c r="P1" t="s">
        <v>47</v>
      </c>
      <c r="S1" t="s">
        <v>48</v>
      </c>
      <c r="T1" t="s">
        <v>49</v>
      </c>
    </row>
    <row r="2" spans="1:20">
      <c r="A2">
        <f>OnePlusSixGift!B5</f>
        <v>1</v>
      </c>
      <c r="B2">
        <v>1</v>
      </c>
      <c r="C2">
        <f>OnePlusSixGift!H5</f>
        <v>17</v>
      </c>
      <c r="D2">
        <f>OnePlusSixGift!I5</f>
        <v>1</v>
      </c>
      <c r="E2">
        <f>OnePlusSixGift!J5</f>
        <v>900</v>
      </c>
      <c r="F2">
        <f>OnePlusSixGift!K5</f>
        <v>4</v>
      </c>
      <c r="G2">
        <f>OnePlusSixGift!L5</f>
        <v>100004</v>
      </c>
      <c r="H2">
        <f>OnePlusSixGift!M5</f>
        <v>1</v>
      </c>
      <c r="I2">
        <f>OnePlusSixGift!N5</f>
        <v>3</v>
      </c>
      <c r="J2">
        <f>OnePlusSixGift!O5</f>
        <v>160001</v>
      </c>
      <c r="K2">
        <f>OnePlusSixGift!P5</f>
        <v>3</v>
      </c>
      <c r="L2">
        <f>_xlfn.IFNA(IF(C2=9,E2/100,IF(C2=17,E2/100,VLOOKUP(D2,道具id表!$C:$D,2,FALSE)*E2)),0)+_xlfn.IFNA(IF(F2=9,H2/100,IF(F2=17,H2/100,VLOOKUP(G2,道具id表!$C:$D,2,FALSE)*H2)),0)+_xlfn.IFNA(IF(I2=9,K2/100,IF(I2=17,K2/100,VLOOKUP(J2,道具id表!$C:$D,2,FALSE)*K2)),0)</f>
        <v>9.7</v>
      </c>
      <c r="M2">
        <f>OnePlusSixGift!F5/100</f>
        <v>9.99</v>
      </c>
      <c r="N2" s="8">
        <f>VLOOKUP(M2,S:T,2,FALSE)</f>
        <v>1.4</v>
      </c>
      <c r="O2" s="8">
        <f>SUMIF(A:A,"="&amp;A2,L:L)/M2/N2</f>
        <v>1.26555126555127</v>
      </c>
      <c r="P2" s="8">
        <f>(E2+E7)/100/M2</f>
        <v>1.35135135135135</v>
      </c>
      <c r="S2">
        <v>0.99</v>
      </c>
      <c r="T2" s="8">
        <v>1</v>
      </c>
    </row>
    <row r="3" spans="1:20">
      <c r="A3">
        <f>OnePlusSixGift!B6</f>
        <v>1</v>
      </c>
      <c r="B3">
        <v>2</v>
      </c>
      <c r="C3">
        <f>OnePlusSixGift!H6</f>
        <v>3</v>
      </c>
      <c r="D3">
        <f>OnePlusSixGift!I6</f>
        <v>170001</v>
      </c>
      <c r="E3">
        <f>OnePlusSixGift!J6</f>
        <v>1</v>
      </c>
      <c r="L3">
        <f>_xlfn.IFNA(IF(C3=9,E3/100,IF(C3=17,E3/100,VLOOKUP(D3,道具id表!$C:$D,2,FALSE)*E3)),0)+_xlfn.IFNA(IF(F3=9,H3/100,IF(F3=17,H3/100,VLOOKUP(G3,道具id表!$C:$D,2,FALSE)*H3)),0)+_xlfn.IFNA(IF(I3=9,K3/100,IF(I3=17,K3/100,VLOOKUP(J3,道具id表!$C:$D,2,FALSE)*K3)),0)</f>
        <v>0</v>
      </c>
      <c r="S3">
        <v>1.99</v>
      </c>
      <c r="T3" s="8">
        <v>1.05</v>
      </c>
    </row>
    <row r="4" spans="1:20">
      <c r="A4">
        <f>OnePlusSixGift!B7</f>
        <v>1</v>
      </c>
      <c r="B4">
        <v>3</v>
      </c>
      <c r="C4">
        <f>OnePlusSixGift!H7</f>
        <v>3</v>
      </c>
      <c r="D4">
        <f>OnePlusSixGift!I7</f>
        <v>192001</v>
      </c>
      <c r="E4">
        <f>OnePlusSixGift!J7</f>
        <v>20</v>
      </c>
      <c r="L4">
        <f>_xlfn.IFNA(IF(C4=9,E4/100,IF(C4=17,E4/100,VLOOKUP(D4,道具id表!$C:$D,2,FALSE)*E4)),0)+_xlfn.IFNA(IF(F4=9,H4/100,IF(F4=17,H4/100,VLOOKUP(G4,道具id表!$C:$D,2,FALSE)*H4)),0)+_xlfn.IFNA(IF(I4=9,K4/100,IF(I4=17,K4/100,VLOOKUP(J4,道具id表!$C:$D,2,FALSE)*K4)),0)</f>
        <v>0.2</v>
      </c>
      <c r="S4">
        <v>2.99</v>
      </c>
      <c r="T4" s="8">
        <v>1.1</v>
      </c>
    </row>
    <row r="5" spans="1:20">
      <c r="A5">
        <f>OnePlusSixGift!B8</f>
        <v>1</v>
      </c>
      <c r="B5">
        <v>4</v>
      </c>
      <c r="C5">
        <f>OnePlusSixGift!H8</f>
        <v>3</v>
      </c>
      <c r="D5">
        <f>OnePlusSixGift!I8</f>
        <v>160001</v>
      </c>
      <c r="E5">
        <f>OnePlusSixGift!J8</f>
        <v>10</v>
      </c>
      <c r="L5">
        <f>_xlfn.IFNA(IF(C5=9,E5/100,IF(C5=17,E5/100,VLOOKUP(D5,道具id表!$C:$D,2,FALSE)*E5)),0)+_xlfn.IFNA(IF(F5=9,H5/100,IF(F5=17,H5/100,VLOOKUP(G5,道具id表!$C:$D,2,FALSE)*H5)),0)+_xlfn.IFNA(IF(I5=9,K5/100,IF(I5=17,K5/100,VLOOKUP(J5,道具id表!$C:$D,2,FALSE)*K5)),0)</f>
        <v>1</v>
      </c>
      <c r="S5">
        <v>3.99</v>
      </c>
      <c r="T5" s="8">
        <v>1.15</v>
      </c>
    </row>
    <row r="6" spans="1:20">
      <c r="A6">
        <f>OnePlusSixGift!B9</f>
        <v>1</v>
      </c>
      <c r="B6">
        <v>5</v>
      </c>
      <c r="C6">
        <f>OnePlusSixGift!H9</f>
        <v>3</v>
      </c>
      <c r="D6">
        <f>OnePlusSixGift!I9</f>
        <v>100003</v>
      </c>
      <c r="E6">
        <f>OnePlusSixGift!J9</f>
        <v>1</v>
      </c>
      <c r="L6">
        <f>_xlfn.IFNA(IF(C6=9,E6/100,IF(C6=17,E6/100,VLOOKUP(D6,道具id表!$C:$D,2,FALSE)*E6)),0)+_xlfn.IFNA(IF(F6=9,H6/100,IF(F6=17,H6/100,VLOOKUP(G6,道具id表!$C:$D,2,FALSE)*H6)),0)+_xlfn.IFNA(IF(I6=9,K6/100,IF(I6=17,K6/100,VLOOKUP(J6,道具id表!$C:$D,2,FALSE)*K6)),0)</f>
        <v>0.3</v>
      </c>
      <c r="S6">
        <v>4.99</v>
      </c>
      <c r="T6" s="8">
        <v>1.2</v>
      </c>
    </row>
    <row r="7" spans="1:20">
      <c r="A7">
        <f>OnePlusSixGift!B10</f>
        <v>1</v>
      </c>
      <c r="B7">
        <v>6</v>
      </c>
      <c r="C7">
        <f>OnePlusSixGift!H10</f>
        <v>17</v>
      </c>
      <c r="D7">
        <f>OnePlusSixGift!I10</f>
        <v>1</v>
      </c>
      <c r="E7">
        <f>OnePlusSixGift!J10</f>
        <v>450</v>
      </c>
      <c r="L7">
        <f>_xlfn.IFNA(IF(C7=9,E7/100,IF(C7=17,E7/100,VLOOKUP(D7,道具id表!$C:$D,2,FALSE)*E7)),0)+_xlfn.IFNA(IF(F7=9,H7/100,IF(F7=17,H7/100,VLOOKUP(G7,道具id表!$C:$D,2,FALSE)*H7)),0)+_xlfn.IFNA(IF(I7=9,K7/100,IF(I7=17,K7/100,VLOOKUP(J7,道具id表!$C:$D,2,FALSE)*K7)),0)</f>
        <v>4.5</v>
      </c>
      <c r="S7">
        <v>5.99</v>
      </c>
      <c r="T7" s="8">
        <v>1.2</v>
      </c>
    </row>
    <row r="8" spans="1:20">
      <c r="A8">
        <f>OnePlusSixGift!B11</f>
        <v>1</v>
      </c>
      <c r="B8">
        <v>7</v>
      </c>
      <c r="C8">
        <f>OnePlusSixGift!H11</f>
        <v>4</v>
      </c>
      <c r="D8">
        <f>OnePlusSixGift!I11</f>
        <v>100005</v>
      </c>
      <c r="E8">
        <f>OnePlusSixGift!J11</f>
        <v>1</v>
      </c>
      <c r="L8">
        <v>2</v>
      </c>
      <c r="S8">
        <v>6.99</v>
      </c>
      <c r="T8" s="8">
        <v>1.25</v>
      </c>
    </row>
    <row r="9" spans="1:20">
      <c r="A9">
        <f>OnePlusSixGift!B12</f>
        <v>2</v>
      </c>
      <c r="B9">
        <v>1</v>
      </c>
      <c r="C9">
        <f>OnePlusSixGift!H12</f>
        <v>17</v>
      </c>
      <c r="D9">
        <f>OnePlusSixGift!I12</f>
        <v>1</v>
      </c>
      <c r="E9">
        <f>OnePlusSixGift!J12</f>
        <v>2100</v>
      </c>
      <c r="F9">
        <f>OnePlusSixGift!K12</f>
        <v>4</v>
      </c>
      <c r="G9">
        <f>OnePlusSixGift!L12</f>
        <v>100004</v>
      </c>
      <c r="H9">
        <f>OnePlusSixGift!M12</f>
        <v>3</v>
      </c>
      <c r="I9">
        <f>OnePlusSixGift!N12</f>
        <v>3</v>
      </c>
      <c r="J9">
        <f>OnePlusSixGift!O12</f>
        <v>160001</v>
      </c>
      <c r="K9">
        <f>OnePlusSixGift!P12</f>
        <v>15</v>
      </c>
      <c r="L9">
        <f>_xlfn.IFNA(IF(C9=9,E9/100,IF(C9=17,E9/100,VLOOKUP(D9,道具id表!$C:$D,2,FALSE)*E9)),0)+_xlfn.IFNA(IF(F9=9,H9/100,IF(F9=17,H9/100,VLOOKUP(G9,道具id表!$C:$D,2,FALSE)*H9)),0)+_xlfn.IFNA(IF(I9=9,K9/100,IF(I9=17,K9/100,VLOOKUP(J9,道具id表!$C:$D,2,FALSE)*K9)),0)</f>
        <v>23.7</v>
      </c>
      <c r="M9">
        <f>OnePlusSixGift!F12/100</f>
        <v>19.99</v>
      </c>
      <c r="N9" s="8">
        <f>VLOOKUP(M9,S:T,2,FALSE)</f>
        <v>1.6</v>
      </c>
      <c r="O9" s="8">
        <f>SUMIF(A:A,"="&amp;A9,L:L)/M9/N9</f>
        <v>1.26313156578289</v>
      </c>
      <c r="P9" s="8">
        <f>(E9+E14)/100/M9</f>
        <v>1.6008004002001</v>
      </c>
      <c r="S9">
        <v>7.99</v>
      </c>
      <c r="T9" s="8">
        <v>1.3</v>
      </c>
    </row>
    <row r="10" customFormat="1" spans="1:20">
      <c r="A10">
        <f>OnePlusSixGift!B13</f>
        <v>2</v>
      </c>
      <c r="B10">
        <v>2</v>
      </c>
      <c r="C10">
        <f>OnePlusSixGift!H13</f>
        <v>3</v>
      </c>
      <c r="D10">
        <f>OnePlusSixGift!I13</f>
        <v>170001</v>
      </c>
      <c r="E10">
        <f>OnePlusSixGift!J13</f>
        <v>10</v>
      </c>
      <c r="F10" s="3"/>
      <c r="G10" s="3"/>
      <c r="H10" s="3"/>
      <c r="I10" s="3"/>
      <c r="J10" s="3"/>
      <c r="K10" s="3"/>
      <c r="L10">
        <f>_xlfn.IFNA(IF(C10=9,E10/100,IF(C10=17,E10/100,VLOOKUP(D10,道具id表!$C:$D,2,FALSE)*E10)),0)+_xlfn.IFNA(IF(F10=9,H10/100,IF(F10=17,H10/100,VLOOKUP(G10,道具id表!$C:$D,2,FALSE)*H10)),0)+_xlfn.IFNA(IF(I10=9,K10/100,IF(I10=17,K10/100,VLOOKUP(J10,道具id表!$C:$D,2,FALSE)*K10)),0)</f>
        <v>0</v>
      </c>
      <c r="S10">
        <v>8.99</v>
      </c>
      <c r="T10" s="8">
        <v>1.35</v>
      </c>
    </row>
    <row r="11" customFormat="1" spans="1:20">
      <c r="A11">
        <f>OnePlusSixGift!B14</f>
        <v>2</v>
      </c>
      <c r="B11">
        <v>3</v>
      </c>
      <c r="C11">
        <f>OnePlusSixGift!H14</f>
        <v>3</v>
      </c>
      <c r="D11">
        <f>OnePlusSixGift!I14</f>
        <v>192001</v>
      </c>
      <c r="E11">
        <f>OnePlusSixGift!J14</f>
        <v>100</v>
      </c>
      <c r="F11" s="3"/>
      <c r="G11" s="3"/>
      <c r="H11" s="3"/>
      <c r="I11" s="3"/>
      <c r="J11" s="3"/>
      <c r="K11" s="3"/>
      <c r="L11">
        <f>_xlfn.IFNA(IF(C11=9,E11/100,IF(C11=17,E11/100,VLOOKUP(D11,道具id表!$C:$D,2,FALSE)*E11)),0)+_xlfn.IFNA(IF(F11=9,H11/100,IF(F11=17,H11/100,VLOOKUP(G11,道具id表!$C:$D,2,FALSE)*H11)),0)+_xlfn.IFNA(IF(I11=9,K11/100,IF(I11=17,K11/100,VLOOKUP(J11,道具id表!$C:$D,2,FALSE)*K11)),0)</f>
        <v>1</v>
      </c>
      <c r="S11">
        <v>9.99</v>
      </c>
      <c r="T11" s="8">
        <v>1.4</v>
      </c>
    </row>
    <row r="12" customFormat="1" spans="1:20">
      <c r="A12">
        <f>OnePlusSixGift!B15</f>
        <v>2</v>
      </c>
      <c r="B12">
        <v>4</v>
      </c>
      <c r="C12">
        <f>OnePlusSixGift!H15</f>
        <v>3</v>
      </c>
      <c r="D12">
        <f>OnePlusSixGift!I15</f>
        <v>160001</v>
      </c>
      <c r="E12">
        <f>OnePlusSixGift!J15</f>
        <v>15</v>
      </c>
      <c r="F12" s="3"/>
      <c r="G12" s="3"/>
      <c r="H12" s="3"/>
      <c r="I12" s="3"/>
      <c r="J12" s="3"/>
      <c r="K12" s="3"/>
      <c r="L12">
        <f>_xlfn.IFNA(IF(C12=9,E12/100,IF(C12=17,E12/100,VLOOKUP(D12,道具id表!$C:$D,2,FALSE)*E12)),0)+_xlfn.IFNA(IF(F12=9,H12/100,IF(F12=17,H12/100,VLOOKUP(G12,道具id表!$C:$D,2,FALSE)*H12)),0)+_xlfn.IFNA(IF(I12=9,K12/100,IF(I12=17,K12/100,VLOOKUP(J12,道具id表!$C:$D,2,FALSE)*K12)),0)</f>
        <v>1.5</v>
      </c>
      <c r="S12">
        <v>12.99</v>
      </c>
      <c r="T12" s="8">
        <v>1.5</v>
      </c>
    </row>
    <row r="13" customFormat="1" spans="1:20">
      <c r="A13">
        <f>OnePlusSixGift!B16</f>
        <v>2</v>
      </c>
      <c r="B13">
        <v>5</v>
      </c>
      <c r="C13">
        <f>OnePlusSixGift!H16</f>
        <v>3</v>
      </c>
      <c r="D13">
        <f>OnePlusSixGift!I16</f>
        <v>100003</v>
      </c>
      <c r="E13">
        <f>OnePlusSixGift!J16</f>
        <v>4</v>
      </c>
      <c r="F13" s="3"/>
      <c r="G13" s="3"/>
      <c r="H13" s="3"/>
      <c r="I13" s="3"/>
      <c r="J13" s="3"/>
      <c r="K13" s="3"/>
      <c r="L13">
        <f>_xlfn.IFNA(IF(C13=9,E13/100,IF(C13=17,E13/100,VLOOKUP(D13,道具id表!$C:$D,2,FALSE)*E13)),0)+_xlfn.IFNA(IF(F13=9,H13/100,IF(F13=17,H13/100,VLOOKUP(G13,道具id表!$C:$D,2,FALSE)*H13)),0)+_xlfn.IFNA(IF(I13=9,K13/100,IF(I13=17,K13/100,VLOOKUP(J13,道具id表!$C:$D,2,FALSE)*K13)),0)</f>
        <v>1.2</v>
      </c>
      <c r="S13">
        <v>14.99</v>
      </c>
      <c r="T13" s="8">
        <v>1.55</v>
      </c>
    </row>
    <row r="14" customFormat="1" spans="1:20">
      <c r="A14">
        <f>OnePlusSixGift!B17</f>
        <v>2</v>
      </c>
      <c r="B14">
        <v>6</v>
      </c>
      <c r="C14">
        <f>OnePlusSixGift!H17</f>
        <v>17</v>
      </c>
      <c r="D14">
        <f>OnePlusSixGift!I17</f>
        <v>1</v>
      </c>
      <c r="E14">
        <f>OnePlusSixGift!J17</f>
        <v>1100</v>
      </c>
      <c r="F14" s="3"/>
      <c r="G14" s="3"/>
      <c r="H14" s="3"/>
      <c r="I14" s="3"/>
      <c r="J14" s="3"/>
      <c r="K14" s="3"/>
      <c r="L14">
        <f>_xlfn.IFNA(IF(C14=9,E14/100,IF(C14=17,E14/100,VLOOKUP(D14,道具id表!$C:$D,2,FALSE)*E14)),0)+_xlfn.IFNA(IF(F14=9,H14/100,IF(F14=17,H14/100,VLOOKUP(G14,道具id表!$C:$D,2,FALSE)*H14)),0)+_xlfn.IFNA(IF(I14=9,K14/100,IF(I14=17,K14/100,VLOOKUP(J14,道具id表!$C:$D,2,FALSE)*K14)),0)</f>
        <v>11</v>
      </c>
      <c r="S14">
        <v>17.99</v>
      </c>
      <c r="T14" s="8">
        <v>1.6</v>
      </c>
    </row>
    <row r="15" customFormat="1" spans="1:20">
      <c r="A15">
        <f>OnePlusSixGift!B18</f>
        <v>2</v>
      </c>
      <c r="B15">
        <v>7</v>
      </c>
      <c r="C15">
        <f>OnePlusSixGift!H18</f>
        <v>4</v>
      </c>
      <c r="D15">
        <f>OnePlusSixGift!I18</f>
        <v>100005</v>
      </c>
      <c r="E15">
        <f>OnePlusSixGift!J18</f>
        <v>2</v>
      </c>
      <c r="F15" s="3"/>
      <c r="G15" s="3"/>
      <c r="H15" s="3"/>
      <c r="I15" s="3"/>
      <c r="J15" s="3"/>
      <c r="K15" s="3"/>
      <c r="L15">
        <v>2</v>
      </c>
      <c r="S15">
        <v>19.99</v>
      </c>
      <c r="T15" s="8">
        <v>1.6</v>
      </c>
    </row>
    <row r="16" spans="1:20">
      <c r="S16">
        <v>24.99</v>
      </c>
      <c r="T16" s="8">
        <v>1.65</v>
      </c>
    </row>
    <row r="17" spans="19:20">
      <c r="S17">
        <v>29.99</v>
      </c>
      <c r="T17" s="8">
        <v>1.65</v>
      </c>
    </row>
    <row r="18" spans="19:20">
      <c r="S18">
        <v>34.99</v>
      </c>
      <c r="T18" s="8">
        <v>1.7</v>
      </c>
    </row>
    <row r="19" spans="19:20">
      <c r="S19">
        <v>39.99</v>
      </c>
      <c r="T19" s="8">
        <v>1.75</v>
      </c>
    </row>
    <row r="20" spans="19:20">
      <c r="S20">
        <v>44.99</v>
      </c>
      <c r="T20" s="8">
        <v>1.8</v>
      </c>
    </row>
    <row r="21" spans="19:20">
      <c r="S21">
        <v>49.99</v>
      </c>
      <c r="T21" s="8">
        <v>1.8</v>
      </c>
    </row>
    <row r="22" spans="19:20">
      <c r="S22">
        <v>54.99</v>
      </c>
      <c r="T22" s="8">
        <v>1.8</v>
      </c>
    </row>
    <row r="23" spans="19:20">
      <c r="S23">
        <v>59.99</v>
      </c>
      <c r="T23" s="8">
        <v>1.85</v>
      </c>
    </row>
    <row r="24" spans="19:20">
      <c r="S24">
        <v>69.99</v>
      </c>
      <c r="T24" s="8">
        <v>1.85</v>
      </c>
    </row>
    <row r="25" spans="19:20">
      <c r="S25">
        <v>74.99</v>
      </c>
      <c r="T25" s="8">
        <v>1.9</v>
      </c>
    </row>
    <row r="26" spans="19:20">
      <c r="S26">
        <v>79.99</v>
      </c>
      <c r="T26" s="8">
        <v>1.9</v>
      </c>
    </row>
    <row r="27" spans="19:20">
      <c r="S27">
        <v>89.99</v>
      </c>
      <c r="T27" s="8">
        <v>1.95</v>
      </c>
    </row>
    <row r="28" spans="19:20">
      <c r="S28">
        <v>99.99</v>
      </c>
      <c r="T28" s="8">
        <v>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C38" sqref="C38"/>
    </sheetView>
  </sheetViews>
  <sheetFormatPr defaultColWidth="9" defaultRowHeight="13.5" outlineLevelCol="3"/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1" t="s">
        <v>54</v>
      </c>
      <c r="B2" s="1" t="s">
        <v>18</v>
      </c>
      <c r="C2" s="1" t="s">
        <v>55</v>
      </c>
      <c r="D2" s="1"/>
    </row>
    <row r="3" spans="1:4">
      <c r="A3" s="1" t="s">
        <v>56</v>
      </c>
      <c r="B3" s="1" t="s">
        <v>57</v>
      </c>
      <c r="C3" s="1" t="s">
        <v>56</v>
      </c>
      <c r="D3" s="1"/>
    </row>
    <row r="4" spans="1:4">
      <c r="A4" s="1" t="s">
        <v>58</v>
      </c>
      <c r="B4" s="1" t="s">
        <v>59</v>
      </c>
      <c r="C4" s="1" t="s">
        <v>60</v>
      </c>
      <c r="D4" s="1"/>
    </row>
    <row r="5" spans="1:4">
      <c r="A5" s="1" t="s">
        <v>61</v>
      </c>
      <c r="B5" s="1" t="s">
        <v>62</v>
      </c>
      <c r="C5" s="1">
        <v>1001</v>
      </c>
      <c r="D5" s="1"/>
    </row>
    <row r="6" spans="1:4">
      <c r="A6" s="1" t="s">
        <v>63</v>
      </c>
      <c r="B6" s="1" t="s">
        <v>64</v>
      </c>
      <c r="C6" s="1">
        <v>1002</v>
      </c>
      <c r="D6" s="1"/>
    </row>
    <row r="7" spans="1:4">
      <c r="A7" s="1" t="s">
        <v>65</v>
      </c>
      <c r="B7" s="1" t="s">
        <v>66</v>
      </c>
      <c r="C7" s="1">
        <v>1003</v>
      </c>
      <c r="D7" s="1"/>
    </row>
    <row r="8" spans="1:4">
      <c r="A8" s="1" t="s">
        <v>67</v>
      </c>
      <c r="B8" s="1" t="s">
        <v>68</v>
      </c>
      <c r="C8" s="1">
        <v>1004</v>
      </c>
      <c r="D8" s="1"/>
    </row>
    <row r="9" spans="1:4">
      <c r="A9" s="1" t="s">
        <v>69</v>
      </c>
      <c r="B9" s="1" t="s">
        <v>70</v>
      </c>
      <c r="C9" s="1">
        <v>1005</v>
      </c>
      <c r="D9" s="1"/>
    </row>
    <row r="10" spans="1:4">
      <c r="A10" s="1" t="s">
        <v>71</v>
      </c>
      <c r="B10" s="1" t="s">
        <v>72</v>
      </c>
      <c r="C10" s="1">
        <v>130001</v>
      </c>
      <c r="D10" s="1"/>
    </row>
    <row r="11" spans="1:4">
      <c r="A11" s="1" t="s">
        <v>73</v>
      </c>
      <c r="B11" s="1" t="s">
        <v>74</v>
      </c>
      <c r="C11" s="1">
        <v>130002</v>
      </c>
      <c r="D11" s="1"/>
    </row>
    <row r="12" spans="1:4">
      <c r="A12" s="1" t="s">
        <v>75</v>
      </c>
      <c r="B12" s="1" t="s">
        <v>76</v>
      </c>
      <c r="C12" s="1">
        <v>130003</v>
      </c>
      <c r="D12" s="1"/>
    </row>
    <row r="13" spans="1:4">
      <c r="A13" s="1" t="s">
        <v>77</v>
      </c>
      <c r="B13" s="1" t="s">
        <v>78</v>
      </c>
      <c r="C13" s="1">
        <v>130004</v>
      </c>
      <c r="D13" s="1"/>
    </row>
    <row r="14" spans="1:4">
      <c r="A14" s="1" t="s">
        <v>79</v>
      </c>
      <c r="B14" s="1" t="s">
        <v>80</v>
      </c>
      <c r="C14" s="1">
        <v>130005</v>
      </c>
      <c r="D14" s="1"/>
    </row>
    <row r="15" spans="1:4">
      <c r="A15" s="1" t="s">
        <v>81</v>
      </c>
      <c r="B15" s="1" t="s">
        <v>82</v>
      </c>
      <c r="C15" s="1">
        <v>130006</v>
      </c>
      <c r="D15" s="1"/>
    </row>
    <row r="16" spans="1:4">
      <c r="A16" s="1" t="s">
        <v>83</v>
      </c>
      <c r="B16" s="1" t="s">
        <v>84</v>
      </c>
      <c r="C16" s="1">
        <v>130007</v>
      </c>
      <c r="D16" s="1"/>
    </row>
    <row r="17" spans="1:4">
      <c r="A17" s="1" t="s">
        <v>85</v>
      </c>
      <c r="B17" s="1" t="s">
        <v>86</v>
      </c>
      <c r="C17" s="1">
        <v>130008</v>
      </c>
      <c r="D17" s="1"/>
    </row>
    <row r="18" spans="1:4">
      <c r="A18" s="1" t="s">
        <v>87</v>
      </c>
      <c r="B18" s="1" t="s">
        <v>88</v>
      </c>
      <c r="C18" s="1">
        <v>130009</v>
      </c>
      <c r="D18" s="1"/>
    </row>
    <row r="19" spans="1:4">
      <c r="A19" s="1" t="s">
        <v>89</v>
      </c>
      <c r="B19" s="1" t="s">
        <v>90</v>
      </c>
      <c r="C19" s="1">
        <v>130010</v>
      </c>
      <c r="D19" s="1"/>
    </row>
    <row r="20" spans="1:4">
      <c r="A20" s="1" t="s">
        <v>91</v>
      </c>
      <c r="B20" s="1" t="s">
        <v>92</v>
      </c>
      <c r="C20" s="1">
        <v>130011</v>
      </c>
      <c r="D20" s="1"/>
    </row>
    <row r="21" spans="1:4">
      <c r="A21" s="1" t="s">
        <v>93</v>
      </c>
      <c r="B21" s="1" t="s">
        <v>94</v>
      </c>
      <c r="C21" s="1">
        <v>130012</v>
      </c>
      <c r="D21" s="1"/>
    </row>
    <row r="22" spans="1:4">
      <c r="A22" s="1" t="s">
        <v>95</v>
      </c>
      <c r="B22" s="1" t="s">
        <v>96</v>
      </c>
      <c r="C22" s="1">
        <v>130013</v>
      </c>
      <c r="D22" s="1"/>
    </row>
    <row r="23" spans="1:4">
      <c r="A23" s="1" t="s">
        <v>63</v>
      </c>
      <c r="B23" s="1" t="s">
        <v>64</v>
      </c>
      <c r="C23" s="1">
        <v>130014</v>
      </c>
      <c r="D23" s="1"/>
    </row>
    <row r="24" spans="1:4">
      <c r="A24" s="1" t="s">
        <v>97</v>
      </c>
      <c r="B24" s="1" t="s">
        <v>98</v>
      </c>
      <c r="C24" s="1">
        <v>130015</v>
      </c>
      <c r="D24" s="1"/>
    </row>
    <row r="25" spans="1:4">
      <c r="A25" s="1" t="s">
        <v>99</v>
      </c>
      <c r="B25" s="1" t="s">
        <v>100</v>
      </c>
      <c r="C25" s="1">
        <v>130016</v>
      </c>
      <c r="D25" s="1"/>
    </row>
    <row r="26" spans="1:4">
      <c r="A26" s="1" t="s">
        <v>101</v>
      </c>
      <c r="B26" s="1" t="s">
        <v>102</v>
      </c>
      <c r="C26" s="1">
        <v>130017</v>
      </c>
      <c r="D26" s="1"/>
    </row>
    <row r="27" spans="1:4">
      <c r="A27" s="1" t="s">
        <v>103</v>
      </c>
      <c r="B27" s="1" t="s">
        <v>104</v>
      </c>
      <c r="C27" s="1">
        <v>130018</v>
      </c>
      <c r="D27" s="1"/>
    </row>
    <row r="28" spans="1:4">
      <c r="A28" s="1" t="s">
        <v>105</v>
      </c>
      <c r="B28" s="1" t="s">
        <v>106</v>
      </c>
      <c r="C28" s="1">
        <v>130019</v>
      </c>
      <c r="D28" s="1"/>
    </row>
    <row r="29" spans="1:4">
      <c r="A29" s="1" t="s">
        <v>107</v>
      </c>
      <c r="B29" s="1" t="s">
        <v>108</v>
      </c>
      <c r="C29" s="1">
        <v>130020</v>
      </c>
      <c r="D29" s="1"/>
    </row>
    <row r="30" spans="1:4">
      <c r="A30" s="1" t="s">
        <v>109</v>
      </c>
      <c r="B30" s="1" t="s">
        <v>110</v>
      </c>
      <c r="C30" s="1">
        <v>130021</v>
      </c>
      <c r="D30" s="1"/>
    </row>
    <row r="31" spans="1:4">
      <c r="A31" s="1" t="s">
        <v>111</v>
      </c>
      <c r="B31" s="1" t="s">
        <v>112</v>
      </c>
      <c r="C31" s="1">
        <v>130022</v>
      </c>
      <c r="D31" s="1"/>
    </row>
    <row r="32" spans="1:4">
      <c r="A32" s="1" t="s">
        <v>113</v>
      </c>
      <c r="B32" s="1" t="s">
        <v>114</v>
      </c>
      <c r="C32" s="1">
        <v>130023</v>
      </c>
      <c r="D32" s="1"/>
    </row>
    <row r="33" spans="1:4">
      <c r="A33" s="1" t="s">
        <v>115</v>
      </c>
      <c r="B33" s="1" t="s">
        <v>116</v>
      </c>
      <c r="C33" s="1">
        <v>130024</v>
      </c>
      <c r="D33" s="1"/>
    </row>
    <row r="34" spans="1:4">
      <c r="A34" s="1" t="s">
        <v>117</v>
      </c>
      <c r="B34" s="1" t="s">
        <v>118</v>
      </c>
      <c r="C34" s="1">
        <v>130025</v>
      </c>
      <c r="D34" s="1"/>
    </row>
    <row r="35" spans="1:4">
      <c r="A35" s="1" t="s">
        <v>119</v>
      </c>
      <c r="B35" s="1" t="s">
        <v>120</v>
      </c>
      <c r="C35" s="1">
        <v>130026</v>
      </c>
      <c r="D35" s="1"/>
    </row>
    <row r="36" spans="1:4">
      <c r="A36" s="1" t="s">
        <v>121</v>
      </c>
      <c r="B36" s="1" t="s">
        <v>122</v>
      </c>
      <c r="C36" s="1">
        <v>130027</v>
      </c>
      <c r="D36" s="1"/>
    </row>
    <row r="37" spans="1:4">
      <c r="A37" s="1" t="s">
        <v>123</v>
      </c>
      <c r="B37" s="1" t="s">
        <v>124</v>
      </c>
      <c r="C37" s="1">
        <v>130028</v>
      </c>
      <c r="D37" s="1"/>
    </row>
    <row r="38" spans="1:4">
      <c r="A38" s="1" t="s">
        <v>125</v>
      </c>
      <c r="B38" s="1" t="s">
        <v>126</v>
      </c>
      <c r="C38" s="1">
        <v>130029</v>
      </c>
      <c r="D38" s="1"/>
    </row>
    <row r="39" spans="1:4">
      <c r="A39" s="1" t="s">
        <v>127</v>
      </c>
      <c r="B39" s="1" t="s">
        <v>128</v>
      </c>
      <c r="C39" s="1">
        <v>140001</v>
      </c>
      <c r="D39" s="1"/>
    </row>
    <row r="40" spans="1:4">
      <c r="A40" s="1" t="s">
        <v>129</v>
      </c>
      <c r="B40" s="1" t="s">
        <v>130</v>
      </c>
      <c r="C40" s="1">
        <v>140002</v>
      </c>
      <c r="D40" s="1"/>
    </row>
    <row r="41" spans="1:4">
      <c r="A41" s="1" t="s">
        <v>131</v>
      </c>
      <c r="B41" s="1" t="s">
        <v>132</v>
      </c>
      <c r="C41" s="1">
        <v>140003</v>
      </c>
      <c r="D41" s="1"/>
    </row>
    <row r="42" spans="1:4">
      <c r="A42" s="1" t="s">
        <v>133</v>
      </c>
      <c r="B42" s="1" t="s">
        <v>134</v>
      </c>
      <c r="C42" s="1">
        <v>140004</v>
      </c>
      <c r="D42" s="1"/>
    </row>
    <row r="43" spans="1:4">
      <c r="A43" s="1" t="s">
        <v>135</v>
      </c>
      <c r="B43" s="1" t="s">
        <v>136</v>
      </c>
      <c r="C43" s="1">
        <v>140005</v>
      </c>
      <c r="D43" s="1"/>
    </row>
    <row r="44" spans="1:4">
      <c r="A44" s="1" t="s">
        <v>137</v>
      </c>
      <c r="B44" s="1" t="s">
        <v>138</v>
      </c>
      <c r="C44" s="1">
        <v>140006</v>
      </c>
      <c r="D44" s="1"/>
    </row>
    <row r="45" spans="1:4">
      <c r="A45" s="1" t="s">
        <v>139</v>
      </c>
      <c r="B45" s="1" t="s">
        <v>140</v>
      </c>
      <c r="C45" s="1">
        <v>150001</v>
      </c>
      <c r="D45" s="1"/>
    </row>
    <row r="46" spans="1:4">
      <c r="A46" s="1" t="s">
        <v>139</v>
      </c>
      <c r="B46" s="1" t="s">
        <v>141</v>
      </c>
      <c r="C46" s="1">
        <v>160001</v>
      </c>
      <c r="D46" s="1">
        <v>0.1</v>
      </c>
    </row>
    <row r="47" spans="1:4">
      <c r="A47" s="1" t="s">
        <v>142</v>
      </c>
      <c r="B47" s="1" t="s">
        <v>143</v>
      </c>
      <c r="C47" s="1">
        <v>170001</v>
      </c>
      <c r="D47" s="1"/>
    </row>
    <row r="48" spans="1:4">
      <c r="A48" s="1" t="s">
        <v>144</v>
      </c>
      <c r="B48" s="1" t="s">
        <v>145</v>
      </c>
      <c r="C48" s="1">
        <v>170002</v>
      </c>
      <c r="D48" s="1"/>
    </row>
    <row r="49" spans="1:4">
      <c r="A49" s="1" t="s">
        <v>146</v>
      </c>
      <c r="B49" s="1" t="s">
        <v>147</v>
      </c>
      <c r="C49" s="1">
        <v>170003</v>
      </c>
      <c r="D49" s="1"/>
    </row>
    <row r="50" spans="1:4">
      <c r="A50" s="1" t="s">
        <v>148</v>
      </c>
      <c r="B50" s="1" t="s">
        <v>149</v>
      </c>
      <c r="C50" s="1">
        <v>170004</v>
      </c>
      <c r="D50" s="1"/>
    </row>
    <row r="51" spans="1:4">
      <c r="A51" s="1" t="s">
        <v>150</v>
      </c>
      <c r="B51" s="1" t="s">
        <v>151</v>
      </c>
      <c r="C51" s="1">
        <v>170005</v>
      </c>
      <c r="D51" s="1"/>
    </row>
    <row r="52" spans="1:4">
      <c r="A52" s="1" t="s">
        <v>152</v>
      </c>
      <c r="B52" s="1" t="s">
        <v>153</v>
      </c>
      <c r="C52" s="1">
        <v>170006</v>
      </c>
      <c r="D52" s="1"/>
    </row>
    <row r="53" spans="1:4">
      <c r="A53" s="1" t="s">
        <v>154</v>
      </c>
      <c r="B53" s="1" t="s">
        <v>155</v>
      </c>
      <c r="C53" s="1">
        <v>170007</v>
      </c>
      <c r="D53" s="1"/>
    </row>
    <row r="54" spans="1:4">
      <c r="A54" s="1" t="s">
        <v>156</v>
      </c>
      <c r="B54" s="1" t="s">
        <v>157</v>
      </c>
      <c r="C54" s="1">
        <v>171001</v>
      </c>
      <c r="D54" s="1">
        <v>0.1</v>
      </c>
    </row>
    <row r="55" spans="1:4">
      <c r="A55" s="1" t="s">
        <v>158</v>
      </c>
      <c r="B55" s="1" t="s">
        <v>159</v>
      </c>
      <c r="C55" s="1">
        <v>171002</v>
      </c>
      <c r="D55" s="1">
        <v>0.1</v>
      </c>
    </row>
    <row r="56" spans="1:4">
      <c r="A56" s="1" t="s">
        <v>160</v>
      </c>
      <c r="B56" s="1" t="s">
        <v>161</v>
      </c>
      <c r="C56" s="1">
        <v>191001</v>
      </c>
      <c r="D56" s="1"/>
    </row>
    <row r="57" spans="1:4">
      <c r="A57" s="1" t="s">
        <v>162</v>
      </c>
      <c r="B57" s="1" t="s">
        <v>163</v>
      </c>
      <c r="C57" s="1">
        <v>201001</v>
      </c>
      <c r="D57" s="1"/>
    </row>
    <row r="58" spans="1:4">
      <c r="A58" s="1" t="s">
        <v>162</v>
      </c>
      <c r="B58" s="1" t="s">
        <v>163</v>
      </c>
      <c r="C58" s="1">
        <v>201002</v>
      </c>
      <c r="D58" s="1"/>
    </row>
    <row r="59" spans="1:4">
      <c r="A59" s="1" t="s">
        <v>164</v>
      </c>
      <c r="B59" s="1" t="s">
        <v>163</v>
      </c>
      <c r="C59" s="1">
        <v>201003</v>
      </c>
      <c r="D59" s="1"/>
    </row>
    <row r="60" spans="1:4">
      <c r="A60" s="1" t="s">
        <v>165</v>
      </c>
      <c r="B60" s="1" t="s">
        <v>163</v>
      </c>
      <c r="C60" s="1">
        <v>201004</v>
      </c>
      <c r="D60" s="1"/>
    </row>
    <row r="61" spans="1:4">
      <c r="A61" s="1" t="s">
        <v>166</v>
      </c>
      <c r="B61" s="1" t="s">
        <v>163</v>
      </c>
      <c r="C61" s="1">
        <v>201005</v>
      </c>
      <c r="D61" s="1"/>
    </row>
    <row r="62" spans="1:4">
      <c r="A62" s="1" t="s">
        <v>167</v>
      </c>
      <c r="B62" s="1" t="s">
        <v>168</v>
      </c>
      <c r="C62" s="1">
        <v>192001</v>
      </c>
      <c r="D62" s="1">
        <v>0.01</v>
      </c>
    </row>
    <row r="63" spans="1:4">
      <c r="A63" s="1" t="s">
        <v>169</v>
      </c>
      <c r="B63" s="1" t="s">
        <v>170</v>
      </c>
      <c r="C63" s="1">
        <v>100001</v>
      </c>
      <c r="D63" s="1">
        <v>0.1</v>
      </c>
    </row>
    <row r="64" spans="1:4">
      <c r="A64" s="1" t="s">
        <v>171</v>
      </c>
      <c r="B64" s="1" t="s">
        <v>172</v>
      </c>
      <c r="C64" s="1">
        <v>100002</v>
      </c>
      <c r="D64" s="1">
        <v>0.2</v>
      </c>
    </row>
    <row r="65" spans="1:4">
      <c r="A65" s="1" t="s">
        <v>173</v>
      </c>
      <c r="B65" s="1" t="s">
        <v>174</v>
      </c>
      <c r="C65" s="1">
        <v>100003</v>
      </c>
      <c r="D65" s="1">
        <v>0.3</v>
      </c>
    </row>
    <row r="66" spans="1:4">
      <c r="A66" s="1" t="s">
        <v>175</v>
      </c>
      <c r="B66" s="1" t="s">
        <v>176</v>
      </c>
      <c r="C66" s="1">
        <v>100004</v>
      </c>
      <c r="D66" s="1">
        <v>0.4</v>
      </c>
    </row>
    <row r="67" spans="1:4">
      <c r="A67" s="1" t="s">
        <v>177</v>
      </c>
      <c r="B67" s="1" t="s">
        <v>178</v>
      </c>
      <c r="C67" s="1">
        <v>100005</v>
      </c>
      <c r="D67" s="1">
        <v>0.5</v>
      </c>
    </row>
    <row r="68" spans="1:4">
      <c r="A68" s="1" t="s">
        <v>179</v>
      </c>
      <c r="B68" s="1" t="s">
        <v>180</v>
      </c>
      <c r="C68" s="1">
        <v>210006</v>
      </c>
      <c r="D68" s="1"/>
    </row>
    <row r="69" spans="1:4">
      <c r="A69" s="1" t="s">
        <v>181</v>
      </c>
      <c r="B69" s="1" t="s">
        <v>182</v>
      </c>
      <c r="C69" s="1">
        <v>210007</v>
      </c>
      <c r="D69" s="1"/>
    </row>
    <row r="70" spans="1:4">
      <c r="A70" s="1" t="s">
        <v>183</v>
      </c>
      <c r="B70" s="1" t="s">
        <v>184</v>
      </c>
      <c r="C70" s="1">
        <v>210008</v>
      </c>
      <c r="D70" s="1"/>
    </row>
    <row r="71" spans="1:4">
      <c r="A71" s="1" t="s">
        <v>185</v>
      </c>
      <c r="B71" s="1" t="s">
        <v>186</v>
      </c>
      <c r="C71" s="1">
        <v>210009</v>
      </c>
      <c r="D71" s="1"/>
    </row>
    <row r="72" spans="1:4">
      <c r="A72" s="1" t="s">
        <v>187</v>
      </c>
      <c r="B72" s="1" t="s">
        <v>188</v>
      </c>
      <c r="C72" s="1">
        <v>100006</v>
      </c>
      <c r="D72" s="1"/>
    </row>
    <row r="73" spans="1:4">
      <c r="A73" s="1"/>
      <c r="B73" s="1" t="s">
        <v>189</v>
      </c>
      <c r="C73" s="2">
        <v>100001</v>
      </c>
      <c r="D73" s="1">
        <v>0.1</v>
      </c>
    </row>
    <row r="74" spans="1:4">
      <c r="A74" s="1"/>
      <c r="B74" s="1" t="s">
        <v>190</v>
      </c>
      <c r="C74" s="2">
        <v>100002</v>
      </c>
      <c r="D74" s="1">
        <v>0.2</v>
      </c>
    </row>
    <row r="75" spans="1:4">
      <c r="A75" s="1"/>
      <c r="B75" s="1" t="s">
        <v>191</v>
      </c>
      <c r="C75" s="2">
        <v>100003</v>
      </c>
      <c r="D75" s="1">
        <v>0.5</v>
      </c>
    </row>
    <row r="76" spans="1:4">
      <c r="A76" s="1"/>
      <c r="B76" s="1" t="s">
        <v>192</v>
      </c>
      <c r="C76" s="2">
        <v>100004</v>
      </c>
      <c r="D76" s="1">
        <v>1</v>
      </c>
    </row>
    <row r="77" spans="1:4">
      <c r="A77" s="1"/>
      <c r="B77" s="1" t="s">
        <v>193</v>
      </c>
      <c r="C77" s="2">
        <v>100005</v>
      </c>
      <c r="D77" s="1">
        <v>2</v>
      </c>
    </row>
    <row r="78" spans="1:4">
      <c r="A78" s="1"/>
      <c r="B78" s="1" t="s">
        <v>38</v>
      </c>
      <c r="C78" s="1">
        <v>1</v>
      </c>
      <c r="D78" s="1"/>
    </row>
    <row r="79" spans="1:4">
      <c r="A79" s="1"/>
      <c r="B79" s="1" t="s">
        <v>42</v>
      </c>
      <c r="C79" s="1">
        <v>2</v>
      </c>
      <c r="D79" s="1">
        <v>0.01</v>
      </c>
    </row>
    <row r="80" spans="1:4">
      <c r="A80" s="1"/>
      <c r="B80" s="1" t="s">
        <v>43</v>
      </c>
      <c r="C80" s="1">
        <v>3</v>
      </c>
      <c r="D80" s="1"/>
    </row>
    <row r="81" spans="1:4">
      <c r="A81" s="1"/>
      <c r="B81" s="1" t="s">
        <v>194</v>
      </c>
      <c r="C81" s="1">
        <v>9</v>
      </c>
      <c r="D81" s="1"/>
    </row>
    <row r="82" spans="1:4">
      <c r="C82" t="s">
        <v>195</v>
      </c>
      <c r="D82">
        <v>0.25</v>
      </c>
    </row>
  </sheetData>
  <conditionalFormatting sqref="C73:C77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OnePlusSixGift</vt:lpstr>
      <vt:lpstr>frenzy</vt:lpstr>
      <vt:lpstr>数值体验表</vt:lpstr>
      <vt:lpstr>道具id表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2026-06-17T02:16:21Z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C3A27CAD344249E79EE5B49ECC41AA7B_12</vt:lpwstr>
  </property>
  <property fmtid="{D5CDD505-2E9C-101B-9397-08002B2CF9AE}" pid="4" name="CalculationRule">
    <vt:i4>0</vt:i4>
  </property>
</Properties>
</file>