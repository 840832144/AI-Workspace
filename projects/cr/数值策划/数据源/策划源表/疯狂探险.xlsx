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firstSheet="2" activeTab="1"/>
  </bookViews>
  <sheets>
    <sheet name="bet对应表" sheetId="4" r:id="rId1"/>
    <sheet name="QuestFrenzyMission" sheetId="1" r:id="rId2"/>
    <sheet name="机器列表" sheetId="2" r:id="rId3"/>
    <sheet name="数值体验表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<sst xmlns="http://schemas.openxmlformats.org/spreadsheetml/2006/main" count="95" uniqueCount="70">
  <si>
    <t>id</t>
  </si>
  <si>
    <t>type</t>
  </si>
  <si>
    <t>bet</t>
  </si>
  <si>
    <t>单次消耗美金</t>
  </si>
  <si>
    <t>类型</t>
  </si>
  <si>
    <t>抽成</t>
  </si>
  <si>
    <t>倍率</t>
  </si>
  <si>
    <t>胜率</t>
  </si>
  <si>
    <t>bigwin间隔</t>
  </si>
  <si>
    <t>老虎机</t>
  </si>
  <si>
    <t>单位金币</t>
  </si>
  <si>
    <t>Chapter</t>
  </si>
  <si>
    <t>Level</t>
  </si>
  <si>
    <t>MissionId</t>
  </si>
  <si>
    <t>MissionType</t>
  </si>
  <si>
    <t>MachineId</t>
  </si>
  <si>
    <t>ParmType1</t>
  </si>
  <si>
    <t>Parm1</t>
  </si>
  <si>
    <t>moduleNameId</t>
  </si>
  <si>
    <t>RewardType1</t>
  </si>
  <si>
    <t>RewardId1</t>
  </si>
  <si>
    <t>RewardNum1</t>
  </si>
  <si>
    <t>LanguageId</t>
  </si>
  <si>
    <t>int</t>
  </si>
  <si>
    <t>long</t>
  </si>
  <si>
    <t>string</t>
  </si>
  <si>
    <t>s</t>
  </si>
  <si>
    <t>cs</t>
  </si>
  <si>
    <t>章节</t>
  </si>
  <si>
    <t>关卡</t>
  </si>
  <si>
    <t>任务id
(关卡中任务并行)</t>
  </si>
  <si>
    <t>任务类型
1=Spin次数(Base界面期间的spin总数)
2=大赢次数(Base界面单次赢钱触发bigwin的次数)
3=赢钱次数(Base界面赢钱次数)
4=累计押注值(在本关消耗的金币总额)
5=累计赢钱值(在本关获得的总赢钱金额)</t>
  </si>
  <si>
    <t>机台id
(也算是任务条件之一)</t>
  </si>
  <si>
    <t>关卡任务参数类型
1金币
17美金金币，百分比</t>
  </si>
  <si>
    <t>任务条件参数</t>
  </si>
  <si>
    <t>模块索引
（参考ModuleName.xlsx)</t>
  </si>
  <si>
    <t>关卡完成奖励类型
1金币
2钻石
3道具
4卡包
17美金金币</t>
  </si>
  <si>
    <t>关卡完成奖励id</t>
  </si>
  <si>
    <t>关卡完成奖励数量</t>
  </si>
  <si>
    <t>语言表id</t>
  </si>
  <si>
    <t>推荐bet</t>
  </si>
  <si>
    <t>消耗美金</t>
  </si>
  <si>
    <t>机器id</t>
  </si>
  <si>
    <t>机器名</t>
  </si>
  <si>
    <t>财神</t>
  </si>
  <si>
    <t>牛</t>
  </si>
  <si>
    <t>火车</t>
  </si>
  <si>
    <t>弗兰肯</t>
  </si>
  <si>
    <t>舞狮</t>
  </si>
  <si>
    <t>埃及</t>
  </si>
  <si>
    <t>精灵</t>
  </si>
  <si>
    <t>糖果</t>
  </si>
  <si>
    <t>冰原狼</t>
  </si>
  <si>
    <t>珠宝</t>
  </si>
  <si>
    <t>白虎</t>
  </si>
  <si>
    <t>凤凰</t>
  </si>
  <si>
    <t>名画</t>
  </si>
  <si>
    <t>巴西</t>
  </si>
  <si>
    <t>元素</t>
  </si>
  <si>
    <t>弗拉明戈</t>
  </si>
  <si>
    <t>泰山</t>
  </si>
  <si>
    <t>tiki火山</t>
  </si>
  <si>
    <t>孔雀</t>
  </si>
  <si>
    <t>圣诞</t>
  </si>
  <si>
    <t>龙</t>
  </si>
  <si>
    <t>小猪银行</t>
  </si>
  <si>
    <t>机台</t>
  </si>
  <si>
    <t>需要spin</t>
  </si>
  <si>
    <t>奖励美金</t>
  </si>
  <si>
    <t>消耗返还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</si>
</sst>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#,##0_ "/>
    <numFmt numFmtId="178" formatCode="_ * #,##0_ ;_ * \-#,##0_ ;_ * &quot;-&quot;??_ ;_ @_ "/>
    <numFmt numFmtId="179" formatCode="#,##0.00_ "/>
    <numFmt numFmtId="180" formatCode="0_ "/>
  </numFmts>
  <fonts count="24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</font>
    <font>
      <sz val="10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4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5" borderId="5">
      <alignment vertical="center"/>
    </xf>
    <xf numFmtId="0" fontId="14" fillId="6" borderId="6">
      <alignment vertical="center"/>
    </xf>
    <xf numFmtId="0" fontId="15" fillId="6" borderId="5">
      <alignment vertical="center"/>
    </xf>
    <xf numFmtId="0" fontId="16" fillId="7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3" fillId="32" borderId="0">
      <alignment vertical="center"/>
    </xf>
    <xf numFmtId="0" fontId="23" fillId="33" borderId="0">
      <alignment vertical="center"/>
    </xf>
    <xf numFmtId="0" fontId="22" fillId="34" borderId="0">
      <alignment vertical="center"/>
    </xf>
  </cellStyleXfs>
  <cellXfs count="26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0" fontId="0" fillId="0" borderId="1" xfId="0" applyBorder="1" applyAlignment="1">
      <alignment vertical="center"/>
    </xf>
    <xf numFmtId="176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177" fontId="0" fillId="0" borderId="0" xfId="0" applyNumberFormat="1" applyAlignment="1">
      <alignment vertical="center"/>
    </xf>
    <xf numFmtId="0" fontId="1" fillId="0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49" fontId="1" fillId="0" borderId="1" xfId="0" applyNumberFormat="1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178" fontId="0" fillId="0" borderId="0" xfId="0" applyNumberFormat="1" applyFont="1" applyFill="1" applyAlignment="1"/>
    <xf numFmtId="179" fontId="0" fillId="0" borderId="0" xfId="0" applyNumberFormat="1" applyAlignment="1">
      <alignment vertical="center"/>
    </xf>
    <xf numFmtId="9" fontId="0" fillId="0" borderId="0" xfId="3" applyNumberFormat="1">
      <alignment vertical="center"/>
    </xf>
    <xf numFmtId="10" fontId="0" fillId="0" borderId="0" xfId="0" applyNumberFormat="1" applyAlignment="1">
      <alignment vertical="center"/>
    </xf>
    <xf numFmtId="180" fontId="0" fillId="0" borderId="0" xfId="0" applyNumberFormat="1" applyAlignment="1">
      <alignment vertical="center"/>
    </xf>
    <xf numFmtId="178" fontId="0" fillId="0" borderId="0" xfId="0" applyNumberFormat="1">
      <alignment vertical="center"/>
    </xf>
    <xf numFmtId="178" fontId="0" fillId="3" borderId="0" xfId="0" applyNumberFormat="1" applyFont="1" applyFill="1" applyAlignment="1"/>
    <xf numFmtId="178" fontId="0" fillId="3" borderId="0" xfId="0" applyNumberFormat="1" applyFill="1">
      <alignment vertical="center"/>
    </xf>
    <xf numFmtId="179" fontId="0" fillId="3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8"/>
  <sheetViews>
    <sheetView workbookViewId="0">
      <selection activeCell="C17" sqref="C17"/>
    </sheetView>
  </sheetViews>
  <sheetFormatPr defaultColWidth="9" defaultRowHeight="13.5"/>
  <cols>
    <col min="3" max="3" width="17.125" customWidth="1"/>
    <col min="4" max="4" width="12.625" style="6"/>
    <col min="6" max="6" width="11.5"/>
    <col min="10" max="10" width="7.375" customWidth="1"/>
    <col min="11" max="11" width="9.375"/>
  </cols>
  <sheetData>
    <row r="1" spans="1:11">
      <c r="A1" t="s">
        <v>0</v>
      </c>
      <c r="B1" t="s">
        <v>1</v>
      </c>
      <c r="C1" t="s">
        <v>2</v>
      </c>
      <c r="D1" s="6" t="s">
        <v>3</v>
      </c>
      <c r="F1" t="s">
        <v>4</v>
      </c>
      <c r="G1" t="s">
        <v>1</v>
      </c>
      <c r="H1" t="s">
        <v>5</v>
      </c>
      <c r="I1" t="s">
        <v>6</v>
      </c>
      <c r="J1" t="s">
        <v>7</v>
      </c>
      <c r="K1" t="s">
        <v>8</v>
      </c>
    </row>
    <row r="2" spans="1:11">
      <c r="A2" s="17">
        <v>1</v>
      </c>
      <c r="B2" s="17">
        <v>2</v>
      </c>
      <c r="C2" s="17">
        <v>10000</v>
      </c>
      <c r="D2" s="18">
        <f t="shared" ref="D2:D15" si="0">SUMIF($G$2:$G$3,B2,$I$2:$I$3)*SUMIF($G$2:$G$3,B2,$H$2:$H$3)*C2/$F$5</f>
        <v>0.001</v>
      </c>
      <c r="F2" t="s">
        <v>9</v>
      </c>
      <c r="G2">
        <v>2</v>
      </c>
      <c r="H2" s="19">
        <v>0.1</v>
      </c>
      <c r="I2">
        <v>1</v>
      </c>
      <c r="J2" s="20">
        <v>0.6</v>
      </c>
      <c r="K2" s="21">
        <v>50</v>
      </c>
    </row>
    <row r="3" spans="1:11">
      <c r="A3" s="17">
        <v>2</v>
      </c>
      <c r="B3" s="17">
        <v>2</v>
      </c>
      <c r="C3" s="17">
        <v>30000</v>
      </c>
      <c r="D3" s="18">
        <f t="shared" si="0"/>
        <v>0.003</v>
      </c>
      <c r="H3" s="19"/>
      <c r="J3" s="20"/>
    </row>
    <row r="4" spans="1:11">
      <c r="A4" s="17">
        <v>3</v>
      </c>
      <c r="B4" s="17">
        <v>2</v>
      </c>
      <c r="C4" s="17">
        <v>90000</v>
      </c>
      <c r="D4" s="18">
        <f t="shared" si="0"/>
        <v>0.009</v>
      </c>
      <c r="F4" t="s">
        <v>10</v>
      </c>
    </row>
    <row r="5" spans="1:11">
      <c r="A5" s="17">
        <v>4</v>
      </c>
      <c r="B5" s="17">
        <v>2</v>
      </c>
      <c r="C5" s="17">
        <v>150000</v>
      </c>
      <c r="D5" s="18">
        <f t="shared" si="0"/>
        <v>0.015</v>
      </c>
      <c r="F5" s="6">
        <v>1000000</v>
      </c>
    </row>
    <row r="6" spans="1:11">
      <c r="A6" s="17">
        <v>5</v>
      </c>
      <c r="B6" s="17">
        <v>2</v>
      </c>
      <c r="C6" s="17">
        <v>300000</v>
      </c>
      <c r="D6" s="18">
        <f t="shared" si="0"/>
        <v>0.03</v>
      </c>
    </row>
    <row r="7" spans="1:11">
      <c r="A7" s="17">
        <v>6</v>
      </c>
      <c r="B7" s="17">
        <v>2</v>
      </c>
      <c r="C7" s="17">
        <v>750000</v>
      </c>
      <c r="D7" s="18">
        <f t="shared" si="0"/>
        <v>0.075</v>
      </c>
    </row>
    <row r="8" spans="1:11">
      <c r="A8" s="17">
        <v>7</v>
      </c>
      <c r="B8" s="17">
        <v>2</v>
      </c>
      <c r="C8" s="17">
        <v>1500000</v>
      </c>
      <c r="D8" s="18">
        <f t="shared" si="0"/>
        <v>0.15</v>
      </c>
    </row>
    <row r="9" spans="1:11">
      <c r="A9" s="17">
        <v>8</v>
      </c>
      <c r="B9" s="17">
        <v>2</v>
      </c>
      <c r="C9" s="22">
        <v>3000000</v>
      </c>
      <c r="D9" s="18">
        <f t="shared" si="0"/>
        <v>0.3</v>
      </c>
      <c r="F9" s="19"/>
    </row>
    <row r="10" spans="1:11">
      <c r="A10" s="17">
        <v>9</v>
      </c>
      <c r="B10" s="17">
        <v>2</v>
      </c>
      <c r="C10" s="22">
        <v>6000000</v>
      </c>
      <c r="D10" s="18">
        <f t="shared" si="0"/>
        <v>0.6</v>
      </c>
    </row>
    <row r="11" spans="1:11">
      <c r="A11" s="17">
        <v>10</v>
      </c>
      <c r="B11" s="17">
        <v>2</v>
      </c>
      <c r="C11" s="22">
        <v>9000000</v>
      </c>
      <c r="D11" s="18">
        <f t="shared" si="0"/>
        <v>0.9</v>
      </c>
    </row>
    <row r="12" spans="1:11">
      <c r="A12" s="23">
        <v>11</v>
      </c>
      <c r="B12" s="23">
        <v>2</v>
      </c>
      <c r="C12" s="24">
        <v>12000000</v>
      </c>
      <c r="D12" s="25">
        <f t="shared" si="0"/>
        <v>1.2</v>
      </c>
    </row>
    <row r="13" spans="1:11">
      <c r="A13" s="17">
        <v>12</v>
      </c>
      <c r="B13" s="17">
        <v>2</v>
      </c>
      <c r="C13" s="22">
        <v>15000000</v>
      </c>
      <c r="D13" s="18">
        <f t="shared" si="0"/>
        <v>1.5</v>
      </c>
    </row>
    <row r="14" spans="1:11">
      <c r="A14" s="17">
        <v>13</v>
      </c>
      <c r="B14" s="17">
        <v>2</v>
      </c>
      <c r="C14" s="22">
        <v>30000000</v>
      </c>
      <c r="D14" s="18">
        <f t="shared" si="0"/>
        <v>3</v>
      </c>
    </row>
    <row r="15" spans="1:11">
      <c r="A15" s="17">
        <v>14</v>
      </c>
      <c r="B15" s="17">
        <v>2</v>
      </c>
      <c r="C15" s="17">
        <v>60000000</v>
      </c>
      <c r="D15" s="18">
        <f t="shared" si="0"/>
        <v>6</v>
      </c>
    </row>
    <row r="16" spans="1:11">
      <c r="A16" s="17">
        <v>15</v>
      </c>
      <c r="B16" s="17">
        <v>2</v>
      </c>
      <c r="C16" s="17">
        <v>90000000</v>
      </c>
      <c r="D16" s="18">
        <f t="shared" ref="D16:D28" si="1">SUMIF($G$2:$G$3,B16,$I$2:$I$3)*SUMIF($G$2:$G$3,B16,$H$2:$H$3)*C16/$F$5</f>
        <v>9</v>
      </c>
    </row>
    <row r="17" spans="1:4">
      <c r="A17" s="17">
        <v>16</v>
      </c>
      <c r="B17" s="17">
        <v>2</v>
      </c>
      <c r="C17" s="17">
        <v>150000000</v>
      </c>
      <c r="D17" s="18">
        <f t="shared" si="1"/>
        <v>15</v>
      </c>
    </row>
    <row r="18" spans="1:4">
      <c r="A18" s="17">
        <v>17</v>
      </c>
      <c r="B18" s="17">
        <v>2</v>
      </c>
      <c r="C18" s="17">
        <v>180000000</v>
      </c>
      <c r="D18" s="18">
        <f t="shared" si="1"/>
        <v>18</v>
      </c>
    </row>
    <row r="19" spans="1:4">
      <c r="A19" s="17">
        <v>18</v>
      </c>
      <c r="B19" s="17">
        <v>2</v>
      </c>
      <c r="C19" s="17">
        <v>225000000</v>
      </c>
      <c r="D19" s="18">
        <f t="shared" si="1"/>
        <v>22.5</v>
      </c>
    </row>
    <row r="20" spans="1:4">
      <c r="A20" s="17">
        <v>19</v>
      </c>
      <c r="B20" s="17">
        <v>2</v>
      </c>
      <c r="C20" s="17">
        <v>300000000</v>
      </c>
      <c r="D20" s="18">
        <f t="shared" si="1"/>
        <v>30</v>
      </c>
    </row>
    <row r="21" spans="1:4">
      <c r="A21" s="17">
        <v>20</v>
      </c>
      <c r="B21" s="17">
        <v>2</v>
      </c>
      <c r="C21" s="17">
        <v>350000000</v>
      </c>
      <c r="D21" s="18">
        <f t="shared" si="1"/>
        <v>35</v>
      </c>
    </row>
    <row r="22" spans="1:4">
      <c r="A22" s="17">
        <v>21</v>
      </c>
      <c r="B22" s="17">
        <v>2</v>
      </c>
      <c r="C22" s="17">
        <v>400000000</v>
      </c>
      <c r="D22" s="18">
        <f t="shared" si="1"/>
        <v>40</v>
      </c>
    </row>
    <row r="23" spans="1:4">
      <c r="A23" s="17">
        <v>22</v>
      </c>
      <c r="B23" s="17">
        <v>2</v>
      </c>
      <c r="C23" s="22">
        <v>500000000</v>
      </c>
      <c r="D23" s="18">
        <f t="shared" si="1"/>
        <v>50</v>
      </c>
    </row>
    <row r="24" spans="1:4">
      <c r="A24" s="17">
        <v>23</v>
      </c>
      <c r="B24" s="17">
        <v>2</v>
      </c>
      <c r="C24" s="17">
        <v>750000000</v>
      </c>
      <c r="D24" s="18">
        <f t="shared" si="1"/>
        <v>75</v>
      </c>
    </row>
    <row r="25" spans="1:4">
      <c r="A25" s="17">
        <v>24</v>
      </c>
      <c r="B25" s="17">
        <v>2</v>
      </c>
      <c r="C25" s="17">
        <v>1000000000</v>
      </c>
      <c r="D25" s="18">
        <f t="shared" si="1"/>
        <v>100</v>
      </c>
    </row>
    <row r="26" spans="1:4">
      <c r="A26" s="17">
        <v>25</v>
      </c>
      <c r="B26" s="17">
        <v>2</v>
      </c>
      <c r="C26" s="17">
        <v>1250000000</v>
      </c>
      <c r="D26" s="18">
        <f t="shared" si="1"/>
        <v>125</v>
      </c>
    </row>
    <row r="27" spans="1:4">
      <c r="A27" s="17">
        <v>26</v>
      </c>
      <c r="B27" s="17">
        <v>2</v>
      </c>
      <c r="C27" s="17">
        <v>1500000000</v>
      </c>
      <c r="D27" s="18">
        <f t="shared" si="1"/>
        <v>150</v>
      </c>
    </row>
    <row r="28" spans="1:4">
      <c r="A28" s="17">
        <v>27</v>
      </c>
      <c r="B28" s="17">
        <v>2</v>
      </c>
      <c r="C28" s="17">
        <v>2000000000</v>
      </c>
      <c r="D28" s="18">
        <f t="shared" si="1"/>
        <v>200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0"/>
  <sheetViews>
    <sheetView tabSelected="1" workbookViewId="0">
      <selection activeCell="N10" sqref="N10"/>
    </sheetView>
  </sheetViews>
  <sheetFormatPr defaultColWidth="9" defaultRowHeight="13.5"/>
  <cols>
    <col min="4" max="4" width="38.125" customWidth="1"/>
    <col min="5" max="5" width="10.375" customWidth="1"/>
    <col min="9" max="9" width="10.625" customWidth="1"/>
    <col min="12" max="12" width="14.875" customWidth="1"/>
    <col min="15" max="15" width="12.625" style="6"/>
    <col min="16" max="16" width="12.625" style="1"/>
  </cols>
  <sheetData>
    <row r="1" spans="1:16">
      <c r="A1" s="7" t="s">
        <v>11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16</v>
      </c>
      <c r="G1" s="7" t="s">
        <v>17</v>
      </c>
      <c r="H1" s="8" t="s">
        <v>18</v>
      </c>
      <c r="I1" s="7" t="s">
        <v>19</v>
      </c>
      <c r="J1" s="7" t="s">
        <v>20</v>
      </c>
      <c r="K1" s="7" t="s">
        <v>21</v>
      </c>
      <c r="L1" s="7" t="s">
        <v>22</v>
      </c>
    </row>
    <row r="2" spans="1:16">
      <c r="A2" s="7" t="s">
        <v>23</v>
      </c>
      <c r="B2" s="7" t="s">
        <v>23</v>
      </c>
      <c r="C2" s="7" t="s">
        <v>23</v>
      </c>
      <c r="D2" s="7" t="s">
        <v>23</v>
      </c>
      <c r="E2" s="7" t="s">
        <v>23</v>
      </c>
      <c r="F2" s="7" t="s">
        <v>23</v>
      </c>
      <c r="G2" s="7" t="s">
        <v>24</v>
      </c>
      <c r="H2" s="9" t="s">
        <v>23</v>
      </c>
      <c r="I2" s="7" t="s">
        <v>23</v>
      </c>
      <c r="J2" s="10" t="s">
        <v>23</v>
      </c>
      <c r="K2" s="7" t="s">
        <v>23</v>
      </c>
      <c r="L2" s="7" t="s">
        <v>25</v>
      </c>
    </row>
    <row r="3" spans="1:16">
      <c r="A3" s="7" t="s">
        <v>26</v>
      </c>
      <c r="B3" s="7" t="s">
        <v>26</v>
      </c>
      <c r="C3" s="11" t="s">
        <v>27</v>
      </c>
      <c r="D3" s="7" t="s">
        <v>27</v>
      </c>
      <c r="E3" s="7" t="s">
        <v>27</v>
      </c>
      <c r="F3" s="7" t="s">
        <v>27</v>
      </c>
      <c r="G3" s="7" t="s">
        <v>27</v>
      </c>
      <c r="H3" s="8" t="s">
        <v>26</v>
      </c>
      <c r="I3" s="7" t="s">
        <v>27</v>
      </c>
      <c r="J3" s="7" t="s">
        <v>27</v>
      </c>
      <c r="K3" s="11" t="s">
        <v>27</v>
      </c>
      <c r="L3" s="11" t="s">
        <v>26</v>
      </c>
    </row>
    <row r="4" ht="94.5" spans="1:16">
      <c r="A4" s="12" t="s">
        <v>28</v>
      </c>
      <c r="B4" s="12" t="s">
        <v>29</v>
      </c>
      <c r="C4" s="13" t="s">
        <v>30</v>
      </c>
      <c r="D4" s="14" t="s">
        <v>31</v>
      </c>
      <c r="E4" s="12" t="s">
        <v>32</v>
      </c>
      <c r="F4" s="12" t="s">
        <v>33</v>
      </c>
      <c r="G4" s="13" t="s">
        <v>34</v>
      </c>
      <c r="H4" s="15" t="s">
        <v>35</v>
      </c>
      <c r="I4" s="13" t="s">
        <v>36</v>
      </c>
      <c r="J4" s="7" t="s">
        <v>37</v>
      </c>
      <c r="K4" s="7" t="s">
        <v>38</v>
      </c>
      <c r="L4" s="7" t="s">
        <v>39</v>
      </c>
      <c r="N4" t="s">
        <v>40</v>
      </c>
      <c r="O4" s="6" t="s">
        <v>2</v>
      </c>
      <c r="P4" s="1" t="s">
        <v>41</v>
      </c>
    </row>
    <row r="5" spans="1:16">
      <c r="A5" s="7">
        <v>1</v>
      </c>
      <c r="B5" s="7">
        <v>1</v>
      </c>
      <c r="C5" s="7">
        <v>101001</v>
      </c>
      <c r="D5" s="7">
        <v>1</v>
      </c>
      <c r="E5" s="16">
        <v>10001</v>
      </c>
      <c r="F5" s="16"/>
      <c r="G5" s="7">
        <v>20</v>
      </c>
      <c r="H5" s="7"/>
      <c r="I5" s="7"/>
      <c r="J5" s="7"/>
      <c r="K5" s="7"/>
      <c r="L5" s="7"/>
      <c r="N5">
        <v>1</v>
      </c>
      <c r="O5" s="6">
        <f>VLOOKUP(N5,bet对应表!A:C,3,FALSE)</f>
        <v>10000</v>
      </c>
      <c r="P5" s="1" cm="1">
        <f t="array" ref="P5">_xlfn.IFS(D5=1,VLOOKUP(N5,bet对应表!A:D,4,0)*G5,D5=2,VLOOKUP(N5,bet对应表!A:D,4,0)*G5*bet对应表!$K$2,D5=3,VLOOKUP(N5,bet对应表!A:D,4,0)*G5/bet对应表!$J$2,D5=4,G5*bet对应表!$H$2/100,D5=5,G5*bet对应表!$H$2/100/bet对应表!$J$2)</f>
        <v>0.02</v>
      </c>
    </row>
    <row r="6" spans="1:16">
      <c r="A6" s="7">
        <v>1</v>
      </c>
      <c r="B6" s="7">
        <v>1</v>
      </c>
      <c r="C6" s="7">
        <v>101002</v>
      </c>
      <c r="D6" s="7">
        <v>3</v>
      </c>
      <c r="E6" s="16">
        <v>10001</v>
      </c>
      <c r="F6" s="16"/>
      <c r="G6" s="7">
        <v>12</v>
      </c>
      <c r="H6" s="7"/>
      <c r="I6" s="7">
        <v>17</v>
      </c>
      <c r="J6" s="7">
        <v>1</v>
      </c>
      <c r="K6" s="7">
        <v>4</v>
      </c>
      <c r="L6" s="7" t="str">
        <f>"DailyMission"&amp;D6</f>
        <v>DailyMission3</v>
      </c>
      <c r="N6">
        <v>1</v>
      </c>
      <c r="O6" s="6">
        <f>VLOOKUP(N6,bet对应表!A:C,3,FALSE)</f>
        <v>10000</v>
      </c>
      <c r="P6" s="1" cm="1">
        <f t="array" ref="P6">_xlfn.IFS(D6=1,VLOOKUP(N6,bet对应表!A:D,4,0)*G6,D6=2,VLOOKUP(N6,bet对应表!A:D,4,0)*G6*bet对应表!$K$2,D6=3,VLOOKUP(N6,bet对应表!A:D,4,0)*G6/bet对应表!$J$2,D6=4,G6*bet对应表!$H$2/100,D6=5,G6*bet对应表!$H$2/100/bet对应表!$J$2)</f>
        <v>0.02</v>
      </c>
    </row>
    <row r="7" spans="1:16">
      <c r="A7" s="7">
        <v>1</v>
      </c>
      <c r="B7" s="7">
        <v>2</v>
      </c>
      <c r="C7" s="7">
        <v>102001</v>
      </c>
      <c r="D7" s="7">
        <v>1</v>
      </c>
      <c r="E7" s="16">
        <v>10305</v>
      </c>
      <c r="F7" s="16"/>
      <c r="G7" s="7">
        <v>30</v>
      </c>
      <c r="H7" s="7"/>
      <c r="I7" s="7"/>
      <c r="J7" s="7"/>
      <c r="K7" s="7"/>
      <c r="L7" s="7"/>
      <c r="N7">
        <v>1</v>
      </c>
      <c r="O7" s="6">
        <f>VLOOKUP(N7,bet对应表!A:C,3,FALSE)</f>
        <v>10000</v>
      </c>
      <c r="P7" s="1" cm="1">
        <f t="array" ref="P7">_xlfn.IFS(D7=1,VLOOKUP(N7,bet对应表!A:D,4,0)*G7,D7=2,VLOOKUP(N7,bet对应表!A:D,4,0)*G7*bet对应表!$K$2,D7=3,VLOOKUP(N7,bet对应表!A:D,4,0)*G7/bet对应表!$J$2,D7=4,G7*bet对应表!$H$2/100,D7=5,G7*bet对应表!$H$2/100/bet对应表!$J$2)</f>
        <v>0.03</v>
      </c>
    </row>
    <row r="8" spans="1:16">
      <c r="A8" s="7">
        <v>1</v>
      </c>
      <c r="B8" s="7">
        <v>2</v>
      </c>
      <c r="C8" s="7">
        <v>102002</v>
      </c>
      <c r="D8" s="7">
        <v>4</v>
      </c>
      <c r="E8" s="16">
        <v>10305</v>
      </c>
      <c r="F8" s="16">
        <v>17</v>
      </c>
      <c r="G8" s="7">
        <v>50</v>
      </c>
      <c r="H8" s="7"/>
      <c r="I8" s="7"/>
      <c r="J8" s="7">
        <v>1</v>
      </c>
      <c r="K8" s="7">
        <v>8</v>
      </c>
      <c r="L8" s="7" t="str">
        <f t="shared" ref="L6:L10" si="0">"DailyMission"&amp;D8</f>
        <v>DailyMission4</v>
      </c>
      <c r="N8">
        <v>1</v>
      </c>
      <c r="O8" s="6">
        <f>VLOOKUP(N8,bet对应表!A:C,3,FALSE)</f>
        <v>10000</v>
      </c>
      <c r="P8" s="1" cm="1">
        <f t="array" ref="P8">_xlfn.IFS(D8=1,VLOOKUP(N8,bet对应表!A:D,4,0)*G8,D8=2,VLOOKUP(N8,bet对应表!A:D,4,0)*G8*bet对应表!$K$2,D8=3,VLOOKUP(N8,bet对应表!A:D,4,0)*G8/bet对应表!$J$2,D8=4,G8*bet对应表!$H$2/100,D8=5,G8*bet对应表!$H$2/100/bet对应表!$J$2)</f>
        <v>0.05</v>
      </c>
    </row>
    <row r="9" spans="1:16">
      <c r="A9" s="7">
        <v>1</v>
      </c>
      <c r="B9" s="7">
        <v>3</v>
      </c>
      <c r="C9" s="7">
        <v>103001</v>
      </c>
      <c r="D9" s="7">
        <v>3</v>
      </c>
      <c r="E9" s="16">
        <v>10003</v>
      </c>
      <c r="F9" s="16"/>
      <c r="G9" s="7">
        <v>30</v>
      </c>
      <c r="H9" s="7"/>
      <c r="I9" s="7">
        <v>17</v>
      </c>
      <c r="J9" s="7"/>
      <c r="K9" s="7"/>
      <c r="L9" s="7"/>
      <c r="N9">
        <v>2</v>
      </c>
      <c r="O9" s="6">
        <f>VLOOKUP(N9,bet对应表!A:C,3,FALSE)</f>
        <v>30000</v>
      </c>
      <c r="P9" s="1" cm="1">
        <f t="array" ref="P9">_xlfn.IFS(D9=1,VLOOKUP(N9,bet对应表!A:D,4,0)*G9,D9=2,VLOOKUP(N9,bet对应表!A:D,4,0)*G9*bet对应表!$K$2,D9=3,VLOOKUP(N9,bet对应表!A:D,4,0)*G9/bet对应表!$J$2,D9=4,G9*bet对应表!$H$2/100,D9=5,G9*bet对应表!$H$2/100/bet对应表!$J$2)</f>
        <v>0.15</v>
      </c>
    </row>
    <row r="10" spans="1:16">
      <c r="A10" s="7">
        <v>1</v>
      </c>
      <c r="B10" s="7">
        <v>3</v>
      </c>
      <c r="C10" s="7">
        <v>103002</v>
      </c>
      <c r="D10" s="7">
        <v>5</v>
      </c>
      <c r="E10" s="16">
        <v>10003</v>
      </c>
      <c r="F10" s="16">
        <v>17</v>
      </c>
      <c r="G10" s="7">
        <v>30</v>
      </c>
      <c r="H10" s="7"/>
      <c r="I10" s="7"/>
      <c r="J10" s="7">
        <v>1</v>
      </c>
      <c r="K10" s="7">
        <v>20</v>
      </c>
      <c r="L10" s="7" t="str">
        <f t="shared" si="0"/>
        <v>DailyMission5</v>
      </c>
      <c r="N10">
        <v>2</v>
      </c>
      <c r="O10" s="6">
        <f>VLOOKUP(N10,bet对应表!A:C,3,FALSE)</f>
        <v>30000</v>
      </c>
      <c r="P10" s="1" cm="1">
        <f t="array" ref="P10">_xlfn.IFS(D10=1,VLOOKUP(N10,bet对应表!A:D,4,0)*G10,D10=2,VLOOKUP(N10,bet对应表!A:D,4,0)*G10*bet对应表!$K$2,D10=3,VLOOKUP(N10,bet对应表!A:D,4,0)*G10/bet对应表!$J$2,D10=4,G10*bet对应表!$H$2/100,D10=5,G10*bet对应表!$H$2/100/bet对应表!$J$2)</f>
        <v>0.05</v>
      </c>
    </row>
    <row r="11" spans="1:16">
      <c r="A11" s="7">
        <v>1</v>
      </c>
      <c r="B11" s="7">
        <v>4</v>
      </c>
      <c r="C11" s="7">
        <v>104001</v>
      </c>
      <c r="D11" s="7">
        <v>1</v>
      </c>
      <c r="E11" s="16">
        <v>10076</v>
      </c>
      <c r="F11" s="16"/>
      <c r="G11" s="7">
        <v>40</v>
      </c>
      <c r="H11" s="7"/>
      <c r="I11" s="7"/>
      <c r="J11" s="7"/>
      <c r="K11" s="7"/>
      <c r="L11" s="7"/>
      <c r="N11">
        <v>2</v>
      </c>
      <c r="O11" s="6">
        <f>VLOOKUP(N11,bet对应表!A:C,3,FALSE)</f>
        <v>30000</v>
      </c>
      <c r="P11" s="1" cm="1">
        <f t="array" ref="P11">_xlfn.IFS(D11=1,VLOOKUP(N11,bet对应表!A:D,4,0)*G11,D11=2,VLOOKUP(N11,bet对应表!A:D,4,0)*G11*bet对应表!$K$2,D11=3,VLOOKUP(N11,bet对应表!A:D,4,0)*G11/bet对应表!$J$2,D11=4,G11*bet对应表!$H$2/100,D11=5,G11*bet对应表!$H$2/100/bet对应表!$J$2)</f>
        <v>0.12</v>
      </c>
    </row>
    <row r="12" spans="1:16">
      <c r="A12" s="7">
        <v>1</v>
      </c>
      <c r="B12" s="7">
        <v>4</v>
      </c>
      <c r="C12" s="7">
        <v>104002</v>
      </c>
      <c r="D12" s="7">
        <v>3</v>
      </c>
      <c r="E12" s="16">
        <v>10076</v>
      </c>
      <c r="F12" s="16"/>
      <c r="G12" s="7">
        <v>26</v>
      </c>
      <c r="H12" s="7"/>
      <c r="I12" s="7">
        <v>17</v>
      </c>
      <c r="J12" s="7">
        <v>1</v>
      </c>
      <c r="K12" s="7">
        <v>25</v>
      </c>
      <c r="L12" s="7" t="str">
        <f t="shared" ref="L12:L16" si="1">"DailyMission"&amp;D12</f>
        <v>DailyMission3</v>
      </c>
      <c r="N12">
        <v>2</v>
      </c>
      <c r="O12" s="6">
        <f>VLOOKUP(N12,bet对应表!A:C,3,FALSE)</f>
        <v>30000</v>
      </c>
      <c r="P12" s="1" cm="1">
        <f t="array" ref="P12">_xlfn.IFS(D12=1,VLOOKUP(N12,bet对应表!A:D,4,0)*G12,D12=2,VLOOKUP(N12,bet对应表!A:D,4,0)*G12*bet对应表!$K$2,D12=3,VLOOKUP(N12,bet对应表!A:D,4,0)*G12/bet对应表!$J$2,D12=4,G12*bet对应表!$H$2/100,D12=5,G12*bet对应表!$H$2/100/bet对应表!$J$2)</f>
        <v>0.13</v>
      </c>
    </row>
    <row r="13" spans="1:16">
      <c r="A13" s="7">
        <v>1</v>
      </c>
      <c r="B13" s="7">
        <v>5</v>
      </c>
      <c r="C13" s="7">
        <v>105001</v>
      </c>
      <c r="D13" s="7">
        <v>1</v>
      </c>
      <c r="E13" s="16">
        <v>10021</v>
      </c>
      <c r="F13" s="16"/>
      <c r="G13" s="7">
        <v>50</v>
      </c>
      <c r="H13" s="7"/>
      <c r="I13" s="7"/>
      <c r="J13" s="7"/>
      <c r="K13" s="7"/>
      <c r="L13" s="7"/>
      <c r="N13">
        <v>3</v>
      </c>
      <c r="O13" s="6">
        <f>VLOOKUP(N13,bet对应表!A:C,3,FALSE)</f>
        <v>90000</v>
      </c>
      <c r="P13" s="1" cm="1">
        <f t="array" ref="P13">_xlfn.IFS(D13=1,VLOOKUP(N13,bet对应表!A:D,4,0)*G13,D13=2,VLOOKUP(N13,bet对应表!A:D,4,0)*G13*bet对应表!$K$2,D13=3,VLOOKUP(N13,bet对应表!A:D,4,0)*G13/bet对应表!$J$2,D13=4,G13*bet对应表!$H$2/100,D13=5,G13*bet对应表!$H$2/100/bet对应表!$J$2)</f>
        <v>0.45</v>
      </c>
    </row>
    <row r="14" spans="1:16">
      <c r="A14" s="7">
        <v>1</v>
      </c>
      <c r="B14" s="7">
        <v>5</v>
      </c>
      <c r="C14" s="7">
        <v>105002</v>
      </c>
      <c r="D14" s="7">
        <v>4</v>
      </c>
      <c r="E14" s="16">
        <v>10021</v>
      </c>
      <c r="F14" s="16">
        <v>17</v>
      </c>
      <c r="G14" s="7">
        <v>60</v>
      </c>
      <c r="H14" s="7"/>
      <c r="I14" s="7"/>
      <c r="J14" s="7">
        <v>1</v>
      </c>
      <c r="K14" s="7">
        <v>30</v>
      </c>
      <c r="L14" s="7" t="str">
        <f t="shared" si="1"/>
        <v>DailyMission4</v>
      </c>
      <c r="N14">
        <v>3</v>
      </c>
      <c r="O14" s="6">
        <f>VLOOKUP(N14,bet对应表!A:C,3,FALSE)</f>
        <v>90000</v>
      </c>
      <c r="P14" s="1" cm="1">
        <f t="array" ref="P14">_xlfn.IFS(D14=1,VLOOKUP(N14,bet对应表!A:D,4,0)*G14,D14=2,VLOOKUP(N14,bet对应表!A:D,4,0)*G14*bet对应表!$K$2,D14=3,VLOOKUP(N14,bet对应表!A:D,4,0)*G14/bet对应表!$J$2,D14=4,G14*bet对应表!$H$2/100,D14=5,G14*bet对应表!$H$2/100/bet对应表!$J$2)</f>
        <v>0.06</v>
      </c>
    </row>
    <row r="15" spans="1:16">
      <c r="A15" s="7">
        <v>1</v>
      </c>
      <c r="B15" s="7">
        <v>6</v>
      </c>
      <c r="C15" s="7">
        <v>106001</v>
      </c>
      <c r="D15" s="7">
        <v>3</v>
      </c>
      <c r="E15" s="16">
        <v>10001</v>
      </c>
      <c r="F15" s="16"/>
      <c r="G15" s="7">
        <v>50</v>
      </c>
      <c r="H15" s="7"/>
      <c r="I15" s="7">
        <v>17</v>
      </c>
      <c r="J15" s="7"/>
      <c r="K15" s="7"/>
      <c r="L15" s="7"/>
      <c r="N15">
        <v>3</v>
      </c>
      <c r="O15" s="6">
        <f>VLOOKUP(N15,bet对应表!A:C,3,FALSE)</f>
        <v>90000</v>
      </c>
      <c r="P15" s="1" cm="1">
        <f t="array" ref="P15">_xlfn.IFS(D15=1,VLOOKUP(N15,bet对应表!A:D,4,0)*G15,D15=2,VLOOKUP(N15,bet对应表!A:D,4,0)*G15*bet对应表!$K$2,D15=3,VLOOKUP(N15,bet对应表!A:D,4,0)*G15/bet对应表!$J$2,D15=4,G15*bet对应表!$H$2/100,D15=5,G15*bet对应表!$H$2/100/bet对应表!$J$2)</f>
        <v>0.75</v>
      </c>
    </row>
    <row r="16" spans="1:16">
      <c r="A16" s="7">
        <v>1</v>
      </c>
      <c r="B16" s="7">
        <v>6</v>
      </c>
      <c r="C16" s="7">
        <v>106002</v>
      </c>
      <c r="D16" s="7">
        <v>5</v>
      </c>
      <c r="E16" s="16">
        <v>10001</v>
      </c>
      <c r="F16" s="16">
        <v>17</v>
      </c>
      <c r="G16" s="7">
        <v>40</v>
      </c>
      <c r="H16" s="7"/>
      <c r="I16" s="7"/>
      <c r="J16" s="7">
        <v>1</v>
      </c>
      <c r="K16" s="7">
        <v>40</v>
      </c>
      <c r="L16" s="7" t="str">
        <f t="shared" si="1"/>
        <v>DailyMission5</v>
      </c>
      <c r="N16">
        <v>3</v>
      </c>
      <c r="O16" s="6">
        <f>VLOOKUP(N16,bet对应表!A:C,3,FALSE)</f>
        <v>90000</v>
      </c>
      <c r="P16" s="1" cm="1">
        <f t="array" ref="P16">_xlfn.IFS(D16=1,VLOOKUP(N16,bet对应表!A:D,4,0)*G16,D16=2,VLOOKUP(N16,bet对应表!A:D,4,0)*G16*bet对应表!$K$2,D16=3,VLOOKUP(N16,bet对应表!A:D,4,0)*G16/bet对应表!$J$2,D16=4,G16*bet对应表!$H$2/100,D16=5,G16*bet对应表!$H$2/100/bet对应表!$J$2)</f>
        <v>0.0666666666666667</v>
      </c>
    </row>
    <row r="17" spans="1:16">
      <c r="A17" s="7">
        <f>A5+1</f>
        <v>2</v>
      </c>
      <c r="B17" s="7">
        <v>1</v>
      </c>
      <c r="C17" s="7">
        <v>201001</v>
      </c>
      <c r="D17" s="7">
        <v>1</v>
      </c>
      <c r="E17" s="16">
        <v>10001</v>
      </c>
      <c r="F17" s="16"/>
      <c r="G17" s="7">
        <f>ROUND(G5*2,0)</f>
        <v>40</v>
      </c>
      <c r="H17" s="7"/>
      <c r="I17" s="7"/>
      <c r="J17" s="7"/>
      <c r="K17" s="7"/>
      <c r="L17" s="7"/>
      <c r="N17">
        <v>10</v>
      </c>
      <c r="O17" s="6">
        <f>VLOOKUP(N17,bet对应表!A:C,3,FALSE)</f>
        <v>9000000</v>
      </c>
      <c r="P17" s="1" cm="1">
        <f t="array" ref="P17">_xlfn.IFS(D17=1,VLOOKUP(N17,bet对应表!A:D,4,0)*G17,D17=2,VLOOKUP(N17,bet对应表!A:D,4,0)*G17*bet对应表!$K$2,D17=3,VLOOKUP(N17,bet对应表!A:D,4,0)*G17/bet对应表!$J$2,D17=4,G17*bet对应表!$H$2/100,D17=5,G17*bet对应表!$H$2/100/bet对应表!$J$2)</f>
        <v>36</v>
      </c>
    </row>
    <row r="18" spans="1:16">
      <c r="A18" s="7">
        <f t="shared" ref="A18:A40" si="2">A6+1</f>
        <v>2</v>
      </c>
      <c r="B18" s="7">
        <v>1</v>
      </c>
      <c r="C18" s="7">
        <v>201002</v>
      </c>
      <c r="D18" s="7">
        <v>3</v>
      </c>
      <c r="E18" s="16">
        <v>10001</v>
      </c>
      <c r="F18" s="16"/>
      <c r="G18" s="7">
        <f>ROUND(G6*2,0)</f>
        <v>24</v>
      </c>
      <c r="H18" s="7"/>
      <c r="I18" s="7">
        <v>17</v>
      </c>
      <c r="J18" s="7">
        <v>1</v>
      </c>
      <c r="K18" s="7">
        <v>50</v>
      </c>
      <c r="L18" s="7" t="str">
        <f t="shared" ref="L18:L22" si="3">"DailyMission"&amp;D18</f>
        <v>DailyMission3</v>
      </c>
      <c r="N18">
        <v>10</v>
      </c>
      <c r="O18" s="6">
        <f>VLOOKUP(N18,bet对应表!A:C,3,FALSE)</f>
        <v>9000000</v>
      </c>
      <c r="P18" s="1" cm="1">
        <f t="array" ref="P18">_xlfn.IFS(D18=1,VLOOKUP(N18,bet对应表!A:D,4,0)*G18,D18=2,VLOOKUP(N18,bet对应表!A:D,4,0)*G18*bet对应表!$K$2,D18=3,VLOOKUP(N18,bet对应表!A:D,4,0)*G18/bet对应表!$J$2,D18=4,G18*bet对应表!$H$2/100,D18=5,G18*bet对应表!$H$2/100/bet对应表!$J$2)</f>
        <v>36</v>
      </c>
    </row>
    <row r="19" spans="1:16">
      <c r="A19" s="7">
        <f t="shared" si="2"/>
        <v>2</v>
      </c>
      <c r="B19" s="7">
        <v>2</v>
      </c>
      <c r="C19" s="7">
        <v>202001</v>
      </c>
      <c r="D19" s="7">
        <v>1</v>
      </c>
      <c r="E19" s="16">
        <v>10305</v>
      </c>
      <c r="F19" s="16"/>
      <c r="G19" s="7">
        <f t="shared" ref="G18:G40" si="4">ROUND(G7*2,0)</f>
        <v>60</v>
      </c>
      <c r="H19" s="7"/>
      <c r="I19" s="7"/>
      <c r="J19" s="7"/>
      <c r="K19" s="7"/>
      <c r="L19" s="7"/>
      <c r="N19">
        <v>10</v>
      </c>
      <c r="O19" s="6">
        <f>VLOOKUP(N19,bet对应表!A:C,3,FALSE)</f>
        <v>9000000</v>
      </c>
      <c r="P19" s="1" cm="1">
        <f t="array" ref="P19">_xlfn.IFS(D19=1,VLOOKUP(N19,bet对应表!A:D,4,0)*G19,D19=2,VLOOKUP(N19,bet对应表!A:D,4,0)*G19*bet对应表!$K$2,D19=3,VLOOKUP(N19,bet对应表!A:D,4,0)*G19/bet对应表!$J$2,D19=4,G19*bet对应表!$H$2/100,D19=5,G19*bet对应表!$H$2/100/bet对应表!$J$2)</f>
        <v>54</v>
      </c>
    </row>
    <row r="20" spans="1:16">
      <c r="A20" s="7">
        <f t="shared" si="2"/>
        <v>2</v>
      </c>
      <c r="B20" s="7">
        <v>2</v>
      </c>
      <c r="C20" s="7">
        <v>202002</v>
      </c>
      <c r="D20" s="7">
        <v>4</v>
      </c>
      <c r="E20" s="16">
        <v>10305</v>
      </c>
      <c r="F20" s="16">
        <v>17</v>
      </c>
      <c r="G20" s="7">
        <v>1000</v>
      </c>
      <c r="H20" s="7"/>
      <c r="I20" s="7"/>
      <c r="J20" s="7">
        <v>1</v>
      </c>
      <c r="K20" s="7">
        <v>100</v>
      </c>
      <c r="L20" s="7" t="str">
        <f t="shared" si="3"/>
        <v>DailyMission4</v>
      </c>
      <c r="N20">
        <v>10</v>
      </c>
      <c r="O20" s="6">
        <f>VLOOKUP(N20,bet对应表!A:C,3,FALSE)</f>
        <v>9000000</v>
      </c>
      <c r="P20" s="1" cm="1">
        <f t="array" ref="P20">_xlfn.IFS(D20=1,VLOOKUP(N20,bet对应表!A:D,4,0)*G20,D20=2,VLOOKUP(N20,bet对应表!A:D,4,0)*G20*bet对应表!$K$2,D20=3,VLOOKUP(N20,bet对应表!A:D,4,0)*G20/bet对应表!$J$2,D20=4,G20*bet对应表!$H$2/100,D20=5,G20*bet对应表!$H$2/100/bet对应表!$J$2)</f>
        <v>1</v>
      </c>
    </row>
    <row r="21" spans="1:16">
      <c r="A21" s="7">
        <f t="shared" si="2"/>
        <v>2</v>
      </c>
      <c r="B21" s="7">
        <v>3</v>
      </c>
      <c r="C21" s="7">
        <v>203001</v>
      </c>
      <c r="D21" s="7">
        <v>3</v>
      </c>
      <c r="E21" s="16">
        <v>10003</v>
      </c>
      <c r="F21" s="16"/>
      <c r="G21" s="7">
        <f t="shared" si="4"/>
        <v>60</v>
      </c>
      <c r="H21" s="7"/>
      <c r="I21" s="7">
        <v>17</v>
      </c>
      <c r="J21" s="7"/>
      <c r="K21" s="7"/>
      <c r="L21" s="7"/>
      <c r="N21">
        <v>10</v>
      </c>
      <c r="O21" s="6">
        <f>VLOOKUP(N21,bet对应表!A:C,3,FALSE)</f>
        <v>9000000</v>
      </c>
      <c r="P21" s="1" cm="1">
        <f t="array" ref="P21">_xlfn.IFS(D21=1,VLOOKUP(N21,bet对应表!A:D,4,0)*G21,D21=2,VLOOKUP(N21,bet对应表!A:D,4,0)*G21*bet对应表!$K$2,D21=3,VLOOKUP(N21,bet对应表!A:D,4,0)*G21/bet对应表!$J$2,D21=4,G21*bet对应表!$H$2/100,D21=5,G21*bet对应表!$H$2/100/bet对应表!$J$2)</f>
        <v>90</v>
      </c>
    </row>
    <row r="22" spans="1:16">
      <c r="A22" s="7">
        <f t="shared" si="2"/>
        <v>2</v>
      </c>
      <c r="B22" s="7">
        <v>3</v>
      </c>
      <c r="C22" s="7">
        <v>203002</v>
      </c>
      <c r="D22" s="7">
        <v>5</v>
      </c>
      <c r="E22" s="16">
        <v>10003</v>
      </c>
      <c r="F22" s="16">
        <v>17</v>
      </c>
      <c r="G22" s="7">
        <v>6000</v>
      </c>
      <c r="H22" s="7"/>
      <c r="I22" s="7"/>
      <c r="J22" s="7">
        <v>1</v>
      </c>
      <c r="K22" s="7">
        <v>150</v>
      </c>
      <c r="L22" s="7" t="str">
        <f t="shared" si="3"/>
        <v>DailyMission5</v>
      </c>
      <c r="N22">
        <v>10</v>
      </c>
      <c r="O22" s="6">
        <f>VLOOKUP(N22,bet对应表!A:C,3,FALSE)</f>
        <v>9000000</v>
      </c>
      <c r="P22" s="1" cm="1">
        <f t="array" ref="P22">_xlfn.IFS(D22=1,VLOOKUP(N22,bet对应表!A:D,4,0)*G22,D22=2,VLOOKUP(N22,bet对应表!A:D,4,0)*G22*bet对应表!$K$2,D22=3,VLOOKUP(N22,bet对应表!A:D,4,0)*G22/bet对应表!$J$2,D22=4,G22*bet对应表!$H$2/100,D22=5,G22*bet对应表!$H$2/100/bet对应表!$J$2)</f>
        <v>10</v>
      </c>
    </row>
    <row r="23" spans="1:16">
      <c r="A23" s="7">
        <f t="shared" si="2"/>
        <v>2</v>
      </c>
      <c r="B23" s="7">
        <v>4</v>
      </c>
      <c r="C23" s="7">
        <v>204001</v>
      </c>
      <c r="D23" s="7">
        <v>1</v>
      </c>
      <c r="E23" s="16">
        <v>10076</v>
      </c>
      <c r="F23" s="16"/>
      <c r="G23" s="7">
        <f t="shared" si="4"/>
        <v>80</v>
      </c>
      <c r="H23" s="7"/>
      <c r="I23" s="7"/>
      <c r="J23" s="7"/>
      <c r="K23" s="7"/>
      <c r="L23" s="7"/>
      <c r="N23">
        <v>11</v>
      </c>
      <c r="O23" s="6">
        <f>VLOOKUP(N23,bet对应表!A:C,3,FALSE)</f>
        <v>12000000</v>
      </c>
      <c r="P23" s="1" cm="1">
        <f t="array" ref="P23">_xlfn.IFS(D23=1,VLOOKUP(N23,bet对应表!A:D,4,0)*G23,D23=2,VLOOKUP(N23,bet对应表!A:D,4,0)*G23*bet对应表!$K$2,D23=3,VLOOKUP(N23,bet对应表!A:D,4,0)*G23/bet对应表!$J$2,D23=4,G23*bet对应表!$H$2/100,D23=5,G23*bet对应表!$H$2/100/bet对应表!$J$2)</f>
        <v>96</v>
      </c>
    </row>
    <row r="24" spans="1:16">
      <c r="A24" s="7">
        <f t="shared" si="2"/>
        <v>2</v>
      </c>
      <c r="B24" s="7">
        <v>4</v>
      </c>
      <c r="C24" s="7">
        <v>204002</v>
      </c>
      <c r="D24" s="7">
        <v>3</v>
      </c>
      <c r="E24" s="16">
        <v>10076</v>
      </c>
      <c r="F24" s="16"/>
      <c r="G24" s="7">
        <f t="shared" si="4"/>
        <v>52</v>
      </c>
      <c r="H24" s="7"/>
      <c r="I24" s="7">
        <v>17</v>
      </c>
      <c r="J24" s="7">
        <v>1</v>
      </c>
      <c r="K24" s="7">
        <v>200</v>
      </c>
      <c r="L24" s="7" t="str">
        <f t="shared" ref="L24:L28" si="5">"DailyMission"&amp;D24</f>
        <v>DailyMission3</v>
      </c>
      <c r="N24">
        <v>11</v>
      </c>
      <c r="O24" s="6">
        <f>VLOOKUP(N24,bet对应表!A:C,3,FALSE)</f>
        <v>12000000</v>
      </c>
      <c r="P24" s="1" cm="1">
        <f t="array" ref="P24">_xlfn.IFS(D24=1,VLOOKUP(N24,bet对应表!A:D,4,0)*G24,D24=2,VLOOKUP(N24,bet对应表!A:D,4,0)*G24*bet对应表!$K$2,D24=3,VLOOKUP(N24,bet对应表!A:D,4,0)*G24/bet对应表!$J$2,D24=4,G24*bet对应表!$H$2/100,D24=5,G24*bet对应表!$H$2/100/bet对应表!$J$2)</f>
        <v>104</v>
      </c>
    </row>
    <row r="25" spans="1:16">
      <c r="A25" s="7">
        <f t="shared" si="2"/>
        <v>2</v>
      </c>
      <c r="B25" s="7">
        <v>5</v>
      </c>
      <c r="C25" s="7">
        <v>205001</v>
      </c>
      <c r="D25" s="7">
        <v>1</v>
      </c>
      <c r="E25" s="16">
        <v>10021</v>
      </c>
      <c r="F25" s="16"/>
      <c r="G25" s="7">
        <f t="shared" si="4"/>
        <v>100</v>
      </c>
      <c r="H25" s="7"/>
      <c r="I25" s="7"/>
      <c r="J25" s="7"/>
      <c r="K25" s="7"/>
      <c r="L25" s="7"/>
      <c r="N25">
        <v>11</v>
      </c>
      <c r="O25" s="6">
        <f>VLOOKUP(N25,bet对应表!A:C,3,FALSE)</f>
        <v>12000000</v>
      </c>
      <c r="P25" s="1" cm="1">
        <f t="array" ref="P25">_xlfn.IFS(D25=1,VLOOKUP(N25,bet对应表!A:D,4,0)*G25,D25=2,VLOOKUP(N25,bet对应表!A:D,4,0)*G25*bet对应表!$K$2,D25=3,VLOOKUP(N25,bet对应表!A:D,4,0)*G25/bet对应表!$J$2,D25=4,G25*bet对应表!$H$2/100,D25=5,G25*bet对应表!$H$2/100/bet对应表!$J$2)</f>
        <v>120</v>
      </c>
    </row>
    <row r="26" spans="1:16">
      <c r="A26" s="7">
        <f t="shared" si="2"/>
        <v>2</v>
      </c>
      <c r="B26" s="7">
        <v>5</v>
      </c>
      <c r="C26" s="7">
        <v>205002</v>
      </c>
      <c r="D26" s="7">
        <v>4</v>
      </c>
      <c r="E26" s="16">
        <v>10021</v>
      </c>
      <c r="F26" s="16">
        <v>17</v>
      </c>
      <c r="G26" s="7">
        <v>1200</v>
      </c>
      <c r="H26" s="7"/>
      <c r="I26" s="7"/>
      <c r="J26" s="7">
        <v>1</v>
      </c>
      <c r="K26" s="7">
        <v>300</v>
      </c>
      <c r="L26" s="7" t="str">
        <f t="shared" si="5"/>
        <v>DailyMission4</v>
      </c>
      <c r="N26">
        <v>11</v>
      </c>
      <c r="O26" s="6">
        <f>VLOOKUP(N26,bet对应表!A:C,3,FALSE)</f>
        <v>12000000</v>
      </c>
      <c r="P26" s="1" cm="1">
        <f t="array" ref="P26">_xlfn.IFS(D26=1,VLOOKUP(N26,bet对应表!A:D,4,0)*G26,D26=2,VLOOKUP(N26,bet对应表!A:D,4,0)*G26*bet对应表!$K$2,D26=3,VLOOKUP(N26,bet对应表!A:D,4,0)*G26/bet对应表!$J$2,D26=4,G26*bet对应表!$H$2/100,D26=5,G26*bet对应表!$H$2/100/bet对应表!$J$2)</f>
        <v>1.2</v>
      </c>
    </row>
    <row r="27" spans="1:16">
      <c r="A27" s="7">
        <f t="shared" si="2"/>
        <v>2</v>
      </c>
      <c r="B27" s="7">
        <v>6</v>
      </c>
      <c r="C27" s="7">
        <v>206001</v>
      </c>
      <c r="D27" s="7">
        <v>3</v>
      </c>
      <c r="E27" s="16">
        <v>10001</v>
      </c>
      <c r="F27" s="16"/>
      <c r="G27" s="7">
        <f t="shared" si="4"/>
        <v>100</v>
      </c>
      <c r="H27" s="7"/>
      <c r="I27" s="7">
        <v>17</v>
      </c>
      <c r="J27" s="7"/>
      <c r="K27" s="7"/>
      <c r="L27" s="7"/>
      <c r="N27">
        <v>11</v>
      </c>
      <c r="O27" s="6">
        <f>VLOOKUP(N27,bet对应表!A:C,3,FALSE)</f>
        <v>12000000</v>
      </c>
      <c r="P27" s="1" cm="1">
        <f t="array" ref="P27">_xlfn.IFS(D27=1,VLOOKUP(N27,bet对应表!A:D,4,0)*G27,D27=2,VLOOKUP(N27,bet对应表!A:D,4,0)*G27*bet对应表!$K$2,D27=3,VLOOKUP(N27,bet对应表!A:D,4,0)*G27/bet对应表!$J$2,D27=4,G27*bet对应表!$H$2/100,D27=5,G27*bet对应表!$H$2/100/bet对应表!$J$2)</f>
        <v>200</v>
      </c>
    </row>
    <row r="28" spans="1:16">
      <c r="A28" s="7">
        <f t="shared" si="2"/>
        <v>2</v>
      </c>
      <c r="B28" s="7">
        <v>6</v>
      </c>
      <c r="C28" s="7">
        <v>206002</v>
      </c>
      <c r="D28" s="7">
        <v>5</v>
      </c>
      <c r="E28" s="16">
        <v>10001</v>
      </c>
      <c r="F28" s="16">
        <v>17</v>
      </c>
      <c r="G28" s="7">
        <v>8000</v>
      </c>
      <c r="H28" s="7"/>
      <c r="I28" s="7"/>
      <c r="J28" s="7">
        <v>1</v>
      </c>
      <c r="K28" s="7">
        <v>400</v>
      </c>
      <c r="L28" s="7" t="str">
        <f t="shared" si="5"/>
        <v>DailyMission5</v>
      </c>
      <c r="N28">
        <v>11</v>
      </c>
      <c r="O28" s="6">
        <f>VLOOKUP(N28,bet对应表!A:C,3,FALSE)</f>
        <v>12000000</v>
      </c>
      <c r="P28" s="1" cm="1">
        <f t="array" ref="P28">_xlfn.IFS(D28=1,VLOOKUP(N28,bet对应表!A:D,4,0)*G28,D28=2,VLOOKUP(N28,bet对应表!A:D,4,0)*G28*bet对应表!$K$2,D28=3,VLOOKUP(N28,bet对应表!A:D,4,0)*G28/bet对应表!$J$2,D28=4,G28*bet对应表!$H$2/100,D28=5,G28*bet对应表!$H$2/100/bet对应表!$J$2)</f>
        <v>13.3333333333333</v>
      </c>
    </row>
    <row r="29" spans="1:16">
      <c r="A29" s="7">
        <f t="shared" si="2"/>
        <v>3</v>
      </c>
      <c r="B29" s="7">
        <v>1</v>
      </c>
      <c r="C29" s="7">
        <v>301001</v>
      </c>
      <c r="D29" s="7">
        <v>1</v>
      </c>
      <c r="E29" s="16">
        <v>10001</v>
      </c>
      <c r="F29" s="16"/>
      <c r="G29" s="7">
        <f t="shared" si="4"/>
        <v>80</v>
      </c>
      <c r="H29" s="7"/>
      <c r="I29" s="7"/>
      <c r="J29" s="7"/>
      <c r="K29" s="7"/>
      <c r="L29" s="7"/>
      <c r="N29">
        <v>12</v>
      </c>
      <c r="O29" s="6">
        <f>VLOOKUP(N29,bet对应表!A:C,3,FALSE)</f>
        <v>15000000</v>
      </c>
      <c r="P29" s="1" cm="1">
        <f t="array" ref="P29">_xlfn.IFS(D29=1,VLOOKUP(N29,bet对应表!A:D,4,0)*G29,D29=2,VLOOKUP(N29,bet对应表!A:D,4,0)*G29*bet对应表!$K$2,D29=3,VLOOKUP(N29,bet对应表!A:D,4,0)*G29/bet对应表!$J$2,D29=4,G29*bet对应表!$H$2/100,D29=5,G29*bet对应表!$H$2/100/bet对应表!$J$2)</f>
        <v>120</v>
      </c>
    </row>
    <row r="30" spans="1:16">
      <c r="A30" s="7">
        <f t="shared" si="2"/>
        <v>3</v>
      </c>
      <c r="B30" s="7">
        <v>1</v>
      </c>
      <c r="C30" s="7">
        <v>301002</v>
      </c>
      <c r="D30" s="7">
        <v>3</v>
      </c>
      <c r="E30" s="16">
        <v>10001</v>
      </c>
      <c r="F30" s="16"/>
      <c r="G30" s="7">
        <f t="shared" si="4"/>
        <v>48</v>
      </c>
      <c r="H30" s="7"/>
      <c r="I30" s="7">
        <v>17</v>
      </c>
      <c r="J30" s="7">
        <v>1</v>
      </c>
      <c r="K30" s="7">
        <v>500</v>
      </c>
      <c r="L30" s="7" t="str">
        <f t="shared" ref="L30:L34" si="6">"DailyMission"&amp;D30</f>
        <v>DailyMission3</v>
      </c>
      <c r="N30">
        <v>12</v>
      </c>
      <c r="O30" s="6">
        <f>VLOOKUP(N30,bet对应表!A:C,3,FALSE)</f>
        <v>15000000</v>
      </c>
      <c r="P30" s="1" cm="1">
        <f t="array" ref="P30">_xlfn.IFS(D30=1,VLOOKUP(N30,bet对应表!A:D,4,0)*G30,D30=2,VLOOKUP(N30,bet对应表!A:D,4,0)*G30*bet对应表!$K$2,D30=3,VLOOKUP(N30,bet对应表!A:D,4,0)*G30/bet对应表!$J$2,D30=4,G30*bet对应表!$H$2/100,D30=5,G30*bet对应表!$H$2/100/bet对应表!$J$2)</f>
        <v>120</v>
      </c>
    </row>
    <row r="31" spans="1:16">
      <c r="A31" s="7">
        <f t="shared" si="2"/>
        <v>3</v>
      </c>
      <c r="B31" s="7">
        <v>2</v>
      </c>
      <c r="C31" s="7">
        <v>302001</v>
      </c>
      <c r="D31" s="7">
        <v>1</v>
      </c>
      <c r="E31" s="16">
        <v>10305</v>
      </c>
      <c r="F31" s="16"/>
      <c r="G31" s="7">
        <f t="shared" si="4"/>
        <v>120</v>
      </c>
      <c r="H31" s="7"/>
      <c r="I31" s="7"/>
      <c r="J31" s="7"/>
      <c r="K31" s="7"/>
      <c r="L31" s="7"/>
      <c r="N31">
        <v>12</v>
      </c>
      <c r="O31" s="6">
        <f>VLOOKUP(N31,bet对应表!A:C,3,FALSE)</f>
        <v>15000000</v>
      </c>
      <c r="P31" s="1" cm="1">
        <f t="array" ref="P31">_xlfn.IFS(D31=1,VLOOKUP(N31,bet对应表!A:D,4,0)*G31,D31=2,VLOOKUP(N31,bet对应表!A:D,4,0)*G31*bet对应表!$K$2,D31=3,VLOOKUP(N31,bet对应表!A:D,4,0)*G31/bet对应表!$J$2,D31=4,G31*bet对应表!$H$2/100,D31=5,G31*bet对应表!$H$2/100/bet对应表!$J$2)</f>
        <v>180</v>
      </c>
    </row>
    <row r="32" spans="1:16">
      <c r="A32" s="7">
        <f t="shared" si="2"/>
        <v>3</v>
      </c>
      <c r="B32" s="7">
        <v>2</v>
      </c>
      <c r="C32" s="7">
        <v>302002</v>
      </c>
      <c r="D32" s="7">
        <v>4</v>
      </c>
      <c r="E32" s="16">
        <v>10305</v>
      </c>
      <c r="F32" s="16">
        <v>17</v>
      </c>
      <c r="G32" s="7">
        <v>2000</v>
      </c>
      <c r="H32" s="7"/>
      <c r="I32" s="7"/>
      <c r="J32" s="7">
        <v>1</v>
      </c>
      <c r="K32" s="7">
        <v>600</v>
      </c>
      <c r="L32" s="7" t="str">
        <f t="shared" si="6"/>
        <v>DailyMission4</v>
      </c>
      <c r="N32">
        <v>12</v>
      </c>
      <c r="O32" s="6">
        <f>VLOOKUP(N32,bet对应表!A:C,3,FALSE)</f>
        <v>15000000</v>
      </c>
      <c r="P32" s="1" cm="1">
        <f t="array" ref="P32">_xlfn.IFS(D32=1,VLOOKUP(N32,bet对应表!A:D,4,0)*G32,D32=2,VLOOKUP(N32,bet对应表!A:D,4,0)*G32*bet对应表!$K$2,D32=3,VLOOKUP(N32,bet对应表!A:D,4,0)*G32/bet对应表!$J$2,D32=4,G32*bet对应表!$H$2/100,D32=5,G32*bet对应表!$H$2/100/bet对应表!$J$2)</f>
        <v>2</v>
      </c>
    </row>
    <row r="33" spans="1:16">
      <c r="A33" s="7">
        <f t="shared" si="2"/>
        <v>3</v>
      </c>
      <c r="B33" s="7">
        <v>3</v>
      </c>
      <c r="C33" s="7">
        <v>303001</v>
      </c>
      <c r="D33" s="7">
        <v>3</v>
      </c>
      <c r="E33" s="16">
        <v>10003</v>
      </c>
      <c r="F33" s="16"/>
      <c r="G33" s="7">
        <f t="shared" si="4"/>
        <v>120</v>
      </c>
      <c r="H33" s="7"/>
      <c r="I33" s="7">
        <v>17</v>
      </c>
      <c r="J33" s="7"/>
      <c r="K33" s="7"/>
      <c r="L33" s="7"/>
      <c r="N33">
        <v>12</v>
      </c>
      <c r="O33" s="6">
        <f>VLOOKUP(N33,bet对应表!A:C,3,FALSE)</f>
        <v>15000000</v>
      </c>
      <c r="P33" s="1" cm="1">
        <f t="array" ref="P33">_xlfn.IFS(D33=1,VLOOKUP(N33,bet对应表!A:D,4,0)*G33,D33=2,VLOOKUP(N33,bet对应表!A:D,4,0)*G33*bet对应表!$K$2,D33=3,VLOOKUP(N33,bet对应表!A:D,4,0)*G33/bet对应表!$J$2,D33=4,G33*bet对应表!$H$2/100,D33=5,G33*bet对应表!$H$2/100/bet对应表!$J$2)</f>
        <v>300</v>
      </c>
    </row>
    <row r="34" spans="1:16">
      <c r="A34" s="7">
        <f t="shared" si="2"/>
        <v>3</v>
      </c>
      <c r="B34" s="7">
        <v>3</v>
      </c>
      <c r="C34" s="7">
        <v>303002</v>
      </c>
      <c r="D34" s="7">
        <v>5</v>
      </c>
      <c r="E34" s="16">
        <v>10003</v>
      </c>
      <c r="F34" s="16">
        <v>17</v>
      </c>
      <c r="G34" s="7">
        <f t="shared" si="4"/>
        <v>12000</v>
      </c>
      <c r="H34" s="7"/>
      <c r="I34" s="7"/>
      <c r="J34" s="7">
        <v>1</v>
      </c>
      <c r="K34" s="7">
        <v>700</v>
      </c>
      <c r="L34" s="7" t="str">
        <f t="shared" si="6"/>
        <v>DailyMission5</v>
      </c>
      <c r="N34">
        <v>12</v>
      </c>
      <c r="O34" s="6">
        <f>VLOOKUP(N34,bet对应表!A:C,3,FALSE)</f>
        <v>15000000</v>
      </c>
      <c r="P34" s="1" cm="1">
        <f t="array" ref="P34">_xlfn.IFS(D34=1,VLOOKUP(N34,bet对应表!A:D,4,0)*G34,D34=2,VLOOKUP(N34,bet对应表!A:D,4,0)*G34*bet对应表!$K$2,D34=3,VLOOKUP(N34,bet对应表!A:D,4,0)*G34/bet对应表!$J$2,D34=4,G34*bet对应表!$H$2/100,D34=5,G34*bet对应表!$H$2/100/bet对应表!$J$2)</f>
        <v>20</v>
      </c>
    </row>
    <row r="35" spans="1:16">
      <c r="A35" s="7">
        <f t="shared" si="2"/>
        <v>3</v>
      </c>
      <c r="B35" s="7">
        <v>4</v>
      </c>
      <c r="C35" s="7">
        <v>304001</v>
      </c>
      <c r="D35" s="7">
        <v>1</v>
      </c>
      <c r="E35" s="16">
        <v>10076</v>
      </c>
      <c r="F35" s="16"/>
      <c r="G35" s="7">
        <f t="shared" si="4"/>
        <v>160</v>
      </c>
      <c r="H35" s="7"/>
      <c r="I35" s="7"/>
      <c r="J35" s="7"/>
      <c r="K35" s="7"/>
      <c r="L35" s="7"/>
      <c r="N35">
        <v>13</v>
      </c>
      <c r="O35" s="6">
        <f>VLOOKUP(N35,bet对应表!A:C,3,FALSE)</f>
        <v>30000000</v>
      </c>
      <c r="P35" s="1" cm="1">
        <f t="array" ref="P35">_xlfn.IFS(D35=1,VLOOKUP(N35,bet对应表!A:D,4,0)*G35,D35=2,VLOOKUP(N35,bet对应表!A:D,4,0)*G35*bet对应表!$K$2,D35=3,VLOOKUP(N35,bet对应表!A:D,4,0)*G35/bet对应表!$J$2,D35=4,G35*bet对应表!$H$2/100,D35=5,G35*bet对应表!$H$2/100/bet对应表!$J$2)</f>
        <v>480</v>
      </c>
    </row>
    <row r="36" spans="1:16">
      <c r="A36" s="7">
        <f t="shared" si="2"/>
        <v>3</v>
      </c>
      <c r="B36" s="7">
        <v>4</v>
      </c>
      <c r="C36" s="7">
        <v>304002</v>
      </c>
      <c r="D36" s="7">
        <v>3</v>
      </c>
      <c r="E36" s="16">
        <v>10076</v>
      </c>
      <c r="F36" s="16"/>
      <c r="G36" s="7">
        <f t="shared" si="4"/>
        <v>104</v>
      </c>
      <c r="H36" s="7"/>
      <c r="I36" s="7">
        <v>17</v>
      </c>
      <c r="J36" s="7">
        <v>1</v>
      </c>
      <c r="K36" s="7">
        <v>800</v>
      </c>
      <c r="L36" s="7" t="str">
        <f t="shared" ref="L36:L40" si="7">"DailyMission"&amp;D36</f>
        <v>DailyMission3</v>
      </c>
      <c r="N36">
        <v>13</v>
      </c>
      <c r="O36" s="6">
        <f>VLOOKUP(N36,bet对应表!A:C,3,FALSE)</f>
        <v>30000000</v>
      </c>
      <c r="P36" s="1" cm="1">
        <f t="array" ref="P36">_xlfn.IFS(D36=1,VLOOKUP(N36,bet对应表!A:D,4,0)*G36,D36=2,VLOOKUP(N36,bet对应表!A:D,4,0)*G36*bet对应表!$K$2,D36=3,VLOOKUP(N36,bet对应表!A:D,4,0)*G36/bet对应表!$J$2,D36=4,G36*bet对应表!$H$2/100,D36=5,G36*bet对应表!$H$2/100/bet对应表!$J$2)</f>
        <v>520</v>
      </c>
    </row>
    <row r="37" spans="1:16">
      <c r="A37" s="7">
        <f t="shared" si="2"/>
        <v>3</v>
      </c>
      <c r="B37" s="7">
        <v>5</v>
      </c>
      <c r="C37" s="7">
        <v>305001</v>
      </c>
      <c r="D37" s="7">
        <v>1</v>
      </c>
      <c r="E37" s="16">
        <v>10021</v>
      </c>
      <c r="F37" s="16"/>
      <c r="G37" s="7">
        <f t="shared" si="4"/>
        <v>200</v>
      </c>
      <c r="H37" s="7"/>
      <c r="I37" s="7"/>
      <c r="J37" s="7"/>
      <c r="K37" s="7"/>
      <c r="L37" s="7"/>
      <c r="N37">
        <v>13</v>
      </c>
      <c r="O37" s="6">
        <f>VLOOKUP(N37,bet对应表!A:C,3,FALSE)</f>
        <v>30000000</v>
      </c>
      <c r="P37" s="1" cm="1">
        <f t="array" ref="P37">_xlfn.IFS(D37=1,VLOOKUP(N37,bet对应表!A:D,4,0)*G37,D37=2,VLOOKUP(N37,bet对应表!A:D,4,0)*G37*bet对应表!$K$2,D37=3,VLOOKUP(N37,bet对应表!A:D,4,0)*G37/bet对应表!$J$2,D37=4,G37*bet对应表!$H$2/100,D37=5,G37*bet对应表!$H$2/100/bet对应表!$J$2)</f>
        <v>600</v>
      </c>
    </row>
    <row r="38" spans="1:16">
      <c r="A38" s="7">
        <f t="shared" si="2"/>
        <v>3</v>
      </c>
      <c r="B38" s="7">
        <v>5</v>
      </c>
      <c r="C38" s="7">
        <v>305002</v>
      </c>
      <c r="D38" s="7">
        <v>4</v>
      </c>
      <c r="E38" s="16">
        <v>10021</v>
      </c>
      <c r="F38" s="16">
        <v>17</v>
      </c>
      <c r="G38" s="7">
        <f t="shared" si="4"/>
        <v>2400</v>
      </c>
      <c r="H38" s="7"/>
      <c r="I38" s="7"/>
      <c r="J38" s="7">
        <v>1</v>
      </c>
      <c r="K38" s="7">
        <v>900</v>
      </c>
      <c r="L38" s="7" t="str">
        <f t="shared" si="7"/>
        <v>DailyMission4</v>
      </c>
      <c r="N38">
        <v>13</v>
      </c>
      <c r="O38" s="6">
        <f>VLOOKUP(N38,bet对应表!A:C,3,FALSE)</f>
        <v>30000000</v>
      </c>
      <c r="P38" s="1" cm="1">
        <f t="array" ref="P38">_xlfn.IFS(D38=1,VLOOKUP(N38,bet对应表!A:D,4,0)*G38,D38=2,VLOOKUP(N38,bet对应表!A:D,4,0)*G38*bet对应表!$K$2,D38=3,VLOOKUP(N38,bet对应表!A:D,4,0)*G38/bet对应表!$J$2,D38=4,G38*bet对应表!$H$2/100,D38=5,G38*bet对应表!$H$2/100/bet对应表!$J$2)</f>
        <v>2.4</v>
      </c>
    </row>
    <row r="39" spans="1:16">
      <c r="A39" s="7">
        <f t="shared" si="2"/>
        <v>3</v>
      </c>
      <c r="B39" s="7">
        <v>6</v>
      </c>
      <c r="C39" s="7">
        <v>306001</v>
      </c>
      <c r="D39" s="7">
        <v>3</v>
      </c>
      <c r="E39" s="16">
        <v>10001</v>
      </c>
      <c r="F39" s="16"/>
      <c r="G39" s="7">
        <f t="shared" si="4"/>
        <v>200</v>
      </c>
      <c r="H39" s="7"/>
      <c r="I39" s="7">
        <v>17</v>
      </c>
      <c r="J39" s="7"/>
      <c r="K39" s="7"/>
      <c r="L39" s="7"/>
      <c r="N39">
        <v>13</v>
      </c>
      <c r="O39" s="6">
        <f>VLOOKUP(N39,bet对应表!A:C,3,FALSE)</f>
        <v>30000000</v>
      </c>
      <c r="P39" s="1" cm="1">
        <f t="array" ref="P39">_xlfn.IFS(D39=1,VLOOKUP(N39,bet对应表!A:D,4,0)*G39,D39=2,VLOOKUP(N39,bet对应表!A:D,4,0)*G39*bet对应表!$K$2,D39=3,VLOOKUP(N39,bet对应表!A:D,4,0)*G39/bet对应表!$J$2,D39=4,G39*bet对应表!$H$2/100,D39=5,G39*bet对应表!$H$2/100/bet对应表!$J$2)</f>
        <v>1000</v>
      </c>
    </row>
    <row r="40" spans="1:16">
      <c r="A40" s="7">
        <f t="shared" si="2"/>
        <v>3</v>
      </c>
      <c r="B40" s="7">
        <v>6</v>
      </c>
      <c r="C40" s="7">
        <v>306002</v>
      </c>
      <c r="D40" s="7">
        <v>5</v>
      </c>
      <c r="E40" s="16">
        <v>10001</v>
      </c>
      <c r="F40" s="16">
        <v>17</v>
      </c>
      <c r="G40" s="7">
        <f t="shared" si="4"/>
        <v>16000</v>
      </c>
      <c r="H40" s="7"/>
      <c r="I40" s="7"/>
      <c r="J40" s="7">
        <v>1</v>
      </c>
      <c r="K40" s="7">
        <v>1000</v>
      </c>
      <c r="L40" s="7" t="str">
        <f t="shared" si="7"/>
        <v>DailyMission5</v>
      </c>
      <c r="N40">
        <v>13</v>
      </c>
      <c r="O40" s="6">
        <f>VLOOKUP(N40,bet对应表!A:C,3,FALSE)</f>
        <v>30000000</v>
      </c>
      <c r="P40" s="1" cm="1">
        <f t="array" ref="P40">_xlfn.IFS(D40=1,VLOOKUP(N40,bet对应表!A:D,4,0)*G40,D40=2,VLOOKUP(N40,bet对应表!A:D,4,0)*G40*bet对应表!$K$2,D40=3,VLOOKUP(N40,bet对应表!A:D,4,0)*G40/bet对应表!$J$2,D40=4,G40*bet对应表!$H$2/100,D40=5,G40*bet对应表!$H$2/100/bet对应表!$J$2)</f>
        <v>26.6666666666667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"/>
  <sheetViews>
    <sheetView zoomScale="115" zoomScaleNormal="115" workbookViewId="0">
      <selection activeCell="B24" sqref="B24"/>
    </sheetView>
  </sheetViews>
  <sheetFormatPr defaultColWidth="9" defaultRowHeight="13.5" outlineLevelCol="1"/>
  <sheetData>
    <row r="1" spans="1:2">
      <c r="A1" t="s">
        <v>42</v>
      </c>
      <c r="B1" t="s">
        <v>43</v>
      </c>
    </row>
    <row r="2" spans="1:2">
      <c r="A2">
        <v>10001</v>
      </c>
      <c r="B2" t="s">
        <v>44</v>
      </c>
    </row>
    <row r="3" spans="1:2">
      <c r="A3">
        <v>10002</v>
      </c>
      <c r="B3" t="s">
        <v>45</v>
      </c>
    </row>
    <row r="4" spans="1:2">
      <c r="A4">
        <v>10003</v>
      </c>
      <c r="B4" t="s">
        <v>46</v>
      </c>
    </row>
    <row r="5" spans="1:2">
      <c r="A5">
        <v>10004</v>
      </c>
      <c r="B5" t="s">
        <v>47</v>
      </c>
    </row>
    <row r="6" spans="1:2">
      <c r="A6">
        <v>10005</v>
      </c>
      <c r="B6" t="s">
        <v>48</v>
      </c>
    </row>
    <row r="7" spans="1:2">
      <c r="A7">
        <v>10006</v>
      </c>
      <c r="B7" t="s">
        <v>49</v>
      </c>
    </row>
    <row r="8" spans="1:2">
      <c r="A8">
        <v>10012</v>
      </c>
      <c r="B8" t="s">
        <v>50</v>
      </c>
    </row>
    <row r="9" spans="1:2">
      <c r="A9">
        <v>10013</v>
      </c>
      <c r="B9" t="s">
        <v>51</v>
      </c>
    </row>
    <row r="10" spans="1:2">
      <c r="A10">
        <v>10020</v>
      </c>
      <c r="B10" t="s">
        <v>52</v>
      </c>
    </row>
    <row r="11" spans="1:2">
      <c r="A11">
        <v>10032</v>
      </c>
      <c r="B11" t="s">
        <v>53</v>
      </c>
    </row>
    <row r="12" spans="1:2">
      <c r="A12">
        <v>10040</v>
      </c>
      <c r="B12" t="s">
        <v>54</v>
      </c>
    </row>
    <row r="13" spans="1:2">
      <c r="A13">
        <v>10043</v>
      </c>
      <c r="B13" t="s">
        <v>55</v>
      </c>
    </row>
    <row r="14" spans="1:2">
      <c r="A14">
        <v>10044</v>
      </c>
      <c r="B14" t="s">
        <v>56</v>
      </c>
    </row>
    <row r="15" spans="1:2">
      <c r="A15">
        <v>10051</v>
      </c>
      <c r="B15" t="s">
        <v>57</v>
      </c>
    </row>
    <row r="16" spans="1:2">
      <c r="A16">
        <v>10071</v>
      </c>
      <c r="B16" t="s">
        <v>58</v>
      </c>
    </row>
    <row r="17" spans="1:2">
      <c r="A17">
        <v>10075</v>
      </c>
      <c r="B17" t="s">
        <v>59</v>
      </c>
    </row>
    <row r="18" spans="1:2">
      <c r="A18">
        <v>10076</v>
      </c>
      <c r="B18" t="s">
        <v>60</v>
      </c>
    </row>
    <row r="19" spans="1:2">
      <c r="A19">
        <v>10079</v>
      </c>
      <c r="B19" t="s">
        <v>61</v>
      </c>
    </row>
    <row r="20" spans="1:2">
      <c r="A20">
        <v>10083</v>
      </c>
      <c r="B20" t="s">
        <v>62</v>
      </c>
    </row>
    <row r="21" spans="1:2">
      <c r="A21">
        <v>10090</v>
      </c>
      <c r="B21" t="s">
        <v>63</v>
      </c>
    </row>
    <row r="22" spans="1:2">
      <c r="A22">
        <v>10305</v>
      </c>
      <c r="B22" t="s">
        <v>64</v>
      </c>
    </row>
    <row r="23" spans="1:2">
      <c r="A23">
        <v>10021</v>
      </c>
      <c r="B23" t="s">
        <v>65</v>
      </c>
    </row>
  </sheetData>
  <sortState ref="A2:B22">
    <sortCondition ref="A2"/>
  </sortState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workbookViewId="0">
      <selection activeCell="G3" sqref="G3"/>
    </sheetView>
  </sheetViews>
  <sheetFormatPr defaultColWidth="9" defaultRowHeight="13.5" outlineLevelCol="7"/>
  <cols>
    <col min="5" max="6" width="12.625" style="1"/>
    <col min="8" max="8" width="12.625" style="2"/>
  </cols>
  <sheetData>
    <row r="1" spans="1:8">
      <c r="A1" s="3" t="s">
        <v>28</v>
      </c>
      <c r="B1" s="3" t="s">
        <v>29</v>
      </c>
      <c r="C1" s="3" t="s">
        <v>66</v>
      </c>
      <c r="D1" s="3" t="s">
        <v>40</v>
      </c>
      <c r="E1" s="4" t="s">
        <v>67</v>
      </c>
      <c r="F1" s="4" t="s">
        <v>41</v>
      </c>
      <c r="G1" s="3" t="s">
        <v>68</v>
      </c>
      <c r="H1" s="5" t="s">
        <v>69</v>
      </c>
    </row>
    <row r="2" spans="1:8">
      <c r="A2" s="3">
        <v>1</v>
      </c>
      <c r="B2" s="3">
        <v>1</v>
      </c>
      <c r="C2" s="3" t="str">
        <f>VLOOKUP(SUMIFS(QuestFrenzyMission!E:E,QuestFrenzyMission!A:A,A2,QuestFrenzyMission!B:B,B2)/COUNTIFS(QuestFrenzyMission!A:A,A2,QuestFrenzyMission!B:B,B2),机器列表!$A:$B,2,FALSE)</f>
        <v>财神</v>
      </c>
      <c r="D2" s="3">
        <f>SUMIFS(QuestFrenzyMission!N:N,QuestFrenzyMission!A:A,A2,QuestFrenzyMission!B:B,B2)/COUNTIFS(QuestFrenzyMission!A:A,A2,QuestFrenzyMission!B:B,B2)</f>
        <v>1</v>
      </c>
      <c r="E2" s="4">
        <f>F2/VLOOKUP(D2,bet对应表!A:D,4,FALSE)</f>
        <v>40</v>
      </c>
      <c r="F2" s="4">
        <f>SUMIFS(QuestFrenzyMission!P:P,QuestFrenzyMission!A:A,A2,QuestFrenzyMission!B:B,B2)</f>
        <v>0.04</v>
      </c>
      <c r="G2" s="3">
        <f>SUMIFS(QuestFrenzyMission!K:K,QuestFrenzyMission!A:A,A2,QuestFrenzyMission!B:B,B2)/100</f>
        <v>0.04</v>
      </c>
      <c r="H2" s="5">
        <f>G2/F2</f>
        <v>1</v>
      </c>
    </row>
    <row r="3" spans="1:8">
      <c r="A3" s="3">
        <v>1</v>
      </c>
      <c r="B3" s="3">
        <v>2</v>
      </c>
      <c r="C3" s="3" t="str">
        <f>VLOOKUP(SUMIFS(QuestFrenzyMission!E:E,QuestFrenzyMission!A:A,A3,QuestFrenzyMission!B:B,B3)/COUNTIFS(QuestFrenzyMission!A:A,A3,QuestFrenzyMission!B:B,B3),机器列表!$A:$B,2,FALSE)</f>
        <v>龙</v>
      </c>
      <c r="D3" s="3">
        <f>SUMIFS(QuestFrenzyMission!N:N,QuestFrenzyMission!A:A,A3,QuestFrenzyMission!B:B,B3)/COUNTIFS(QuestFrenzyMission!A:A,A3,QuestFrenzyMission!B:B,B3)</f>
        <v>1</v>
      </c>
      <c r="E3" s="4">
        <f>F3/VLOOKUP(D3,bet对应表!A:D,4,FALSE)</f>
        <v>80</v>
      </c>
      <c r="F3" s="4">
        <f>SUMIFS(QuestFrenzyMission!P:P,QuestFrenzyMission!A:A,A3,QuestFrenzyMission!B:B,B3)</f>
        <v>0.08</v>
      </c>
      <c r="G3" s="3">
        <f>SUMIFS(QuestFrenzyMission!K:K,QuestFrenzyMission!A:A,A3,QuestFrenzyMission!B:B,B3)/100</f>
        <v>0.08</v>
      </c>
      <c r="H3" s="5">
        <f t="shared" ref="H2:H19" si="0">G3/F3</f>
        <v>1</v>
      </c>
    </row>
    <row r="4" spans="1:8">
      <c r="A4" s="3">
        <v>1</v>
      </c>
      <c r="B4" s="3">
        <v>3</v>
      </c>
      <c r="C4" s="3" t="str">
        <f>VLOOKUP(SUMIFS(QuestFrenzyMission!E:E,QuestFrenzyMission!A:A,A4,QuestFrenzyMission!B:B,B4)/COUNTIFS(QuestFrenzyMission!A:A,A4,QuestFrenzyMission!B:B,B4),机器列表!$A:$B,2,FALSE)</f>
        <v>火车</v>
      </c>
      <c r="D4" s="3">
        <f>SUMIFS(QuestFrenzyMission!N:N,QuestFrenzyMission!A:A,A4,QuestFrenzyMission!B:B,B4)/COUNTIFS(QuestFrenzyMission!A:A,A4,QuestFrenzyMission!B:B,B4)</f>
        <v>2</v>
      </c>
      <c r="E4" s="4">
        <f>F4/VLOOKUP(D4,bet对应表!A:D,4,FALSE)</f>
        <v>66.6666666666667</v>
      </c>
      <c r="F4" s="4">
        <f>SUMIFS(QuestFrenzyMission!P:P,QuestFrenzyMission!A:A,A4,QuestFrenzyMission!B:B,B4)</f>
        <v>0.2</v>
      </c>
      <c r="G4" s="3">
        <f>SUMIFS(QuestFrenzyMission!K:K,QuestFrenzyMission!A:A,A4,QuestFrenzyMission!B:B,B4)/100</f>
        <v>0.2</v>
      </c>
      <c r="H4" s="5">
        <f t="shared" si="0"/>
        <v>1</v>
      </c>
    </row>
    <row r="5" spans="1:8">
      <c r="A5" s="3">
        <v>1</v>
      </c>
      <c r="B5" s="3">
        <v>4</v>
      </c>
      <c r="C5" s="3" t="str">
        <f>VLOOKUP(SUMIFS(QuestFrenzyMission!E:E,QuestFrenzyMission!A:A,A5,QuestFrenzyMission!B:B,B5)/COUNTIFS(QuestFrenzyMission!A:A,A5,QuestFrenzyMission!B:B,B5),机器列表!$A:$B,2,FALSE)</f>
        <v>泰山</v>
      </c>
      <c r="D5" s="3">
        <f>SUMIFS(QuestFrenzyMission!N:N,QuestFrenzyMission!A:A,A5,QuestFrenzyMission!B:B,B5)/COUNTIFS(QuestFrenzyMission!A:A,A5,QuestFrenzyMission!B:B,B5)</f>
        <v>2</v>
      </c>
      <c r="E5" s="4">
        <f>F5/VLOOKUP(D5,bet对应表!A:D,4,FALSE)</f>
        <v>83.3333333333333</v>
      </c>
      <c r="F5" s="4">
        <f>SUMIFS(QuestFrenzyMission!P:P,QuestFrenzyMission!A:A,A5,QuestFrenzyMission!B:B,B5)</f>
        <v>0.25</v>
      </c>
      <c r="G5" s="3">
        <f>SUMIFS(QuestFrenzyMission!K:K,QuestFrenzyMission!A:A,A5,QuestFrenzyMission!B:B,B5)/100</f>
        <v>0.25</v>
      </c>
      <c r="H5" s="5">
        <f t="shared" si="0"/>
        <v>1</v>
      </c>
    </row>
    <row r="6" spans="1:8">
      <c r="A6" s="3">
        <v>1</v>
      </c>
      <c r="B6" s="3">
        <v>5</v>
      </c>
      <c r="C6" s="3" t="str">
        <f>VLOOKUP(SUMIFS(QuestFrenzyMission!E:E,QuestFrenzyMission!A:A,A6,QuestFrenzyMission!B:B,B6)/COUNTIFS(QuestFrenzyMission!A:A,A6,QuestFrenzyMission!B:B,B6),机器列表!$A:$B,2,FALSE)</f>
        <v>小猪银行</v>
      </c>
      <c r="D6" s="3">
        <f>SUMIFS(QuestFrenzyMission!N:N,QuestFrenzyMission!A:A,A6,QuestFrenzyMission!B:B,B6)/COUNTIFS(QuestFrenzyMission!A:A,A6,QuestFrenzyMission!B:B,B6)</f>
        <v>3</v>
      </c>
      <c r="E6" s="4">
        <f>F6/VLOOKUP(D6,bet对应表!A:D,4,FALSE)</f>
        <v>56.6666666666667</v>
      </c>
      <c r="F6" s="4">
        <f>SUMIFS(QuestFrenzyMission!P:P,QuestFrenzyMission!A:A,A6,QuestFrenzyMission!B:B,B6)</f>
        <v>0.51</v>
      </c>
      <c r="G6" s="3">
        <f>SUMIFS(QuestFrenzyMission!K:K,QuestFrenzyMission!A:A,A6,QuestFrenzyMission!B:B,B6)/100</f>
        <v>0.3</v>
      </c>
      <c r="H6" s="5">
        <f t="shared" si="0"/>
        <v>0.588235294117647</v>
      </c>
    </row>
    <row r="7" spans="1:8">
      <c r="A7" s="3">
        <v>1</v>
      </c>
      <c r="B7" s="3">
        <v>6</v>
      </c>
      <c r="C7" s="3" t="str">
        <f>VLOOKUP(SUMIFS(QuestFrenzyMission!E:E,QuestFrenzyMission!A:A,A7,QuestFrenzyMission!B:B,B7)/COUNTIFS(QuestFrenzyMission!A:A,A7,QuestFrenzyMission!B:B,B7),机器列表!$A:$B,2,FALSE)</f>
        <v>财神</v>
      </c>
      <c r="D7" s="3">
        <f>SUMIFS(QuestFrenzyMission!N:N,QuestFrenzyMission!A:A,A7,QuestFrenzyMission!B:B,B7)/COUNTIFS(QuestFrenzyMission!A:A,A7,QuestFrenzyMission!B:B,B7)</f>
        <v>3</v>
      </c>
      <c r="E7" s="4">
        <f>F7/VLOOKUP(D7,bet对应表!A:D,4,FALSE)</f>
        <v>90.7407407407407</v>
      </c>
      <c r="F7" s="4">
        <f>SUMIFS(QuestFrenzyMission!P:P,QuestFrenzyMission!A:A,A7,QuestFrenzyMission!B:B,B7)</f>
        <v>0.816666666666667</v>
      </c>
      <c r="G7" s="3">
        <f>SUMIFS(QuestFrenzyMission!K:K,QuestFrenzyMission!A:A,A7,QuestFrenzyMission!B:B,B7)/100</f>
        <v>0.4</v>
      </c>
      <c r="H7" s="5">
        <f t="shared" si="0"/>
        <v>0.489795918367347</v>
      </c>
    </row>
    <row r="8" spans="1:8">
      <c r="A8" s="3">
        <v>2</v>
      </c>
      <c r="B8" s="3">
        <v>1</v>
      </c>
      <c r="C8" s="3" t="str">
        <f>VLOOKUP(SUMIFS(QuestFrenzyMission!E:E,QuestFrenzyMission!A:A,A8,QuestFrenzyMission!B:B,B8)/COUNTIFS(QuestFrenzyMission!A:A,A8,QuestFrenzyMission!B:B,B8),机器列表!$A:$B,2,FALSE)</f>
        <v>财神</v>
      </c>
      <c r="D8" s="3">
        <f>SUMIFS(QuestFrenzyMission!N:N,QuestFrenzyMission!A:A,A8,QuestFrenzyMission!B:B,B8)/COUNTIFS(QuestFrenzyMission!A:A,A8,QuestFrenzyMission!B:B,B8)</f>
        <v>10</v>
      </c>
      <c r="E8" s="4">
        <f>F8/VLOOKUP(D8,bet对应表!A:D,4,FALSE)</f>
        <v>80</v>
      </c>
      <c r="F8" s="4">
        <f>SUMIFS(QuestFrenzyMission!P:P,QuestFrenzyMission!A:A,A8,QuestFrenzyMission!B:B,B8)</f>
        <v>72</v>
      </c>
      <c r="G8" s="3">
        <f>SUMIFS(QuestFrenzyMission!K:K,QuestFrenzyMission!A:A,A8,QuestFrenzyMission!B:B,B8)/100</f>
        <v>0.5</v>
      </c>
      <c r="H8" s="5">
        <f t="shared" si="0"/>
        <v>0.00694444444444444</v>
      </c>
    </row>
    <row r="9" spans="1:8">
      <c r="A9" s="3">
        <v>2</v>
      </c>
      <c r="B9" s="3">
        <v>2</v>
      </c>
      <c r="C9" s="3" t="str">
        <f>VLOOKUP(SUMIFS(QuestFrenzyMission!E:E,QuestFrenzyMission!A:A,A9,QuestFrenzyMission!B:B,B9)/COUNTIFS(QuestFrenzyMission!A:A,A9,QuestFrenzyMission!B:B,B9),机器列表!$A:$B,2,FALSE)</f>
        <v>龙</v>
      </c>
      <c r="D9" s="3">
        <f>SUMIFS(QuestFrenzyMission!N:N,QuestFrenzyMission!A:A,A9,QuestFrenzyMission!B:B,B9)/COUNTIFS(QuestFrenzyMission!A:A,A9,QuestFrenzyMission!B:B,B9)</f>
        <v>10</v>
      </c>
      <c r="E9" s="4">
        <f>F9/VLOOKUP(D9,bet对应表!A:D,4,FALSE)</f>
        <v>61.1111111111111</v>
      </c>
      <c r="F9" s="4">
        <f>SUMIFS(QuestFrenzyMission!P:P,QuestFrenzyMission!A:A,A9,QuestFrenzyMission!B:B,B9)</f>
        <v>55</v>
      </c>
      <c r="G9" s="3">
        <f>SUMIFS(QuestFrenzyMission!K:K,QuestFrenzyMission!A:A,A9,QuestFrenzyMission!B:B,B9)/100</f>
        <v>1</v>
      </c>
      <c r="H9" s="5">
        <f t="shared" si="0"/>
        <v>0.0181818181818182</v>
      </c>
    </row>
    <row r="10" spans="1:8">
      <c r="A10" s="3">
        <v>2</v>
      </c>
      <c r="B10" s="3">
        <v>3</v>
      </c>
      <c r="C10" s="3" t="str">
        <f>VLOOKUP(SUMIFS(QuestFrenzyMission!E:E,QuestFrenzyMission!A:A,A10,QuestFrenzyMission!B:B,B10)/COUNTIFS(QuestFrenzyMission!A:A,A10,QuestFrenzyMission!B:B,B10),机器列表!$A:$B,2,FALSE)</f>
        <v>火车</v>
      </c>
      <c r="D10" s="3">
        <f>SUMIFS(QuestFrenzyMission!N:N,QuestFrenzyMission!A:A,A10,QuestFrenzyMission!B:B,B10)/COUNTIFS(QuestFrenzyMission!A:A,A10,QuestFrenzyMission!B:B,B10)</f>
        <v>10</v>
      </c>
      <c r="E10" s="4">
        <f>F10/VLOOKUP(D10,bet对应表!A:D,4,FALSE)</f>
        <v>111.111111111111</v>
      </c>
      <c r="F10" s="4">
        <f>SUMIFS(QuestFrenzyMission!P:P,QuestFrenzyMission!A:A,A10,QuestFrenzyMission!B:B,B10)</f>
        <v>100</v>
      </c>
      <c r="G10" s="3">
        <f>SUMIFS(QuestFrenzyMission!K:K,QuestFrenzyMission!A:A,A10,QuestFrenzyMission!B:B,B10)/100</f>
        <v>1.5</v>
      </c>
      <c r="H10" s="5">
        <f t="shared" si="0"/>
        <v>0.015</v>
      </c>
    </row>
    <row r="11" spans="1:8">
      <c r="A11" s="3">
        <v>2</v>
      </c>
      <c r="B11" s="3">
        <v>4</v>
      </c>
      <c r="C11" s="3" t="str">
        <f>VLOOKUP(SUMIFS(QuestFrenzyMission!E:E,QuestFrenzyMission!A:A,A11,QuestFrenzyMission!B:B,B11)/COUNTIFS(QuestFrenzyMission!A:A,A11,QuestFrenzyMission!B:B,B11),机器列表!$A:$B,2,FALSE)</f>
        <v>泰山</v>
      </c>
      <c r="D11" s="3">
        <f>SUMIFS(QuestFrenzyMission!N:N,QuestFrenzyMission!A:A,A11,QuestFrenzyMission!B:B,B11)/COUNTIFS(QuestFrenzyMission!A:A,A11,QuestFrenzyMission!B:B,B11)</f>
        <v>11</v>
      </c>
      <c r="E11" s="4">
        <f>F11/VLOOKUP(D11,bet对应表!A:D,4,FALSE)</f>
        <v>166.666666666667</v>
      </c>
      <c r="F11" s="4">
        <f>SUMIFS(QuestFrenzyMission!P:P,QuestFrenzyMission!A:A,A11,QuestFrenzyMission!B:B,B11)</f>
        <v>200</v>
      </c>
      <c r="G11" s="3">
        <f>SUMIFS(QuestFrenzyMission!K:K,QuestFrenzyMission!A:A,A11,QuestFrenzyMission!B:B,B11)/100</f>
        <v>2</v>
      </c>
      <c r="H11" s="5">
        <f t="shared" si="0"/>
        <v>0.01</v>
      </c>
    </row>
    <row r="12" spans="1:8">
      <c r="A12" s="3">
        <v>2</v>
      </c>
      <c r="B12" s="3">
        <v>5</v>
      </c>
      <c r="C12" s="3" t="str">
        <f>VLOOKUP(SUMIFS(QuestFrenzyMission!E:E,QuestFrenzyMission!A:A,A12,QuestFrenzyMission!B:B,B12)/COUNTIFS(QuestFrenzyMission!A:A,A12,QuestFrenzyMission!B:B,B12),机器列表!$A:$B,2,FALSE)</f>
        <v>小猪银行</v>
      </c>
      <c r="D12" s="3">
        <f>SUMIFS(QuestFrenzyMission!N:N,QuestFrenzyMission!A:A,A12,QuestFrenzyMission!B:B,B12)/COUNTIFS(QuestFrenzyMission!A:A,A12,QuestFrenzyMission!B:B,B12)</f>
        <v>11</v>
      </c>
      <c r="E12" s="4">
        <f>F12/VLOOKUP(D12,bet对应表!A:D,4,FALSE)</f>
        <v>101</v>
      </c>
      <c r="F12" s="4">
        <f>SUMIFS(QuestFrenzyMission!P:P,QuestFrenzyMission!A:A,A12,QuestFrenzyMission!B:B,B12)</f>
        <v>121.2</v>
      </c>
      <c r="G12" s="3">
        <f>SUMIFS(QuestFrenzyMission!K:K,QuestFrenzyMission!A:A,A12,QuestFrenzyMission!B:B,B12)/100</f>
        <v>3</v>
      </c>
      <c r="H12" s="5">
        <f t="shared" si="0"/>
        <v>0.0247524752475248</v>
      </c>
    </row>
    <row r="13" spans="1:8">
      <c r="A13" s="3">
        <v>2</v>
      </c>
      <c r="B13" s="3">
        <v>6</v>
      </c>
      <c r="C13" s="3" t="str">
        <f>VLOOKUP(SUMIFS(QuestFrenzyMission!E:E,QuestFrenzyMission!A:A,A13,QuestFrenzyMission!B:B,B13)/COUNTIFS(QuestFrenzyMission!A:A,A13,QuestFrenzyMission!B:B,B13),机器列表!$A:$B,2,FALSE)</f>
        <v>财神</v>
      </c>
      <c r="D13" s="3">
        <f>SUMIFS(QuestFrenzyMission!N:N,QuestFrenzyMission!A:A,A13,QuestFrenzyMission!B:B,B13)/COUNTIFS(QuestFrenzyMission!A:A,A13,QuestFrenzyMission!B:B,B13)</f>
        <v>11</v>
      </c>
      <c r="E13" s="4">
        <f>F13/VLOOKUP(D13,bet对应表!A:D,4,FALSE)</f>
        <v>177.777777777778</v>
      </c>
      <c r="F13" s="4">
        <f>SUMIFS(QuestFrenzyMission!P:P,QuestFrenzyMission!A:A,A13,QuestFrenzyMission!B:B,B13)</f>
        <v>213.333333333333</v>
      </c>
      <c r="G13" s="3">
        <f>SUMIFS(QuestFrenzyMission!K:K,QuestFrenzyMission!A:A,A13,QuestFrenzyMission!B:B,B13)/100</f>
        <v>4</v>
      </c>
      <c r="H13" s="5">
        <f t="shared" si="0"/>
        <v>0.01875</v>
      </c>
    </row>
    <row r="14" spans="1:8">
      <c r="A14" s="3">
        <v>3</v>
      </c>
      <c r="B14" s="3">
        <v>1</v>
      </c>
      <c r="C14" s="3" t="str">
        <f>VLOOKUP(SUMIFS(QuestFrenzyMission!E:E,QuestFrenzyMission!A:A,A14,QuestFrenzyMission!B:B,B14)/COUNTIFS(QuestFrenzyMission!A:A,A14,QuestFrenzyMission!B:B,B14),机器列表!$A:$B,2,FALSE)</f>
        <v>财神</v>
      </c>
      <c r="D14" s="3">
        <f>SUMIFS(QuestFrenzyMission!N:N,QuestFrenzyMission!A:A,A14,QuestFrenzyMission!B:B,B14)/COUNTIFS(QuestFrenzyMission!A:A,A14,QuestFrenzyMission!B:B,B14)</f>
        <v>12</v>
      </c>
      <c r="E14" s="4">
        <f>F14/VLOOKUP(D14,bet对应表!A:D,4,FALSE)</f>
        <v>160</v>
      </c>
      <c r="F14" s="4">
        <f>SUMIFS(QuestFrenzyMission!P:P,QuestFrenzyMission!A:A,A14,QuestFrenzyMission!B:B,B14)</f>
        <v>240</v>
      </c>
      <c r="G14" s="3">
        <f>SUMIFS(QuestFrenzyMission!K:K,QuestFrenzyMission!A:A,A14,QuestFrenzyMission!B:B,B14)/100</f>
        <v>5</v>
      </c>
      <c r="H14" s="5">
        <f t="shared" si="0"/>
        <v>0.0208333333333333</v>
      </c>
    </row>
    <row r="15" spans="1:8">
      <c r="A15" s="3">
        <v>3</v>
      </c>
      <c r="B15" s="3">
        <v>2</v>
      </c>
      <c r="C15" s="3" t="str">
        <f>VLOOKUP(SUMIFS(QuestFrenzyMission!E:E,QuestFrenzyMission!A:A,A15,QuestFrenzyMission!B:B,B15)/COUNTIFS(QuestFrenzyMission!A:A,A15,QuestFrenzyMission!B:B,B15),机器列表!$A:$B,2,FALSE)</f>
        <v>龙</v>
      </c>
      <c r="D15" s="3">
        <f>SUMIFS(QuestFrenzyMission!N:N,QuestFrenzyMission!A:A,A15,QuestFrenzyMission!B:B,B15)/COUNTIFS(QuestFrenzyMission!A:A,A15,QuestFrenzyMission!B:B,B15)</f>
        <v>12</v>
      </c>
      <c r="E15" s="4">
        <f>F15/VLOOKUP(D15,bet对应表!A:D,4,FALSE)</f>
        <v>121.333333333333</v>
      </c>
      <c r="F15" s="4">
        <f>SUMIFS(QuestFrenzyMission!P:P,QuestFrenzyMission!A:A,A15,QuestFrenzyMission!B:B,B15)</f>
        <v>182</v>
      </c>
      <c r="G15" s="3">
        <f>SUMIFS(QuestFrenzyMission!K:K,QuestFrenzyMission!A:A,A15,QuestFrenzyMission!B:B,B15)/100</f>
        <v>6</v>
      </c>
      <c r="H15" s="5">
        <f t="shared" si="0"/>
        <v>0.032967032967033</v>
      </c>
    </row>
    <row r="16" spans="1:8">
      <c r="A16" s="3">
        <v>3</v>
      </c>
      <c r="B16" s="3">
        <v>3</v>
      </c>
      <c r="C16" s="3" t="str">
        <f>VLOOKUP(SUMIFS(QuestFrenzyMission!E:E,QuestFrenzyMission!A:A,A16,QuestFrenzyMission!B:B,B16)/COUNTIFS(QuestFrenzyMission!A:A,A16,QuestFrenzyMission!B:B,B16),机器列表!$A:$B,2,FALSE)</f>
        <v>火车</v>
      </c>
      <c r="D16" s="3">
        <f>SUMIFS(QuestFrenzyMission!N:N,QuestFrenzyMission!A:A,A16,QuestFrenzyMission!B:B,B16)/COUNTIFS(QuestFrenzyMission!A:A,A16,QuestFrenzyMission!B:B,B16)</f>
        <v>12</v>
      </c>
      <c r="E16" s="4">
        <f>F16/VLOOKUP(D16,bet对应表!A:D,4,FALSE)</f>
        <v>213.333333333333</v>
      </c>
      <c r="F16" s="4">
        <f>SUMIFS(QuestFrenzyMission!P:P,QuestFrenzyMission!A:A,A16,QuestFrenzyMission!B:B,B16)</f>
        <v>320</v>
      </c>
      <c r="G16" s="3">
        <f>SUMIFS(QuestFrenzyMission!K:K,QuestFrenzyMission!A:A,A16,QuestFrenzyMission!B:B,B16)/100</f>
        <v>7</v>
      </c>
      <c r="H16" s="5">
        <f t="shared" si="0"/>
        <v>0.021875</v>
      </c>
    </row>
    <row r="17" spans="1:8">
      <c r="A17" s="3">
        <v>3</v>
      </c>
      <c r="B17" s="3">
        <v>4</v>
      </c>
      <c r="C17" s="3" t="str">
        <f>VLOOKUP(SUMIFS(QuestFrenzyMission!E:E,QuestFrenzyMission!A:A,A17,QuestFrenzyMission!B:B,B17)/COUNTIFS(QuestFrenzyMission!A:A,A17,QuestFrenzyMission!B:B,B17),机器列表!$A:$B,2,FALSE)</f>
        <v>泰山</v>
      </c>
      <c r="D17" s="3">
        <f>SUMIFS(QuestFrenzyMission!N:N,QuestFrenzyMission!A:A,A17,QuestFrenzyMission!B:B,B17)/COUNTIFS(QuestFrenzyMission!A:A,A17,QuestFrenzyMission!B:B,B17)</f>
        <v>13</v>
      </c>
      <c r="E17" s="4">
        <f>F17/VLOOKUP(D17,bet对应表!A:D,4,FALSE)</f>
        <v>333.333333333333</v>
      </c>
      <c r="F17" s="4">
        <f>SUMIFS(QuestFrenzyMission!P:P,QuestFrenzyMission!A:A,A17,QuestFrenzyMission!B:B,B17)</f>
        <v>1000</v>
      </c>
      <c r="G17" s="3">
        <f>SUMIFS(QuestFrenzyMission!K:K,QuestFrenzyMission!A:A,A17,QuestFrenzyMission!B:B,B17)/100</f>
        <v>8</v>
      </c>
      <c r="H17" s="5">
        <f t="shared" si="0"/>
        <v>0.008</v>
      </c>
    </row>
    <row r="18" spans="1:8">
      <c r="A18" s="3">
        <v>3</v>
      </c>
      <c r="B18" s="3">
        <v>5</v>
      </c>
      <c r="C18" s="3" t="str">
        <f>VLOOKUP(SUMIFS(QuestFrenzyMission!E:E,QuestFrenzyMission!A:A,A18,QuestFrenzyMission!B:B,B18)/COUNTIFS(QuestFrenzyMission!A:A,A18,QuestFrenzyMission!B:B,B18),机器列表!$A:$B,2,FALSE)</f>
        <v>小猪银行</v>
      </c>
      <c r="D18" s="3">
        <f>SUMIFS(QuestFrenzyMission!N:N,QuestFrenzyMission!A:A,A18,QuestFrenzyMission!B:B,B18)/COUNTIFS(QuestFrenzyMission!A:A,A18,QuestFrenzyMission!B:B,B18)</f>
        <v>13</v>
      </c>
      <c r="E18" s="4">
        <f>F18/VLOOKUP(D18,bet对应表!A:D,4,FALSE)</f>
        <v>200.8</v>
      </c>
      <c r="F18" s="4">
        <f>SUMIFS(QuestFrenzyMission!P:P,QuestFrenzyMission!A:A,A18,QuestFrenzyMission!B:B,B18)</f>
        <v>602.4</v>
      </c>
      <c r="G18" s="3">
        <f>SUMIFS(QuestFrenzyMission!K:K,QuestFrenzyMission!A:A,A18,QuestFrenzyMission!B:B,B18)/100</f>
        <v>9</v>
      </c>
      <c r="H18" s="5">
        <f t="shared" si="0"/>
        <v>0.0149402390438247</v>
      </c>
    </row>
    <row r="19" spans="1:8">
      <c r="A19" s="3">
        <v>3</v>
      </c>
      <c r="B19" s="3">
        <v>6</v>
      </c>
      <c r="C19" s="3" t="str">
        <f>VLOOKUP(SUMIFS(QuestFrenzyMission!E:E,QuestFrenzyMission!A:A,A19,QuestFrenzyMission!B:B,B19)/COUNTIFS(QuestFrenzyMission!A:A,A19,QuestFrenzyMission!B:B,B19),机器列表!$A:$B,2,FALSE)</f>
        <v>财神</v>
      </c>
      <c r="D19" s="3">
        <f>SUMIFS(QuestFrenzyMission!N:N,QuestFrenzyMission!A:A,A19,QuestFrenzyMission!B:B,B19)/COUNTIFS(QuestFrenzyMission!A:A,A19,QuestFrenzyMission!B:B,B19)</f>
        <v>13</v>
      </c>
      <c r="E19" s="4">
        <f>F19/VLOOKUP(D19,bet对应表!A:D,4,FALSE)</f>
        <v>342.222222222222</v>
      </c>
      <c r="F19" s="4">
        <f>SUMIFS(QuestFrenzyMission!P:P,QuestFrenzyMission!A:A,A19,QuestFrenzyMission!B:B,B19)</f>
        <v>1026.66666666667</v>
      </c>
      <c r="G19" s="3">
        <f>SUMIFS(QuestFrenzyMission!K:K,QuestFrenzyMission!A:A,A19,QuestFrenzyMission!B:B,B19)/100</f>
        <v>10</v>
      </c>
      <c r="H19" s="5">
        <f t="shared" si="0"/>
        <v>0.00974025974025974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bet对应表</vt:lpstr>
      <vt:lpstr>QuestFrenzyMission</vt:lpstr>
      <vt:lpstr>机器列表</vt:lpstr>
      <vt:lpstr>数值体验表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wk</dc:creator>
  <cp:lastModifiedBy>企业用户_244823163</cp:lastModifiedBy>
  <dcterms:created xsi:type="dcterms:W3CDTF">2023-05-12T11:15:00Z</dcterms:created>
  <dcterms:modified xsi:type="dcterms:W3CDTF">2026-05-15T03:20:24Z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0AFFD98A08DD4C86ABB09D6A55BD1982_12</vt:lpwstr>
  </property>
  <property fmtid="{D5CDD505-2E9C-101B-9397-08002B2CF9AE}" pid="4" name="CalculationRule">
    <vt:i4>0</vt:i4>
  </property>
</Properties>
</file>