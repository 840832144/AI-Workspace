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数值体验表" sheetId="1" r:id="rId1"/>
    <sheet name="FreeBonusHourly" sheetId="4" r:id="rId2"/>
    <sheet name="FreeBonusWheel" sheetId="6" r:id="rId3"/>
    <sheet name="FreeBonusMultiplie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<sst xmlns="http://schemas.openxmlformats.org/spreadsheetml/2006/main" count="203" uniqueCount="64">
  <si>
    <t>角色等级</t>
  </si>
  <si>
    <t>multiplier值</t>
  </si>
  <si>
    <t>需要spin</t>
  </si>
  <si>
    <t>单位spin/s</t>
  </si>
  <si>
    <t>倍率期望</t>
  </si>
  <si>
    <t>id</t>
  </si>
  <si>
    <t>奖励倍率</t>
  </si>
  <si>
    <t>权重</t>
  </si>
  <si>
    <t>领取间隔时间(秒)</t>
  </si>
  <si>
    <t>buff</t>
  </si>
  <si>
    <t>倍数</t>
  </si>
  <si>
    <t>价格</t>
  </si>
  <si>
    <t>时场（分钟）</t>
  </si>
  <si>
    <t>折扣</t>
  </si>
  <si>
    <t>playerLevel</t>
  </si>
  <si>
    <t>level</t>
  </si>
  <si>
    <t>betNeed</t>
  </si>
  <si>
    <t>花费时间min</t>
  </si>
  <si>
    <t>bonus</t>
  </si>
  <si>
    <t>免费转盘</t>
  </si>
  <si>
    <t>#触发转盘累积领取的mega bonus次数</t>
  </si>
  <si>
    <t>付费转盘</t>
  </si>
  <si>
    <t>megaBonus</t>
  </si>
  <si>
    <t>FreeBonusHourly</t>
  </si>
  <si>
    <t>FreeBonusWheel</t>
  </si>
  <si>
    <t>FreeBonusMultiplier</t>
  </si>
  <si>
    <t>moduleNameId</t>
  </si>
  <si>
    <t>coins</t>
  </si>
  <si>
    <t>weightType</t>
  </si>
  <si>
    <t>weight</t>
  </si>
  <si>
    <t>interval</t>
  </si>
  <si>
    <t>maxRate</t>
  </si>
  <si>
    <t>int</t>
  </si>
  <si>
    <t>cs</t>
  </si>
  <si>
    <t>s</t>
  </si>
  <si>
    <t>奖励类型1mini2mega</t>
  </si>
  <si>
    <t>等级</t>
  </si>
  <si>
    <t>模块名索引ID</t>
  </si>
  <si>
    <t>奖励美金值，千分比</t>
  </si>
  <si>
    <t>权重类型，领取次数</t>
  </si>
  <si>
    <t>win up to显示</t>
  </si>
  <si>
    <t>payType</t>
  </si>
  <si>
    <t>multi</t>
  </si>
  <si>
    <t>group</t>
  </si>
  <si>
    <t>ItemIDgp</t>
  </si>
  <si>
    <t>ItemIDiap</t>
  </si>
  <si>
    <t>CommonPayKey</t>
  </si>
  <si>
    <t>Money</t>
  </si>
  <si>
    <t>string</t>
  </si>
  <si>
    <t>转盘类型1免费2付费</t>
  </si>
  <si>
    <t>倍数,百分比</t>
  </si>
  <si>
    <t>权重类型，周次数</t>
  </si>
  <si>
    <t>分组定价，0不走分组</t>
  </si>
  <si>
    <t>谷歌订单号</t>
  </si>
  <si>
    <t>苹果订单号</t>
  </si>
  <si>
    <t>通用支付key</t>
  </si>
  <si>
    <t>gp_roulette_1</t>
  </si>
  <si>
    <t>iap_roulette_1</t>
  </si>
  <si>
    <t>PK_399</t>
  </si>
  <si>
    <t>gp_roulette_2</t>
  </si>
  <si>
    <t>iap_roulette_2</t>
  </si>
  <si>
    <t>PK_599</t>
  </si>
  <si>
    <t>multiplier</t>
  </si>
  <si>
    <t>spinNeed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</si>
</sst>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3" borderId="8">
      <alignment vertical="center"/>
    </xf>
    <xf numFmtId="0" fontId="10" fillId="4" borderId="9">
      <alignment vertical="center"/>
    </xf>
    <xf numFmtId="0" fontId="11" fillId="4" borderId="8">
      <alignment vertical="center"/>
    </xf>
    <xf numFmtId="0" fontId="12" fillId="5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4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9"/>
  <sheetViews>
    <sheetView zoomScale="130" zoomScaleNormal="130" topLeftCell="I1" workbookViewId="0">
      <selection activeCell="S16" sqref="S16:S29"/>
    </sheetView>
  </sheetViews>
  <sheetFormatPr defaultColWidth="9" defaultRowHeight="13.5"/>
  <cols>
    <col min="1" max="1" width="9.71666666666667" style="1" customWidth="1"/>
    <col min="2" max="2" width="12.625" style="1" customWidth="1"/>
    <col min="3" max="3" width="13.625" style="1" customWidth="1"/>
    <col min="4" max="4" width="9.125" style="1" customWidth="1"/>
    <col min="5" max="5" width="9" style="1"/>
    <col min="6" max="7" width="12.4" style="1" customWidth="1"/>
    <col min="8" max="8" width="11.2416666666667" style="1" customWidth="1"/>
    <col min="9" max="9" width="11.05" style="1" customWidth="1"/>
    <col min="10" max="10" width="10.6666666666667" style="1" customWidth="1"/>
    <col min="11" max="11" width="10.2833333333333" style="1" customWidth="1"/>
    <col min="12" max="13" width="9" style="1"/>
    <col min="14" max="14" width="12.625" style="1" customWidth="1"/>
    <col min="15" max="15" width="17.25" style="1" customWidth="1"/>
    <col min="16" max="20" width="9" style="1"/>
    <col min="21" max="21" width="12.625" style="1" customWidth="1"/>
    <col min="22" max="25" width="9" style="1"/>
    <col min="26" max="26" width="12.875" style="1" customWidth="1"/>
    <col min="27" max="27" width="9" style="2"/>
    <col min="28" max="16384" width="9" style="1"/>
  </cols>
  <sheetData>
    <row r="1" spans="1:27">
      <c r="A1" s="3"/>
      <c r="B1" s="3" t="s">
        <v>0</v>
      </c>
      <c r="C1" s="3" t="s">
        <v>1</v>
      </c>
      <c r="D1" s="3" t="s">
        <v>2</v>
      </c>
      <c r="H1" s="1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/>
      <c r="O1" s="3" t="s">
        <v>8</v>
      </c>
      <c r="Q1" s="3" t="s">
        <v>4</v>
      </c>
      <c r="R1" s="3" t="s">
        <v>5</v>
      </c>
      <c r="S1" s="3" t="s">
        <v>6</v>
      </c>
      <c r="T1" s="3" t="s">
        <v>7</v>
      </c>
      <c r="U1" s="3"/>
      <c r="W1" s="3" t="s">
        <v>9</v>
      </c>
      <c r="X1" s="3" t="s">
        <v>10</v>
      </c>
      <c r="Y1" s="3" t="s">
        <v>11</v>
      </c>
      <c r="Z1" s="3" t="s">
        <v>12</v>
      </c>
      <c r="AA1" s="4" t="s">
        <v>13</v>
      </c>
    </row>
    <row r="2" spans="1:27">
      <c r="A2" s="3" t="s">
        <v>5</v>
      </c>
      <c r="B2" s="3" t="s">
        <v>14</v>
      </c>
      <c r="C2" s="3" t="s">
        <v>15</v>
      </c>
      <c r="D2" s="3" t="s">
        <v>16</v>
      </c>
      <c r="F2" s="1" t="s">
        <v>17</v>
      </c>
      <c r="H2" s="1">
        <v>1</v>
      </c>
      <c r="J2" s="5">
        <f>SUM(N2:N10)</f>
        <v>0.02</v>
      </c>
      <c r="K2" s="3">
        <v>1</v>
      </c>
      <c r="L2" s="3">
        <v>1</v>
      </c>
      <c r="M2" s="3">
        <v>0</v>
      </c>
      <c r="N2" s="3">
        <f>L2*M2/SUMIF(K:K,K2,M:M)</f>
        <v>0</v>
      </c>
      <c r="O2" s="3">
        <v>900</v>
      </c>
      <c r="Q2" s="6">
        <f>SUMIF(R:R,1,U:U)</f>
        <v>1.50201612903226</v>
      </c>
      <c r="R2" s="3">
        <v>1</v>
      </c>
      <c r="S2" s="3">
        <v>10</v>
      </c>
      <c r="T2" s="3">
        <v>100</v>
      </c>
      <c r="U2" s="3">
        <f>S2*T2/SUMIF(R:R,R2,T:T)</f>
        <v>0.0403225806451613</v>
      </c>
      <c r="W2" s="3" t="s">
        <v>18</v>
      </c>
      <c r="X2" s="3">
        <v>2</v>
      </c>
      <c r="Y2" s="3">
        <v>0.49</v>
      </c>
      <c r="Z2" s="3">
        <v>120</v>
      </c>
      <c r="AA2" s="4">
        <f>J11*Z2/(O12/60/X2)/Y2</f>
        <v>0.272108843537415</v>
      </c>
    </row>
    <row r="3" spans="1:27">
      <c r="A3" s="3">
        <v>1</v>
      </c>
      <c r="B3" s="3">
        <v>1</v>
      </c>
      <c r="C3" s="3">
        <v>1</v>
      </c>
      <c r="D3" s="3">
        <v>0</v>
      </c>
      <c r="F3" s="1">
        <f t="shared" ref="F3:F8" si="0">ROUND(D3/$H$2/60,0)</f>
        <v>0</v>
      </c>
      <c r="J3" s="5"/>
      <c r="K3" s="3">
        <v>1</v>
      </c>
      <c r="L3" s="3">
        <v>0.01</v>
      </c>
      <c r="M3" s="3">
        <v>5000</v>
      </c>
      <c r="N3" s="3">
        <f>L3*M3/SUMIF(K:K,K3,M:M)</f>
        <v>0.00602409638554217</v>
      </c>
      <c r="O3" s="3">
        <v>900</v>
      </c>
      <c r="Q3" s="7"/>
      <c r="R3" s="3">
        <v>1</v>
      </c>
      <c r="S3" s="3">
        <v>1.5</v>
      </c>
      <c r="T3" s="3">
        <v>2500</v>
      </c>
      <c r="U3" s="3">
        <f t="shared" ref="U3:U29" si="1">S3*T3/SUMIF(R:R,R3,T:T)</f>
        <v>0.151209677419355</v>
      </c>
      <c r="W3" s="3" t="s">
        <v>19</v>
      </c>
      <c r="X3" s="3">
        <v>2</v>
      </c>
      <c r="Y3" s="3">
        <v>2</v>
      </c>
      <c r="Z3" s="3">
        <v>120</v>
      </c>
      <c r="AA3" s="4">
        <f>Q2*X3/Y3</f>
        <v>1.50201612903226</v>
      </c>
    </row>
    <row r="4" spans="1:27">
      <c r="A4" s="3">
        <v>2</v>
      </c>
      <c r="B4" s="3">
        <v>1</v>
      </c>
      <c r="C4" s="3">
        <v>2</v>
      </c>
      <c r="D4" s="3">
        <v>50</v>
      </c>
      <c r="F4" s="1">
        <f t="shared" si="0"/>
        <v>1</v>
      </c>
      <c r="H4" s="1" t="s">
        <v>20</v>
      </c>
      <c r="J4" s="5"/>
      <c r="K4" s="3">
        <v>1</v>
      </c>
      <c r="L4" s="3">
        <v>0.02</v>
      </c>
      <c r="M4" s="3">
        <v>500</v>
      </c>
      <c r="N4" s="3">
        <f t="shared" ref="N3:N19" si="2">L4*M4/SUMIF(K:K,K4,M:M)</f>
        <v>0.00120481927710843</v>
      </c>
      <c r="O4" s="3">
        <v>900</v>
      </c>
      <c r="Q4" s="7"/>
      <c r="R4" s="3">
        <v>1</v>
      </c>
      <c r="S4" s="3">
        <v>1</v>
      </c>
      <c r="T4" s="3">
        <v>2000</v>
      </c>
      <c r="U4" s="3">
        <f t="shared" si="1"/>
        <v>0.0806451612903226</v>
      </c>
      <c r="W4" s="3" t="s">
        <v>21</v>
      </c>
      <c r="X4" s="3">
        <v>2</v>
      </c>
      <c r="Y4" s="3">
        <v>2</v>
      </c>
      <c r="Z4" s="3">
        <v>120</v>
      </c>
      <c r="AA4" s="4">
        <f>Q16*X4/Y4</f>
        <v>7.51008064516129</v>
      </c>
    </row>
    <row r="5" spans="1:27">
      <c r="A5" s="3">
        <v>3</v>
      </c>
      <c r="B5" s="3">
        <v>1</v>
      </c>
      <c r="C5" s="3">
        <v>3</v>
      </c>
      <c r="D5" s="3">
        <v>200</v>
      </c>
      <c r="F5" s="1">
        <f t="shared" si="0"/>
        <v>3</v>
      </c>
      <c r="H5" s="1" t="s">
        <v>22</v>
      </c>
      <c r="J5" s="5"/>
      <c r="K5" s="3">
        <v>1</v>
      </c>
      <c r="L5" s="3">
        <v>0.02</v>
      </c>
      <c r="M5" s="3">
        <v>500</v>
      </c>
      <c r="N5" s="3">
        <f t="shared" si="2"/>
        <v>0.00120481927710843</v>
      </c>
      <c r="O5" s="3">
        <v>900</v>
      </c>
      <c r="Q5" s="7"/>
      <c r="R5" s="3">
        <v>1</v>
      </c>
      <c r="S5" s="3">
        <v>1.5</v>
      </c>
      <c r="T5" s="3">
        <v>2000</v>
      </c>
      <c r="U5" s="3">
        <f t="shared" si="1"/>
        <v>0.120967741935484</v>
      </c>
    </row>
    <row r="6" spans="1:27">
      <c r="A6" s="3">
        <v>4</v>
      </c>
      <c r="B6" s="3">
        <v>1</v>
      </c>
      <c r="C6" s="3">
        <v>4</v>
      </c>
      <c r="D6" s="3">
        <v>500</v>
      </c>
      <c r="F6" s="1">
        <f t="shared" si="0"/>
        <v>8</v>
      </c>
      <c r="H6" s="1">
        <v>5</v>
      </c>
      <c r="J6" s="5"/>
      <c r="K6" s="3">
        <v>1</v>
      </c>
      <c r="L6" s="3">
        <v>0.02</v>
      </c>
      <c r="M6" s="3">
        <v>1000</v>
      </c>
      <c r="N6" s="3">
        <f t="shared" si="2"/>
        <v>0.00240963855421687</v>
      </c>
      <c r="O6" s="3">
        <v>900</v>
      </c>
      <c r="Q6" s="7"/>
      <c r="R6" s="3">
        <v>1</v>
      </c>
      <c r="S6" s="3">
        <v>2</v>
      </c>
      <c r="T6" s="3">
        <v>2500</v>
      </c>
      <c r="U6" s="3">
        <f t="shared" si="1"/>
        <v>0.201612903225806</v>
      </c>
    </row>
    <row r="7" spans="1:27">
      <c r="A7" s="3">
        <v>5</v>
      </c>
      <c r="B7" s="3">
        <v>1</v>
      </c>
      <c r="C7" s="3">
        <v>5</v>
      </c>
      <c r="D7" s="3">
        <v>1000</v>
      </c>
      <c r="F7" s="1">
        <f t="shared" si="0"/>
        <v>17</v>
      </c>
      <c r="J7" s="5"/>
      <c r="K7" s="3">
        <v>1</v>
      </c>
      <c r="L7" s="3">
        <v>0.04</v>
      </c>
      <c r="M7" s="3">
        <v>500</v>
      </c>
      <c r="N7" s="3">
        <f t="shared" si="2"/>
        <v>0.00240963855421687</v>
      </c>
      <c r="O7" s="3">
        <v>900</v>
      </c>
      <c r="Q7" s="7"/>
      <c r="R7" s="3">
        <v>1</v>
      </c>
      <c r="S7" s="3">
        <v>0.5</v>
      </c>
      <c r="T7" s="3">
        <v>2000</v>
      </c>
      <c r="U7" s="3">
        <f t="shared" si="1"/>
        <v>0.0403225806451613</v>
      </c>
    </row>
    <row r="8" spans="1:27">
      <c r="A8" s="3">
        <v>6</v>
      </c>
      <c r="B8" s="3">
        <v>1</v>
      </c>
      <c r="C8" s="3">
        <v>10</v>
      </c>
      <c r="D8" s="3">
        <v>2000</v>
      </c>
      <c r="F8" s="1">
        <f t="shared" si="0"/>
        <v>33</v>
      </c>
      <c r="H8" s="8" t="s">
        <v>23</v>
      </c>
      <c r="J8" s="5"/>
      <c r="K8" s="3">
        <v>1</v>
      </c>
      <c r="L8" s="3">
        <v>0.06</v>
      </c>
      <c r="M8" s="3">
        <v>500</v>
      </c>
      <c r="N8" s="3">
        <f t="shared" si="2"/>
        <v>0.0036144578313253</v>
      </c>
      <c r="O8" s="3">
        <v>900</v>
      </c>
      <c r="Q8" s="7"/>
      <c r="R8" s="3">
        <v>1</v>
      </c>
      <c r="S8" s="3">
        <v>2.5</v>
      </c>
      <c r="T8" s="3">
        <v>1500</v>
      </c>
      <c r="U8" s="3">
        <f t="shared" si="1"/>
        <v>0.151209677419355</v>
      </c>
    </row>
    <row r="9" spans="1:27">
      <c r="H9" s="8" t="s">
        <v>24</v>
      </c>
      <c r="J9" s="5"/>
      <c r="K9" s="3">
        <v>1</v>
      </c>
      <c r="L9" s="3">
        <v>0.08</v>
      </c>
      <c r="M9" s="3">
        <v>200</v>
      </c>
      <c r="N9" s="3">
        <f t="shared" si="2"/>
        <v>0.00192771084337349</v>
      </c>
      <c r="O9" s="3">
        <v>900</v>
      </c>
      <c r="Q9" s="7"/>
      <c r="R9" s="3">
        <v>1</v>
      </c>
      <c r="S9" s="3">
        <v>1.5</v>
      </c>
      <c r="T9" s="3">
        <v>2000</v>
      </c>
      <c r="U9" s="3">
        <f t="shared" si="1"/>
        <v>0.120967741935484</v>
      </c>
    </row>
    <row r="10" spans="1:27">
      <c r="H10" s="8" t="s">
        <v>25</v>
      </c>
      <c r="J10" s="5"/>
      <c r="K10" s="3">
        <v>1</v>
      </c>
      <c r="L10" s="3">
        <v>0.1</v>
      </c>
      <c r="M10" s="3">
        <v>100</v>
      </c>
      <c r="N10" s="3">
        <f t="shared" si="2"/>
        <v>0.00120481927710843</v>
      </c>
      <c r="O10" s="3">
        <v>900</v>
      </c>
      <c r="Q10" s="7"/>
      <c r="R10" s="3">
        <v>1</v>
      </c>
      <c r="S10" s="3">
        <v>2</v>
      </c>
      <c r="T10" s="3">
        <v>2500</v>
      </c>
      <c r="U10" s="3">
        <f t="shared" si="1"/>
        <v>0.201612903225806</v>
      </c>
    </row>
    <row r="11" spans="1:27">
      <c r="J11" s="5">
        <f>SUM(N11:N19)</f>
        <v>0.1</v>
      </c>
      <c r="K11" s="3">
        <v>2</v>
      </c>
      <c r="L11" s="3">
        <v>5</v>
      </c>
      <c r="M11" s="3">
        <v>0</v>
      </c>
      <c r="N11" s="3">
        <f t="shared" si="2"/>
        <v>0</v>
      </c>
      <c r="O11" s="3">
        <v>10800</v>
      </c>
      <c r="Q11" s="7"/>
      <c r="R11" s="3">
        <v>1</v>
      </c>
      <c r="S11" s="3">
        <v>0.5</v>
      </c>
      <c r="T11" s="3">
        <v>2000</v>
      </c>
      <c r="U11" s="3">
        <f t="shared" si="1"/>
        <v>0.0403225806451613</v>
      </c>
    </row>
    <row r="12" spans="1:27">
      <c r="J12" s="5"/>
      <c r="K12" s="3">
        <v>2</v>
      </c>
      <c r="L12" s="3">
        <v>0.05</v>
      </c>
      <c r="M12" s="3">
        <v>5000</v>
      </c>
      <c r="N12" s="3">
        <f t="shared" si="2"/>
        <v>0.0301204819277108</v>
      </c>
      <c r="O12" s="3">
        <v>10800</v>
      </c>
      <c r="Q12" s="7"/>
      <c r="R12" s="3">
        <v>1</v>
      </c>
      <c r="S12" s="3">
        <v>3</v>
      </c>
      <c r="T12" s="3">
        <v>1000</v>
      </c>
      <c r="U12" s="3">
        <f t="shared" si="1"/>
        <v>0.120967741935484</v>
      </c>
    </row>
    <row r="13" spans="1:27">
      <c r="J13" s="5"/>
      <c r="K13" s="3">
        <v>2</v>
      </c>
      <c r="L13" s="3">
        <v>0.1</v>
      </c>
      <c r="M13" s="3">
        <v>500</v>
      </c>
      <c r="N13" s="3">
        <f t="shared" si="2"/>
        <v>0.00602409638554217</v>
      </c>
      <c r="O13" s="3">
        <v>10800</v>
      </c>
      <c r="Q13" s="7"/>
      <c r="R13" s="3">
        <v>1</v>
      </c>
      <c r="S13" s="3">
        <v>1.5</v>
      </c>
      <c r="T13" s="3">
        <v>2500</v>
      </c>
      <c r="U13" s="3">
        <f t="shared" si="1"/>
        <v>0.151209677419355</v>
      </c>
    </row>
    <row r="14" spans="1:27">
      <c r="J14" s="5"/>
      <c r="K14" s="3">
        <v>2</v>
      </c>
      <c r="L14" s="3">
        <v>0.1</v>
      </c>
      <c r="M14" s="3">
        <v>500</v>
      </c>
      <c r="N14" s="3">
        <f t="shared" si="2"/>
        <v>0.00602409638554217</v>
      </c>
      <c r="O14" s="3">
        <v>10800</v>
      </c>
      <c r="Q14" s="7"/>
      <c r="R14" s="3">
        <v>1</v>
      </c>
      <c r="S14" s="3">
        <v>0.5</v>
      </c>
      <c r="T14" s="3">
        <v>2000</v>
      </c>
      <c r="U14" s="3">
        <f t="shared" si="1"/>
        <v>0.0403225806451613</v>
      </c>
    </row>
    <row r="15" spans="1:27">
      <c r="J15" s="5"/>
      <c r="K15" s="3">
        <v>2</v>
      </c>
      <c r="L15" s="3">
        <v>0.1</v>
      </c>
      <c r="M15" s="3">
        <v>1000</v>
      </c>
      <c r="N15" s="3">
        <f t="shared" si="2"/>
        <v>0.0120481927710843</v>
      </c>
      <c r="O15" s="3">
        <v>10800</v>
      </c>
      <c r="Q15" s="9"/>
      <c r="R15" s="3">
        <v>1</v>
      </c>
      <c r="S15" s="3">
        <v>5</v>
      </c>
      <c r="T15" s="3">
        <v>200</v>
      </c>
      <c r="U15" s="3">
        <f t="shared" si="1"/>
        <v>0.0403225806451613</v>
      </c>
    </row>
    <row r="16" spans="1:27">
      <c r="J16" s="5"/>
      <c r="K16" s="3">
        <v>2</v>
      </c>
      <c r="L16" s="3">
        <v>0.2</v>
      </c>
      <c r="M16" s="3">
        <v>500</v>
      </c>
      <c r="N16" s="3">
        <f t="shared" si="2"/>
        <v>0.0120481927710843</v>
      </c>
      <c r="O16" s="3">
        <v>10800</v>
      </c>
      <c r="Q16" s="6">
        <f>SUMIF(R:R,2,U:U)</f>
        <v>7.51008064516129</v>
      </c>
      <c r="R16" s="3">
        <v>2</v>
      </c>
      <c r="S16" s="3">
        <f>S2*5</f>
        <v>50</v>
      </c>
      <c r="T16" s="3">
        <f>T2</f>
        <v>100</v>
      </c>
      <c r="U16" s="3">
        <f t="shared" si="1"/>
        <v>0.201612903225806</v>
      </c>
    </row>
    <row r="17" spans="10:21">
      <c r="J17" s="5"/>
      <c r="K17" s="3">
        <v>2</v>
      </c>
      <c r="L17" s="3">
        <v>0.3</v>
      </c>
      <c r="M17" s="3">
        <v>500</v>
      </c>
      <c r="N17" s="3">
        <f t="shared" si="2"/>
        <v>0.0180722891566265</v>
      </c>
      <c r="O17" s="3">
        <v>10800</v>
      </c>
      <c r="Q17" s="7"/>
      <c r="R17" s="3">
        <v>2</v>
      </c>
      <c r="S17" s="3">
        <f t="shared" ref="S17:S29" si="3">S3*5</f>
        <v>7.5</v>
      </c>
      <c r="T17" s="3">
        <f t="shared" ref="T17:T29" si="4">T3</f>
        <v>2500</v>
      </c>
      <c r="U17" s="3">
        <f t="shared" si="1"/>
        <v>0.756048387096774</v>
      </c>
    </row>
    <row r="18" spans="10:21">
      <c r="J18" s="5"/>
      <c r="K18" s="3">
        <v>2</v>
      </c>
      <c r="L18" s="3">
        <v>0.4</v>
      </c>
      <c r="M18" s="3">
        <v>200</v>
      </c>
      <c r="N18" s="3">
        <f t="shared" si="2"/>
        <v>0.00963855421686747</v>
      </c>
      <c r="O18" s="3">
        <v>10800</v>
      </c>
      <c r="Q18" s="7"/>
      <c r="R18" s="3">
        <v>2</v>
      </c>
      <c r="S18" s="3">
        <f t="shared" si="3"/>
        <v>5</v>
      </c>
      <c r="T18" s="3">
        <f t="shared" si="4"/>
        <v>2000</v>
      </c>
      <c r="U18" s="3">
        <f t="shared" si="1"/>
        <v>0.403225806451613</v>
      </c>
    </row>
    <row r="19" spans="10:21">
      <c r="J19" s="5"/>
      <c r="K19" s="3">
        <v>2</v>
      </c>
      <c r="L19" s="3">
        <v>0.5</v>
      </c>
      <c r="M19" s="3">
        <v>100</v>
      </c>
      <c r="N19" s="3">
        <f t="shared" si="2"/>
        <v>0.00602409638554217</v>
      </c>
      <c r="O19" s="3">
        <v>10800</v>
      </c>
      <c r="Q19" s="7"/>
      <c r="R19" s="3">
        <v>2</v>
      </c>
      <c r="S19" s="3">
        <f t="shared" si="3"/>
        <v>7.5</v>
      </c>
      <c r="T19" s="3">
        <f t="shared" si="4"/>
        <v>2000</v>
      </c>
      <c r="U19" s="3">
        <f t="shared" si="1"/>
        <v>0.604838709677419</v>
      </c>
    </row>
    <row r="20" spans="10:21">
      <c r="Q20" s="7"/>
      <c r="R20" s="3">
        <v>2</v>
      </c>
      <c r="S20" s="3">
        <f t="shared" si="3"/>
        <v>10</v>
      </c>
      <c r="T20" s="3">
        <f t="shared" si="4"/>
        <v>2500</v>
      </c>
      <c r="U20" s="3">
        <f t="shared" si="1"/>
        <v>1.00806451612903</v>
      </c>
    </row>
    <row r="21" spans="10:21">
      <c r="Q21" s="7"/>
      <c r="R21" s="3">
        <v>2</v>
      </c>
      <c r="S21" s="3">
        <f t="shared" si="3"/>
        <v>2.5</v>
      </c>
      <c r="T21" s="3">
        <f t="shared" si="4"/>
        <v>2000</v>
      </c>
      <c r="U21" s="3">
        <f t="shared" si="1"/>
        <v>0.201612903225806</v>
      </c>
    </row>
    <row r="22" spans="10:21">
      <c r="Q22" s="7"/>
      <c r="R22" s="3">
        <v>2</v>
      </c>
      <c r="S22" s="3">
        <f t="shared" si="3"/>
        <v>12.5</v>
      </c>
      <c r="T22" s="3">
        <f t="shared" si="4"/>
        <v>1500</v>
      </c>
      <c r="U22" s="3">
        <f t="shared" si="1"/>
        <v>0.756048387096774</v>
      </c>
    </row>
    <row r="23" spans="10:21">
      <c r="Q23" s="7"/>
      <c r="R23" s="3">
        <v>2</v>
      </c>
      <c r="S23" s="3">
        <f t="shared" si="3"/>
        <v>7.5</v>
      </c>
      <c r="T23" s="3">
        <f t="shared" si="4"/>
        <v>2000</v>
      </c>
      <c r="U23" s="3">
        <f t="shared" si="1"/>
        <v>0.604838709677419</v>
      </c>
    </row>
    <row r="24" spans="10:21">
      <c r="Q24" s="7"/>
      <c r="R24" s="3">
        <v>2</v>
      </c>
      <c r="S24" s="3">
        <f t="shared" si="3"/>
        <v>10</v>
      </c>
      <c r="T24" s="3">
        <f t="shared" si="4"/>
        <v>2500</v>
      </c>
      <c r="U24" s="3">
        <f t="shared" si="1"/>
        <v>1.00806451612903</v>
      </c>
    </row>
    <row r="25" spans="10:21">
      <c r="Q25" s="7"/>
      <c r="R25" s="3">
        <v>2</v>
      </c>
      <c r="S25" s="3">
        <f t="shared" si="3"/>
        <v>2.5</v>
      </c>
      <c r="T25" s="3">
        <f t="shared" si="4"/>
        <v>2000</v>
      </c>
      <c r="U25" s="3">
        <f t="shared" si="1"/>
        <v>0.201612903225806</v>
      </c>
    </row>
    <row r="26" spans="10:21">
      <c r="Q26" s="7"/>
      <c r="R26" s="3">
        <v>2</v>
      </c>
      <c r="S26" s="3">
        <f t="shared" si="3"/>
        <v>15</v>
      </c>
      <c r="T26" s="3">
        <f t="shared" si="4"/>
        <v>1000</v>
      </c>
      <c r="U26" s="3">
        <f t="shared" si="1"/>
        <v>0.604838709677419</v>
      </c>
    </row>
    <row r="27" spans="10:21">
      <c r="Q27" s="7"/>
      <c r="R27" s="3">
        <v>2</v>
      </c>
      <c r="S27" s="3">
        <f t="shared" si="3"/>
        <v>7.5</v>
      </c>
      <c r="T27" s="3">
        <f t="shared" si="4"/>
        <v>2500</v>
      </c>
      <c r="U27" s="3">
        <f t="shared" si="1"/>
        <v>0.756048387096774</v>
      </c>
    </row>
    <row r="28" spans="10:21">
      <c r="Q28" s="7"/>
      <c r="R28" s="3">
        <v>2</v>
      </c>
      <c r="S28" s="3">
        <f t="shared" si="3"/>
        <v>2.5</v>
      </c>
      <c r="T28" s="3">
        <f t="shared" si="4"/>
        <v>2000</v>
      </c>
      <c r="U28" s="3">
        <f t="shared" si="1"/>
        <v>0.201612903225806</v>
      </c>
    </row>
    <row r="29" spans="10:21">
      <c r="Q29" s="9"/>
      <c r="R29" s="3">
        <v>2</v>
      </c>
      <c r="S29" s="3">
        <f t="shared" si="3"/>
        <v>25</v>
      </c>
      <c r="T29" s="3">
        <f t="shared" si="4"/>
        <v>200</v>
      </c>
      <c r="U29" s="3">
        <f t="shared" si="1"/>
        <v>0.201612903225806</v>
      </c>
    </row>
  </sheetData>
  <mergeCells count="4">
    <mergeCell ref="J2:J10"/>
    <mergeCell ref="J11:J19"/>
    <mergeCell ref="Q2:Q15"/>
    <mergeCell ref="Q16:Q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B43" sqref="B43"/>
    </sheetView>
  </sheetViews>
  <sheetFormatPr defaultColWidth="9" defaultRowHeight="13.5" outlineLevelCol="7"/>
  <cols>
    <col min="4" max="4" width="13.25" customWidth="1"/>
    <col min="5" max="5" width="19.125" customWidth="1"/>
  </cols>
  <sheetData>
    <row r="1" spans="1:8">
      <c r="A1" t="s">
        <v>5</v>
      </c>
      <c r="B1" t="s">
        <v>15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>
      <c r="A2" t="s">
        <v>32</v>
      </c>
      <c r="B2" t="s">
        <v>32</v>
      </c>
      <c r="C2" t="s">
        <v>32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</row>
    <row r="3" spans="1:8">
      <c r="A3" t="s">
        <v>33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</row>
    <row r="4" spans="1:8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7</v>
      </c>
      <c r="G4" t="s">
        <v>8</v>
      </c>
      <c r="H4" t="s">
        <v>40</v>
      </c>
    </row>
    <row r="5" spans="1:8">
      <c r="A5">
        <v>1</v>
      </c>
      <c r="B5">
        <v>1</v>
      </c>
      <c r="D5">
        <f>数值体验表!L2*100</f>
        <v>100</v>
      </c>
      <c r="E5">
        <v>1</v>
      </c>
      <c r="F5">
        <f>数值体验表!M2</f>
        <v>0</v>
      </c>
      <c r="G5">
        <f t="shared" ref="G5:G13" si="0">60*16</f>
        <v>960</v>
      </c>
      <c r="H5">
        <v>10</v>
      </c>
    </row>
    <row r="6" spans="1:8">
      <c r="A6">
        <v>1</v>
      </c>
      <c r="B6">
        <v>1</v>
      </c>
      <c r="D6">
        <f>数值体验表!L3*100</f>
        <v>1</v>
      </c>
      <c r="E6">
        <v>1</v>
      </c>
      <c r="F6">
        <f>数值体验表!M3</f>
        <v>5000</v>
      </c>
      <c r="G6">
        <f t="shared" si="0"/>
        <v>960</v>
      </c>
      <c r="H6">
        <v>10</v>
      </c>
    </row>
    <row r="7" spans="1:8">
      <c r="A7">
        <v>1</v>
      </c>
      <c r="B7">
        <v>1</v>
      </c>
      <c r="D7">
        <f>数值体验表!L4*100</f>
        <v>2</v>
      </c>
      <c r="E7">
        <v>1</v>
      </c>
      <c r="F7">
        <f>数值体验表!M4</f>
        <v>500</v>
      </c>
      <c r="G7">
        <f t="shared" si="0"/>
        <v>960</v>
      </c>
      <c r="H7">
        <v>10</v>
      </c>
    </row>
    <row r="8" spans="1:8">
      <c r="A8">
        <v>1</v>
      </c>
      <c r="B8">
        <v>1</v>
      </c>
      <c r="D8">
        <f>数值体验表!L5*100</f>
        <v>2</v>
      </c>
      <c r="E8">
        <v>1</v>
      </c>
      <c r="F8">
        <f>数值体验表!M5</f>
        <v>500</v>
      </c>
      <c r="G8">
        <f t="shared" si="0"/>
        <v>960</v>
      </c>
      <c r="H8">
        <v>10</v>
      </c>
    </row>
    <row r="9" spans="1:8">
      <c r="A9">
        <v>1</v>
      </c>
      <c r="B9">
        <v>1</v>
      </c>
      <c r="D9">
        <f>数值体验表!L6*100</f>
        <v>2</v>
      </c>
      <c r="E9">
        <v>1</v>
      </c>
      <c r="F9">
        <f>数值体验表!M6</f>
        <v>1000</v>
      </c>
      <c r="G9">
        <f t="shared" si="0"/>
        <v>960</v>
      </c>
      <c r="H9">
        <v>10</v>
      </c>
    </row>
    <row r="10" spans="1:8">
      <c r="A10">
        <v>1</v>
      </c>
      <c r="B10">
        <v>1</v>
      </c>
      <c r="D10">
        <f>数值体验表!L7*100</f>
        <v>4</v>
      </c>
      <c r="E10">
        <v>1</v>
      </c>
      <c r="F10">
        <f>数值体验表!M7</f>
        <v>500</v>
      </c>
      <c r="G10">
        <f t="shared" si="0"/>
        <v>960</v>
      </c>
      <c r="H10">
        <v>10</v>
      </c>
    </row>
    <row r="11" spans="1:8">
      <c r="A11">
        <v>1</v>
      </c>
      <c r="B11">
        <v>1</v>
      </c>
      <c r="D11">
        <f>数值体验表!L8*100</f>
        <v>6</v>
      </c>
      <c r="E11">
        <v>1</v>
      </c>
      <c r="F11">
        <f>数值体验表!M8</f>
        <v>500</v>
      </c>
      <c r="G11">
        <f t="shared" si="0"/>
        <v>960</v>
      </c>
      <c r="H11">
        <v>10</v>
      </c>
    </row>
    <row r="12" spans="1:8">
      <c r="A12">
        <v>1</v>
      </c>
      <c r="B12">
        <v>1</v>
      </c>
      <c r="D12">
        <f>数值体验表!L9*100</f>
        <v>8</v>
      </c>
      <c r="E12">
        <v>1</v>
      </c>
      <c r="F12">
        <f>数值体验表!M9</f>
        <v>200</v>
      </c>
      <c r="G12">
        <f t="shared" si="0"/>
        <v>960</v>
      </c>
      <c r="H12">
        <v>10</v>
      </c>
    </row>
    <row r="13" spans="1:8">
      <c r="A13">
        <v>1</v>
      </c>
      <c r="B13">
        <v>1</v>
      </c>
      <c r="D13">
        <f>数值体验表!L10*100</f>
        <v>10</v>
      </c>
      <c r="E13">
        <v>1</v>
      </c>
      <c r="F13">
        <f>数值体验表!M10</f>
        <v>100</v>
      </c>
      <c r="G13">
        <f t="shared" si="0"/>
        <v>960</v>
      </c>
      <c r="H13">
        <v>10</v>
      </c>
    </row>
    <row r="14" spans="1:8">
      <c r="A14">
        <v>2</v>
      </c>
      <c r="B14">
        <v>1</v>
      </c>
      <c r="D14">
        <f>数值体验表!L11*100</f>
        <v>500</v>
      </c>
      <c r="E14">
        <v>1</v>
      </c>
      <c r="F14">
        <f>数值体验表!M11</f>
        <v>0</v>
      </c>
      <c r="G14">
        <f t="shared" ref="G14:G22" si="1">60*60*3</f>
        <v>10800</v>
      </c>
      <c r="H14">
        <v>50</v>
      </c>
    </row>
    <row r="15" spans="1:8">
      <c r="A15">
        <v>2</v>
      </c>
      <c r="B15">
        <v>1</v>
      </c>
      <c r="D15">
        <f>数值体验表!L12*100</f>
        <v>5</v>
      </c>
      <c r="E15">
        <v>1</v>
      </c>
      <c r="F15">
        <f>数值体验表!M12</f>
        <v>5000</v>
      </c>
      <c r="G15">
        <f t="shared" si="1"/>
        <v>10800</v>
      </c>
      <c r="H15">
        <v>50</v>
      </c>
    </row>
    <row r="16" spans="1:8">
      <c r="A16">
        <v>2</v>
      </c>
      <c r="B16">
        <v>1</v>
      </c>
      <c r="D16">
        <f>数值体验表!L13*100</f>
        <v>10</v>
      </c>
      <c r="E16">
        <v>1</v>
      </c>
      <c r="F16">
        <f>数值体验表!M13</f>
        <v>500</v>
      </c>
      <c r="G16">
        <f t="shared" si="1"/>
        <v>10800</v>
      </c>
      <c r="H16">
        <v>50</v>
      </c>
    </row>
    <row r="17" spans="1:8">
      <c r="A17">
        <v>2</v>
      </c>
      <c r="B17">
        <v>1</v>
      </c>
      <c r="D17">
        <f>数值体验表!L14*100</f>
        <v>10</v>
      </c>
      <c r="E17">
        <v>1</v>
      </c>
      <c r="F17">
        <f>数值体验表!M14</f>
        <v>500</v>
      </c>
      <c r="G17">
        <f t="shared" si="1"/>
        <v>10800</v>
      </c>
      <c r="H17">
        <v>50</v>
      </c>
    </row>
    <row r="18" spans="1:8">
      <c r="A18">
        <v>2</v>
      </c>
      <c r="B18">
        <v>1</v>
      </c>
      <c r="D18">
        <f>数值体验表!L15*100</f>
        <v>10</v>
      </c>
      <c r="E18">
        <v>1</v>
      </c>
      <c r="F18">
        <f>数值体验表!M15</f>
        <v>1000</v>
      </c>
      <c r="G18">
        <f t="shared" si="1"/>
        <v>10800</v>
      </c>
      <c r="H18">
        <v>50</v>
      </c>
    </row>
    <row r="19" spans="1:8">
      <c r="A19">
        <v>2</v>
      </c>
      <c r="B19">
        <v>1</v>
      </c>
      <c r="D19">
        <f>数值体验表!L16*100</f>
        <v>20</v>
      </c>
      <c r="E19">
        <v>1</v>
      </c>
      <c r="F19">
        <f>数值体验表!M16</f>
        <v>500</v>
      </c>
      <c r="G19">
        <f t="shared" si="1"/>
        <v>10800</v>
      </c>
      <c r="H19">
        <v>50</v>
      </c>
    </row>
    <row r="20" spans="1:8">
      <c r="A20">
        <v>2</v>
      </c>
      <c r="B20">
        <v>1</v>
      </c>
      <c r="D20">
        <f>数值体验表!L17*100</f>
        <v>30</v>
      </c>
      <c r="E20">
        <v>1</v>
      </c>
      <c r="F20">
        <f>数值体验表!M17</f>
        <v>500</v>
      </c>
      <c r="G20">
        <f t="shared" si="1"/>
        <v>10800</v>
      </c>
      <c r="H20">
        <v>50</v>
      </c>
    </row>
    <row r="21" spans="1:8">
      <c r="A21">
        <v>2</v>
      </c>
      <c r="B21">
        <v>1</v>
      </c>
      <c r="D21">
        <f>数值体验表!L18*100</f>
        <v>40</v>
      </c>
      <c r="E21">
        <v>1</v>
      </c>
      <c r="F21">
        <f>数值体验表!M18</f>
        <v>200</v>
      </c>
      <c r="G21">
        <f t="shared" si="1"/>
        <v>10800</v>
      </c>
      <c r="H21">
        <v>50</v>
      </c>
    </row>
    <row r="22" spans="1:8">
      <c r="A22">
        <v>2</v>
      </c>
      <c r="B22">
        <v>1</v>
      </c>
      <c r="D22">
        <f>数值体验表!L19*100</f>
        <v>50</v>
      </c>
      <c r="E22">
        <v>1</v>
      </c>
      <c r="F22">
        <f>数值体验表!M19</f>
        <v>100</v>
      </c>
      <c r="G22">
        <f t="shared" si="1"/>
        <v>10800</v>
      </c>
      <c r="H22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workbookViewId="0">
      <selection activeCell="O10" sqref="O10"/>
    </sheetView>
  </sheetViews>
  <sheetFormatPr defaultColWidth="9" defaultRowHeight="13.5"/>
  <cols>
    <col min="4" max="4" width="13.375" customWidth="1"/>
    <col min="5" max="5" width="17.125" customWidth="1"/>
  </cols>
  <sheetData>
    <row r="1" spans="1:11">
      <c r="A1" t="s">
        <v>15</v>
      </c>
      <c r="B1" t="s">
        <v>41</v>
      </c>
      <c r="C1" t="s">
        <v>26</v>
      </c>
      <c r="D1" t="s">
        <v>42</v>
      </c>
      <c r="E1" t="s">
        <v>28</v>
      </c>
      <c r="F1" t="s">
        <v>29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</row>
    <row r="2" spans="1:11">
      <c r="A2" t="s">
        <v>32</v>
      </c>
      <c r="B2" t="s">
        <v>32</v>
      </c>
      <c r="C2" t="s">
        <v>32</v>
      </c>
      <c r="D2" t="s">
        <v>32</v>
      </c>
      <c r="E2" t="s">
        <v>32</v>
      </c>
      <c r="F2" t="s">
        <v>32</v>
      </c>
      <c r="G2" t="s">
        <v>32</v>
      </c>
      <c r="H2" t="s">
        <v>48</v>
      </c>
      <c r="I2" t="s">
        <v>48</v>
      </c>
      <c r="J2" t="s">
        <v>48</v>
      </c>
      <c r="K2" t="s">
        <v>32</v>
      </c>
    </row>
    <row r="3" spans="1:11">
      <c r="A3" t="s">
        <v>34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</row>
    <row r="4" spans="1:11">
      <c r="A4" t="s">
        <v>36</v>
      </c>
      <c r="B4" t="s">
        <v>49</v>
      </c>
      <c r="C4" t="s">
        <v>37</v>
      </c>
      <c r="D4" t="s">
        <v>50</v>
      </c>
      <c r="E4" t="s">
        <v>51</v>
      </c>
      <c r="F4" t="s">
        <v>7</v>
      </c>
      <c r="G4" t="s">
        <v>52</v>
      </c>
      <c r="H4" t="s">
        <v>53</v>
      </c>
      <c r="I4" t="s">
        <v>54</v>
      </c>
      <c r="J4" t="s">
        <v>55</v>
      </c>
      <c r="K4" t="s">
        <v>11</v>
      </c>
    </row>
    <row r="5" spans="1:11">
      <c r="A5">
        <v>1</v>
      </c>
      <c r="B5">
        <v>1</v>
      </c>
      <c r="D5">
        <f>数值体验表!S2*100</f>
        <v>1000</v>
      </c>
      <c r="E5">
        <v>0</v>
      </c>
      <c r="F5">
        <f>数值体验表!T2</f>
        <v>100</v>
      </c>
      <c r="G5">
        <v>0</v>
      </c>
    </row>
    <row r="6" spans="1:11">
      <c r="A6">
        <v>1</v>
      </c>
      <c r="B6">
        <v>1</v>
      </c>
      <c r="D6">
        <f>数值体验表!S3*100</f>
        <v>150</v>
      </c>
      <c r="E6">
        <v>0</v>
      </c>
      <c r="F6">
        <f>数值体验表!T3</f>
        <v>2500</v>
      </c>
      <c r="G6">
        <v>0</v>
      </c>
    </row>
    <row r="7" spans="1:11">
      <c r="A7">
        <v>1</v>
      </c>
      <c r="B7">
        <v>1</v>
      </c>
      <c r="D7">
        <f>数值体验表!S4*100</f>
        <v>100</v>
      </c>
      <c r="E7">
        <v>0</v>
      </c>
      <c r="F7">
        <f>数值体验表!T4</f>
        <v>2000</v>
      </c>
      <c r="G7">
        <v>0</v>
      </c>
    </row>
    <row r="8" spans="1:11">
      <c r="A8">
        <v>1</v>
      </c>
      <c r="B8">
        <v>1</v>
      </c>
      <c r="D8">
        <f>数值体验表!S5*100</f>
        <v>150</v>
      </c>
      <c r="E8">
        <v>0</v>
      </c>
      <c r="F8">
        <f>数值体验表!T5</f>
        <v>2000</v>
      </c>
      <c r="G8">
        <v>0</v>
      </c>
    </row>
    <row r="9" spans="1:11">
      <c r="A9">
        <v>1</v>
      </c>
      <c r="B9">
        <v>1</v>
      </c>
      <c r="D9">
        <f>数值体验表!S6*100</f>
        <v>200</v>
      </c>
      <c r="E9">
        <v>0</v>
      </c>
      <c r="F9">
        <f>数值体验表!T6</f>
        <v>2500</v>
      </c>
      <c r="G9">
        <v>0</v>
      </c>
    </row>
    <row r="10" spans="1:11">
      <c r="A10">
        <v>1</v>
      </c>
      <c r="B10">
        <v>1</v>
      </c>
      <c r="D10">
        <f>数值体验表!S7*100</f>
        <v>50</v>
      </c>
      <c r="E10">
        <v>0</v>
      </c>
      <c r="F10">
        <f>数值体验表!T7</f>
        <v>2000</v>
      </c>
      <c r="G10">
        <v>0</v>
      </c>
    </row>
    <row r="11" spans="1:11">
      <c r="A11">
        <v>1</v>
      </c>
      <c r="B11">
        <v>1</v>
      </c>
      <c r="D11">
        <f>数值体验表!S8*100</f>
        <v>250</v>
      </c>
      <c r="E11">
        <v>0</v>
      </c>
      <c r="F11">
        <f>数值体验表!T8</f>
        <v>1500</v>
      </c>
      <c r="G11">
        <v>0</v>
      </c>
    </row>
    <row r="12" spans="1:11">
      <c r="A12">
        <v>1</v>
      </c>
      <c r="B12">
        <v>1</v>
      </c>
      <c r="D12">
        <f>数值体验表!S9*100</f>
        <v>150</v>
      </c>
      <c r="E12">
        <v>0</v>
      </c>
      <c r="F12">
        <f>数值体验表!T9</f>
        <v>2000</v>
      </c>
      <c r="G12">
        <v>0</v>
      </c>
    </row>
    <row r="13" spans="1:11">
      <c r="A13">
        <v>1</v>
      </c>
      <c r="B13">
        <v>1</v>
      </c>
      <c r="D13">
        <f>数值体验表!S10*100</f>
        <v>200</v>
      </c>
      <c r="E13">
        <v>0</v>
      </c>
      <c r="F13">
        <f>数值体验表!T10</f>
        <v>2500</v>
      </c>
      <c r="G13">
        <v>0</v>
      </c>
    </row>
    <row r="14" spans="1:11">
      <c r="A14">
        <v>1</v>
      </c>
      <c r="B14">
        <v>1</v>
      </c>
      <c r="D14">
        <f>数值体验表!S11*100</f>
        <v>50</v>
      </c>
      <c r="E14">
        <v>0</v>
      </c>
      <c r="F14">
        <f>数值体验表!T11</f>
        <v>2000</v>
      </c>
      <c r="G14">
        <v>0</v>
      </c>
    </row>
    <row r="15" spans="1:11">
      <c r="A15">
        <v>1</v>
      </c>
      <c r="B15">
        <v>1</v>
      </c>
      <c r="D15">
        <f>数值体验表!S12*100</f>
        <v>300</v>
      </c>
      <c r="E15">
        <v>0</v>
      </c>
      <c r="F15">
        <f>数值体验表!T12</f>
        <v>1000</v>
      </c>
      <c r="G15">
        <v>0</v>
      </c>
    </row>
    <row r="16" spans="1:11">
      <c r="A16">
        <v>1</v>
      </c>
      <c r="B16">
        <v>1</v>
      </c>
      <c r="D16">
        <f>数值体验表!S13*100</f>
        <v>150</v>
      </c>
      <c r="E16">
        <v>0</v>
      </c>
      <c r="F16">
        <f>数值体验表!T13</f>
        <v>2500</v>
      </c>
      <c r="G16">
        <v>0</v>
      </c>
    </row>
    <row r="17" spans="1:11">
      <c r="A17">
        <v>1</v>
      </c>
      <c r="B17">
        <v>1</v>
      </c>
      <c r="D17">
        <f>数值体验表!S14*100</f>
        <v>50</v>
      </c>
      <c r="E17">
        <v>0</v>
      </c>
      <c r="F17">
        <f>数值体验表!T14</f>
        <v>2000</v>
      </c>
      <c r="G17">
        <v>0</v>
      </c>
    </row>
    <row r="18" spans="1:11">
      <c r="A18">
        <v>1</v>
      </c>
      <c r="B18">
        <v>1</v>
      </c>
      <c r="D18">
        <f>数值体验表!S15*100</f>
        <v>500</v>
      </c>
      <c r="E18">
        <v>0</v>
      </c>
      <c r="F18">
        <f>数值体验表!T15</f>
        <v>200</v>
      </c>
      <c r="G18">
        <v>0</v>
      </c>
    </row>
    <row r="19" spans="1:11">
      <c r="A19">
        <v>1</v>
      </c>
      <c r="B19">
        <v>2</v>
      </c>
      <c r="D19">
        <f>数值体验表!S16*100</f>
        <v>5000</v>
      </c>
      <c r="E19">
        <v>0</v>
      </c>
      <c r="F19">
        <f>数值体验表!T16</f>
        <v>100</v>
      </c>
      <c r="G19">
        <v>1</v>
      </c>
      <c r="H19" t="s">
        <v>56</v>
      </c>
      <c r="I19" t="s">
        <v>57</v>
      </c>
      <c r="J19" t="s">
        <v>58</v>
      </c>
      <c r="K19">
        <v>399</v>
      </c>
    </row>
    <row r="20" spans="1:11">
      <c r="A20">
        <v>1</v>
      </c>
      <c r="B20">
        <v>2</v>
      </c>
      <c r="D20">
        <f>数值体验表!S17*100</f>
        <v>750</v>
      </c>
      <c r="E20">
        <v>0</v>
      </c>
      <c r="F20">
        <f>数值体验表!T17</f>
        <v>2500</v>
      </c>
      <c r="G20">
        <v>1</v>
      </c>
      <c r="H20" t="s">
        <v>56</v>
      </c>
      <c r="I20" t="s">
        <v>57</v>
      </c>
      <c r="J20" t="s">
        <v>58</v>
      </c>
      <c r="K20">
        <v>399</v>
      </c>
    </row>
    <row r="21" spans="1:11">
      <c r="A21">
        <v>1</v>
      </c>
      <c r="B21">
        <v>2</v>
      </c>
      <c r="D21">
        <f>数值体验表!S18*100</f>
        <v>500</v>
      </c>
      <c r="E21">
        <v>0</v>
      </c>
      <c r="F21">
        <f>数值体验表!T18</f>
        <v>2000</v>
      </c>
      <c r="G21">
        <v>1</v>
      </c>
      <c r="H21" t="s">
        <v>56</v>
      </c>
      <c r="I21" t="s">
        <v>57</v>
      </c>
      <c r="J21" t="s">
        <v>58</v>
      </c>
      <c r="K21">
        <v>399</v>
      </c>
    </row>
    <row r="22" spans="1:11">
      <c r="A22">
        <v>1</v>
      </c>
      <c r="B22">
        <v>2</v>
      </c>
      <c r="D22">
        <f>数值体验表!S19*100</f>
        <v>750</v>
      </c>
      <c r="E22">
        <v>0</v>
      </c>
      <c r="F22">
        <f>数值体验表!T19</f>
        <v>2000</v>
      </c>
      <c r="G22">
        <v>1</v>
      </c>
      <c r="H22" t="s">
        <v>56</v>
      </c>
      <c r="I22" t="s">
        <v>57</v>
      </c>
      <c r="J22" t="s">
        <v>58</v>
      </c>
      <c r="K22">
        <v>399</v>
      </c>
    </row>
    <row r="23" spans="1:11">
      <c r="A23">
        <v>1</v>
      </c>
      <c r="B23">
        <v>2</v>
      </c>
      <c r="D23">
        <f>数值体验表!S20*100</f>
        <v>1000</v>
      </c>
      <c r="E23">
        <v>0</v>
      </c>
      <c r="F23">
        <f>数值体验表!T20</f>
        <v>2500</v>
      </c>
      <c r="G23">
        <v>1</v>
      </c>
      <c r="H23" t="s">
        <v>56</v>
      </c>
      <c r="I23" t="s">
        <v>57</v>
      </c>
      <c r="J23" t="s">
        <v>58</v>
      </c>
      <c r="K23">
        <v>399</v>
      </c>
    </row>
    <row r="24" spans="1:11">
      <c r="A24">
        <v>1</v>
      </c>
      <c r="B24">
        <v>2</v>
      </c>
      <c r="D24">
        <f>数值体验表!S21*100</f>
        <v>250</v>
      </c>
      <c r="E24">
        <v>0</v>
      </c>
      <c r="F24">
        <f>数值体验表!T21</f>
        <v>2000</v>
      </c>
      <c r="G24">
        <v>1</v>
      </c>
      <c r="H24" t="s">
        <v>56</v>
      </c>
      <c r="I24" t="s">
        <v>57</v>
      </c>
      <c r="J24" t="s">
        <v>58</v>
      </c>
      <c r="K24">
        <v>399</v>
      </c>
    </row>
    <row r="25" spans="1:11">
      <c r="A25">
        <v>1</v>
      </c>
      <c r="B25">
        <v>2</v>
      </c>
      <c r="D25">
        <f>数值体验表!S22*100</f>
        <v>1250</v>
      </c>
      <c r="E25">
        <v>0</v>
      </c>
      <c r="F25">
        <f>数值体验表!T22</f>
        <v>1500</v>
      </c>
      <c r="G25">
        <v>1</v>
      </c>
      <c r="H25" t="s">
        <v>56</v>
      </c>
      <c r="I25" t="s">
        <v>57</v>
      </c>
      <c r="J25" t="s">
        <v>58</v>
      </c>
      <c r="K25">
        <v>399</v>
      </c>
    </row>
    <row r="26" spans="1:11">
      <c r="A26">
        <v>1</v>
      </c>
      <c r="B26">
        <v>2</v>
      </c>
      <c r="D26">
        <f>数值体验表!S23*100</f>
        <v>750</v>
      </c>
      <c r="E26">
        <v>0</v>
      </c>
      <c r="F26">
        <f>数值体验表!T23</f>
        <v>2000</v>
      </c>
      <c r="G26">
        <v>1</v>
      </c>
      <c r="H26" t="s">
        <v>56</v>
      </c>
      <c r="I26" t="s">
        <v>57</v>
      </c>
      <c r="J26" t="s">
        <v>58</v>
      </c>
      <c r="K26">
        <v>399</v>
      </c>
    </row>
    <row r="27" spans="1:11">
      <c r="A27">
        <v>1</v>
      </c>
      <c r="B27">
        <v>2</v>
      </c>
      <c r="D27">
        <f>数值体验表!S24*100</f>
        <v>1000</v>
      </c>
      <c r="E27">
        <v>0</v>
      </c>
      <c r="F27">
        <f>数值体验表!T24</f>
        <v>2500</v>
      </c>
      <c r="G27">
        <v>1</v>
      </c>
      <c r="H27" t="s">
        <v>56</v>
      </c>
      <c r="I27" t="s">
        <v>57</v>
      </c>
      <c r="J27" t="s">
        <v>58</v>
      </c>
      <c r="K27">
        <v>399</v>
      </c>
    </row>
    <row r="28" spans="1:11">
      <c r="A28">
        <v>1</v>
      </c>
      <c r="B28">
        <v>2</v>
      </c>
      <c r="D28">
        <f>数值体验表!S25*100</f>
        <v>250</v>
      </c>
      <c r="E28">
        <v>0</v>
      </c>
      <c r="F28">
        <f>数值体验表!T25</f>
        <v>2000</v>
      </c>
      <c r="G28">
        <v>1</v>
      </c>
      <c r="H28" t="s">
        <v>56</v>
      </c>
      <c r="I28" t="s">
        <v>57</v>
      </c>
      <c r="J28" t="s">
        <v>58</v>
      </c>
      <c r="K28">
        <v>399</v>
      </c>
    </row>
    <row r="29" spans="1:11">
      <c r="A29">
        <v>1</v>
      </c>
      <c r="B29">
        <v>2</v>
      </c>
      <c r="D29">
        <f>数值体验表!S26*100</f>
        <v>1500</v>
      </c>
      <c r="E29">
        <v>0</v>
      </c>
      <c r="F29">
        <f>数值体验表!T26</f>
        <v>1000</v>
      </c>
      <c r="G29">
        <v>1</v>
      </c>
      <c r="H29" t="s">
        <v>56</v>
      </c>
      <c r="I29" t="s">
        <v>57</v>
      </c>
      <c r="J29" t="s">
        <v>58</v>
      </c>
      <c r="K29">
        <v>399</v>
      </c>
    </row>
    <row r="30" spans="1:11">
      <c r="A30">
        <v>1</v>
      </c>
      <c r="B30">
        <v>2</v>
      </c>
      <c r="D30">
        <f>数值体验表!S27*100</f>
        <v>750</v>
      </c>
      <c r="E30">
        <v>0</v>
      </c>
      <c r="F30">
        <f>数值体验表!T27</f>
        <v>2500</v>
      </c>
      <c r="G30">
        <v>1</v>
      </c>
      <c r="H30" t="s">
        <v>56</v>
      </c>
      <c r="I30" t="s">
        <v>57</v>
      </c>
      <c r="J30" t="s">
        <v>58</v>
      </c>
      <c r="K30">
        <v>399</v>
      </c>
    </row>
    <row r="31" spans="1:11">
      <c r="A31">
        <v>1</v>
      </c>
      <c r="B31">
        <v>2</v>
      </c>
      <c r="D31">
        <f>数值体验表!S28*100</f>
        <v>250</v>
      </c>
      <c r="E31">
        <v>0</v>
      </c>
      <c r="F31">
        <f>数值体验表!T28</f>
        <v>2000</v>
      </c>
      <c r="G31">
        <v>1</v>
      </c>
      <c r="H31" t="s">
        <v>56</v>
      </c>
      <c r="I31" t="s">
        <v>57</v>
      </c>
      <c r="J31" t="s">
        <v>58</v>
      </c>
      <c r="K31">
        <v>399</v>
      </c>
    </row>
    <row r="32" spans="1:11">
      <c r="A32">
        <v>1</v>
      </c>
      <c r="B32">
        <v>2</v>
      </c>
      <c r="D32">
        <f>数值体验表!S29</f>
        <v>25</v>
      </c>
      <c r="E32">
        <v>0</v>
      </c>
      <c r="F32">
        <f>数值体验表!T29</f>
        <v>200</v>
      </c>
      <c r="G32">
        <v>1</v>
      </c>
      <c r="H32" t="s">
        <v>56</v>
      </c>
      <c r="I32" t="s">
        <v>57</v>
      </c>
      <c r="J32" t="s">
        <v>58</v>
      </c>
      <c r="K32">
        <v>399</v>
      </c>
    </row>
    <row r="33" spans="1:11">
      <c r="A33">
        <v>1</v>
      </c>
      <c r="B33">
        <v>2</v>
      </c>
      <c r="D33">
        <f>D19</f>
        <v>5000</v>
      </c>
      <c r="E33">
        <v>0</v>
      </c>
      <c r="F33">
        <f>F19</f>
        <v>100</v>
      </c>
      <c r="G33">
        <v>2</v>
      </c>
      <c r="H33" t="s">
        <v>59</v>
      </c>
      <c r="I33" t="s">
        <v>60</v>
      </c>
      <c r="J33" t="s">
        <v>61</v>
      </c>
      <c r="K33">
        <v>599</v>
      </c>
    </row>
    <row r="34" spans="1:11">
      <c r="A34">
        <v>1</v>
      </c>
      <c r="B34">
        <v>2</v>
      </c>
      <c r="D34">
        <f t="shared" ref="D34:D46" si="0">D20</f>
        <v>750</v>
      </c>
      <c r="E34">
        <v>0</v>
      </c>
      <c r="F34">
        <f t="shared" ref="F34:F46" si="1">F20</f>
        <v>2500</v>
      </c>
      <c r="G34">
        <v>2</v>
      </c>
      <c r="H34" t="s">
        <v>59</v>
      </c>
      <c r="I34" t="s">
        <v>60</v>
      </c>
      <c r="J34" t="s">
        <v>61</v>
      </c>
      <c r="K34">
        <v>599</v>
      </c>
    </row>
    <row r="35" spans="1:11">
      <c r="A35">
        <v>1</v>
      </c>
      <c r="B35">
        <v>2</v>
      </c>
      <c r="D35">
        <f t="shared" si="0"/>
        <v>500</v>
      </c>
      <c r="E35">
        <v>0</v>
      </c>
      <c r="F35">
        <f t="shared" si="1"/>
        <v>2000</v>
      </c>
      <c r="G35">
        <v>2</v>
      </c>
      <c r="H35" t="s">
        <v>59</v>
      </c>
      <c r="I35" t="s">
        <v>60</v>
      </c>
      <c r="J35" t="s">
        <v>61</v>
      </c>
      <c r="K35">
        <v>599</v>
      </c>
    </row>
    <row r="36" spans="1:11">
      <c r="A36">
        <v>1</v>
      </c>
      <c r="B36">
        <v>2</v>
      </c>
      <c r="D36">
        <f t="shared" si="0"/>
        <v>750</v>
      </c>
      <c r="E36">
        <v>0</v>
      </c>
      <c r="F36">
        <f t="shared" si="1"/>
        <v>2000</v>
      </c>
      <c r="G36">
        <v>2</v>
      </c>
      <c r="H36" t="s">
        <v>59</v>
      </c>
      <c r="I36" t="s">
        <v>60</v>
      </c>
      <c r="J36" t="s">
        <v>61</v>
      </c>
      <c r="K36">
        <v>599</v>
      </c>
    </row>
    <row r="37" spans="1:11">
      <c r="A37">
        <v>1</v>
      </c>
      <c r="B37">
        <v>2</v>
      </c>
      <c r="D37">
        <f t="shared" si="0"/>
        <v>1000</v>
      </c>
      <c r="E37">
        <v>0</v>
      </c>
      <c r="F37">
        <f t="shared" si="1"/>
        <v>2500</v>
      </c>
      <c r="G37">
        <v>2</v>
      </c>
      <c r="H37" t="s">
        <v>59</v>
      </c>
      <c r="I37" t="s">
        <v>60</v>
      </c>
      <c r="J37" t="s">
        <v>61</v>
      </c>
      <c r="K37">
        <v>599</v>
      </c>
    </row>
    <row r="38" spans="1:11">
      <c r="A38">
        <v>1</v>
      </c>
      <c r="B38">
        <v>2</v>
      </c>
      <c r="D38">
        <f t="shared" si="0"/>
        <v>250</v>
      </c>
      <c r="E38">
        <v>0</v>
      </c>
      <c r="F38">
        <f t="shared" si="1"/>
        <v>2000</v>
      </c>
      <c r="G38">
        <v>2</v>
      </c>
      <c r="H38" t="s">
        <v>59</v>
      </c>
      <c r="I38" t="s">
        <v>60</v>
      </c>
      <c r="J38" t="s">
        <v>61</v>
      </c>
      <c r="K38">
        <v>599</v>
      </c>
    </row>
    <row r="39" spans="1:11">
      <c r="A39">
        <v>1</v>
      </c>
      <c r="B39">
        <v>2</v>
      </c>
      <c r="D39">
        <f t="shared" si="0"/>
        <v>1250</v>
      </c>
      <c r="E39">
        <v>0</v>
      </c>
      <c r="F39">
        <f t="shared" si="1"/>
        <v>1500</v>
      </c>
      <c r="G39">
        <v>2</v>
      </c>
      <c r="H39" t="s">
        <v>59</v>
      </c>
      <c r="I39" t="s">
        <v>60</v>
      </c>
      <c r="J39" t="s">
        <v>61</v>
      </c>
      <c r="K39">
        <v>599</v>
      </c>
    </row>
    <row r="40" spans="1:11">
      <c r="A40">
        <v>1</v>
      </c>
      <c r="B40">
        <v>2</v>
      </c>
      <c r="D40">
        <f t="shared" si="0"/>
        <v>750</v>
      </c>
      <c r="E40">
        <v>0</v>
      </c>
      <c r="F40">
        <f t="shared" si="1"/>
        <v>2000</v>
      </c>
      <c r="G40">
        <v>2</v>
      </c>
      <c r="H40" t="s">
        <v>59</v>
      </c>
      <c r="I40" t="s">
        <v>60</v>
      </c>
      <c r="J40" t="s">
        <v>61</v>
      </c>
      <c r="K40">
        <v>599</v>
      </c>
    </row>
    <row r="41" spans="1:11">
      <c r="A41">
        <v>1</v>
      </c>
      <c r="B41">
        <v>2</v>
      </c>
      <c r="D41">
        <f t="shared" si="0"/>
        <v>1000</v>
      </c>
      <c r="E41">
        <v>0</v>
      </c>
      <c r="F41">
        <f t="shared" si="1"/>
        <v>2500</v>
      </c>
      <c r="G41">
        <v>2</v>
      </c>
      <c r="H41" t="s">
        <v>59</v>
      </c>
      <c r="I41" t="s">
        <v>60</v>
      </c>
      <c r="J41" t="s">
        <v>61</v>
      </c>
      <c r="K41">
        <v>599</v>
      </c>
    </row>
    <row r="42" spans="1:11">
      <c r="A42">
        <v>1</v>
      </c>
      <c r="B42">
        <v>2</v>
      </c>
      <c r="D42">
        <f t="shared" si="0"/>
        <v>250</v>
      </c>
      <c r="E42">
        <v>0</v>
      </c>
      <c r="F42">
        <f t="shared" si="1"/>
        <v>2000</v>
      </c>
      <c r="G42">
        <v>2</v>
      </c>
      <c r="H42" t="s">
        <v>59</v>
      </c>
      <c r="I42" t="s">
        <v>60</v>
      </c>
      <c r="J42" t="s">
        <v>61</v>
      </c>
      <c r="K42">
        <v>599</v>
      </c>
    </row>
    <row r="43" spans="1:11">
      <c r="A43">
        <v>1</v>
      </c>
      <c r="B43">
        <v>2</v>
      </c>
      <c r="D43">
        <f t="shared" si="0"/>
        <v>1500</v>
      </c>
      <c r="E43">
        <v>0</v>
      </c>
      <c r="F43">
        <f t="shared" si="1"/>
        <v>1000</v>
      </c>
      <c r="G43">
        <v>2</v>
      </c>
      <c r="H43" t="s">
        <v>59</v>
      </c>
      <c r="I43" t="s">
        <v>60</v>
      </c>
      <c r="J43" t="s">
        <v>61</v>
      </c>
      <c r="K43">
        <v>599</v>
      </c>
    </row>
    <row r="44" spans="1:11">
      <c r="A44">
        <v>1</v>
      </c>
      <c r="B44">
        <v>2</v>
      </c>
      <c r="D44">
        <f t="shared" si="0"/>
        <v>750</v>
      </c>
      <c r="E44">
        <v>0</v>
      </c>
      <c r="F44">
        <f t="shared" si="1"/>
        <v>2500</v>
      </c>
      <c r="G44">
        <v>2</v>
      </c>
      <c r="H44" t="s">
        <v>59</v>
      </c>
      <c r="I44" t="s">
        <v>60</v>
      </c>
      <c r="J44" t="s">
        <v>61</v>
      </c>
      <c r="K44">
        <v>599</v>
      </c>
    </row>
    <row r="45" spans="1:11">
      <c r="A45">
        <v>1</v>
      </c>
      <c r="B45">
        <v>2</v>
      </c>
      <c r="D45">
        <f t="shared" si="0"/>
        <v>250</v>
      </c>
      <c r="E45">
        <v>0</v>
      </c>
      <c r="F45">
        <f t="shared" si="1"/>
        <v>2000</v>
      </c>
      <c r="G45">
        <v>2</v>
      </c>
      <c r="H45" t="s">
        <v>59</v>
      </c>
      <c r="I45" t="s">
        <v>60</v>
      </c>
      <c r="J45" t="s">
        <v>61</v>
      </c>
      <c r="K45">
        <v>599</v>
      </c>
    </row>
    <row r="46" spans="1:11">
      <c r="A46">
        <v>1</v>
      </c>
      <c r="B46">
        <v>2</v>
      </c>
      <c r="D46">
        <f t="shared" si="0"/>
        <v>25</v>
      </c>
      <c r="E46">
        <v>0</v>
      </c>
      <c r="F46">
        <f t="shared" si="1"/>
        <v>200</v>
      </c>
      <c r="G46">
        <v>2</v>
      </c>
      <c r="H46" t="s">
        <v>59</v>
      </c>
      <c r="I46" t="s">
        <v>60</v>
      </c>
      <c r="J46" t="s">
        <v>61</v>
      </c>
      <c r="K46">
        <v>599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G22" sqref="G22"/>
    </sheetView>
  </sheetViews>
  <sheetFormatPr defaultColWidth="9" defaultRowHeight="13.5" outlineLevelCol="2"/>
  <sheetData>
    <row r="1" spans="1:3">
      <c r="A1" t="s">
        <v>15</v>
      </c>
      <c r="B1" t="s">
        <v>62</v>
      </c>
      <c r="C1" t="s">
        <v>63</v>
      </c>
    </row>
    <row r="2" spans="1:3">
      <c r="A2" t="s">
        <v>32</v>
      </c>
      <c r="B2" t="s">
        <v>32</v>
      </c>
      <c r="C2" t="s">
        <v>32</v>
      </c>
    </row>
    <row r="3" spans="1:3">
      <c r="A3" t="s">
        <v>34</v>
      </c>
      <c r="B3" t="s">
        <v>34</v>
      </c>
      <c r="C3" t="s">
        <v>34</v>
      </c>
    </row>
    <row r="4" spans="1:3">
      <c r="A4" t="s">
        <v>36</v>
      </c>
      <c r="B4" t="s">
        <v>10</v>
      </c>
      <c r="C4" t="s">
        <v>2</v>
      </c>
    </row>
    <row r="5" spans="1:3">
      <c r="A5">
        <v>1</v>
      </c>
      <c r="B5">
        <v>1</v>
      </c>
      <c r="C5">
        <v>0</v>
      </c>
    </row>
    <row r="6" spans="1:3">
      <c r="A6">
        <v>1</v>
      </c>
      <c r="B6">
        <v>2</v>
      </c>
      <c r="C6">
        <v>50</v>
      </c>
    </row>
    <row r="7" spans="1:3">
      <c r="A7">
        <v>1</v>
      </c>
      <c r="B7">
        <v>3</v>
      </c>
      <c r="C7">
        <v>200</v>
      </c>
    </row>
    <row r="8" spans="1:3">
      <c r="A8">
        <v>1</v>
      </c>
      <c r="B8">
        <v>4</v>
      </c>
      <c r="C8">
        <v>500</v>
      </c>
    </row>
    <row r="9" spans="1:3">
      <c r="A9">
        <v>1</v>
      </c>
      <c r="B9">
        <v>5</v>
      </c>
      <c r="C9">
        <v>1000</v>
      </c>
    </row>
    <row r="10" spans="1:3">
      <c r="A10">
        <v>1</v>
      </c>
      <c r="B10">
        <v>10</v>
      </c>
      <c r="C10">
        <v>2000</v>
      </c>
    </row>
    <row r="11" spans="1:3">
      <c r="A11">
        <v>2</v>
      </c>
      <c r="B11">
        <v>1</v>
      </c>
      <c r="C11">
        <v>0</v>
      </c>
    </row>
    <row r="12" spans="1:3">
      <c r="A12">
        <v>2</v>
      </c>
      <c r="B12">
        <v>2</v>
      </c>
      <c r="C12">
        <v>25</v>
      </c>
    </row>
    <row r="13" spans="1:3">
      <c r="A13">
        <v>2</v>
      </c>
      <c r="B13">
        <v>3</v>
      </c>
      <c r="C13">
        <v>100</v>
      </c>
    </row>
    <row r="14" spans="1:3">
      <c r="A14">
        <v>2</v>
      </c>
      <c r="B14">
        <v>4</v>
      </c>
      <c r="C14">
        <v>250</v>
      </c>
    </row>
    <row r="15" spans="1:3">
      <c r="A15">
        <v>2</v>
      </c>
      <c r="B15">
        <v>5</v>
      </c>
      <c r="C15">
        <v>500</v>
      </c>
    </row>
    <row r="16" spans="1:3">
      <c r="A16">
        <v>2</v>
      </c>
      <c r="B16">
        <v>10</v>
      </c>
      <c r="C16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数值体验表</vt:lpstr>
      <vt:lpstr>FreeBonusHourly</vt:lpstr>
      <vt:lpstr>FreeBonusWheel</vt:lpstr>
      <vt:lpstr>FreeBonusMultiplier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企业用户_244823163</cp:lastModifiedBy>
  <dcterms:created xsi:type="dcterms:W3CDTF">2023-05-12T11:15:00Z</dcterms:created>
  <dcterms:modified xsi:type="dcterms:W3CDTF">2026-06-11T06:26:07Z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5531C9FC20C54B60AFD4B11F0FD52EB5_12</vt:lpwstr>
  </property>
  <property fmtid="{D5CDD505-2E9C-101B-9397-08002B2CF9AE}" pid="4" name="CalculationRule">
    <vt:i4>0</vt:i4>
  </property>
</Properties>
</file>