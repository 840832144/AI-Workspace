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<sst xmlns="http://schemas.openxmlformats.org/spreadsheetml/2006/main" count="106" uniqueCount="43">
  <si>
    <t>levelId</t>
  </si>
  <si>
    <t>highroller</t>
  </si>
  <si>
    <t>clubPoint</t>
  </si>
  <si>
    <t>clubPointPercent</t>
  </si>
  <si>
    <t>levelExp</t>
  </si>
  <si>
    <t>bet2</t>
  </si>
  <si>
    <t>bet3</t>
  </si>
  <si>
    <t>bet33</t>
  </si>
  <si>
    <t>bet9</t>
  </si>
  <si>
    <t>bet35</t>
  </si>
  <si>
    <t>dropNumMin</t>
  </si>
  <si>
    <t>dropNumMax</t>
  </si>
  <si>
    <t>dropRangeMin</t>
  </si>
  <si>
    <t>dropRangeMax</t>
  </si>
  <si>
    <t>dropMulti</t>
  </si>
  <si>
    <t>eventOpen</t>
  </si>
  <si>
    <t>dropProb</t>
  </si>
  <si>
    <t>int_key</t>
  </si>
  <si>
    <t>int</t>
  </si>
  <si>
    <t>long</t>
  </si>
  <si>
    <t>s</t>
  </si>
  <si>
    <t>bet等级</t>
  </si>
  <si>
    <t>是否HighRoller（1是high roller；0普通非high roller  2 普通和high roller共用）</t>
  </si>
  <si>
    <t>赠送俱乐部会员积分</t>
  </si>
  <si>
    <t>赠送俱乐部会员进度百分比，除以100</t>
  </si>
  <si>
    <t>等级经验</t>
  </si>
  <si>
    <t>2倍数制_1</t>
  </si>
  <si>
    <t>3倍数制_1.5</t>
  </si>
  <si>
    <t>33倍数制_1.65</t>
  </si>
  <si>
    <t>9倍数制_0.9</t>
  </si>
  <si>
    <t>35倍数制_1.75</t>
  </si>
  <si>
    <t>掉落数量最小值</t>
  </si>
  <si>
    <t>掉落数量最大值</t>
  </si>
  <si>
    <t>单个掉落最小值，作废，查ChampionShipCheatSheet</t>
  </si>
  <si>
    <t>单个掉落最大值，作废，查ChampionShipCheatSheet</t>
  </si>
  <si>
    <t>掉落倍率，作废，查ChampionShipCheatSheet</t>
  </si>
  <si>
    <t>是否解锁活动</t>
  </si>
  <si>
    <t>掉落概率，百分比</t>
  </si>
  <si>
    <t>龙机器</t>
  </si>
  <si>
    <t>higgs</t>
  </si>
  <si>
    <t>档位</t>
  </si>
  <si>
    <t>底注翻倍</t>
  </si>
  <si>
    <t>美金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</si>
</sst>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/>
    <xf numFmtId="177" fontId="0" fillId="0" borderId="0" xfId="0" applyNumberFormat="1" applyAlignment="1">
      <alignment wrapText="1"/>
    </xf>
    <xf numFmtId="176" fontId="0" fillId="0" borderId="1" xfId="0" applyNumberFormat="1" applyBorder="1" applyAlignment="1"/>
    <xf numFmtId="0" fontId="0" fillId="0" borderId="0" xfId="0" applyAlignment="1">
      <alignment vertical="center" wrapText="1"/>
    </xf>
    <xf numFmtId="177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zoomScale="115" zoomScaleNormal="115" workbookViewId="0">
      <selection activeCell="G10" sqref="G10"/>
    </sheetView>
  </sheetViews>
  <sheetFormatPr defaultColWidth="9" defaultRowHeight="13.5"/>
  <cols>
    <col min="1" max="1" width="10.4" customWidth="1"/>
    <col min="2" max="2" width="13.7333333333333" customWidth="1"/>
    <col min="3" max="3" width="9.8" customWidth="1"/>
    <col min="4" max="4" width="12.0666666666667" customWidth="1"/>
    <col min="5" max="5" width="9.4" style="4" customWidth="1"/>
    <col min="6" max="8" width="17.1333333333333" customWidth="1"/>
    <col min="9" max="9" width="17.125" customWidth="1"/>
    <col min="10" max="10" width="17.1333333333333" customWidth="1"/>
    <col min="11" max="12" width="15" customWidth="1"/>
    <col min="13" max="14" width="9.53333333333333" customWidth="1"/>
    <col min="15" max="15" width="13.6" style="5" customWidth="1"/>
    <col min="16" max="16" width="12.8666666666667" customWidth="1"/>
    <col min="17" max="17" width="17.1333333333333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14</v>
      </c>
      <c r="P1" t="s">
        <v>15</v>
      </c>
      <c r="Q1" t="s">
        <v>16</v>
      </c>
    </row>
    <row r="2" spans="1:17">
      <c r="A2" s="7" t="s">
        <v>17</v>
      </c>
      <c r="B2" s="7" t="s">
        <v>18</v>
      </c>
      <c r="C2" s="7" t="s">
        <v>19</v>
      </c>
      <c r="D2" s="7" t="s">
        <v>19</v>
      </c>
      <c r="E2" s="6" t="s">
        <v>19</v>
      </c>
      <c r="F2" s="7" t="s">
        <v>19</v>
      </c>
      <c r="G2" s="7" t="s">
        <v>19</v>
      </c>
      <c r="H2" s="7" t="s">
        <v>19</v>
      </c>
      <c r="I2" s="5" t="s">
        <v>19</v>
      </c>
      <c r="J2" s="5" t="s">
        <v>19</v>
      </c>
      <c r="K2" t="s">
        <v>18</v>
      </c>
      <c r="L2" t="s">
        <v>18</v>
      </c>
      <c r="M2" t="s">
        <v>18</v>
      </c>
      <c r="N2" t="s">
        <v>18</v>
      </c>
      <c r="O2" s="5" t="s">
        <v>18</v>
      </c>
      <c r="P2" t="s">
        <v>18</v>
      </c>
      <c r="Q2" t="s">
        <v>18</v>
      </c>
    </row>
    <row r="3" spans="1:17">
      <c r="A3" s="7" t="s">
        <v>20</v>
      </c>
      <c r="B3" s="7" t="s">
        <v>20</v>
      </c>
      <c r="C3" s="7" t="s">
        <v>20</v>
      </c>
      <c r="D3" s="7" t="s">
        <v>20</v>
      </c>
      <c r="E3" s="6" t="s">
        <v>20</v>
      </c>
      <c r="F3" s="7" t="s">
        <v>20</v>
      </c>
      <c r="G3" s="7" t="s">
        <v>20</v>
      </c>
      <c r="H3" s="7" t="s">
        <v>20</v>
      </c>
      <c r="I3" s="5" t="s">
        <v>20</v>
      </c>
      <c r="J3" s="5" t="s">
        <v>20</v>
      </c>
      <c r="K3" t="s">
        <v>20</v>
      </c>
      <c r="L3" t="s">
        <v>20</v>
      </c>
      <c r="M3" t="s">
        <v>20</v>
      </c>
      <c r="N3" t="s">
        <v>20</v>
      </c>
      <c r="O3" s="5" t="s">
        <v>20</v>
      </c>
      <c r="P3" t="s">
        <v>20</v>
      </c>
      <c r="Q3" t="s">
        <v>20</v>
      </c>
    </row>
    <row r="4" ht="94.5" spans="1:17">
      <c r="A4" s="8" t="s">
        <v>21</v>
      </c>
      <c r="B4" s="9" t="s">
        <v>22</v>
      </c>
      <c r="C4" s="9" t="s">
        <v>23</v>
      </c>
      <c r="D4" s="9" t="s">
        <v>24</v>
      </c>
      <c r="E4" s="10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t="s">
        <v>31</v>
      </c>
      <c r="L4" t="s">
        <v>32</v>
      </c>
      <c r="M4" s="11" t="s">
        <v>33</v>
      </c>
      <c r="N4" s="11" t="s">
        <v>34</v>
      </c>
      <c r="O4" s="12" t="s">
        <v>35</v>
      </c>
      <c r="P4" t="s">
        <v>36</v>
      </c>
      <c r="Q4" t="s">
        <v>37</v>
      </c>
    </row>
    <row r="5" spans="1:17">
      <c r="A5" s="8">
        <v>1</v>
      </c>
      <c r="B5">
        <v>2</v>
      </c>
      <c r="C5" s="8"/>
      <c r="D5" s="8"/>
      <c r="E5" s="10">
        <f>F5/10000</f>
        <v>1</v>
      </c>
      <c r="F5" s="8">
        <v>10000</v>
      </c>
      <c r="G5" s="8">
        <f>F5*1.5</f>
        <v>15000</v>
      </c>
      <c r="H5" s="8">
        <f>F5*1.65</f>
        <v>16500</v>
      </c>
      <c r="I5" s="8">
        <f>F5*0.9</f>
        <v>9000</v>
      </c>
      <c r="J5" s="8">
        <f>F5*1.75</f>
        <v>17500</v>
      </c>
      <c r="P5">
        <v>0</v>
      </c>
    </row>
    <row r="6" spans="1:17">
      <c r="A6" s="8">
        <v>2</v>
      </c>
      <c r="B6">
        <v>2</v>
      </c>
      <c r="C6" s="8"/>
      <c r="D6" s="8"/>
      <c r="E6" s="10">
        <f t="shared" ref="E6:E42" si="0">F6/10000</f>
        <v>3</v>
      </c>
      <c r="F6" s="8">
        <v>30000</v>
      </c>
      <c r="G6" s="8">
        <f t="shared" ref="G6:G31" si="1">F6*1.5</f>
        <v>45000</v>
      </c>
      <c r="H6" s="8">
        <f t="shared" ref="H6:H31" si="2">F6*1.65</f>
        <v>49500</v>
      </c>
      <c r="I6" s="8">
        <f t="shared" ref="I6:I31" si="3">F6*0.9</f>
        <v>27000</v>
      </c>
      <c r="J6" s="8">
        <f t="shared" ref="J6:J31" si="4">F6*1.75</f>
        <v>52500</v>
      </c>
      <c r="P6">
        <v>0</v>
      </c>
    </row>
    <row r="7" spans="1:17">
      <c r="A7" s="8">
        <v>3</v>
      </c>
      <c r="B7">
        <v>2</v>
      </c>
      <c r="C7" s="8"/>
      <c r="D7" s="8"/>
      <c r="E7" s="10">
        <f t="shared" si="0"/>
        <v>9</v>
      </c>
      <c r="F7" s="8">
        <v>90000</v>
      </c>
      <c r="G7" s="8">
        <f t="shared" si="1"/>
        <v>135000</v>
      </c>
      <c r="H7" s="8">
        <f t="shared" si="2"/>
        <v>148500</v>
      </c>
      <c r="I7" s="8">
        <f t="shared" si="3"/>
        <v>81000</v>
      </c>
      <c r="J7" s="8">
        <f t="shared" si="4"/>
        <v>157500</v>
      </c>
      <c r="P7">
        <v>0</v>
      </c>
    </row>
    <row r="8" spans="1:17">
      <c r="A8" s="8">
        <v>4</v>
      </c>
      <c r="B8">
        <v>2</v>
      </c>
      <c r="C8" s="8"/>
      <c r="D8" s="8"/>
      <c r="E8" s="10">
        <f t="shared" si="0"/>
        <v>10</v>
      </c>
      <c r="F8" s="8">
        <v>100000</v>
      </c>
      <c r="G8" s="8">
        <f t="shared" si="1"/>
        <v>150000</v>
      </c>
      <c r="H8" s="8">
        <f t="shared" si="2"/>
        <v>165000</v>
      </c>
      <c r="I8" s="8">
        <f t="shared" si="3"/>
        <v>90000</v>
      </c>
      <c r="J8" s="8">
        <f t="shared" si="4"/>
        <v>175000</v>
      </c>
      <c r="P8">
        <v>0</v>
      </c>
    </row>
    <row r="9" spans="1:17">
      <c r="A9" s="8">
        <v>5</v>
      </c>
      <c r="B9">
        <v>2</v>
      </c>
      <c r="C9" s="8"/>
      <c r="D9" s="8"/>
      <c r="E9" s="10">
        <f t="shared" si="0"/>
        <v>15</v>
      </c>
      <c r="F9" s="8">
        <v>150000</v>
      </c>
      <c r="G9" s="8">
        <f t="shared" si="1"/>
        <v>225000</v>
      </c>
      <c r="H9" s="8">
        <f t="shared" si="2"/>
        <v>247500</v>
      </c>
      <c r="I9" s="8">
        <f t="shared" si="3"/>
        <v>135000</v>
      </c>
      <c r="J9" s="8">
        <f t="shared" si="4"/>
        <v>262500</v>
      </c>
      <c r="P9">
        <v>0</v>
      </c>
    </row>
    <row r="10" spans="1:17">
      <c r="A10" s="8">
        <v>6</v>
      </c>
      <c r="B10">
        <v>2</v>
      </c>
      <c r="C10" s="8"/>
      <c r="D10" s="8"/>
      <c r="E10" s="10">
        <f t="shared" si="0"/>
        <v>20</v>
      </c>
      <c r="F10" s="8">
        <v>200000</v>
      </c>
      <c r="G10" s="8">
        <f t="shared" si="1"/>
        <v>300000</v>
      </c>
      <c r="H10" s="8">
        <f t="shared" si="2"/>
        <v>330000</v>
      </c>
      <c r="I10" s="8">
        <f t="shared" si="3"/>
        <v>180000</v>
      </c>
      <c r="J10" s="8">
        <f t="shared" si="4"/>
        <v>350000</v>
      </c>
      <c r="P10">
        <v>0</v>
      </c>
    </row>
    <row r="11" spans="1:17">
      <c r="A11" s="8">
        <v>7</v>
      </c>
      <c r="B11">
        <v>2</v>
      </c>
      <c r="C11" s="8"/>
      <c r="D11" s="8"/>
      <c r="E11" s="10">
        <f t="shared" si="0"/>
        <v>30</v>
      </c>
      <c r="F11" s="8">
        <v>300000</v>
      </c>
      <c r="G11" s="8">
        <f t="shared" si="1"/>
        <v>450000</v>
      </c>
      <c r="H11" s="8">
        <f t="shared" si="2"/>
        <v>495000</v>
      </c>
      <c r="I11" s="8">
        <f t="shared" si="3"/>
        <v>270000</v>
      </c>
      <c r="J11" s="8">
        <f t="shared" si="4"/>
        <v>525000</v>
      </c>
      <c r="P11">
        <v>0</v>
      </c>
    </row>
    <row r="12" spans="1:17">
      <c r="A12" s="8">
        <v>8</v>
      </c>
      <c r="B12">
        <v>2</v>
      </c>
      <c r="C12" s="8"/>
      <c r="D12" s="8"/>
      <c r="E12" s="10">
        <f t="shared" si="0"/>
        <v>50</v>
      </c>
      <c r="F12" s="5">
        <v>500000</v>
      </c>
      <c r="G12" s="8">
        <f t="shared" si="1"/>
        <v>750000</v>
      </c>
      <c r="H12" s="8">
        <f t="shared" si="2"/>
        <v>825000</v>
      </c>
      <c r="I12" s="8">
        <f t="shared" si="3"/>
        <v>450000</v>
      </c>
      <c r="J12" s="8">
        <f t="shared" si="4"/>
        <v>875000</v>
      </c>
      <c r="P12">
        <v>0</v>
      </c>
    </row>
    <row r="13" spans="1:17">
      <c r="A13" s="8">
        <v>9</v>
      </c>
      <c r="B13">
        <v>2</v>
      </c>
      <c r="C13" s="8"/>
      <c r="D13" s="8"/>
      <c r="E13" s="10">
        <f t="shared" si="0"/>
        <v>75</v>
      </c>
      <c r="F13" s="5">
        <v>750000</v>
      </c>
      <c r="G13" s="8">
        <f t="shared" si="1"/>
        <v>1125000</v>
      </c>
      <c r="H13" s="8">
        <f t="shared" si="2"/>
        <v>1237500</v>
      </c>
      <c r="I13" s="8">
        <f t="shared" si="3"/>
        <v>675000</v>
      </c>
      <c r="J13" s="8">
        <f t="shared" si="4"/>
        <v>1312500</v>
      </c>
      <c r="P13">
        <v>0</v>
      </c>
    </row>
    <row r="14" spans="1:17">
      <c r="A14" s="8">
        <v>10</v>
      </c>
      <c r="B14">
        <v>2</v>
      </c>
      <c r="C14" s="8"/>
      <c r="D14" s="8"/>
      <c r="E14" s="10">
        <f t="shared" si="0"/>
        <v>100</v>
      </c>
      <c r="F14" s="5">
        <v>1000000</v>
      </c>
      <c r="G14" s="8">
        <f t="shared" si="1"/>
        <v>1500000</v>
      </c>
      <c r="H14" s="8">
        <f t="shared" si="2"/>
        <v>1650000</v>
      </c>
      <c r="I14" s="8">
        <f t="shared" si="3"/>
        <v>900000</v>
      </c>
      <c r="J14" s="8">
        <f t="shared" si="4"/>
        <v>1750000</v>
      </c>
      <c r="P14">
        <v>0</v>
      </c>
    </row>
    <row r="15" spans="1:17">
      <c r="A15" s="8">
        <v>11</v>
      </c>
      <c r="B15">
        <v>2</v>
      </c>
      <c r="C15" s="8"/>
      <c r="D15" s="8"/>
      <c r="E15" s="10">
        <f t="shared" si="0"/>
        <v>150</v>
      </c>
      <c r="F15" s="5">
        <v>1500000</v>
      </c>
      <c r="G15" s="8">
        <f t="shared" si="1"/>
        <v>2250000</v>
      </c>
      <c r="H15" s="8">
        <f t="shared" si="2"/>
        <v>2475000</v>
      </c>
      <c r="I15" s="8">
        <f t="shared" si="3"/>
        <v>1350000</v>
      </c>
      <c r="J15" s="8">
        <f t="shared" si="4"/>
        <v>2625000</v>
      </c>
      <c r="P15">
        <v>0</v>
      </c>
    </row>
    <row r="16" spans="1:17">
      <c r="A16" s="8">
        <v>12</v>
      </c>
      <c r="B16">
        <v>2</v>
      </c>
      <c r="C16" s="8"/>
      <c r="D16" s="8"/>
      <c r="E16" s="10">
        <f t="shared" si="0"/>
        <v>200</v>
      </c>
      <c r="F16" s="5">
        <v>2000000</v>
      </c>
      <c r="G16" s="8">
        <f t="shared" si="1"/>
        <v>3000000</v>
      </c>
      <c r="H16" s="8">
        <f t="shared" si="2"/>
        <v>3300000</v>
      </c>
      <c r="I16" s="8">
        <f t="shared" si="3"/>
        <v>1800000</v>
      </c>
      <c r="J16" s="8">
        <f t="shared" si="4"/>
        <v>3500000</v>
      </c>
      <c r="P16">
        <v>0</v>
      </c>
    </row>
    <row r="17" spans="1:16">
      <c r="A17" s="8">
        <v>13</v>
      </c>
      <c r="B17">
        <v>2</v>
      </c>
      <c r="C17" s="8"/>
      <c r="D17" s="8"/>
      <c r="E17" s="10">
        <f t="shared" si="0"/>
        <v>300</v>
      </c>
      <c r="F17" s="5">
        <v>3000000</v>
      </c>
      <c r="G17" s="8">
        <f t="shared" si="1"/>
        <v>4500000</v>
      </c>
      <c r="H17" s="8">
        <f t="shared" si="2"/>
        <v>4950000</v>
      </c>
      <c r="I17" s="8">
        <f t="shared" si="3"/>
        <v>2700000</v>
      </c>
      <c r="J17" s="8">
        <f t="shared" si="4"/>
        <v>5250000</v>
      </c>
      <c r="P17">
        <v>0</v>
      </c>
    </row>
    <row r="18" spans="1:16">
      <c r="A18" s="8">
        <v>14</v>
      </c>
      <c r="B18">
        <v>2</v>
      </c>
      <c r="C18" s="8"/>
      <c r="D18" s="8"/>
      <c r="E18" s="10">
        <f t="shared" si="0"/>
        <v>400</v>
      </c>
      <c r="F18" s="5">
        <v>4000000</v>
      </c>
      <c r="G18" s="8">
        <f t="shared" si="1"/>
        <v>6000000</v>
      </c>
      <c r="H18" s="8">
        <f t="shared" si="2"/>
        <v>6600000</v>
      </c>
      <c r="I18" s="8">
        <f t="shared" si="3"/>
        <v>3600000</v>
      </c>
      <c r="J18" s="8">
        <f t="shared" si="4"/>
        <v>7000000</v>
      </c>
      <c r="P18">
        <v>0</v>
      </c>
    </row>
    <row r="19" spans="1:16">
      <c r="A19" s="8">
        <v>15</v>
      </c>
      <c r="B19">
        <v>2</v>
      </c>
      <c r="C19" s="8"/>
      <c r="D19" s="8"/>
      <c r="E19" s="10">
        <f t="shared" si="0"/>
        <v>600</v>
      </c>
      <c r="F19" s="8">
        <v>6000000</v>
      </c>
      <c r="G19" s="8">
        <f t="shared" si="1"/>
        <v>9000000</v>
      </c>
      <c r="H19" s="8">
        <f t="shared" si="2"/>
        <v>9900000</v>
      </c>
      <c r="I19" s="8">
        <f t="shared" si="3"/>
        <v>5400000</v>
      </c>
      <c r="J19" s="8">
        <f t="shared" si="4"/>
        <v>10500000</v>
      </c>
      <c r="P19">
        <v>0</v>
      </c>
    </row>
    <row r="20" spans="1:16">
      <c r="A20" s="8">
        <v>16</v>
      </c>
      <c r="B20">
        <v>2</v>
      </c>
      <c r="C20" s="8"/>
      <c r="D20" s="8"/>
      <c r="E20" s="10">
        <f t="shared" si="0"/>
        <v>900</v>
      </c>
      <c r="F20" s="8">
        <v>9000000</v>
      </c>
      <c r="G20" s="8">
        <f t="shared" si="1"/>
        <v>13500000</v>
      </c>
      <c r="H20" s="8">
        <f t="shared" si="2"/>
        <v>14850000</v>
      </c>
      <c r="I20" s="8">
        <f t="shared" si="3"/>
        <v>8100000</v>
      </c>
      <c r="J20" s="8">
        <f t="shared" si="4"/>
        <v>15750000</v>
      </c>
      <c r="P20">
        <v>0</v>
      </c>
    </row>
    <row r="21" spans="1:16">
      <c r="A21" s="8">
        <v>17</v>
      </c>
      <c r="B21">
        <v>2</v>
      </c>
      <c r="C21" s="8"/>
      <c r="D21" s="8"/>
      <c r="E21" s="10">
        <f t="shared" si="0"/>
        <v>1000</v>
      </c>
      <c r="F21" s="8">
        <v>10000000</v>
      </c>
      <c r="G21" s="8">
        <f t="shared" si="1"/>
        <v>15000000</v>
      </c>
      <c r="H21" s="8">
        <f t="shared" si="2"/>
        <v>16500000</v>
      </c>
      <c r="I21" s="8">
        <f t="shared" si="3"/>
        <v>9000000</v>
      </c>
      <c r="J21" s="8">
        <f t="shared" si="4"/>
        <v>17500000</v>
      </c>
      <c r="P21">
        <v>0</v>
      </c>
    </row>
    <row r="22" spans="1:16">
      <c r="A22" s="8">
        <v>18</v>
      </c>
      <c r="B22">
        <v>2</v>
      </c>
      <c r="C22" s="8"/>
      <c r="D22" s="8"/>
      <c r="E22" s="10">
        <f t="shared" si="0"/>
        <v>1200</v>
      </c>
      <c r="F22" s="8">
        <v>12000000</v>
      </c>
      <c r="G22" s="8">
        <f t="shared" si="1"/>
        <v>18000000</v>
      </c>
      <c r="H22" s="8">
        <f t="shared" si="2"/>
        <v>19800000</v>
      </c>
      <c r="I22" s="8">
        <f t="shared" si="3"/>
        <v>10800000</v>
      </c>
      <c r="J22" s="8">
        <f t="shared" si="4"/>
        <v>21000000</v>
      </c>
      <c r="P22">
        <v>0</v>
      </c>
    </row>
    <row r="23" spans="1:16">
      <c r="A23" s="8">
        <v>19</v>
      </c>
      <c r="B23">
        <v>2</v>
      </c>
      <c r="C23" s="8"/>
      <c r="D23" s="8"/>
      <c r="E23" s="10">
        <f t="shared" si="0"/>
        <v>1500</v>
      </c>
      <c r="F23" s="8">
        <v>15000000</v>
      </c>
      <c r="G23" s="8">
        <f t="shared" si="1"/>
        <v>22500000</v>
      </c>
      <c r="H23" s="8">
        <f t="shared" si="2"/>
        <v>24750000</v>
      </c>
      <c r="I23" s="8">
        <f t="shared" si="3"/>
        <v>13500000</v>
      </c>
      <c r="J23" s="8">
        <f t="shared" si="4"/>
        <v>26250000</v>
      </c>
      <c r="P23">
        <v>0</v>
      </c>
    </row>
    <row r="24" spans="1:16">
      <c r="A24" s="8">
        <v>20</v>
      </c>
      <c r="B24">
        <v>2</v>
      </c>
      <c r="C24" s="8"/>
      <c r="D24" s="8"/>
      <c r="E24" s="10">
        <f t="shared" si="0"/>
        <v>2000</v>
      </c>
      <c r="F24" s="8">
        <v>20000000</v>
      </c>
      <c r="G24" s="8">
        <f t="shared" si="1"/>
        <v>30000000</v>
      </c>
      <c r="H24" s="8">
        <f t="shared" si="2"/>
        <v>33000000</v>
      </c>
      <c r="I24" s="8">
        <f t="shared" si="3"/>
        <v>18000000</v>
      </c>
      <c r="J24" s="8">
        <f t="shared" si="4"/>
        <v>35000000</v>
      </c>
      <c r="P24">
        <v>0</v>
      </c>
    </row>
    <row r="25" spans="1:16">
      <c r="A25" s="8">
        <v>21</v>
      </c>
      <c r="B25">
        <v>2</v>
      </c>
      <c r="C25" s="8"/>
      <c r="D25" s="8"/>
      <c r="E25" s="10">
        <f t="shared" si="0"/>
        <v>3000</v>
      </c>
      <c r="F25" s="5">
        <v>30000000</v>
      </c>
      <c r="G25" s="8">
        <f t="shared" si="1"/>
        <v>45000000</v>
      </c>
      <c r="H25" s="8">
        <f t="shared" si="2"/>
        <v>49500000</v>
      </c>
      <c r="I25" s="8">
        <f t="shared" si="3"/>
        <v>27000000</v>
      </c>
      <c r="J25" s="8">
        <f t="shared" si="4"/>
        <v>52500000</v>
      </c>
      <c r="P25">
        <v>0</v>
      </c>
    </row>
    <row r="26" spans="1:16">
      <c r="A26" s="8">
        <v>22</v>
      </c>
      <c r="B26">
        <v>2</v>
      </c>
      <c r="C26" s="8"/>
      <c r="D26" s="8"/>
      <c r="E26" s="10">
        <f t="shared" si="0"/>
        <v>4000</v>
      </c>
      <c r="F26" s="5">
        <v>40000000</v>
      </c>
      <c r="G26" s="8">
        <f t="shared" si="1"/>
        <v>60000000</v>
      </c>
      <c r="H26" s="8">
        <f t="shared" si="2"/>
        <v>66000000</v>
      </c>
      <c r="I26" s="8">
        <f t="shared" si="3"/>
        <v>36000000</v>
      </c>
      <c r="J26" s="8">
        <f t="shared" si="4"/>
        <v>70000000</v>
      </c>
      <c r="P26">
        <v>0</v>
      </c>
    </row>
    <row r="27" spans="1:16">
      <c r="A27" s="8">
        <v>23</v>
      </c>
      <c r="B27">
        <v>2</v>
      </c>
      <c r="C27" s="8"/>
      <c r="D27" s="8"/>
      <c r="E27" s="10">
        <f t="shared" si="0"/>
        <v>6000</v>
      </c>
      <c r="F27" s="5">
        <v>60000000</v>
      </c>
      <c r="G27" s="8">
        <f t="shared" si="1"/>
        <v>90000000</v>
      </c>
      <c r="H27" s="8">
        <f t="shared" si="2"/>
        <v>99000000</v>
      </c>
      <c r="I27" s="8">
        <f t="shared" si="3"/>
        <v>54000000</v>
      </c>
      <c r="J27" s="8">
        <f t="shared" si="4"/>
        <v>105000000</v>
      </c>
      <c r="P27">
        <v>0</v>
      </c>
    </row>
    <row r="28" spans="1:16">
      <c r="A28" s="8">
        <v>24</v>
      </c>
      <c r="B28">
        <v>2</v>
      </c>
      <c r="C28" s="8"/>
      <c r="D28" s="8"/>
      <c r="E28" s="10">
        <f t="shared" si="0"/>
        <v>9000</v>
      </c>
      <c r="F28" s="5">
        <v>90000000</v>
      </c>
      <c r="G28" s="8">
        <f t="shared" si="1"/>
        <v>135000000</v>
      </c>
      <c r="H28" s="8">
        <f t="shared" si="2"/>
        <v>148500000</v>
      </c>
      <c r="I28" s="8">
        <f t="shared" si="3"/>
        <v>81000000</v>
      </c>
      <c r="J28" s="8">
        <f t="shared" si="4"/>
        <v>157500000</v>
      </c>
      <c r="P28">
        <v>0</v>
      </c>
    </row>
    <row r="29" spans="1:16">
      <c r="A29" s="8">
        <v>25</v>
      </c>
      <c r="B29">
        <v>2</v>
      </c>
      <c r="C29" s="8"/>
      <c r="D29" s="8"/>
      <c r="E29" s="10">
        <f t="shared" si="0"/>
        <v>10000</v>
      </c>
      <c r="F29" s="5">
        <v>100000000</v>
      </c>
      <c r="G29" s="8">
        <f t="shared" si="1"/>
        <v>150000000</v>
      </c>
      <c r="H29" s="8">
        <f t="shared" si="2"/>
        <v>165000000</v>
      </c>
      <c r="I29" s="8">
        <f t="shared" si="3"/>
        <v>90000000</v>
      </c>
      <c r="J29" s="8">
        <f t="shared" si="4"/>
        <v>175000000</v>
      </c>
      <c r="P29">
        <v>0</v>
      </c>
    </row>
    <row r="30" spans="1:16">
      <c r="A30" s="8">
        <v>26</v>
      </c>
      <c r="B30">
        <v>2</v>
      </c>
      <c r="E30" s="10">
        <f t="shared" si="0"/>
        <v>15000</v>
      </c>
      <c r="F30" s="5">
        <v>150000000</v>
      </c>
      <c r="G30" s="8">
        <f t="shared" si="1"/>
        <v>225000000</v>
      </c>
      <c r="H30" s="8">
        <f t="shared" si="2"/>
        <v>247500000</v>
      </c>
      <c r="I30" s="8">
        <f t="shared" si="3"/>
        <v>135000000</v>
      </c>
      <c r="J30" s="8">
        <f t="shared" si="4"/>
        <v>262500000</v>
      </c>
    </row>
    <row r="31" spans="1:16">
      <c r="A31" s="8">
        <v>27</v>
      </c>
      <c r="B31">
        <v>2</v>
      </c>
      <c r="E31" s="10">
        <f t="shared" si="0"/>
        <v>18000</v>
      </c>
      <c r="F31" s="5">
        <v>180000000</v>
      </c>
      <c r="G31" s="8">
        <f t="shared" si="1"/>
        <v>270000000</v>
      </c>
      <c r="H31" s="8">
        <f t="shared" si="2"/>
        <v>297000000</v>
      </c>
      <c r="I31" s="8">
        <f t="shared" si="3"/>
        <v>162000000</v>
      </c>
      <c r="J31" s="8">
        <f t="shared" si="4"/>
        <v>315000000</v>
      </c>
    </row>
    <row r="32" spans="1:16">
      <c r="A32" s="8">
        <v>28</v>
      </c>
      <c r="B32">
        <v>2</v>
      </c>
      <c r="E32" s="10">
        <f t="shared" si="0"/>
        <v>22500</v>
      </c>
      <c r="F32" s="5">
        <v>225000000</v>
      </c>
      <c r="G32" s="8">
        <f t="shared" ref="G32:G42" si="5">F32*1.5</f>
        <v>337500000</v>
      </c>
      <c r="H32" s="8">
        <f t="shared" ref="H32:H42" si="6">F32*1.65</f>
        <v>371250000</v>
      </c>
      <c r="I32" s="8">
        <f t="shared" ref="I32:I42" si="7">F32*0.9</f>
        <v>202500000</v>
      </c>
      <c r="J32" s="8">
        <f t="shared" ref="J32:J42" si="8">F32*1.75</f>
        <v>393750000</v>
      </c>
    </row>
    <row r="33" spans="1:10">
      <c r="A33" s="8">
        <v>29</v>
      </c>
      <c r="B33">
        <v>2</v>
      </c>
      <c r="E33" s="10">
        <f t="shared" si="0"/>
        <v>30000</v>
      </c>
      <c r="F33" s="5">
        <v>300000000</v>
      </c>
      <c r="G33" s="8">
        <f t="shared" si="5"/>
        <v>450000000</v>
      </c>
      <c r="H33" s="8">
        <f t="shared" si="6"/>
        <v>495000000</v>
      </c>
      <c r="I33" s="8">
        <f t="shared" si="7"/>
        <v>270000000</v>
      </c>
      <c r="J33" s="8">
        <f t="shared" si="8"/>
        <v>525000000</v>
      </c>
    </row>
    <row r="34" spans="1:10">
      <c r="A34" s="8">
        <v>30</v>
      </c>
      <c r="B34">
        <v>2</v>
      </c>
      <c r="E34" s="10">
        <f t="shared" si="0"/>
        <v>35000</v>
      </c>
      <c r="F34" s="5">
        <v>350000000</v>
      </c>
      <c r="G34" s="8">
        <f t="shared" si="5"/>
        <v>525000000</v>
      </c>
      <c r="H34" s="8">
        <f t="shared" si="6"/>
        <v>577500000</v>
      </c>
      <c r="I34" s="8">
        <f t="shared" si="7"/>
        <v>315000000</v>
      </c>
      <c r="J34" s="8">
        <f t="shared" si="8"/>
        <v>612500000</v>
      </c>
    </row>
    <row r="35" spans="1:10">
      <c r="A35" s="8">
        <v>31</v>
      </c>
      <c r="B35">
        <v>2</v>
      </c>
      <c r="E35" s="10">
        <f t="shared" si="0"/>
        <v>40000</v>
      </c>
      <c r="F35" s="5">
        <v>400000000</v>
      </c>
      <c r="G35" s="8">
        <f t="shared" si="5"/>
        <v>600000000</v>
      </c>
      <c r="H35" s="8">
        <f t="shared" si="6"/>
        <v>660000000</v>
      </c>
      <c r="I35" s="8">
        <f t="shared" si="7"/>
        <v>360000000</v>
      </c>
      <c r="J35" s="8">
        <f t="shared" si="8"/>
        <v>700000000</v>
      </c>
    </row>
    <row r="36" spans="1:10">
      <c r="A36" s="8">
        <v>32</v>
      </c>
      <c r="B36">
        <v>2</v>
      </c>
      <c r="E36" s="10">
        <f t="shared" si="0"/>
        <v>50000</v>
      </c>
      <c r="F36" s="5">
        <v>500000000</v>
      </c>
      <c r="G36" s="8">
        <f t="shared" si="5"/>
        <v>750000000</v>
      </c>
      <c r="H36" s="8">
        <f t="shared" si="6"/>
        <v>825000000</v>
      </c>
      <c r="I36" s="8">
        <f t="shared" si="7"/>
        <v>450000000</v>
      </c>
      <c r="J36" s="8">
        <f t="shared" si="8"/>
        <v>875000000</v>
      </c>
    </row>
    <row r="37" spans="1:10">
      <c r="A37" s="8">
        <v>33</v>
      </c>
      <c r="B37">
        <v>2</v>
      </c>
      <c r="E37" s="10">
        <f t="shared" si="0"/>
        <v>75000</v>
      </c>
      <c r="F37" s="5">
        <v>750000000</v>
      </c>
      <c r="G37" s="8">
        <f t="shared" si="5"/>
        <v>1125000000</v>
      </c>
      <c r="H37" s="8">
        <f t="shared" si="6"/>
        <v>1237500000</v>
      </c>
      <c r="I37" s="8">
        <f t="shared" si="7"/>
        <v>675000000</v>
      </c>
      <c r="J37" s="8">
        <f t="shared" si="8"/>
        <v>1312500000</v>
      </c>
    </row>
    <row r="38" spans="1:10">
      <c r="A38" s="8">
        <v>34</v>
      </c>
      <c r="B38">
        <v>2</v>
      </c>
      <c r="E38" s="10">
        <f t="shared" si="0"/>
        <v>100000</v>
      </c>
      <c r="F38" s="5">
        <v>1000000000</v>
      </c>
      <c r="G38" s="8">
        <f t="shared" si="5"/>
        <v>1500000000</v>
      </c>
      <c r="H38" s="8">
        <f t="shared" si="6"/>
        <v>1650000000</v>
      </c>
      <c r="I38" s="8">
        <f t="shared" si="7"/>
        <v>900000000</v>
      </c>
      <c r="J38" s="8">
        <f t="shared" si="8"/>
        <v>1750000000</v>
      </c>
    </row>
    <row r="39" spans="1:10">
      <c r="A39" s="8">
        <v>35</v>
      </c>
      <c r="B39">
        <v>2</v>
      </c>
      <c r="E39" s="10">
        <f t="shared" si="0"/>
        <v>125000</v>
      </c>
      <c r="F39" s="5">
        <v>1250000000</v>
      </c>
      <c r="G39" s="8">
        <f t="shared" si="5"/>
        <v>1875000000</v>
      </c>
      <c r="H39" s="8">
        <f t="shared" si="6"/>
        <v>2062500000</v>
      </c>
      <c r="I39" s="8">
        <f t="shared" si="7"/>
        <v>1125000000</v>
      </c>
      <c r="J39" s="8">
        <f t="shared" si="8"/>
        <v>2187500000</v>
      </c>
    </row>
    <row r="40" spans="1:10">
      <c r="A40" s="8">
        <v>36</v>
      </c>
      <c r="B40">
        <v>2</v>
      </c>
      <c r="E40" s="10">
        <f t="shared" si="0"/>
        <v>150000</v>
      </c>
      <c r="F40" s="5">
        <v>1500000000</v>
      </c>
      <c r="G40" s="8">
        <f t="shared" si="5"/>
        <v>2250000000</v>
      </c>
      <c r="H40" s="8">
        <f t="shared" si="6"/>
        <v>2475000000</v>
      </c>
      <c r="I40" s="8">
        <f t="shared" si="7"/>
        <v>1350000000</v>
      </c>
      <c r="J40" s="8">
        <f t="shared" si="8"/>
        <v>2625000000</v>
      </c>
    </row>
    <row r="41" spans="1:10">
      <c r="A41" s="8">
        <v>37</v>
      </c>
      <c r="B41">
        <v>2</v>
      </c>
      <c r="E41" s="10">
        <f t="shared" si="0"/>
        <v>200000</v>
      </c>
      <c r="F41" s="5">
        <v>2000000000</v>
      </c>
      <c r="G41" s="8">
        <f t="shared" si="5"/>
        <v>3000000000</v>
      </c>
      <c r="H41" s="8">
        <f t="shared" si="6"/>
        <v>3300000000</v>
      </c>
      <c r="I41" s="8">
        <f t="shared" si="7"/>
        <v>1800000000</v>
      </c>
      <c r="J41" s="8">
        <f t="shared" si="8"/>
        <v>3500000000</v>
      </c>
    </row>
    <row r="42" spans="1:10">
      <c r="A42" s="8">
        <v>38</v>
      </c>
      <c r="B42">
        <v>2</v>
      </c>
      <c r="E42" s="10">
        <f t="shared" si="0"/>
        <v>500000</v>
      </c>
      <c r="F42" s="5">
        <v>5000000000</v>
      </c>
      <c r="G42" s="8">
        <f t="shared" si="5"/>
        <v>7500000000</v>
      </c>
      <c r="H42" s="8">
        <f t="shared" si="6"/>
        <v>8250000000</v>
      </c>
      <c r="I42" s="8">
        <f t="shared" si="7"/>
        <v>4500000000</v>
      </c>
      <c r="J42" s="8">
        <f t="shared" si="8"/>
        <v>8750000000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B9" sqref="B9"/>
    </sheetView>
  </sheetViews>
  <sheetFormatPr defaultColWidth="9" defaultRowHeight="13.5"/>
  <cols>
    <col min="1" max="1" width="17.4666666666667" customWidth="1"/>
    <col min="2" max="2" width="12.8666666666667" customWidth="1"/>
    <col min="3" max="3" width="13" customWidth="1"/>
    <col min="4" max="4" width="15.2" customWidth="1"/>
    <col min="5" max="5" width="13" customWidth="1"/>
    <col min="6" max="6" width="15.2" customWidth="1"/>
    <col min="7" max="7" width="15.2" style="1" customWidth="1"/>
    <col min="8" max="12" width="9" style="1"/>
    <col min="14" max="14" width="12.8666666666667" style="1" customWidth="1"/>
    <col min="15" max="18" width="9" style="1"/>
  </cols>
  <sheetData>
    <row r="1" spans="1:18">
      <c r="A1" t="s">
        <v>0</v>
      </c>
      <c r="B1" s="1" t="s">
        <v>5</v>
      </c>
      <c r="C1" t="s">
        <v>6</v>
      </c>
      <c r="D1" t="s">
        <v>7</v>
      </c>
      <c r="E1" t="s">
        <v>8</v>
      </c>
      <c r="F1" t="s">
        <v>9</v>
      </c>
    </row>
    <row r="2" spans="1:18">
      <c r="A2" s="1" t="s">
        <v>19</v>
      </c>
      <c r="B2" s="1" t="s">
        <v>19</v>
      </c>
      <c r="C2" s="1" t="s">
        <v>19</v>
      </c>
      <c r="D2" s="1" t="s">
        <v>19</v>
      </c>
      <c r="E2" t="s">
        <v>19</v>
      </c>
      <c r="F2" t="s">
        <v>19</v>
      </c>
    </row>
    <row r="3" spans="1:18">
      <c r="A3" s="1" t="s">
        <v>20</v>
      </c>
      <c r="B3" s="1" t="s">
        <v>20</v>
      </c>
      <c r="C3" s="1" t="s">
        <v>20</v>
      </c>
      <c r="D3" s="1" t="s">
        <v>20</v>
      </c>
      <c r="E3" t="s">
        <v>20</v>
      </c>
      <c r="F3" t="s">
        <v>20</v>
      </c>
      <c r="H3" s="1" t="s">
        <v>38</v>
      </c>
      <c r="J3" s="1" t="s">
        <v>39</v>
      </c>
      <c r="Q3" s="1" t="s">
        <v>39</v>
      </c>
    </row>
    <row r="4" ht="16.05" customHeight="1" spans="1:18">
      <c r="A4" s="2" t="s">
        <v>21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3" t="s">
        <v>40</v>
      </c>
      <c r="H4" s="1" t="s">
        <v>41</v>
      </c>
      <c r="I4" s="1" t="s">
        <v>42</v>
      </c>
      <c r="J4" s="1" t="s">
        <v>41</v>
      </c>
      <c r="K4" s="1" t="s">
        <v>42</v>
      </c>
      <c r="M4" s="3" t="s">
        <v>40</v>
      </c>
      <c r="N4" s="3" t="s">
        <v>26</v>
      </c>
      <c r="O4" s="1" t="s">
        <v>41</v>
      </c>
      <c r="P4" s="1" t="s">
        <v>42</v>
      </c>
      <c r="Q4" s="1" t="s">
        <v>41</v>
      </c>
      <c r="R4" s="1" t="s">
        <v>42</v>
      </c>
    </row>
    <row r="5" spans="1:18">
      <c r="A5" s="2">
        <v>1</v>
      </c>
      <c r="B5" s="2">
        <v>200</v>
      </c>
      <c r="C5" s="2">
        <v>300</v>
      </c>
      <c r="D5" s="2">
        <v>330</v>
      </c>
      <c r="E5" s="2">
        <v>360</v>
      </c>
      <c r="F5" s="2">
        <v>700</v>
      </c>
      <c r="G5" s="3">
        <v>1</v>
      </c>
      <c r="H5" s="1">
        <v>1</v>
      </c>
      <c r="I5" s="1">
        <f t="shared" ref="I5:I14" si="0">F5/250000</f>
        <v>0.0028</v>
      </c>
      <c r="J5" s="1">
        <v>1</v>
      </c>
      <c r="K5" s="1">
        <v>0.0008</v>
      </c>
      <c r="M5" s="3">
        <v>1</v>
      </c>
      <c r="N5" s="3">
        <v>200</v>
      </c>
      <c r="O5" s="1">
        <v>1</v>
      </c>
      <c r="P5" s="1">
        <f t="shared" ref="P5:P15" si="1">N5/250000</f>
        <v>0.0008</v>
      </c>
      <c r="Q5" s="1">
        <v>1</v>
      </c>
      <c r="R5" s="1">
        <v>0.0008</v>
      </c>
    </row>
    <row r="6" spans="1:18">
      <c r="A6" s="2">
        <v>2</v>
      </c>
      <c r="B6" s="2">
        <v>400</v>
      </c>
      <c r="C6" s="2">
        <v>600</v>
      </c>
      <c r="D6" s="2">
        <v>660</v>
      </c>
      <c r="E6" s="2">
        <v>720</v>
      </c>
      <c r="F6" s="2">
        <v>1400</v>
      </c>
      <c r="G6" s="3">
        <v>2</v>
      </c>
      <c r="H6" s="1">
        <f t="shared" ref="H6:H14" si="2">F6/$F$5</f>
        <v>2</v>
      </c>
      <c r="I6" s="1">
        <f t="shared" si="0"/>
        <v>0.0056</v>
      </c>
      <c r="J6" s="1">
        <v>2.25</v>
      </c>
      <c r="K6" s="1">
        <v>0.0018</v>
      </c>
      <c r="M6" s="3">
        <v>2</v>
      </c>
      <c r="N6" s="3">
        <v>400</v>
      </c>
      <c r="O6" s="1">
        <f t="shared" ref="O6:O15" si="3">N6/$N$5</f>
        <v>2</v>
      </c>
      <c r="P6" s="1">
        <f t="shared" si="1"/>
        <v>0.0016</v>
      </c>
      <c r="Q6" s="1">
        <v>2.25</v>
      </c>
      <c r="R6" s="1">
        <v>0.0018</v>
      </c>
    </row>
    <row r="7" spans="1:18">
      <c r="A7" s="2">
        <v>3</v>
      </c>
      <c r="B7" s="2">
        <v>800</v>
      </c>
      <c r="C7" s="2">
        <v>1200</v>
      </c>
      <c r="D7" s="2">
        <v>1320</v>
      </c>
      <c r="E7" s="2">
        <v>1440</v>
      </c>
      <c r="F7" s="2">
        <v>2800</v>
      </c>
      <c r="G7" s="3">
        <v>3</v>
      </c>
      <c r="H7" s="1">
        <f t="shared" si="2"/>
        <v>4</v>
      </c>
      <c r="I7" s="1">
        <f t="shared" si="0"/>
        <v>0.0112</v>
      </c>
      <c r="J7" s="1">
        <v>4.75</v>
      </c>
      <c r="K7" s="1">
        <v>0.0038</v>
      </c>
      <c r="M7" s="3">
        <v>3</v>
      </c>
      <c r="N7" s="3">
        <v>800</v>
      </c>
      <c r="O7" s="1">
        <f t="shared" si="3"/>
        <v>4</v>
      </c>
      <c r="P7" s="1">
        <f t="shared" si="1"/>
        <v>0.0032</v>
      </c>
      <c r="Q7" s="1">
        <v>4.75</v>
      </c>
      <c r="R7" s="1">
        <v>0.0038</v>
      </c>
    </row>
    <row r="8" spans="1:18">
      <c r="A8" s="2">
        <v>4</v>
      </c>
      <c r="B8" s="2">
        <v>2000</v>
      </c>
      <c r="C8" s="2">
        <v>3000</v>
      </c>
      <c r="D8" s="2">
        <v>3300</v>
      </c>
      <c r="E8" s="2">
        <v>3600</v>
      </c>
      <c r="F8" s="2">
        <v>7000</v>
      </c>
      <c r="G8" s="3">
        <v>4</v>
      </c>
      <c r="H8" s="1">
        <f t="shared" si="2"/>
        <v>10</v>
      </c>
      <c r="I8" s="1">
        <f t="shared" si="0"/>
        <v>0.028</v>
      </c>
      <c r="J8" s="1">
        <v>8.5</v>
      </c>
      <c r="K8" s="1">
        <v>0.0068</v>
      </c>
      <c r="M8" s="3">
        <v>4</v>
      </c>
      <c r="N8" s="3">
        <v>2000</v>
      </c>
      <c r="O8" s="1">
        <f t="shared" si="3"/>
        <v>10</v>
      </c>
      <c r="P8" s="1">
        <f t="shared" si="1"/>
        <v>0.008</v>
      </c>
      <c r="Q8" s="1">
        <v>8.5</v>
      </c>
      <c r="R8" s="1">
        <v>0.0068</v>
      </c>
    </row>
    <row r="9" spans="1:18">
      <c r="A9" s="2">
        <v>5</v>
      </c>
      <c r="B9" s="2">
        <v>4000</v>
      </c>
      <c r="C9" s="2">
        <v>6000</v>
      </c>
      <c r="D9" s="2">
        <v>6600</v>
      </c>
      <c r="E9" s="2">
        <v>7200</v>
      </c>
      <c r="F9" s="2">
        <v>14000</v>
      </c>
      <c r="G9" s="3">
        <v>5</v>
      </c>
      <c r="H9" s="1">
        <f t="shared" si="2"/>
        <v>20</v>
      </c>
      <c r="I9" s="1">
        <f t="shared" si="0"/>
        <v>0.056</v>
      </c>
      <c r="J9" s="1">
        <v>11</v>
      </c>
      <c r="K9" s="1">
        <v>0.0088</v>
      </c>
      <c r="M9" s="3">
        <v>5</v>
      </c>
      <c r="N9" s="3">
        <v>4000</v>
      </c>
      <c r="O9" s="1">
        <f t="shared" si="3"/>
        <v>20</v>
      </c>
      <c r="P9" s="1">
        <f t="shared" si="1"/>
        <v>0.016</v>
      </c>
      <c r="Q9" s="1">
        <v>11</v>
      </c>
      <c r="R9" s="1">
        <v>0.0088</v>
      </c>
    </row>
    <row r="10" spans="1:18">
      <c r="A10" s="2">
        <v>6</v>
      </c>
      <c r="B10" s="2">
        <v>10000</v>
      </c>
      <c r="C10" s="2">
        <v>15000</v>
      </c>
      <c r="D10" s="2">
        <v>16500</v>
      </c>
      <c r="E10" s="2">
        <v>18000</v>
      </c>
      <c r="F10" s="2">
        <v>35000</v>
      </c>
      <c r="G10" s="3">
        <v>6</v>
      </c>
      <c r="H10" s="1">
        <f t="shared" si="2"/>
        <v>50</v>
      </c>
      <c r="I10" s="1">
        <f t="shared" si="0"/>
        <v>0.14</v>
      </c>
      <c r="J10" s="1">
        <v>22</v>
      </c>
      <c r="K10" s="1">
        <v>0.0176</v>
      </c>
      <c r="M10" s="3">
        <v>6</v>
      </c>
      <c r="N10" s="3">
        <v>10000</v>
      </c>
      <c r="O10" s="1">
        <f t="shared" si="3"/>
        <v>50</v>
      </c>
      <c r="P10" s="1">
        <f t="shared" si="1"/>
        <v>0.04</v>
      </c>
      <c r="Q10" s="1">
        <v>22</v>
      </c>
      <c r="R10" s="1">
        <v>0.0176</v>
      </c>
    </row>
    <row r="11" spans="1:18">
      <c r="A11" s="2">
        <v>7</v>
      </c>
      <c r="B11" s="2">
        <v>20000</v>
      </c>
      <c r="C11" s="2">
        <v>30000</v>
      </c>
      <c r="D11" s="2">
        <v>33000</v>
      </c>
      <c r="E11" s="2">
        <v>36000</v>
      </c>
      <c r="F11" s="2">
        <v>70000</v>
      </c>
      <c r="G11" s="3">
        <v>7</v>
      </c>
      <c r="H11" s="1">
        <f t="shared" si="2"/>
        <v>100</v>
      </c>
      <c r="I11" s="1">
        <f t="shared" si="0"/>
        <v>0.28</v>
      </c>
      <c r="J11" s="1">
        <v>55</v>
      </c>
      <c r="K11" s="1">
        <v>0.044</v>
      </c>
      <c r="M11" s="3">
        <v>7</v>
      </c>
      <c r="N11" s="3">
        <v>20000</v>
      </c>
      <c r="O11" s="1">
        <f t="shared" si="3"/>
        <v>100</v>
      </c>
      <c r="P11" s="1">
        <f t="shared" si="1"/>
        <v>0.08</v>
      </c>
      <c r="Q11" s="1">
        <v>55</v>
      </c>
      <c r="R11" s="1">
        <v>0.044</v>
      </c>
    </row>
    <row r="12" spans="1:18">
      <c r="A12" s="2">
        <v>8</v>
      </c>
      <c r="B12" s="2">
        <v>40000</v>
      </c>
      <c r="C12" s="2">
        <v>60000</v>
      </c>
      <c r="D12" s="2">
        <v>66000</v>
      </c>
      <c r="E12" s="2">
        <v>72000</v>
      </c>
      <c r="F12" s="2">
        <v>140000</v>
      </c>
      <c r="G12" s="3">
        <v>8</v>
      </c>
      <c r="H12" s="1">
        <f t="shared" si="2"/>
        <v>200</v>
      </c>
      <c r="I12" s="1">
        <f t="shared" si="0"/>
        <v>0.56</v>
      </c>
      <c r="J12" s="1">
        <v>77</v>
      </c>
      <c r="K12" s="1">
        <v>0.0616</v>
      </c>
      <c r="M12" s="3">
        <v>8</v>
      </c>
      <c r="N12" s="3">
        <v>40000</v>
      </c>
      <c r="O12" s="1">
        <f t="shared" si="3"/>
        <v>200</v>
      </c>
      <c r="P12" s="1">
        <f t="shared" si="1"/>
        <v>0.16</v>
      </c>
      <c r="Q12" s="1">
        <v>77</v>
      </c>
      <c r="R12" s="1">
        <v>0.0616</v>
      </c>
    </row>
    <row r="13" spans="1:18">
      <c r="A13" s="2">
        <v>9</v>
      </c>
      <c r="B13" s="2">
        <v>80000</v>
      </c>
      <c r="C13" s="2">
        <v>120000</v>
      </c>
      <c r="D13" s="2">
        <v>132000</v>
      </c>
      <c r="E13" s="2">
        <v>144000</v>
      </c>
      <c r="F13" s="2">
        <v>280000</v>
      </c>
      <c r="G13" s="3">
        <v>9</v>
      </c>
      <c r="H13" s="1">
        <f t="shared" si="2"/>
        <v>400</v>
      </c>
      <c r="I13" s="1">
        <f t="shared" si="0"/>
        <v>1.12</v>
      </c>
      <c r="J13" s="1">
        <v>110</v>
      </c>
      <c r="K13" s="1">
        <v>0.088</v>
      </c>
      <c r="M13" s="3">
        <v>9</v>
      </c>
      <c r="N13" s="3">
        <v>80000</v>
      </c>
      <c r="O13" s="1">
        <f t="shared" si="3"/>
        <v>400</v>
      </c>
      <c r="P13" s="1">
        <f t="shared" si="1"/>
        <v>0.32</v>
      </c>
      <c r="Q13" s="1">
        <v>110</v>
      </c>
      <c r="R13" s="1">
        <v>0.088</v>
      </c>
    </row>
    <row r="14" spans="1:18">
      <c r="A14" s="2">
        <v>10</v>
      </c>
      <c r="B14" s="2">
        <v>100000</v>
      </c>
      <c r="C14" s="2">
        <v>150000</v>
      </c>
      <c r="D14" s="2">
        <v>165000</v>
      </c>
      <c r="E14" s="2">
        <v>180000</v>
      </c>
      <c r="F14" s="2">
        <v>350000</v>
      </c>
      <c r="G14" s="3">
        <v>10</v>
      </c>
      <c r="H14" s="1">
        <f t="shared" si="2"/>
        <v>500</v>
      </c>
      <c r="I14" s="1">
        <f t="shared" si="0"/>
        <v>1.4</v>
      </c>
      <c r="J14" s="1">
        <v>165</v>
      </c>
      <c r="K14" s="1">
        <v>0.132</v>
      </c>
      <c r="M14" s="3">
        <v>10</v>
      </c>
      <c r="N14" s="3">
        <v>100000</v>
      </c>
      <c r="O14" s="1">
        <f t="shared" si="3"/>
        <v>500</v>
      </c>
      <c r="P14" s="1">
        <f t="shared" si="1"/>
        <v>0.4</v>
      </c>
      <c r="Q14" s="1">
        <v>165</v>
      </c>
      <c r="R14" s="1">
        <v>0.132</v>
      </c>
    </row>
    <row r="15" spans="1:18">
      <c r="G15" s="3">
        <v>11</v>
      </c>
      <c r="J15" s="1">
        <v>220</v>
      </c>
      <c r="K15" s="1">
        <v>0.176</v>
      </c>
      <c r="M15" s="3">
        <v>11</v>
      </c>
      <c r="N15" s="1">
        <v>250000</v>
      </c>
      <c r="O15" s="1">
        <f t="shared" si="3"/>
        <v>1250</v>
      </c>
      <c r="P15" s="1">
        <f t="shared" si="1"/>
        <v>1</v>
      </c>
      <c r="Q15" s="1">
        <v>220</v>
      </c>
      <c r="R15" s="1">
        <v>0.176</v>
      </c>
    </row>
  </sheetData>
  <mergeCells count="4">
    <mergeCell ref="H3:I3"/>
    <mergeCell ref="J3:K3"/>
    <mergeCell ref="O3:P3"/>
    <mergeCell ref="Q3:R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企业用户_244823163</cp:lastModifiedBy>
  <dcterms:created xsi:type="dcterms:W3CDTF">2023-05-12T19:15:00Z</dcterms:created>
  <dcterms:modified xsi:type="dcterms:W3CDTF">2026-04-10T03:13:02Z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3865DBEA987942F9ADDE4DE9DE2EEB5E_12</vt:lpwstr>
  </property>
  <property fmtid="{D5CDD505-2E9C-101B-9397-08002B2CF9AE}" pid="4" name="CalculationRule">
    <vt:i4>0</vt:i4>
  </property>
</Properties>
</file>